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FRTB-IMA,modellable risk factors\IMCC\"/>
    </mc:Choice>
  </mc:AlternateContent>
  <xr:revisionPtr revIDLastSave="0" documentId="13_ncr:1_{21C5ED55-27EE-44FB-BB7A-9411B25A9819}" xr6:coauthVersionLast="47" xr6:coauthVersionMax="47" xr10:uidLastSave="{00000000-0000-0000-0000-000000000000}"/>
  <bookViews>
    <workbookView xWindow="-110" yWindow="-110" windowWidth="19420" windowHeight="10300" tabRatio="928" firstSheet="4" activeTab="8" xr2:uid="{DC1F76F4-8BE6-409E-AD1E-84625C47D90D}"/>
  </bookViews>
  <sheets>
    <sheet name="CurrentPor-All Factor Movements" sheetId="4" r:id="rId1"/>
    <sheet name="CurrentPor-N10Unchanged" sheetId="8" r:id="rId2"/>
    <sheet name="CurrentFact-N10,20Unchanged" sheetId="9" r:id="rId3"/>
    <sheet name="CurrentFact-N10,20,40Unchanged" sheetId="10" r:id="rId4"/>
    <sheet name="CurrentFact-N10,20,40,60Unchan" sheetId="11" r:id="rId5"/>
    <sheet name="Portfolio" sheetId="5" r:id="rId6"/>
    <sheet name="ES, All factor movement" sheetId="7" r:id="rId7"/>
    <sheet name="ES,N10 unchanged" sheetId="16" r:id="rId8"/>
    <sheet name="ES,N10,20 unchanged" sheetId="17" r:id="rId9"/>
    <sheet name="ES,N10,20,40 unchanged" sheetId="18" r:id="rId10"/>
    <sheet name="ES,N10,20,40,60 unchanged" sheetId="19" r:id="rId11"/>
    <sheet name="NMRF" sheetId="2" r:id="rId12"/>
    <sheet name="formulae" sheetId="3" r:id="rId13"/>
  </sheets>
  <definedNames>
    <definedName name="_xlnm._FilterDatabase" localSheetId="0" hidden="1">'CurrentPor-All Factor Movements'!$A$3:$J$263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9" l="1"/>
  <c r="L3" i="16" l="1"/>
  <c r="H190" i="7"/>
  <c r="H193" i="7"/>
  <c r="H194" i="7"/>
  <c r="H195" i="7"/>
  <c r="H206" i="7"/>
  <c r="H209" i="7"/>
  <c r="H210" i="7"/>
  <c r="H211" i="7"/>
  <c r="H222" i="7"/>
  <c r="H225" i="7"/>
  <c r="H226" i="7"/>
  <c r="H227" i="7"/>
  <c r="H238" i="7"/>
  <c r="H240" i="7"/>
  <c r="H241" i="7"/>
  <c r="H242" i="7"/>
  <c r="H254" i="7"/>
  <c r="H256" i="7"/>
  <c r="H257" i="7"/>
  <c r="H258" i="7"/>
  <c r="H259" i="7"/>
  <c r="L5" i="4"/>
  <c r="M5" i="4"/>
  <c r="N5" i="4"/>
  <c r="O5" i="4"/>
  <c r="P5" i="4"/>
  <c r="Q5" i="4"/>
  <c r="K5" i="4"/>
  <c r="L3" i="4"/>
  <c r="M3" i="4"/>
  <c r="N3" i="4"/>
  <c r="O3" i="4"/>
  <c r="P3" i="4"/>
  <c r="Q3" i="4"/>
  <c r="K3" i="4"/>
  <c r="K3" i="19"/>
  <c r="B188" i="19"/>
  <c r="C188" i="19"/>
  <c r="D188" i="19"/>
  <c r="I188" i="19" s="1"/>
  <c r="E188" i="19"/>
  <c r="F188" i="19"/>
  <c r="G188" i="19"/>
  <c r="H188" i="19"/>
  <c r="B189" i="19"/>
  <c r="C189" i="19"/>
  <c r="D189" i="19"/>
  <c r="I189" i="19" s="1"/>
  <c r="E189" i="19"/>
  <c r="F189" i="19"/>
  <c r="G189" i="19"/>
  <c r="H189" i="19"/>
  <c r="B190" i="19"/>
  <c r="C190" i="19"/>
  <c r="D190" i="19"/>
  <c r="I190" i="19" s="1"/>
  <c r="E190" i="19"/>
  <c r="F190" i="19"/>
  <c r="G190" i="19"/>
  <c r="H190" i="19"/>
  <c r="B191" i="19"/>
  <c r="C191" i="19"/>
  <c r="D191" i="19"/>
  <c r="I191" i="19" s="1"/>
  <c r="E191" i="19"/>
  <c r="F191" i="19"/>
  <c r="G191" i="19"/>
  <c r="H191" i="19"/>
  <c r="B192" i="19"/>
  <c r="C192" i="19"/>
  <c r="D192" i="19"/>
  <c r="I192" i="19" s="1"/>
  <c r="E192" i="19"/>
  <c r="F192" i="19"/>
  <c r="G192" i="19"/>
  <c r="H192" i="19"/>
  <c r="B193" i="19"/>
  <c r="C193" i="19"/>
  <c r="D193" i="19"/>
  <c r="I193" i="19" s="1"/>
  <c r="E193" i="19"/>
  <c r="F193" i="19"/>
  <c r="G193" i="19"/>
  <c r="H193" i="19"/>
  <c r="B194" i="19"/>
  <c r="C194" i="19"/>
  <c r="D194" i="19"/>
  <c r="I194" i="19" s="1"/>
  <c r="E194" i="19"/>
  <c r="F194" i="19"/>
  <c r="G194" i="19"/>
  <c r="H194" i="19"/>
  <c r="B195" i="19"/>
  <c r="C195" i="19"/>
  <c r="D195" i="19"/>
  <c r="I195" i="19" s="1"/>
  <c r="E195" i="19"/>
  <c r="F195" i="19"/>
  <c r="G195" i="19"/>
  <c r="H195" i="19"/>
  <c r="B196" i="19"/>
  <c r="C196" i="19"/>
  <c r="D196" i="19"/>
  <c r="I196" i="19" s="1"/>
  <c r="E196" i="19"/>
  <c r="F196" i="19"/>
  <c r="G196" i="19"/>
  <c r="H196" i="19"/>
  <c r="B197" i="19"/>
  <c r="C197" i="19"/>
  <c r="D197" i="19"/>
  <c r="I197" i="19" s="1"/>
  <c r="E197" i="19"/>
  <c r="F197" i="19"/>
  <c r="G197" i="19"/>
  <c r="H197" i="19"/>
  <c r="B198" i="19"/>
  <c r="C198" i="19"/>
  <c r="D198" i="19"/>
  <c r="I198" i="19" s="1"/>
  <c r="E198" i="19"/>
  <c r="F198" i="19"/>
  <c r="G198" i="19"/>
  <c r="H198" i="19"/>
  <c r="B199" i="19"/>
  <c r="C199" i="19"/>
  <c r="D199" i="19"/>
  <c r="I199" i="19" s="1"/>
  <c r="E199" i="19"/>
  <c r="F199" i="19"/>
  <c r="G199" i="19"/>
  <c r="H199" i="19"/>
  <c r="B200" i="19"/>
  <c r="C200" i="19"/>
  <c r="D200" i="19"/>
  <c r="I200" i="19" s="1"/>
  <c r="E200" i="19"/>
  <c r="F200" i="19"/>
  <c r="G200" i="19"/>
  <c r="H200" i="19"/>
  <c r="B201" i="19"/>
  <c r="C201" i="19"/>
  <c r="D201" i="19"/>
  <c r="I201" i="19" s="1"/>
  <c r="E201" i="19"/>
  <c r="F201" i="19"/>
  <c r="G201" i="19"/>
  <c r="H201" i="19"/>
  <c r="B202" i="19"/>
  <c r="C202" i="19"/>
  <c r="D202" i="19"/>
  <c r="I202" i="19" s="1"/>
  <c r="E202" i="19"/>
  <c r="F202" i="19"/>
  <c r="G202" i="19"/>
  <c r="H202" i="19"/>
  <c r="B203" i="19"/>
  <c r="C203" i="19"/>
  <c r="D203" i="19"/>
  <c r="I203" i="19" s="1"/>
  <c r="E203" i="19"/>
  <c r="F203" i="19"/>
  <c r="G203" i="19"/>
  <c r="H203" i="19"/>
  <c r="B204" i="19"/>
  <c r="C204" i="19"/>
  <c r="D204" i="19"/>
  <c r="I204" i="19" s="1"/>
  <c r="E204" i="19"/>
  <c r="F204" i="19"/>
  <c r="G204" i="19"/>
  <c r="H204" i="19"/>
  <c r="B205" i="19"/>
  <c r="C205" i="19"/>
  <c r="I205" i="19" s="1"/>
  <c r="D205" i="19"/>
  <c r="E205" i="19"/>
  <c r="F205" i="19"/>
  <c r="G205" i="19"/>
  <c r="H205" i="19"/>
  <c r="B206" i="19"/>
  <c r="C206" i="19"/>
  <c r="D206" i="19"/>
  <c r="I206" i="19" s="1"/>
  <c r="E206" i="19"/>
  <c r="F206" i="19"/>
  <c r="G206" i="19"/>
  <c r="H206" i="19"/>
  <c r="B207" i="19"/>
  <c r="I207" i="19" s="1"/>
  <c r="C207" i="19"/>
  <c r="D207" i="19"/>
  <c r="E207" i="19"/>
  <c r="F207" i="19"/>
  <c r="G207" i="19"/>
  <c r="H207" i="19"/>
  <c r="B208" i="19"/>
  <c r="C208" i="19"/>
  <c r="D208" i="19"/>
  <c r="I208" i="19" s="1"/>
  <c r="E208" i="19"/>
  <c r="F208" i="19"/>
  <c r="G208" i="19"/>
  <c r="H208" i="19"/>
  <c r="B209" i="19"/>
  <c r="I209" i="19" s="1"/>
  <c r="C209" i="19"/>
  <c r="D209" i="19"/>
  <c r="E209" i="19"/>
  <c r="F209" i="19"/>
  <c r="G209" i="19"/>
  <c r="H209" i="19"/>
  <c r="B210" i="19"/>
  <c r="C210" i="19"/>
  <c r="D210" i="19"/>
  <c r="I210" i="19" s="1"/>
  <c r="E210" i="19"/>
  <c r="F210" i="19"/>
  <c r="G210" i="19"/>
  <c r="H210" i="19"/>
  <c r="B211" i="19"/>
  <c r="I211" i="19" s="1"/>
  <c r="C211" i="19"/>
  <c r="D211" i="19"/>
  <c r="E211" i="19"/>
  <c r="F211" i="19"/>
  <c r="G211" i="19"/>
  <c r="H211" i="19"/>
  <c r="B212" i="19"/>
  <c r="C212" i="19"/>
  <c r="I212" i="19" s="1"/>
  <c r="D212" i="19"/>
  <c r="E212" i="19"/>
  <c r="F212" i="19"/>
  <c r="G212" i="19"/>
  <c r="H212" i="19"/>
  <c r="B213" i="19"/>
  <c r="I213" i="19" s="1"/>
  <c r="C213" i="19"/>
  <c r="D213" i="19"/>
  <c r="E213" i="19"/>
  <c r="F213" i="19"/>
  <c r="G213" i="19"/>
  <c r="H213" i="19"/>
  <c r="B214" i="19"/>
  <c r="C214" i="19"/>
  <c r="I214" i="19" s="1"/>
  <c r="D214" i="19"/>
  <c r="E214" i="19"/>
  <c r="F214" i="19"/>
  <c r="G214" i="19"/>
  <c r="H214" i="19"/>
  <c r="B215" i="19"/>
  <c r="I215" i="19" s="1"/>
  <c r="C215" i="19"/>
  <c r="D215" i="19"/>
  <c r="E215" i="19"/>
  <c r="F215" i="19"/>
  <c r="G215" i="19"/>
  <c r="H215" i="19"/>
  <c r="B216" i="19"/>
  <c r="C216" i="19"/>
  <c r="I216" i="19" s="1"/>
  <c r="D216" i="19"/>
  <c r="E216" i="19"/>
  <c r="F216" i="19"/>
  <c r="G216" i="19"/>
  <c r="H216" i="19"/>
  <c r="B217" i="19"/>
  <c r="I217" i="19" s="1"/>
  <c r="C217" i="19"/>
  <c r="D217" i="19"/>
  <c r="E217" i="19"/>
  <c r="F217" i="19"/>
  <c r="G217" i="19"/>
  <c r="H217" i="19"/>
  <c r="B218" i="19"/>
  <c r="C218" i="19"/>
  <c r="I218" i="19" s="1"/>
  <c r="D218" i="19"/>
  <c r="E218" i="19"/>
  <c r="F218" i="19"/>
  <c r="G218" i="19"/>
  <c r="H218" i="19"/>
  <c r="B219" i="19"/>
  <c r="I219" i="19" s="1"/>
  <c r="C219" i="19"/>
  <c r="D219" i="19"/>
  <c r="E219" i="19"/>
  <c r="F219" i="19"/>
  <c r="G219" i="19"/>
  <c r="H219" i="19"/>
  <c r="B220" i="19"/>
  <c r="C220" i="19"/>
  <c r="I220" i="19" s="1"/>
  <c r="D220" i="19"/>
  <c r="E220" i="19"/>
  <c r="F220" i="19"/>
  <c r="G220" i="19"/>
  <c r="H220" i="19"/>
  <c r="B221" i="19"/>
  <c r="I221" i="19" s="1"/>
  <c r="C221" i="19"/>
  <c r="D221" i="19"/>
  <c r="E221" i="19"/>
  <c r="F221" i="19"/>
  <c r="G221" i="19"/>
  <c r="H221" i="19"/>
  <c r="B222" i="19"/>
  <c r="C222" i="19"/>
  <c r="I222" i="19" s="1"/>
  <c r="D222" i="19"/>
  <c r="E222" i="19"/>
  <c r="F222" i="19"/>
  <c r="G222" i="19"/>
  <c r="H222" i="19"/>
  <c r="B223" i="19"/>
  <c r="I223" i="19" s="1"/>
  <c r="C223" i="19"/>
  <c r="D223" i="19"/>
  <c r="E223" i="19"/>
  <c r="F223" i="19"/>
  <c r="G223" i="19"/>
  <c r="H223" i="19"/>
  <c r="B224" i="19"/>
  <c r="C224" i="19"/>
  <c r="I224" i="19" s="1"/>
  <c r="D224" i="19"/>
  <c r="E224" i="19"/>
  <c r="F224" i="19"/>
  <c r="G224" i="19"/>
  <c r="H224" i="19"/>
  <c r="B225" i="19"/>
  <c r="I225" i="19" s="1"/>
  <c r="C225" i="19"/>
  <c r="D225" i="19"/>
  <c r="E225" i="19"/>
  <c r="F225" i="19"/>
  <c r="G225" i="19"/>
  <c r="H225" i="19"/>
  <c r="B226" i="19"/>
  <c r="C226" i="19"/>
  <c r="I226" i="19" s="1"/>
  <c r="D226" i="19"/>
  <c r="E226" i="19"/>
  <c r="F226" i="19"/>
  <c r="G226" i="19"/>
  <c r="H226" i="19"/>
  <c r="B227" i="19"/>
  <c r="I227" i="19" s="1"/>
  <c r="C227" i="19"/>
  <c r="D227" i="19"/>
  <c r="E227" i="19"/>
  <c r="F227" i="19"/>
  <c r="G227" i="19"/>
  <c r="H227" i="19"/>
  <c r="B228" i="19"/>
  <c r="C228" i="19"/>
  <c r="I228" i="19" s="1"/>
  <c r="D228" i="19"/>
  <c r="E228" i="19"/>
  <c r="F228" i="19"/>
  <c r="G228" i="19"/>
  <c r="H228" i="19"/>
  <c r="B229" i="19"/>
  <c r="I229" i="19" s="1"/>
  <c r="C229" i="19"/>
  <c r="D229" i="19"/>
  <c r="E229" i="19"/>
  <c r="F229" i="19"/>
  <c r="G229" i="19"/>
  <c r="H229" i="19"/>
  <c r="B230" i="19"/>
  <c r="C230" i="19"/>
  <c r="I230" i="19" s="1"/>
  <c r="D230" i="19"/>
  <c r="E230" i="19"/>
  <c r="F230" i="19"/>
  <c r="G230" i="19"/>
  <c r="H230" i="19"/>
  <c r="B231" i="19"/>
  <c r="I231" i="19" s="1"/>
  <c r="C231" i="19"/>
  <c r="D231" i="19"/>
  <c r="E231" i="19"/>
  <c r="F231" i="19"/>
  <c r="G231" i="19"/>
  <c r="H231" i="19"/>
  <c r="B232" i="19"/>
  <c r="I232" i="19" s="1"/>
  <c r="C232" i="19"/>
  <c r="D232" i="19"/>
  <c r="E232" i="19"/>
  <c r="F232" i="19"/>
  <c r="G232" i="19"/>
  <c r="H232" i="19"/>
  <c r="B233" i="19"/>
  <c r="I233" i="19" s="1"/>
  <c r="C233" i="19"/>
  <c r="D233" i="19"/>
  <c r="E233" i="19"/>
  <c r="F233" i="19"/>
  <c r="G233" i="19"/>
  <c r="H233" i="19"/>
  <c r="B234" i="19"/>
  <c r="I234" i="19" s="1"/>
  <c r="C234" i="19"/>
  <c r="D234" i="19"/>
  <c r="E234" i="19"/>
  <c r="F234" i="19"/>
  <c r="G234" i="19"/>
  <c r="H234" i="19"/>
  <c r="B235" i="19"/>
  <c r="I235" i="19" s="1"/>
  <c r="C235" i="19"/>
  <c r="D235" i="19"/>
  <c r="E235" i="19"/>
  <c r="F235" i="19"/>
  <c r="G235" i="19"/>
  <c r="H235" i="19"/>
  <c r="B236" i="19"/>
  <c r="I236" i="19" s="1"/>
  <c r="C236" i="19"/>
  <c r="D236" i="19"/>
  <c r="E236" i="19"/>
  <c r="F236" i="19"/>
  <c r="G236" i="19"/>
  <c r="H236" i="19"/>
  <c r="B237" i="19"/>
  <c r="I237" i="19" s="1"/>
  <c r="C237" i="19"/>
  <c r="D237" i="19"/>
  <c r="E237" i="19"/>
  <c r="F237" i="19"/>
  <c r="G237" i="19"/>
  <c r="H237" i="19"/>
  <c r="B238" i="19"/>
  <c r="I238" i="19" s="1"/>
  <c r="C238" i="19"/>
  <c r="D238" i="19"/>
  <c r="E238" i="19"/>
  <c r="F238" i="19"/>
  <c r="G238" i="19"/>
  <c r="H238" i="19"/>
  <c r="B239" i="19"/>
  <c r="I239" i="19" s="1"/>
  <c r="C239" i="19"/>
  <c r="D239" i="19"/>
  <c r="E239" i="19"/>
  <c r="F239" i="19"/>
  <c r="G239" i="19"/>
  <c r="H239" i="19"/>
  <c r="B240" i="19"/>
  <c r="I240" i="19" s="1"/>
  <c r="C240" i="19"/>
  <c r="D240" i="19"/>
  <c r="E240" i="19"/>
  <c r="F240" i="19"/>
  <c r="G240" i="19"/>
  <c r="H240" i="19"/>
  <c r="B241" i="19"/>
  <c r="I241" i="19" s="1"/>
  <c r="C241" i="19"/>
  <c r="D241" i="19"/>
  <c r="E241" i="19"/>
  <c r="F241" i="19"/>
  <c r="G241" i="19"/>
  <c r="H241" i="19"/>
  <c r="B242" i="19"/>
  <c r="I242" i="19" s="1"/>
  <c r="C242" i="19"/>
  <c r="D242" i="19"/>
  <c r="E242" i="19"/>
  <c r="F242" i="19"/>
  <c r="G242" i="19"/>
  <c r="H242" i="19"/>
  <c r="B243" i="19"/>
  <c r="I243" i="19" s="1"/>
  <c r="C243" i="19"/>
  <c r="D243" i="19"/>
  <c r="E243" i="19"/>
  <c r="F243" i="19"/>
  <c r="G243" i="19"/>
  <c r="H243" i="19"/>
  <c r="B244" i="19"/>
  <c r="I244" i="19" s="1"/>
  <c r="C244" i="19"/>
  <c r="D244" i="19"/>
  <c r="E244" i="19"/>
  <c r="F244" i="19"/>
  <c r="G244" i="19"/>
  <c r="H244" i="19"/>
  <c r="B245" i="19"/>
  <c r="I245" i="19" s="1"/>
  <c r="C245" i="19"/>
  <c r="D245" i="19"/>
  <c r="E245" i="19"/>
  <c r="F245" i="19"/>
  <c r="G245" i="19"/>
  <c r="H245" i="19"/>
  <c r="B246" i="19"/>
  <c r="I246" i="19" s="1"/>
  <c r="C246" i="19"/>
  <c r="D246" i="19"/>
  <c r="E246" i="19"/>
  <c r="F246" i="19"/>
  <c r="G246" i="19"/>
  <c r="H246" i="19"/>
  <c r="B247" i="19"/>
  <c r="I247" i="19" s="1"/>
  <c r="C247" i="19"/>
  <c r="D247" i="19"/>
  <c r="E247" i="19"/>
  <c r="F247" i="19"/>
  <c r="G247" i="19"/>
  <c r="H247" i="19"/>
  <c r="B248" i="19"/>
  <c r="I248" i="19" s="1"/>
  <c r="C248" i="19"/>
  <c r="D248" i="19"/>
  <c r="E248" i="19"/>
  <c r="F248" i="19"/>
  <c r="G248" i="19"/>
  <c r="H248" i="19"/>
  <c r="B249" i="19"/>
  <c r="I249" i="19" s="1"/>
  <c r="C249" i="19"/>
  <c r="D249" i="19"/>
  <c r="E249" i="19"/>
  <c r="F249" i="19"/>
  <c r="G249" i="19"/>
  <c r="H249" i="19"/>
  <c r="B250" i="19"/>
  <c r="I250" i="19" s="1"/>
  <c r="C250" i="19"/>
  <c r="D250" i="19"/>
  <c r="E250" i="19"/>
  <c r="F250" i="19"/>
  <c r="G250" i="19"/>
  <c r="H250" i="19"/>
  <c r="B251" i="19"/>
  <c r="I251" i="19" s="1"/>
  <c r="C251" i="19"/>
  <c r="D251" i="19"/>
  <c r="E251" i="19"/>
  <c r="F251" i="19"/>
  <c r="G251" i="19"/>
  <c r="H251" i="19"/>
  <c r="B252" i="19"/>
  <c r="I252" i="19" s="1"/>
  <c r="C252" i="19"/>
  <c r="D252" i="19"/>
  <c r="E252" i="19"/>
  <c r="F252" i="19"/>
  <c r="G252" i="19"/>
  <c r="H252" i="19"/>
  <c r="B253" i="19"/>
  <c r="I253" i="19" s="1"/>
  <c r="C253" i="19"/>
  <c r="D253" i="19"/>
  <c r="E253" i="19"/>
  <c r="F253" i="19"/>
  <c r="G253" i="19"/>
  <c r="H253" i="19"/>
  <c r="B254" i="19"/>
  <c r="I254" i="19" s="1"/>
  <c r="C254" i="19"/>
  <c r="D254" i="19"/>
  <c r="E254" i="19"/>
  <c r="F254" i="19"/>
  <c r="G254" i="19"/>
  <c r="H254" i="19"/>
  <c r="B255" i="19"/>
  <c r="I255" i="19" s="1"/>
  <c r="C255" i="19"/>
  <c r="D255" i="19"/>
  <c r="E255" i="19"/>
  <c r="F255" i="19"/>
  <c r="G255" i="19"/>
  <c r="H255" i="19"/>
  <c r="B256" i="19"/>
  <c r="I256" i="19" s="1"/>
  <c r="C256" i="19"/>
  <c r="D256" i="19"/>
  <c r="E256" i="19"/>
  <c r="F256" i="19"/>
  <c r="G256" i="19"/>
  <c r="H256" i="19"/>
  <c r="B257" i="19"/>
  <c r="I257" i="19" s="1"/>
  <c r="C257" i="19"/>
  <c r="D257" i="19"/>
  <c r="E257" i="19"/>
  <c r="F257" i="19"/>
  <c r="G257" i="19"/>
  <c r="H257" i="19"/>
  <c r="B258" i="19"/>
  <c r="I258" i="19" s="1"/>
  <c r="C258" i="19"/>
  <c r="D258" i="19"/>
  <c r="E258" i="19"/>
  <c r="F258" i="19"/>
  <c r="G258" i="19"/>
  <c r="H258" i="19"/>
  <c r="B259" i="19"/>
  <c r="I259" i="19" s="1"/>
  <c r="C259" i="19"/>
  <c r="D259" i="19"/>
  <c r="E259" i="19"/>
  <c r="F259" i="19"/>
  <c r="G259" i="19"/>
  <c r="H259" i="19"/>
  <c r="B260" i="19"/>
  <c r="I260" i="19" s="1"/>
  <c r="C260" i="19"/>
  <c r="D260" i="19"/>
  <c r="E260" i="19"/>
  <c r="F260" i="19"/>
  <c r="G260" i="19"/>
  <c r="H260" i="19"/>
  <c r="B261" i="19"/>
  <c r="I261" i="19" s="1"/>
  <c r="C261" i="19"/>
  <c r="D261" i="19"/>
  <c r="E261" i="19"/>
  <c r="F261" i="19"/>
  <c r="G261" i="19"/>
  <c r="H261" i="19"/>
  <c r="B262" i="19"/>
  <c r="I262" i="19" s="1"/>
  <c r="C262" i="19"/>
  <c r="D262" i="19"/>
  <c r="E262" i="19"/>
  <c r="F262" i="19"/>
  <c r="G262" i="19"/>
  <c r="H262" i="19"/>
  <c r="B263" i="19"/>
  <c r="I263" i="19" s="1"/>
  <c r="C263" i="19"/>
  <c r="D263" i="19"/>
  <c r="E263" i="19"/>
  <c r="F263" i="19"/>
  <c r="G263" i="19"/>
  <c r="H263" i="19"/>
  <c r="L3" i="18"/>
  <c r="K3" i="18"/>
  <c r="B188" i="18"/>
  <c r="C188" i="18"/>
  <c r="D188" i="18"/>
  <c r="E188" i="18"/>
  <c r="I188" i="18" s="1"/>
  <c r="J188" i="18" s="1"/>
  <c r="F188" i="18"/>
  <c r="G188" i="18"/>
  <c r="H188" i="18"/>
  <c r="B189" i="18"/>
  <c r="I189" i="18" s="1"/>
  <c r="J189" i="18" s="1"/>
  <c r="C189" i="18"/>
  <c r="D189" i="18"/>
  <c r="E189" i="18"/>
  <c r="F189" i="18"/>
  <c r="G189" i="18"/>
  <c r="H189" i="18"/>
  <c r="B190" i="18"/>
  <c r="C190" i="18"/>
  <c r="I190" i="18" s="1"/>
  <c r="J190" i="18" s="1"/>
  <c r="D190" i="18"/>
  <c r="E190" i="18"/>
  <c r="F190" i="18"/>
  <c r="G190" i="18"/>
  <c r="H190" i="18"/>
  <c r="B191" i="18"/>
  <c r="I191" i="18" s="1"/>
  <c r="J191" i="18" s="1"/>
  <c r="C191" i="18"/>
  <c r="D191" i="18"/>
  <c r="E191" i="18"/>
  <c r="F191" i="18"/>
  <c r="G191" i="18"/>
  <c r="H191" i="18"/>
  <c r="B192" i="18"/>
  <c r="I192" i="18" s="1"/>
  <c r="J192" i="18" s="1"/>
  <c r="C192" i="18"/>
  <c r="D192" i="18"/>
  <c r="E192" i="18"/>
  <c r="F192" i="18"/>
  <c r="G192" i="18"/>
  <c r="H192" i="18"/>
  <c r="B193" i="18"/>
  <c r="C193" i="18"/>
  <c r="I193" i="18" s="1"/>
  <c r="J193" i="18" s="1"/>
  <c r="D193" i="18"/>
  <c r="E193" i="18"/>
  <c r="F193" i="18"/>
  <c r="G193" i="18"/>
  <c r="H193" i="18"/>
  <c r="B194" i="18"/>
  <c r="C194" i="18"/>
  <c r="D194" i="18"/>
  <c r="E194" i="18"/>
  <c r="F194" i="18"/>
  <c r="G194" i="18"/>
  <c r="I194" i="18" s="1"/>
  <c r="J194" i="18" s="1"/>
  <c r="H194" i="18"/>
  <c r="B195" i="18"/>
  <c r="I195" i="18" s="1"/>
  <c r="J195" i="18" s="1"/>
  <c r="C195" i="18"/>
  <c r="D195" i="18"/>
  <c r="E195" i="18"/>
  <c r="F195" i="18"/>
  <c r="G195" i="18"/>
  <c r="H195" i="18"/>
  <c r="B196" i="18"/>
  <c r="C196" i="18"/>
  <c r="D196" i="18"/>
  <c r="E196" i="18"/>
  <c r="F196" i="18"/>
  <c r="G196" i="18"/>
  <c r="H196" i="18"/>
  <c r="I196" i="18" s="1"/>
  <c r="J196" i="18" s="1"/>
  <c r="B197" i="18"/>
  <c r="C197" i="18"/>
  <c r="D197" i="18"/>
  <c r="I197" i="18" s="1"/>
  <c r="J197" i="18" s="1"/>
  <c r="E197" i="18"/>
  <c r="F197" i="18"/>
  <c r="G197" i="18"/>
  <c r="H197" i="18"/>
  <c r="B198" i="18"/>
  <c r="I198" i="18" s="1"/>
  <c r="C198" i="18"/>
  <c r="D198" i="18"/>
  <c r="E198" i="18"/>
  <c r="F198" i="18"/>
  <c r="G198" i="18"/>
  <c r="H198" i="18"/>
  <c r="B199" i="18"/>
  <c r="C199" i="18"/>
  <c r="I199" i="18" s="1"/>
  <c r="J199" i="18" s="1"/>
  <c r="D199" i="18"/>
  <c r="E199" i="18"/>
  <c r="F199" i="18"/>
  <c r="G199" i="18"/>
  <c r="H199" i="18"/>
  <c r="B200" i="18"/>
  <c r="I200" i="18" s="1"/>
  <c r="C200" i="18"/>
  <c r="D200" i="18"/>
  <c r="E200" i="18"/>
  <c r="F200" i="18"/>
  <c r="G200" i="18"/>
  <c r="H200" i="18"/>
  <c r="B201" i="18"/>
  <c r="C201" i="18"/>
  <c r="D201" i="18"/>
  <c r="E201" i="18"/>
  <c r="F201" i="18"/>
  <c r="G201" i="18"/>
  <c r="H201" i="18"/>
  <c r="I201" i="18"/>
  <c r="B202" i="18"/>
  <c r="I202" i="18" s="1"/>
  <c r="J202" i="18" s="1"/>
  <c r="C202" i="18"/>
  <c r="D202" i="18"/>
  <c r="E202" i="18"/>
  <c r="F202" i="18"/>
  <c r="G202" i="18"/>
  <c r="H202" i="18"/>
  <c r="B203" i="18"/>
  <c r="C203" i="18"/>
  <c r="D203" i="18"/>
  <c r="E203" i="18"/>
  <c r="F203" i="18"/>
  <c r="G203" i="18"/>
  <c r="H203" i="18"/>
  <c r="I203" i="18"/>
  <c r="B204" i="18"/>
  <c r="C204" i="18"/>
  <c r="D204" i="18"/>
  <c r="E204" i="18"/>
  <c r="I204" i="18" s="1"/>
  <c r="F204" i="18"/>
  <c r="G204" i="18"/>
  <c r="H204" i="18"/>
  <c r="B205" i="18"/>
  <c r="I205" i="18" s="1"/>
  <c r="J205" i="18" s="1"/>
  <c r="C205" i="18"/>
  <c r="D205" i="18"/>
  <c r="E205" i="18"/>
  <c r="F205" i="18"/>
  <c r="G205" i="18"/>
  <c r="H205" i="18"/>
  <c r="B206" i="18"/>
  <c r="C206" i="18"/>
  <c r="I206" i="18" s="1"/>
  <c r="D206" i="18"/>
  <c r="E206" i="18"/>
  <c r="F206" i="18"/>
  <c r="G206" i="18"/>
  <c r="H206" i="18"/>
  <c r="B207" i="18"/>
  <c r="I207" i="18" s="1"/>
  <c r="J207" i="18" s="1"/>
  <c r="C207" i="18"/>
  <c r="D207" i="18"/>
  <c r="E207" i="18"/>
  <c r="F207" i="18"/>
  <c r="G207" i="18"/>
  <c r="H207" i="18"/>
  <c r="B208" i="18"/>
  <c r="C208" i="18"/>
  <c r="D208" i="18"/>
  <c r="E208" i="18"/>
  <c r="F208" i="18"/>
  <c r="G208" i="18"/>
  <c r="H208" i="18"/>
  <c r="I208" i="18"/>
  <c r="B209" i="18"/>
  <c r="C209" i="18"/>
  <c r="I209" i="18" s="1"/>
  <c r="D209" i="18"/>
  <c r="E209" i="18"/>
  <c r="F209" i="18"/>
  <c r="G209" i="18"/>
  <c r="H209" i="18"/>
  <c r="B210" i="18"/>
  <c r="C210" i="18"/>
  <c r="D210" i="18"/>
  <c r="E210" i="18"/>
  <c r="F210" i="18"/>
  <c r="I210" i="18" s="1"/>
  <c r="G210" i="18"/>
  <c r="H210" i="18"/>
  <c r="B211" i="18"/>
  <c r="I211" i="18" s="1"/>
  <c r="J211" i="18" s="1"/>
  <c r="C211" i="18"/>
  <c r="D211" i="18"/>
  <c r="E211" i="18"/>
  <c r="F211" i="18"/>
  <c r="G211" i="18"/>
  <c r="H211" i="18"/>
  <c r="B212" i="18"/>
  <c r="C212" i="18"/>
  <c r="D212" i="18"/>
  <c r="E212" i="18"/>
  <c r="F212" i="18"/>
  <c r="G212" i="18"/>
  <c r="H212" i="18"/>
  <c r="I212" i="18" s="1"/>
  <c r="B213" i="18"/>
  <c r="C213" i="18"/>
  <c r="D213" i="18"/>
  <c r="I213" i="18" s="1"/>
  <c r="J213" i="18" s="1"/>
  <c r="E213" i="18"/>
  <c r="F213" i="18"/>
  <c r="G213" i="18"/>
  <c r="H213" i="18"/>
  <c r="B214" i="18"/>
  <c r="I214" i="18" s="1"/>
  <c r="C214" i="18"/>
  <c r="D214" i="18"/>
  <c r="E214" i="18"/>
  <c r="F214" i="18"/>
  <c r="G214" i="18"/>
  <c r="H214" i="18"/>
  <c r="B215" i="18"/>
  <c r="C215" i="18"/>
  <c r="I215" i="18" s="1"/>
  <c r="D215" i="18"/>
  <c r="E215" i="18"/>
  <c r="F215" i="18"/>
  <c r="G215" i="18"/>
  <c r="H215" i="18"/>
  <c r="B216" i="18"/>
  <c r="I216" i="18" s="1"/>
  <c r="J216" i="18" s="1"/>
  <c r="C216" i="18"/>
  <c r="D216" i="18"/>
  <c r="E216" i="18"/>
  <c r="F216" i="18"/>
  <c r="G216" i="18"/>
  <c r="H216" i="18"/>
  <c r="B217" i="18"/>
  <c r="C217" i="18"/>
  <c r="D217" i="18"/>
  <c r="E217" i="18"/>
  <c r="F217" i="18"/>
  <c r="G217" i="18"/>
  <c r="H217" i="18"/>
  <c r="I217" i="18"/>
  <c r="B218" i="18"/>
  <c r="I218" i="18" s="1"/>
  <c r="J218" i="18" s="1"/>
  <c r="C218" i="18"/>
  <c r="D218" i="18"/>
  <c r="E218" i="18"/>
  <c r="F218" i="18"/>
  <c r="G218" i="18"/>
  <c r="H218" i="18"/>
  <c r="B219" i="18"/>
  <c r="C219" i="18"/>
  <c r="D219" i="18"/>
  <c r="E219" i="18"/>
  <c r="F219" i="18"/>
  <c r="G219" i="18"/>
  <c r="H219" i="18"/>
  <c r="I219" i="18"/>
  <c r="J219" i="18" s="1"/>
  <c r="B220" i="18"/>
  <c r="C220" i="18"/>
  <c r="D220" i="18"/>
  <c r="E220" i="18"/>
  <c r="I220" i="18" s="1"/>
  <c r="J220" i="18" s="1"/>
  <c r="F220" i="18"/>
  <c r="G220" i="18"/>
  <c r="H220" i="18"/>
  <c r="B221" i="18"/>
  <c r="I221" i="18" s="1"/>
  <c r="C221" i="18"/>
  <c r="D221" i="18"/>
  <c r="E221" i="18"/>
  <c r="F221" i="18"/>
  <c r="G221" i="18"/>
  <c r="H221" i="18"/>
  <c r="B222" i="18"/>
  <c r="C222" i="18"/>
  <c r="I222" i="18" s="1"/>
  <c r="J222" i="18" s="1"/>
  <c r="D222" i="18"/>
  <c r="E222" i="18"/>
  <c r="F222" i="18"/>
  <c r="G222" i="18"/>
  <c r="H222" i="18"/>
  <c r="B223" i="18"/>
  <c r="I223" i="18" s="1"/>
  <c r="C223" i="18"/>
  <c r="D223" i="18"/>
  <c r="E223" i="18"/>
  <c r="F223" i="18"/>
  <c r="G223" i="18"/>
  <c r="H223" i="18"/>
  <c r="B224" i="18"/>
  <c r="C224" i="18"/>
  <c r="D224" i="18"/>
  <c r="E224" i="18"/>
  <c r="F224" i="18"/>
  <c r="G224" i="18"/>
  <c r="H224" i="18"/>
  <c r="I224" i="18"/>
  <c r="B225" i="18"/>
  <c r="C225" i="18"/>
  <c r="I225" i="18" s="1"/>
  <c r="J225" i="18" s="1"/>
  <c r="D225" i="18"/>
  <c r="E225" i="18"/>
  <c r="F225" i="18"/>
  <c r="G225" i="18"/>
  <c r="H225" i="18"/>
  <c r="B226" i="18"/>
  <c r="C226" i="18"/>
  <c r="D226" i="18"/>
  <c r="E226" i="18"/>
  <c r="F226" i="18"/>
  <c r="I226" i="18" s="1"/>
  <c r="J226" i="18" s="1"/>
  <c r="G226" i="18"/>
  <c r="H226" i="18"/>
  <c r="B227" i="18"/>
  <c r="I227" i="18" s="1"/>
  <c r="J227" i="18" s="1"/>
  <c r="C227" i="18"/>
  <c r="D227" i="18"/>
  <c r="E227" i="18"/>
  <c r="F227" i="18"/>
  <c r="G227" i="18"/>
  <c r="H227" i="18"/>
  <c r="B228" i="18"/>
  <c r="C228" i="18"/>
  <c r="D228" i="18"/>
  <c r="E228" i="18"/>
  <c r="F228" i="18"/>
  <c r="G228" i="18"/>
  <c r="H228" i="18"/>
  <c r="I228" i="18" s="1"/>
  <c r="J228" i="18" s="1"/>
  <c r="B229" i="18"/>
  <c r="C229" i="18"/>
  <c r="D229" i="18"/>
  <c r="I229" i="18" s="1"/>
  <c r="J229" i="18" s="1"/>
  <c r="E229" i="18"/>
  <c r="F229" i="18"/>
  <c r="G229" i="18"/>
  <c r="H229" i="18"/>
  <c r="B230" i="18"/>
  <c r="I230" i="18" s="1"/>
  <c r="C230" i="18"/>
  <c r="D230" i="18"/>
  <c r="E230" i="18"/>
  <c r="F230" i="18"/>
  <c r="G230" i="18"/>
  <c r="H230" i="18"/>
  <c r="B231" i="18"/>
  <c r="C231" i="18"/>
  <c r="I231" i="18" s="1"/>
  <c r="J231" i="18" s="1"/>
  <c r="D231" i="18"/>
  <c r="E231" i="18"/>
  <c r="F231" i="18"/>
  <c r="G231" i="18"/>
  <c r="H231" i="18"/>
  <c r="B232" i="18"/>
  <c r="I232" i="18" s="1"/>
  <c r="C232" i="18"/>
  <c r="D232" i="18"/>
  <c r="E232" i="18"/>
  <c r="F232" i="18"/>
  <c r="G232" i="18"/>
  <c r="H232" i="18"/>
  <c r="B233" i="18"/>
  <c r="C233" i="18"/>
  <c r="D233" i="18"/>
  <c r="E233" i="18"/>
  <c r="F233" i="18"/>
  <c r="G233" i="18"/>
  <c r="H233" i="18"/>
  <c r="I233" i="18"/>
  <c r="B234" i="18"/>
  <c r="I234" i="18" s="1"/>
  <c r="J234" i="18" s="1"/>
  <c r="C234" i="18"/>
  <c r="D234" i="18"/>
  <c r="E234" i="18"/>
  <c r="F234" i="18"/>
  <c r="G234" i="18"/>
  <c r="H234" i="18"/>
  <c r="B235" i="18"/>
  <c r="C235" i="18"/>
  <c r="D235" i="18"/>
  <c r="E235" i="18"/>
  <c r="F235" i="18"/>
  <c r="G235" i="18"/>
  <c r="H235" i="18"/>
  <c r="I235" i="18"/>
  <c r="B236" i="18"/>
  <c r="C236" i="18"/>
  <c r="D236" i="18"/>
  <c r="E236" i="18"/>
  <c r="I236" i="18" s="1"/>
  <c r="F236" i="18"/>
  <c r="G236" i="18"/>
  <c r="H236" i="18"/>
  <c r="B237" i="18"/>
  <c r="I237" i="18" s="1"/>
  <c r="J237" i="18" s="1"/>
  <c r="C237" i="18"/>
  <c r="D237" i="18"/>
  <c r="E237" i="18"/>
  <c r="F237" i="18"/>
  <c r="G237" i="18"/>
  <c r="H237" i="18"/>
  <c r="B238" i="18"/>
  <c r="C238" i="18"/>
  <c r="I238" i="18" s="1"/>
  <c r="D238" i="18"/>
  <c r="E238" i="18"/>
  <c r="F238" i="18"/>
  <c r="G238" i="18"/>
  <c r="H238" i="18"/>
  <c r="B239" i="18"/>
  <c r="I239" i="18" s="1"/>
  <c r="J239" i="18" s="1"/>
  <c r="C239" i="18"/>
  <c r="D239" i="18"/>
  <c r="E239" i="18"/>
  <c r="F239" i="18"/>
  <c r="G239" i="18"/>
  <c r="H239" i="18"/>
  <c r="B240" i="18"/>
  <c r="C240" i="18"/>
  <c r="D240" i="18"/>
  <c r="E240" i="18"/>
  <c r="F240" i="18"/>
  <c r="G240" i="18"/>
  <c r="H240" i="18"/>
  <c r="I240" i="18"/>
  <c r="B241" i="18"/>
  <c r="C241" i="18"/>
  <c r="I241" i="18" s="1"/>
  <c r="D241" i="18"/>
  <c r="E241" i="18"/>
  <c r="F241" i="18"/>
  <c r="G241" i="18"/>
  <c r="H241" i="18"/>
  <c r="B242" i="18"/>
  <c r="C242" i="18"/>
  <c r="D242" i="18"/>
  <c r="E242" i="18"/>
  <c r="F242" i="18"/>
  <c r="I242" i="18" s="1"/>
  <c r="G242" i="18"/>
  <c r="H242" i="18"/>
  <c r="B243" i="18"/>
  <c r="I243" i="18" s="1"/>
  <c r="J243" i="18" s="1"/>
  <c r="C243" i="18"/>
  <c r="D243" i="18"/>
  <c r="E243" i="18"/>
  <c r="F243" i="18"/>
  <c r="G243" i="18"/>
  <c r="H243" i="18"/>
  <c r="B244" i="18"/>
  <c r="C244" i="18"/>
  <c r="D244" i="18"/>
  <c r="E244" i="18"/>
  <c r="F244" i="18"/>
  <c r="G244" i="18"/>
  <c r="H244" i="18"/>
  <c r="I244" i="18" s="1"/>
  <c r="J244" i="18" s="1"/>
  <c r="B245" i="18"/>
  <c r="C245" i="18"/>
  <c r="D245" i="18"/>
  <c r="I245" i="18" s="1"/>
  <c r="J245" i="18" s="1"/>
  <c r="E245" i="18"/>
  <c r="F245" i="18"/>
  <c r="G245" i="18"/>
  <c r="H245" i="18"/>
  <c r="B246" i="18"/>
  <c r="I246" i="18" s="1"/>
  <c r="J246" i="18" s="1"/>
  <c r="C246" i="18"/>
  <c r="D246" i="18"/>
  <c r="E246" i="18"/>
  <c r="F246" i="18"/>
  <c r="G246" i="18"/>
  <c r="H246" i="18"/>
  <c r="B247" i="18"/>
  <c r="C247" i="18"/>
  <c r="I247" i="18" s="1"/>
  <c r="D247" i="18"/>
  <c r="E247" i="18"/>
  <c r="F247" i="18"/>
  <c r="G247" i="18"/>
  <c r="H247" i="18"/>
  <c r="B248" i="18"/>
  <c r="I248" i="18" s="1"/>
  <c r="J248" i="18" s="1"/>
  <c r="C248" i="18"/>
  <c r="D248" i="18"/>
  <c r="E248" i="18"/>
  <c r="F248" i="18"/>
  <c r="G248" i="18"/>
  <c r="H248" i="18"/>
  <c r="B249" i="18"/>
  <c r="C249" i="18"/>
  <c r="D249" i="18"/>
  <c r="E249" i="18"/>
  <c r="F249" i="18"/>
  <c r="G249" i="18"/>
  <c r="H249" i="18"/>
  <c r="I249" i="18"/>
  <c r="B250" i="18"/>
  <c r="I250" i="18" s="1"/>
  <c r="J250" i="18" s="1"/>
  <c r="C250" i="18"/>
  <c r="D250" i="18"/>
  <c r="E250" i="18"/>
  <c r="F250" i="18"/>
  <c r="G250" i="18"/>
  <c r="H250" i="18"/>
  <c r="B251" i="18"/>
  <c r="C251" i="18"/>
  <c r="D251" i="18"/>
  <c r="E251" i="18"/>
  <c r="F251" i="18"/>
  <c r="G251" i="18"/>
  <c r="H251" i="18"/>
  <c r="I251" i="18"/>
  <c r="B252" i="18"/>
  <c r="C252" i="18"/>
  <c r="D252" i="18"/>
  <c r="E252" i="18"/>
  <c r="I252" i="18" s="1"/>
  <c r="J252" i="18" s="1"/>
  <c r="F252" i="18"/>
  <c r="G252" i="18"/>
  <c r="H252" i="18"/>
  <c r="B253" i="18"/>
  <c r="I253" i="18" s="1"/>
  <c r="C253" i="18"/>
  <c r="D253" i="18"/>
  <c r="E253" i="18"/>
  <c r="F253" i="18"/>
  <c r="G253" i="18"/>
  <c r="H253" i="18"/>
  <c r="B254" i="18"/>
  <c r="C254" i="18"/>
  <c r="I254" i="18" s="1"/>
  <c r="J254" i="18" s="1"/>
  <c r="D254" i="18"/>
  <c r="E254" i="18"/>
  <c r="F254" i="18"/>
  <c r="G254" i="18"/>
  <c r="H254" i="18"/>
  <c r="B255" i="18"/>
  <c r="I255" i="18" s="1"/>
  <c r="C255" i="18"/>
  <c r="D255" i="18"/>
  <c r="E255" i="18"/>
  <c r="F255" i="18"/>
  <c r="G255" i="18"/>
  <c r="H255" i="18"/>
  <c r="B256" i="18"/>
  <c r="C256" i="18"/>
  <c r="D256" i="18"/>
  <c r="E256" i="18"/>
  <c r="F256" i="18"/>
  <c r="G256" i="18"/>
  <c r="H256" i="18"/>
  <c r="I256" i="18"/>
  <c r="J256" i="18" s="1"/>
  <c r="B257" i="18"/>
  <c r="C257" i="18"/>
  <c r="I257" i="18" s="1"/>
  <c r="D257" i="18"/>
  <c r="E257" i="18"/>
  <c r="F257" i="18"/>
  <c r="G257" i="18"/>
  <c r="H257" i="18"/>
  <c r="B258" i="18"/>
  <c r="C258" i="18"/>
  <c r="D258" i="18"/>
  <c r="E258" i="18"/>
  <c r="I258" i="18" s="1"/>
  <c r="F258" i="18"/>
  <c r="G258" i="18"/>
  <c r="H258" i="18"/>
  <c r="B259" i="18"/>
  <c r="I259" i="18" s="1"/>
  <c r="J259" i="18" s="1"/>
  <c r="C259" i="18"/>
  <c r="D259" i="18"/>
  <c r="E259" i="18"/>
  <c r="F259" i="18"/>
  <c r="G259" i="18"/>
  <c r="H259" i="18"/>
  <c r="B260" i="18"/>
  <c r="C260" i="18"/>
  <c r="D260" i="18"/>
  <c r="E260" i="18"/>
  <c r="F260" i="18"/>
  <c r="G260" i="18"/>
  <c r="H260" i="18"/>
  <c r="I260" i="18" s="1"/>
  <c r="J260" i="18" s="1"/>
  <c r="B261" i="18"/>
  <c r="C261" i="18"/>
  <c r="D261" i="18"/>
  <c r="I261" i="18" s="1"/>
  <c r="J261" i="18" s="1"/>
  <c r="E261" i="18"/>
  <c r="F261" i="18"/>
  <c r="G261" i="18"/>
  <c r="H261" i="18"/>
  <c r="B262" i="18"/>
  <c r="I262" i="18" s="1"/>
  <c r="C262" i="18"/>
  <c r="D262" i="18"/>
  <c r="E262" i="18"/>
  <c r="F262" i="18"/>
  <c r="G262" i="18"/>
  <c r="H262" i="18"/>
  <c r="B263" i="18"/>
  <c r="C263" i="18"/>
  <c r="I263" i="18" s="1"/>
  <c r="J263" i="18" s="1"/>
  <c r="D263" i="18"/>
  <c r="E263" i="18"/>
  <c r="F263" i="18"/>
  <c r="G263" i="18"/>
  <c r="H263" i="18"/>
  <c r="L3" i="17"/>
  <c r="K3" i="17"/>
  <c r="B188" i="17"/>
  <c r="C188" i="17"/>
  <c r="D188" i="17"/>
  <c r="E188" i="17"/>
  <c r="I188" i="17" s="1"/>
  <c r="J188" i="17" s="1"/>
  <c r="F188" i="17"/>
  <c r="G188" i="17"/>
  <c r="H188" i="17"/>
  <c r="B189" i="17"/>
  <c r="I189" i="17" s="1"/>
  <c r="J189" i="17" s="1"/>
  <c r="C189" i="17"/>
  <c r="D189" i="17"/>
  <c r="E189" i="17"/>
  <c r="F189" i="17"/>
  <c r="G189" i="17"/>
  <c r="H189" i="17"/>
  <c r="B190" i="17"/>
  <c r="C190" i="17"/>
  <c r="I190" i="17" s="1"/>
  <c r="J190" i="17" s="1"/>
  <c r="D190" i="17"/>
  <c r="E190" i="17"/>
  <c r="F190" i="17"/>
  <c r="G190" i="17"/>
  <c r="H190" i="17"/>
  <c r="B191" i="17"/>
  <c r="I191" i="17" s="1"/>
  <c r="J191" i="17" s="1"/>
  <c r="C191" i="17"/>
  <c r="D191" i="17"/>
  <c r="E191" i="17"/>
  <c r="F191" i="17"/>
  <c r="G191" i="17"/>
  <c r="H191" i="17"/>
  <c r="B192" i="17"/>
  <c r="I192" i="17" s="1"/>
  <c r="J192" i="17" s="1"/>
  <c r="C192" i="17"/>
  <c r="D192" i="17"/>
  <c r="E192" i="17"/>
  <c r="F192" i="17"/>
  <c r="G192" i="17"/>
  <c r="H192" i="17"/>
  <c r="B193" i="17"/>
  <c r="C193" i="17"/>
  <c r="I193" i="17" s="1"/>
  <c r="J193" i="17" s="1"/>
  <c r="D193" i="17"/>
  <c r="E193" i="17"/>
  <c r="F193" i="17"/>
  <c r="G193" i="17"/>
  <c r="H193" i="17"/>
  <c r="B194" i="17"/>
  <c r="C194" i="17"/>
  <c r="D194" i="17"/>
  <c r="E194" i="17"/>
  <c r="F194" i="17"/>
  <c r="G194" i="17"/>
  <c r="H194" i="17"/>
  <c r="I194" i="17" s="1"/>
  <c r="J194" i="17" s="1"/>
  <c r="B195" i="17"/>
  <c r="I195" i="17" s="1"/>
  <c r="J195" i="17" s="1"/>
  <c r="C195" i="17"/>
  <c r="D195" i="17"/>
  <c r="E195" i="17"/>
  <c r="F195" i="17"/>
  <c r="G195" i="17"/>
  <c r="H195" i="17"/>
  <c r="B196" i="17"/>
  <c r="C196" i="17"/>
  <c r="D196" i="17"/>
  <c r="E196" i="17"/>
  <c r="I196" i="17" s="1"/>
  <c r="J196" i="17" s="1"/>
  <c r="F196" i="17"/>
  <c r="G196" i="17"/>
  <c r="H196" i="17"/>
  <c r="B197" i="17"/>
  <c r="C197" i="17"/>
  <c r="D197" i="17"/>
  <c r="I197" i="17" s="1"/>
  <c r="J197" i="17" s="1"/>
  <c r="E197" i="17"/>
  <c r="F197" i="17"/>
  <c r="G197" i="17"/>
  <c r="H197" i="17"/>
  <c r="B198" i="17"/>
  <c r="I198" i="17" s="1"/>
  <c r="C198" i="17"/>
  <c r="D198" i="17"/>
  <c r="E198" i="17"/>
  <c r="F198" i="17"/>
  <c r="G198" i="17"/>
  <c r="H198" i="17"/>
  <c r="B199" i="17"/>
  <c r="I199" i="17" s="1"/>
  <c r="J199" i="17" s="1"/>
  <c r="C199" i="17"/>
  <c r="D199" i="17"/>
  <c r="E199" i="17"/>
  <c r="F199" i="17"/>
  <c r="G199" i="17"/>
  <c r="H199" i="17"/>
  <c r="B200" i="17"/>
  <c r="I200" i="17" s="1"/>
  <c r="C200" i="17"/>
  <c r="D200" i="17"/>
  <c r="E200" i="17"/>
  <c r="F200" i="17"/>
  <c r="G200" i="17"/>
  <c r="H200" i="17"/>
  <c r="B201" i="17"/>
  <c r="C201" i="17"/>
  <c r="D201" i="17"/>
  <c r="E201" i="17"/>
  <c r="F201" i="17"/>
  <c r="G201" i="17"/>
  <c r="H201" i="17"/>
  <c r="I201" i="17"/>
  <c r="B202" i="17"/>
  <c r="I202" i="17" s="1"/>
  <c r="J202" i="17" s="1"/>
  <c r="C202" i="17"/>
  <c r="D202" i="17"/>
  <c r="E202" i="17"/>
  <c r="F202" i="17"/>
  <c r="G202" i="17"/>
  <c r="H202" i="17"/>
  <c r="B203" i="17"/>
  <c r="C203" i="17"/>
  <c r="D203" i="17"/>
  <c r="E203" i="17"/>
  <c r="F203" i="17"/>
  <c r="G203" i="17"/>
  <c r="H203" i="17"/>
  <c r="I203" i="17"/>
  <c r="B204" i="17"/>
  <c r="I204" i="17" s="1"/>
  <c r="J204" i="17" s="1"/>
  <c r="C204" i="17"/>
  <c r="D204" i="17"/>
  <c r="E204" i="17"/>
  <c r="F204" i="17"/>
  <c r="G204" i="17"/>
  <c r="H204" i="17"/>
  <c r="B205" i="17"/>
  <c r="I205" i="17" s="1"/>
  <c r="J205" i="17" s="1"/>
  <c r="C205" i="17"/>
  <c r="D205" i="17"/>
  <c r="E205" i="17"/>
  <c r="F205" i="17"/>
  <c r="G205" i="17"/>
  <c r="H205" i="17"/>
  <c r="B206" i="17"/>
  <c r="C206" i="17"/>
  <c r="I206" i="17" s="1"/>
  <c r="D206" i="17"/>
  <c r="E206" i="17"/>
  <c r="F206" i="17"/>
  <c r="G206" i="17"/>
  <c r="H206" i="17"/>
  <c r="B207" i="17"/>
  <c r="I207" i="17" s="1"/>
  <c r="J207" i="17" s="1"/>
  <c r="C207" i="17"/>
  <c r="D207" i="17"/>
  <c r="E207" i="17"/>
  <c r="F207" i="17"/>
  <c r="G207" i="17"/>
  <c r="H207" i="17"/>
  <c r="B208" i="17"/>
  <c r="I208" i="17" s="1"/>
  <c r="J208" i="17" s="1"/>
  <c r="C208" i="17"/>
  <c r="D208" i="17"/>
  <c r="E208" i="17"/>
  <c r="F208" i="17"/>
  <c r="G208" i="17"/>
  <c r="H208" i="17"/>
  <c r="B209" i="17"/>
  <c r="C209" i="17"/>
  <c r="I209" i="17" s="1"/>
  <c r="D209" i="17"/>
  <c r="E209" i="17"/>
  <c r="F209" i="17"/>
  <c r="G209" i="17"/>
  <c r="H209" i="17"/>
  <c r="B210" i="17"/>
  <c r="C210" i="17"/>
  <c r="D210" i="17"/>
  <c r="E210" i="17"/>
  <c r="F210" i="17"/>
  <c r="G210" i="17"/>
  <c r="H210" i="17"/>
  <c r="I210" i="17" s="1"/>
  <c r="B211" i="17"/>
  <c r="I211" i="17" s="1"/>
  <c r="J211" i="17" s="1"/>
  <c r="C211" i="17"/>
  <c r="D211" i="17"/>
  <c r="E211" i="17"/>
  <c r="F211" i="17"/>
  <c r="G211" i="17"/>
  <c r="H211" i="17"/>
  <c r="B212" i="17"/>
  <c r="C212" i="17"/>
  <c r="D212" i="17"/>
  <c r="E212" i="17"/>
  <c r="I212" i="17" s="1"/>
  <c r="J212" i="17" s="1"/>
  <c r="F212" i="17"/>
  <c r="G212" i="17"/>
  <c r="H212" i="17"/>
  <c r="B213" i="17"/>
  <c r="C213" i="17"/>
  <c r="D213" i="17"/>
  <c r="I213" i="17" s="1"/>
  <c r="J213" i="17" s="1"/>
  <c r="E213" i="17"/>
  <c r="F213" i="17"/>
  <c r="G213" i="17"/>
  <c r="H213" i="17"/>
  <c r="B214" i="17"/>
  <c r="I214" i="17" s="1"/>
  <c r="J214" i="17" s="1"/>
  <c r="C214" i="17"/>
  <c r="D214" i="17"/>
  <c r="E214" i="17"/>
  <c r="F214" i="17"/>
  <c r="G214" i="17"/>
  <c r="H214" i="17"/>
  <c r="B215" i="17"/>
  <c r="I215" i="17" s="1"/>
  <c r="J215" i="17" s="1"/>
  <c r="C215" i="17"/>
  <c r="D215" i="17"/>
  <c r="E215" i="17"/>
  <c r="F215" i="17"/>
  <c r="G215" i="17"/>
  <c r="H215" i="17"/>
  <c r="B216" i="17"/>
  <c r="I216" i="17" s="1"/>
  <c r="J216" i="17" s="1"/>
  <c r="C216" i="17"/>
  <c r="D216" i="17"/>
  <c r="E216" i="17"/>
  <c r="F216" i="17"/>
  <c r="G216" i="17"/>
  <c r="H216" i="17"/>
  <c r="B217" i="17"/>
  <c r="C217" i="17"/>
  <c r="D217" i="17"/>
  <c r="E217" i="17"/>
  <c r="F217" i="17"/>
  <c r="G217" i="17"/>
  <c r="H217" i="17"/>
  <c r="I217" i="17"/>
  <c r="J217" i="17" s="1"/>
  <c r="B218" i="17"/>
  <c r="I218" i="17" s="1"/>
  <c r="C218" i="17"/>
  <c r="D218" i="17"/>
  <c r="E218" i="17"/>
  <c r="F218" i="17"/>
  <c r="G218" i="17"/>
  <c r="H218" i="17"/>
  <c r="B219" i="17"/>
  <c r="C219" i="17"/>
  <c r="D219" i="17"/>
  <c r="E219" i="17"/>
  <c r="F219" i="17"/>
  <c r="G219" i="17"/>
  <c r="H219" i="17"/>
  <c r="I219" i="17"/>
  <c r="J219" i="17" s="1"/>
  <c r="B220" i="17"/>
  <c r="I220" i="17" s="1"/>
  <c r="J220" i="17" s="1"/>
  <c r="C220" i="17"/>
  <c r="D220" i="17"/>
  <c r="E220" i="17"/>
  <c r="F220" i="17"/>
  <c r="G220" i="17"/>
  <c r="H220" i="17"/>
  <c r="B221" i="17"/>
  <c r="I221" i="17" s="1"/>
  <c r="C221" i="17"/>
  <c r="D221" i="17"/>
  <c r="E221" i="17"/>
  <c r="F221" i="17"/>
  <c r="G221" i="17"/>
  <c r="H221" i="17"/>
  <c r="B222" i="17"/>
  <c r="C222" i="17"/>
  <c r="I222" i="17" s="1"/>
  <c r="J222" i="17" s="1"/>
  <c r="D222" i="17"/>
  <c r="E222" i="17"/>
  <c r="F222" i="17"/>
  <c r="G222" i="17"/>
  <c r="H222" i="17"/>
  <c r="B223" i="17"/>
  <c r="I223" i="17" s="1"/>
  <c r="C223" i="17"/>
  <c r="D223" i="17"/>
  <c r="E223" i="17"/>
  <c r="F223" i="17"/>
  <c r="G223" i="17"/>
  <c r="H223" i="17"/>
  <c r="B224" i="17"/>
  <c r="I224" i="17" s="1"/>
  <c r="C224" i="17"/>
  <c r="D224" i="17"/>
  <c r="E224" i="17"/>
  <c r="F224" i="17"/>
  <c r="G224" i="17"/>
  <c r="H224" i="17"/>
  <c r="B225" i="17"/>
  <c r="C225" i="17"/>
  <c r="I225" i="17" s="1"/>
  <c r="D225" i="17"/>
  <c r="E225" i="17"/>
  <c r="F225" i="17"/>
  <c r="G225" i="17"/>
  <c r="H225" i="17"/>
  <c r="B226" i="17"/>
  <c r="C226" i="17"/>
  <c r="D226" i="17"/>
  <c r="E226" i="17"/>
  <c r="F226" i="17"/>
  <c r="G226" i="17"/>
  <c r="H226" i="17"/>
  <c r="I226" i="17" s="1"/>
  <c r="J226" i="17" s="1"/>
  <c r="B227" i="17"/>
  <c r="I227" i="17" s="1"/>
  <c r="J227" i="17" s="1"/>
  <c r="C227" i="17"/>
  <c r="D227" i="17"/>
  <c r="E227" i="17"/>
  <c r="F227" i="17"/>
  <c r="G227" i="17"/>
  <c r="H227" i="17"/>
  <c r="B228" i="17"/>
  <c r="C228" i="17"/>
  <c r="D228" i="17"/>
  <c r="E228" i="17"/>
  <c r="I228" i="17" s="1"/>
  <c r="J228" i="17" s="1"/>
  <c r="F228" i="17"/>
  <c r="G228" i="17"/>
  <c r="H228" i="17"/>
  <c r="B229" i="17"/>
  <c r="I229" i="17" s="1"/>
  <c r="J229" i="17" s="1"/>
  <c r="C229" i="17"/>
  <c r="D229" i="17"/>
  <c r="E229" i="17"/>
  <c r="F229" i="17"/>
  <c r="G229" i="17"/>
  <c r="H229" i="17"/>
  <c r="B230" i="17"/>
  <c r="I230" i="17" s="1"/>
  <c r="C230" i="17"/>
  <c r="D230" i="17"/>
  <c r="E230" i="17"/>
  <c r="F230" i="17"/>
  <c r="G230" i="17"/>
  <c r="H230" i="17"/>
  <c r="B231" i="17"/>
  <c r="I231" i="17" s="1"/>
  <c r="C231" i="17"/>
  <c r="D231" i="17"/>
  <c r="E231" i="17"/>
  <c r="F231" i="17"/>
  <c r="G231" i="17"/>
  <c r="H231" i="17"/>
  <c r="B232" i="17"/>
  <c r="I232" i="17" s="1"/>
  <c r="C232" i="17"/>
  <c r="D232" i="17"/>
  <c r="E232" i="17"/>
  <c r="F232" i="17"/>
  <c r="G232" i="17"/>
  <c r="H232" i="17"/>
  <c r="B233" i="17"/>
  <c r="C233" i="17"/>
  <c r="D233" i="17"/>
  <c r="E233" i="17"/>
  <c r="F233" i="17"/>
  <c r="G233" i="17"/>
  <c r="H233" i="17"/>
  <c r="I233" i="17"/>
  <c r="B234" i="17"/>
  <c r="I234" i="17" s="1"/>
  <c r="J234" i="17" s="1"/>
  <c r="C234" i="17"/>
  <c r="D234" i="17"/>
  <c r="E234" i="17"/>
  <c r="F234" i="17"/>
  <c r="G234" i="17"/>
  <c r="H234" i="17"/>
  <c r="B235" i="17"/>
  <c r="C235" i="17"/>
  <c r="D235" i="17"/>
  <c r="E235" i="17"/>
  <c r="F235" i="17"/>
  <c r="G235" i="17"/>
  <c r="H235" i="17"/>
  <c r="I235" i="17"/>
  <c r="B236" i="17"/>
  <c r="I236" i="17" s="1"/>
  <c r="C236" i="17"/>
  <c r="D236" i="17"/>
  <c r="E236" i="17"/>
  <c r="F236" i="17"/>
  <c r="G236" i="17"/>
  <c r="H236" i="17"/>
  <c r="B237" i="17"/>
  <c r="I237" i="17" s="1"/>
  <c r="J237" i="17" s="1"/>
  <c r="C237" i="17"/>
  <c r="D237" i="17"/>
  <c r="E237" i="17"/>
  <c r="F237" i="17"/>
  <c r="G237" i="17"/>
  <c r="H237" i="17"/>
  <c r="B238" i="17"/>
  <c r="C238" i="17"/>
  <c r="I238" i="17" s="1"/>
  <c r="D238" i="17"/>
  <c r="E238" i="17"/>
  <c r="F238" i="17"/>
  <c r="G238" i="17"/>
  <c r="H238" i="17"/>
  <c r="B239" i="17"/>
  <c r="I239" i="17" s="1"/>
  <c r="C239" i="17"/>
  <c r="D239" i="17"/>
  <c r="E239" i="17"/>
  <c r="F239" i="17"/>
  <c r="G239" i="17"/>
  <c r="H239" i="17"/>
  <c r="B240" i="17"/>
  <c r="I240" i="17" s="1"/>
  <c r="C240" i="17"/>
  <c r="D240" i="17"/>
  <c r="E240" i="17"/>
  <c r="F240" i="17"/>
  <c r="G240" i="17"/>
  <c r="H240" i="17"/>
  <c r="B241" i="17"/>
  <c r="C241" i="17"/>
  <c r="I241" i="17" s="1"/>
  <c r="J241" i="17" s="1"/>
  <c r="D241" i="17"/>
  <c r="E241" i="17"/>
  <c r="F241" i="17"/>
  <c r="G241" i="17"/>
  <c r="H241" i="17"/>
  <c r="B242" i="17"/>
  <c r="C242" i="17"/>
  <c r="D242" i="17"/>
  <c r="E242" i="17"/>
  <c r="F242" i="17"/>
  <c r="G242" i="17"/>
  <c r="H242" i="17"/>
  <c r="I242" i="17" s="1"/>
  <c r="B243" i="17"/>
  <c r="I243" i="17" s="1"/>
  <c r="J243" i="17" s="1"/>
  <c r="C243" i="17"/>
  <c r="D243" i="17"/>
  <c r="E243" i="17"/>
  <c r="F243" i="17"/>
  <c r="G243" i="17"/>
  <c r="H243" i="17"/>
  <c r="B244" i="17"/>
  <c r="C244" i="17"/>
  <c r="I244" i="17" s="1"/>
  <c r="J244" i="17" s="1"/>
  <c r="D244" i="17"/>
  <c r="E244" i="17"/>
  <c r="F244" i="17"/>
  <c r="G244" i="17"/>
  <c r="H244" i="17"/>
  <c r="B245" i="17"/>
  <c r="I245" i="17" s="1"/>
  <c r="J245" i="17" s="1"/>
  <c r="C245" i="17"/>
  <c r="D245" i="17"/>
  <c r="E245" i="17"/>
  <c r="F245" i="17"/>
  <c r="G245" i="17"/>
  <c r="H245" i="17"/>
  <c r="B246" i="17"/>
  <c r="I246" i="17" s="1"/>
  <c r="J246" i="17" s="1"/>
  <c r="C246" i="17"/>
  <c r="D246" i="17"/>
  <c r="E246" i="17"/>
  <c r="F246" i="17"/>
  <c r="G246" i="17"/>
  <c r="H246" i="17"/>
  <c r="B247" i="17"/>
  <c r="I247" i="17" s="1"/>
  <c r="J247" i="17" s="1"/>
  <c r="C247" i="17"/>
  <c r="D247" i="17"/>
  <c r="E247" i="17"/>
  <c r="F247" i="17"/>
  <c r="G247" i="17"/>
  <c r="H247" i="17"/>
  <c r="B248" i="17"/>
  <c r="I248" i="17" s="1"/>
  <c r="J248" i="17" s="1"/>
  <c r="C248" i="17"/>
  <c r="D248" i="17"/>
  <c r="E248" i="17"/>
  <c r="F248" i="17"/>
  <c r="G248" i="17"/>
  <c r="H248" i="17"/>
  <c r="B249" i="17"/>
  <c r="C249" i="17"/>
  <c r="D249" i="17"/>
  <c r="E249" i="17"/>
  <c r="F249" i="17"/>
  <c r="G249" i="17"/>
  <c r="H249" i="17"/>
  <c r="I249" i="17"/>
  <c r="B250" i="17"/>
  <c r="I250" i="17" s="1"/>
  <c r="J250" i="17" s="1"/>
  <c r="C250" i="17"/>
  <c r="D250" i="17"/>
  <c r="E250" i="17"/>
  <c r="F250" i="17"/>
  <c r="G250" i="17"/>
  <c r="H250" i="17"/>
  <c r="B251" i="17"/>
  <c r="C251" i="17"/>
  <c r="D251" i="17"/>
  <c r="E251" i="17"/>
  <c r="F251" i="17"/>
  <c r="G251" i="17"/>
  <c r="H251" i="17"/>
  <c r="I251" i="17"/>
  <c r="B252" i="17"/>
  <c r="I252" i="17" s="1"/>
  <c r="J252" i="17" s="1"/>
  <c r="C252" i="17"/>
  <c r="D252" i="17"/>
  <c r="E252" i="17"/>
  <c r="F252" i="17"/>
  <c r="G252" i="17"/>
  <c r="H252" i="17"/>
  <c r="B253" i="17"/>
  <c r="I253" i="17" s="1"/>
  <c r="J253" i="17" s="1"/>
  <c r="C253" i="17"/>
  <c r="D253" i="17"/>
  <c r="E253" i="17"/>
  <c r="F253" i="17"/>
  <c r="G253" i="17"/>
  <c r="H253" i="17"/>
  <c r="B254" i="17"/>
  <c r="C254" i="17"/>
  <c r="I254" i="17" s="1"/>
  <c r="D254" i="17"/>
  <c r="E254" i="17"/>
  <c r="F254" i="17"/>
  <c r="G254" i="17"/>
  <c r="H254" i="17"/>
  <c r="B255" i="17"/>
  <c r="I255" i="17" s="1"/>
  <c r="J255" i="17" s="1"/>
  <c r="C255" i="17"/>
  <c r="D255" i="17"/>
  <c r="E255" i="17"/>
  <c r="F255" i="17"/>
  <c r="G255" i="17"/>
  <c r="H255" i="17"/>
  <c r="B256" i="17"/>
  <c r="I256" i="17" s="1"/>
  <c r="J256" i="17" s="1"/>
  <c r="C256" i="17"/>
  <c r="D256" i="17"/>
  <c r="E256" i="17"/>
  <c r="F256" i="17"/>
  <c r="G256" i="17"/>
  <c r="H256" i="17"/>
  <c r="B257" i="17"/>
  <c r="C257" i="17"/>
  <c r="I257" i="17" s="1"/>
  <c r="D257" i="17"/>
  <c r="E257" i="17"/>
  <c r="F257" i="17"/>
  <c r="G257" i="17"/>
  <c r="H257" i="17"/>
  <c r="B258" i="17"/>
  <c r="C258" i="17"/>
  <c r="D258" i="17"/>
  <c r="E258" i="17"/>
  <c r="F258" i="17"/>
  <c r="G258" i="17"/>
  <c r="H258" i="17"/>
  <c r="I258" i="17" s="1"/>
  <c r="B259" i="17"/>
  <c r="I259" i="17" s="1"/>
  <c r="J259" i="17" s="1"/>
  <c r="C259" i="17"/>
  <c r="D259" i="17"/>
  <c r="E259" i="17"/>
  <c r="F259" i="17"/>
  <c r="G259" i="17"/>
  <c r="H259" i="17"/>
  <c r="B260" i="17"/>
  <c r="C260" i="17"/>
  <c r="I260" i="17" s="1"/>
  <c r="D260" i="17"/>
  <c r="E260" i="17"/>
  <c r="F260" i="17"/>
  <c r="G260" i="17"/>
  <c r="H260" i="17"/>
  <c r="B261" i="17"/>
  <c r="I261" i="17" s="1"/>
  <c r="J261" i="17" s="1"/>
  <c r="C261" i="17"/>
  <c r="D261" i="17"/>
  <c r="E261" i="17"/>
  <c r="F261" i="17"/>
  <c r="G261" i="17"/>
  <c r="H261" i="17"/>
  <c r="B262" i="17"/>
  <c r="I262" i="17" s="1"/>
  <c r="J262" i="17" s="1"/>
  <c r="C262" i="17"/>
  <c r="D262" i="17"/>
  <c r="E262" i="17"/>
  <c r="F262" i="17"/>
  <c r="G262" i="17"/>
  <c r="H262" i="17"/>
  <c r="B263" i="17"/>
  <c r="I263" i="17" s="1"/>
  <c r="C263" i="17"/>
  <c r="D263" i="17"/>
  <c r="E263" i="17"/>
  <c r="F263" i="17"/>
  <c r="G263" i="17"/>
  <c r="H263" i="17"/>
  <c r="B188" i="16"/>
  <c r="C188" i="16"/>
  <c r="I188" i="16" s="1"/>
  <c r="D188" i="16"/>
  <c r="E188" i="16"/>
  <c r="F188" i="16"/>
  <c r="G188" i="16"/>
  <c r="H188" i="16"/>
  <c r="B189" i="16"/>
  <c r="C189" i="16"/>
  <c r="D189" i="16"/>
  <c r="E189" i="16"/>
  <c r="F189" i="16"/>
  <c r="G189" i="16"/>
  <c r="H189" i="16"/>
  <c r="B190" i="16"/>
  <c r="C190" i="16"/>
  <c r="D190" i="16"/>
  <c r="E190" i="16"/>
  <c r="F190" i="16"/>
  <c r="G190" i="16"/>
  <c r="H190" i="16"/>
  <c r="B191" i="16"/>
  <c r="C191" i="16"/>
  <c r="D191" i="16"/>
  <c r="E191" i="16"/>
  <c r="F191" i="16"/>
  <c r="G191" i="16"/>
  <c r="H191" i="16"/>
  <c r="B192" i="16"/>
  <c r="C192" i="16"/>
  <c r="D192" i="16"/>
  <c r="E192" i="16"/>
  <c r="F192" i="16"/>
  <c r="G192" i="16"/>
  <c r="H192" i="16"/>
  <c r="B193" i="16"/>
  <c r="I193" i="16" s="1"/>
  <c r="C193" i="16"/>
  <c r="D193" i="16"/>
  <c r="E193" i="16"/>
  <c r="F193" i="16"/>
  <c r="G193" i="16"/>
  <c r="H193" i="16"/>
  <c r="B194" i="16"/>
  <c r="C194" i="16"/>
  <c r="D194" i="16"/>
  <c r="E194" i="16"/>
  <c r="F194" i="16"/>
  <c r="G194" i="16"/>
  <c r="H194" i="16"/>
  <c r="I194" i="16"/>
  <c r="B195" i="16"/>
  <c r="I195" i="16" s="1"/>
  <c r="C195" i="16"/>
  <c r="D195" i="16"/>
  <c r="E195" i="16"/>
  <c r="F195" i="16"/>
  <c r="G195" i="16"/>
  <c r="H195" i="16"/>
  <c r="B196" i="16"/>
  <c r="C196" i="16"/>
  <c r="D196" i="16"/>
  <c r="E196" i="16"/>
  <c r="F196" i="16"/>
  <c r="G196" i="16"/>
  <c r="H196" i="16"/>
  <c r="B197" i="16"/>
  <c r="I197" i="16" s="1"/>
  <c r="C197" i="16"/>
  <c r="D197" i="16"/>
  <c r="E197" i="16"/>
  <c r="F197" i="16"/>
  <c r="G197" i="16"/>
  <c r="H197" i="16"/>
  <c r="B198" i="16"/>
  <c r="I198" i="16" s="1"/>
  <c r="C198" i="16"/>
  <c r="D198" i="16"/>
  <c r="E198" i="16"/>
  <c r="F198" i="16"/>
  <c r="G198" i="16"/>
  <c r="H198" i="16"/>
  <c r="B199" i="16"/>
  <c r="I199" i="16" s="1"/>
  <c r="C199" i="16"/>
  <c r="D199" i="16"/>
  <c r="E199" i="16"/>
  <c r="F199" i="16"/>
  <c r="G199" i="16"/>
  <c r="H199" i="16"/>
  <c r="B200" i="16"/>
  <c r="I200" i="16" s="1"/>
  <c r="C200" i="16"/>
  <c r="D200" i="16"/>
  <c r="E200" i="16"/>
  <c r="F200" i="16"/>
  <c r="G200" i="16"/>
  <c r="H200" i="16"/>
  <c r="B201" i="16"/>
  <c r="C201" i="16"/>
  <c r="D201" i="16"/>
  <c r="E201" i="16"/>
  <c r="F201" i="16"/>
  <c r="G201" i="16"/>
  <c r="H201" i="16"/>
  <c r="I201" i="16"/>
  <c r="B202" i="16"/>
  <c r="I202" i="16" s="1"/>
  <c r="C202" i="16"/>
  <c r="D202" i="16"/>
  <c r="E202" i="16"/>
  <c r="F202" i="16"/>
  <c r="G202" i="16"/>
  <c r="H202" i="16"/>
  <c r="B203" i="16"/>
  <c r="C203" i="16"/>
  <c r="D203" i="16"/>
  <c r="E203" i="16"/>
  <c r="F203" i="16"/>
  <c r="G203" i="16"/>
  <c r="H203" i="16"/>
  <c r="I203" i="16"/>
  <c r="J203" i="16" s="1"/>
  <c r="B204" i="16"/>
  <c r="C204" i="16"/>
  <c r="I204" i="16" s="1"/>
  <c r="D204" i="16"/>
  <c r="E204" i="16"/>
  <c r="F204" i="16"/>
  <c r="G204" i="16"/>
  <c r="H204" i="16"/>
  <c r="B205" i="16"/>
  <c r="C205" i="16"/>
  <c r="D205" i="16"/>
  <c r="E205" i="16"/>
  <c r="F205" i="16"/>
  <c r="G205" i="16"/>
  <c r="H205" i="16"/>
  <c r="B206" i="16"/>
  <c r="I206" i="16" s="1"/>
  <c r="C206" i="16"/>
  <c r="D206" i="16"/>
  <c r="E206" i="16"/>
  <c r="F206" i="16"/>
  <c r="G206" i="16"/>
  <c r="H206" i="16"/>
  <c r="B207" i="16"/>
  <c r="C207" i="16"/>
  <c r="D207" i="16"/>
  <c r="E207" i="16"/>
  <c r="F207" i="16"/>
  <c r="G207" i="16"/>
  <c r="H207" i="16"/>
  <c r="B208" i="16"/>
  <c r="I208" i="16" s="1"/>
  <c r="J208" i="16" s="1"/>
  <c r="C208" i="16"/>
  <c r="D208" i="16"/>
  <c r="E208" i="16"/>
  <c r="F208" i="16"/>
  <c r="G208" i="16"/>
  <c r="H208" i="16"/>
  <c r="B209" i="16"/>
  <c r="I209" i="16" s="1"/>
  <c r="C209" i="16"/>
  <c r="D209" i="16"/>
  <c r="E209" i="16"/>
  <c r="F209" i="16"/>
  <c r="G209" i="16"/>
  <c r="H209" i="16"/>
  <c r="B210" i="16"/>
  <c r="C210" i="16"/>
  <c r="D210" i="16"/>
  <c r="E210" i="16"/>
  <c r="F210" i="16"/>
  <c r="G210" i="16"/>
  <c r="H210" i="16"/>
  <c r="I210" i="16" s="1"/>
  <c r="B211" i="16"/>
  <c r="I211" i="16" s="1"/>
  <c r="C211" i="16"/>
  <c r="D211" i="16"/>
  <c r="E211" i="16"/>
  <c r="F211" i="16"/>
  <c r="G211" i="16"/>
  <c r="H211" i="16"/>
  <c r="B212" i="16"/>
  <c r="C212" i="16"/>
  <c r="D212" i="16"/>
  <c r="E212" i="16"/>
  <c r="F212" i="16"/>
  <c r="G212" i="16"/>
  <c r="H212" i="16"/>
  <c r="B213" i="16"/>
  <c r="I213" i="16" s="1"/>
  <c r="J213" i="16" s="1"/>
  <c r="C213" i="16"/>
  <c r="D213" i="16"/>
  <c r="E213" i="16"/>
  <c r="F213" i="16"/>
  <c r="G213" i="16"/>
  <c r="H213" i="16"/>
  <c r="B214" i="16"/>
  <c r="C214" i="16"/>
  <c r="D214" i="16"/>
  <c r="E214" i="16"/>
  <c r="F214" i="16"/>
  <c r="G214" i="16"/>
  <c r="H214" i="16"/>
  <c r="B215" i="16"/>
  <c r="I215" i="16" s="1"/>
  <c r="C215" i="16"/>
  <c r="D215" i="16"/>
  <c r="E215" i="16"/>
  <c r="F215" i="16"/>
  <c r="G215" i="16"/>
  <c r="H215" i="16"/>
  <c r="B216" i="16"/>
  <c r="I216" i="16" s="1"/>
  <c r="C216" i="16"/>
  <c r="D216" i="16"/>
  <c r="E216" i="16"/>
  <c r="F216" i="16"/>
  <c r="G216" i="16"/>
  <c r="H216" i="16"/>
  <c r="B217" i="16"/>
  <c r="C217" i="16"/>
  <c r="D217" i="16"/>
  <c r="E217" i="16"/>
  <c r="F217" i="16"/>
  <c r="G217" i="16"/>
  <c r="H217" i="16"/>
  <c r="I217" i="16" s="1"/>
  <c r="B218" i="16"/>
  <c r="I218" i="16" s="1"/>
  <c r="C218" i="16"/>
  <c r="D218" i="16"/>
  <c r="E218" i="16"/>
  <c r="F218" i="16"/>
  <c r="G218" i="16"/>
  <c r="H218" i="16"/>
  <c r="B219" i="16"/>
  <c r="C219" i="16"/>
  <c r="D219" i="16"/>
  <c r="E219" i="16"/>
  <c r="F219" i="16"/>
  <c r="G219" i="16"/>
  <c r="H219" i="16"/>
  <c r="I219" i="16"/>
  <c r="J219" i="16" s="1"/>
  <c r="B220" i="16"/>
  <c r="C220" i="16"/>
  <c r="I220" i="16" s="1"/>
  <c r="D220" i="16"/>
  <c r="E220" i="16"/>
  <c r="F220" i="16"/>
  <c r="G220" i="16"/>
  <c r="H220" i="16"/>
  <c r="B221" i="16"/>
  <c r="C221" i="16"/>
  <c r="D221" i="16"/>
  <c r="E221" i="16"/>
  <c r="F221" i="16"/>
  <c r="G221" i="16"/>
  <c r="H221" i="16"/>
  <c r="B222" i="16"/>
  <c r="I222" i="16" s="1"/>
  <c r="C222" i="16"/>
  <c r="D222" i="16"/>
  <c r="E222" i="16"/>
  <c r="F222" i="16"/>
  <c r="G222" i="16"/>
  <c r="H222" i="16"/>
  <c r="B223" i="16"/>
  <c r="C223" i="16"/>
  <c r="D223" i="16"/>
  <c r="E223" i="16"/>
  <c r="F223" i="16"/>
  <c r="G223" i="16"/>
  <c r="H223" i="16"/>
  <c r="B224" i="16"/>
  <c r="I224" i="16" s="1"/>
  <c r="C224" i="16"/>
  <c r="D224" i="16"/>
  <c r="E224" i="16"/>
  <c r="F224" i="16"/>
  <c r="G224" i="16"/>
  <c r="H224" i="16"/>
  <c r="B225" i="16"/>
  <c r="C225" i="16"/>
  <c r="D225" i="16"/>
  <c r="E225" i="16"/>
  <c r="F225" i="16"/>
  <c r="G225" i="16"/>
  <c r="H225" i="16"/>
  <c r="B226" i="16"/>
  <c r="C226" i="16"/>
  <c r="D226" i="16"/>
  <c r="E226" i="16"/>
  <c r="F226" i="16"/>
  <c r="G226" i="16"/>
  <c r="H226" i="16"/>
  <c r="I226" i="16" s="1"/>
  <c r="B227" i="16"/>
  <c r="C227" i="16"/>
  <c r="D227" i="16"/>
  <c r="E227" i="16"/>
  <c r="F227" i="16"/>
  <c r="G227" i="16"/>
  <c r="H227" i="16"/>
  <c r="B228" i="16"/>
  <c r="C228" i="16"/>
  <c r="I228" i="16" s="1"/>
  <c r="D228" i="16"/>
  <c r="E228" i="16"/>
  <c r="F228" i="16"/>
  <c r="G228" i="16"/>
  <c r="H228" i="16"/>
  <c r="B229" i="16"/>
  <c r="I229" i="16" s="1"/>
  <c r="J229" i="16" s="1"/>
  <c r="C229" i="16"/>
  <c r="D229" i="16"/>
  <c r="E229" i="16"/>
  <c r="F229" i="16"/>
  <c r="G229" i="16"/>
  <c r="H229" i="16"/>
  <c r="B230" i="16"/>
  <c r="C230" i="16"/>
  <c r="D230" i="16"/>
  <c r="E230" i="16"/>
  <c r="F230" i="16"/>
  <c r="G230" i="16"/>
  <c r="H230" i="16"/>
  <c r="B231" i="16"/>
  <c r="I231" i="16" s="1"/>
  <c r="C231" i="16"/>
  <c r="D231" i="16"/>
  <c r="E231" i="16"/>
  <c r="F231" i="16"/>
  <c r="G231" i="16"/>
  <c r="H231" i="16"/>
  <c r="B232" i="16"/>
  <c r="C232" i="16"/>
  <c r="D232" i="16"/>
  <c r="E232" i="16"/>
  <c r="F232" i="16"/>
  <c r="G232" i="16"/>
  <c r="H232" i="16"/>
  <c r="B233" i="16"/>
  <c r="C233" i="16"/>
  <c r="D233" i="16"/>
  <c r="E233" i="16"/>
  <c r="F233" i="16"/>
  <c r="G233" i="16"/>
  <c r="H233" i="16"/>
  <c r="I233" i="16"/>
  <c r="B234" i="16"/>
  <c r="C234" i="16"/>
  <c r="D234" i="16"/>
  <c r="E234" i="16"/>
  <c r="F234" i="16"/>
  <c r="G234" i="16"/>
  <c r="H234" i="16"/>
  <c r="B235" i="16"/>
  <c r="C235" i="16"/>
  <c r="D235" i="16"/>
  <c r="E235" i="16"/>
  <c r="F235" i="16"/>
  <c r="G235" i="16"/>
  <c r="H235" i="16"/>
  <c r="I235" i="16"/>
  <c r="B236" i="16"/>
  <c r="C236" i="16"/>
  <c r="D236" i="16"/>
  <c r="E236" i="16"/>
  <c r="F236" i="16"/>
  <c r="G236" i="16"/>
  <c r="H236" i="16"/>
  <c r="B237" i="16"/>
  <c r="I237" i="16" s="1"/>
  <c r="C237" i="16"/>
  <c r="D237" i="16"/>
  <c r="E237" i="16"/>
  <c r="F237" i="16"/>
  <c r="G237" i="16"/>
  <c r="H237" i="16"/>
  <c r="B238" i="16"/>
  <c r="C238" i="16"/>
  <c r="D238" i="16"/>
  <c r="E238" i="16"/>
  <c r="F238" i="16"/>
  <c r="G238" i="16"/>
  <c r="H238" i="16"/>
  <c r="B239" i="16"/>
  <c r="C239" i="16"/>
  <c r="D239" i="16"/>
  <c r="E239" i="16"/>
  <c r="F239" i="16"/>
  <c r="G239" i="16"/>
  <c r="H239" i="16"/>
  <c r="B240" i="16"/>
  <c r="I240" i="16" s="1"/>
  <c r="C240" i="16"/>
  <c r="D240" i="16"/>
  <c r="E240" i="16"/>
  <c r="F240" i="16"/>
  <c r="G240" i="16"/>
  <c r="H240" i="16"/>
  <c r="B241" i="16"/>
  <c r="C241" i="16"/>
  <c r="D241" i="16"/>
  <c r="E241" i="16"/>
  <c r="F241" i="16"/>
  <c r="G241" i="16"/>
  <c r="H241" i="16"/>
  <c r="B242" i="16"/>
  <c r="C242" i="16"/>
  <c r="D242" i="16"/>
  <c r="E242" i="16"/>
  <c r="F242" i="16"/>
  <c r="G242" i="16"/>
  <c r="H242" i="16"/>
  <c r="I242" i="16" s="1"/>
  <c r="B243" i="16"/>
  <c r="C243" i="16"/>
  <c r="D243" i="16"/>
  <c r="E243" i="16"/>
  <c r="F243" i="16"/>
  <c r="G243" i="16"/>
  <c r="H243" i="16"/>
  <c r="B244" i="16"/>
  <c r="C244" i="16"/>
  <c r="I244" i="16" s="1"/>
  <c r="D244" i="16"/>
  <c r="E244" i="16"/>
  <c r="F244" i="16"/>
  <c r="G244" i="16"/>
  <c r="H244" i="16"/>
  <c r="B245" i="16"/>
  <c r="I245" i="16" s="1"/>
  <c r="J245" i="16" s="1"/>
  <c r="C245" i="16"/>
  <c r="D245" i="16"/>
  <c r="E245" i="16"/>
  <c r="F245" i="16"/>
  <c r="G245" i="16"/>
  <c r="H245" i="16"/>
  <c r="B246" i="16"/>
  <c r="I246" i="16" s="1"/>
  <c r="C246" i="16"/>
  <c r="D246" i="16"/>
  <c r="E246" i="16"/>
  <c r="F246" i="16"/>
  <c r="G246" i="16"/>
  <c r="H246" i="16"/>
  <c r="B247" i="16"/>
  <c r="C247" i="16"/>
  <c r="D247" i="16"/>
  <c r="E247" i="16"/>
  <c r="F247" i="16"/>
  <c r="G247" i="16"/>
  <c r="H247" i="16"/>
  <c r="B248" i="16"/>
  <c r="C248" i="16"/>
  <c r="D248" i="16"/>
  <c r="E248" i="16"/>
  <c r="F248" i="16"/>
  <c r="G248" i="16"/>
  <c r="H248" i="16"/>
  <c r="B249" i="16"/>
  <c r="C249" i="16"/>
  <c r="D249" i="16"/>
  <c r="E249" i="16"/>
  <c r="F249" i="16"/>
  <c r="G249" i="16"/>
  <c r="H249" i="16"/>
  <c r="I249" i="16"/>
  <c r="B250" i="16"/>
  <c r="C250" i="16"/>
  <c r="D250" i="16"/>
  <c r="E250" i="16"/>
  <c r="F250" i="16"/>
  <c r="G250" i="16"/>
  <c r="H250" i="16"/>
  <c r="B251" i="16"/>
  <c r="C251" i="16"/>
  <c r="D251" i="16"/>
  <c r="E251" i="16"/>
  <c r="F251" i="16"/>
  <c r="G251" i="16"/>
  <c r="H251" i="16"/>
  <c r="I251" i="16" s="1"/>
  <c r="B252" i="16"/>
  <c r="C252" i="16"/>
  <c r="D252" i="16"/>
  <c r="E252" i="16"/>
  <c r="F252" i="16"/>
  <c r="G252" i="16"/>
  <c r="H252" i="16"/>
  <c r="B253" i="16"/>
  <c r="I253" i="16" s="1"/>
  <c r="C253" i="16"/>
  <c r="D253" i="16"/>
  <c r="E253" i="16"/>
  <c r="F253" i="16"/>
  <c r="G253" i="16"/>
  <c r="H253" i="16"/>
  <c r="B254" i="16"/>
  <c r="C254" i="16"/>
  <c r="D254" i="16"/>
  <c r="E254" i="16"/>
  <c r="F254" i="16"/>
  <c r="G254" i="16"/>
  <c r="H254" i="16"/>
  <c r="B255" i="16"/>
  <c r="I255" i="16" s="1"/>
  <c r="J255" i="16" s="1"/>
  <c r="C255" i="16"/>
  <c r="D255" i="16"/>
  <c r="E255" i="16"/>
  <c r="F255" i="16"/>
  <c r="G255" i="16"/>
  <c r="H255" i="16"/>
  <c r="B256" i="16"/>
  <c r="I256" i="16" s="1"/>
  <c r="C256" i="16"/>
  <c r="D256" i="16"/>
  <c r="E256" i="16"/>
  <c r="F256" i="16"/>
  <c r="G256" i="16"/>
  <c r="H256" i="16"/>
  <c r="B257" i="16"/>
  <c r="C257" i="16"/>
  <c r="I257" i="16" s="1"/>
  <c r="D257" i="16"/>
  <c r="E257" i="16"/>
  <c r="F257" i="16"/>
  <c r="G257" i="16"/>
  <c r="H257" i="16"/>
  <c r="B258" i="16"/>
  <c r="C258" i="16"/>
  <c r="D258" i="16"/>
  <c r="E258" i="16"/>
  <c r="F258" i="16"/>
  <c r="G258" i="16"/>
  <c r="H258" i="16"/>
  <c r="I258" i="16"/>
  <c r="B259" i="16"/>
  <c r="C259" i="16"/>
  <c r="D259" i="16"/>
  <c r="E259" i="16"/>
  <c r="F259" i="16"/>
  <c r="G259" i="16"/>
  <c r="H259" i="16"/>
  <c r="B260" i="16"/>
  <c r="C260" i="16"/>
  <c r="I260" i="16" s="1"/>
  <c r="D260" i="16"/>
  <c r="E260" i="16"/>
  <c r="F260" i="16"/>
  <c r="G260" i="16"/>
  <c r="H260" i="16"/>
  <c r="B261" i="16"/>
  <c r="C261" i="16"/>
  <c r="D261" i="16"/>
  <c r="E261" i="16"/>
  <c r="F261" i="16"/>
  <c r="G261" i="16"/>
  <c r="H261" i="16"/>
  <c r="B262" i="16"/>
  <c r="I262" i="16" s="1"/>
  <c r="C262" i="16"/>
  <c r="D262" i="16"/>
  <c r="E262" i="16"/>
  <c r="F262" i="16"/>
  <c r="G262" i="16"/>
  <c r="H262" i="16"/>
  <c r="B263" i="16"/>
  <c r="C263" i="16"/>
  <c r="D263" i="16"/>
  <c r="E263" i="16"/>
  <c r="F263" i="16"/>
  <c r="G263" i="16"/>
  <c r="H263" i="16"/>
  <c r="B188" i="7"/>
  <c r="C188" i="7"/>
  <c r="D188" i="7"/>
  <c r="B189" i="7"/>
  <c r="C189" i="7"/>
  <c r="D189" i="7"/>
  <c r="B190" i="7"/>
  <c r="C190" i="7"/>
  <c r="D190" i="7"/>
  <c r="B191" i="7"/>
  <c r="C191" i="7"/>
  <c r="D191" i="7"/>
  <c r="B192" i="7"/>
  <c r="C192" i="7"/>
  <c r="D192" i="7"/>
  <c r="B193" i="7"/>
  <c r="C193" i="7"/>
  <c r="D193" i="7"/>
  <c r="B194" i="7"/>
  <c r="C194" i="7"/>
  <c r="D194" i="7"/>
  <c r="B195" i="7"/>
  <c r="C195" i="7"/>
  <c r="D195" i="7"/>
  <c r="B196" i="7"/>
  <c r="C196" i="7"/>
  <c r="D196" i="7"/>
  <c r="B197" i="7"/>
  <c r="C197" i="7"/>
  <c r="D197" i="7"/>
  <c r="B198" i="7"/>
  <c r="C198" i="7"/>
  <c r="D198" i="7"/>
  <c r="B199" i="7"/>
  <c r="C199" i="7"/>
  <c r="D199" i="7"/>
  <c r="B200" i="7"/>
  <c r="C200" i="7"/>
  <c r="D200" i="7"/>
  <c r="B201" i="7"/>
  <c r="C201" i="7"/>
  <c r="D201" i="7"/>
  <c r="B202" i="7"/>
  <c r="C202" i="7"/>
  <c r="D202" i="7"/>
  <c r="B203" i="7"/>
  <c r="C203" i="7"/>
  <c r="D203" i="7"/>
  <c r="B204" i="7"/>
  <c r="C204" i="7"/>
  <c r="D204" i="7"/>
  <c r="B205" i="7"/>
  <c r="C205" i="7"/>
  <c r="D205" i="7"/>
  <c r="B206" i="7"/>
  <c r="C206" i="7"/>
  <c r="D206" i="7"/>
  <c r="B207" i="7"/>
  <c r="C207" i="7"/>
  <c r="D207" i="7"/>
  <c r="B208" i="7"/>
  <c r="C208" i="7"/>
  <c r="D208" i="7"/>
  <c r="B209" i="7"/>
  <c r="C209" i="7"/>
  <c r="D209" i="7"/>
  <c r="B210" i="7"/>
  <c r="C210" i="7"/>
  <c r="D210" i="7"/>
  <c r="B211" i="7"/>
  <c r="C211" i="7"/>
  <c r="D211" i="7"/>
  <c r="B212" i="7"/>
  <c r="C212" i="7"/>
  <c r="D212" i="7"/>
  <c r="B213" i="7"/>
  <c r="C213" i="7"/>
  <c r="D213" i="7"/>
  <c r="B214" i="7"/>
  <c r="C214" i="7"/>
  <c r="D214" i="7"/>
  <c r="B215" i="7"/>
  <c r="C215" i="7"/>
  <c r="D215" i="7"/>
  <c r="B216" i="7"/>
  <c r="C216" i="7"/>
  <c r="D216" i="7"/>
  <c r="B217" i="7"/>
  <c r="C217" i="7"/>
  <c r="D217" i="7"/>
  <c r="B218" i="7"/>
  <c r="C218" i="7"/>
  <c r="D218" i="7"/>
  <c r="B219" i="7"/>
  <c r="C219" i="7"/>
  <c r="D219" i="7"/>
  <c r="B220" i="7"/>
  <c r="C220" i="7"/>
  <c r="D220" i="7"/>
  <c r="B221" i="7"/>
  <c r="C221" i="7"/>
  <c r="D221" i="7"/>
  <c r="B222" i="7"/>
  <c r="C222" i="7"/>
  <c r="D222" i="7"/>
  <c r="B223" i="7"/>
  <c r="C223" i="7"/>
  <c r="D223" i="7"/>
  <c r="B224" i="7"/>
  <c r="C224" i="7"/>
  <c r="D224" i="7"/>
  <c r="B225" i="7"/>
  <c r="C225" i="7"/>
  <c r="D225" i="7"/>
  <c r="B226" i="7"/>
  <c r="C226" i="7"/>
  <c r="D226" i="7"/>
  <c r="B227" i="7"/>
  <c r="C227" i="7"/>
  <c r="D227" i="7"/>
  <c r="B228" i="7"/>
  <c r="C228" i="7"/>
  <c r="D228" i="7"/>
  <c r="B229" i="7"/>
  <c r="C229" i="7"/>
  <c r="D229" i="7"/>
  <c r="B230" i="7"/>
  <c r="C230" i="7"/>
  <c r="D230" i="7"/>
  <c r="B231" i="7"/>
  <c r="C231" i="7"/>
  <c r="D231" i="7"/>
  <c r="B232" i="7"/>
  <c r="C232" i="7"/>
  <c r="D232" i="7"/>
  <c r="B233" i="7"/>
  <c r="C233" i="7"/>
  <c r="D233" i="7"/>
  <c r="B234" i="7"/>
  <c r="C234" i="7"/>
  <c r="D234" i="7"/>
  <c r="B235" i="7"/>
  <c r="C235" i="7"/>
  <c r="D235" i="7"/>
  <c r="B236" i="7"/>
  <c r="C236" i="7"/>
  <c r="D236" i="7"/>
  <c r="B237" i="7"/>
  <c r="C237" i="7"/>
  <c r="D237" i="7"/>
  <c r="B238" i="7"/>
  <c r="C238" i="7"/>
  <c r="D238" i="7"/>
  <c r="B239" i="7"/>
  <c r="C239" i="7"/>
  <c r="D239" i="7"/>
  <c r="B240" i="7"/>
  <c r="C240" i="7"/>
  <c r="D240" i="7"/>
  <c r="B241" i="7"/>
  <c r="C241" i="7"/>
  <c r="D241" i="7"/>
  <c r="B242" i="7"/>
  <c r="C242" i="7"/>
  <c r="D242" i="7"/>
  <c r="B243" i="7"/>
  <c r="C243" i="7"/>
  <c r="D243" i="7"/>
  <c r="B244" i="7"/>
  <c r="C244" i="7"/>
  <c r="D244" i="7"/>
  <c r="B245" i="7"/>
  <c r="C245" i="7"/>
  <c r="D245" i="7"/>
  <c r="B246" i="7"/>
  <c r="C246" i="7"/>
  <c r="D246" i="7"/>
  <c r="B247" i="7"/>
  <c r="C247" i="7"/>
  <c r="D247" i="7"/>
  <c r="B248" i="7"/>
  <c r="C248" i="7"/>
  <c r="D248" i="7"/>
  <c r="B249" i="7"/>
  <c r="C249" i="7"/>
  <c r="D249" i="7"/>
  <c r="B250" i="7"/>
  <c r="C250" i="7"/>
  <c r="D250" i="7"/>
  <c r="B251" i="7"/>
  <c r="C251" i="7"/>
  <c r="D251" i="7"/>
  <c r="B252" i="7"/>
  <c r="C252" i="7"/>
  <c r="D252" i="7"/>
  <c r="B253" i="7"/>
  <c r="C253" i="7"/>
  <c r="D253" i="7"/>
  <c r="B254" i="7"/>
  <c r="C254" i="7"/>
  <c r="D254" i="7"/>
  <c r="B255" i="7"/>
  <c r="C255" i="7"/>
  <c r="D255" i="7"/>
  <c r="B256" i="7"/>
  <c r="C256" i="7"/>
  <c r="D256" i="7"/>
  <c r="B257" i="7"/>
  <c r="C257" i="7"/>
  <c r="D257" i="7"/>
  <c r="B258" i="7"/>
  <c r="C258" i="7"/>
  <c r="D258" i="7"/>
  <c r="B259" i="7"/>
  <c r="C259" i="7"/>
  <c r="D259" i="7"/>
  <c r="B260" i="7"/>
  <c r="C260" i="7"/>
  <c r="D260" i="7"/>
  <c r="B261" i="7"/>
  <c r="C261" i="7"/>
  <c r="D261" i="7"/>
  <c r="B262" i="7"/>
  <c r="C262" i="7"/>
  <c r="D262" i="7"/>
  <c r="B263" i="7"/>
  <c r="C263" i="7"/>
  <c r="D263" i="7"/>
  <c r="F188" i="7"/>
  <c r="G188" i="7"/>
  <c r="H188" i="7"/>
  <c r="F189" i="7"/>
  <c r="G189" i="7"/>
  <c r="H189" i="7"/>
  <c r="F190" i="7"/>
  <c r="G190" i="7"/>
  <c r="F191" i="7"/>
  <c r="G191" i="7"/>
  <c r="H191" i="7"/>
  <c r="F192" i="7"/>
  <c r="G192" i="7"/>
  <c r="H192" i="7"/>
  <c r="F193" i="7"/>
  <c r="G193" i="7"/>
  <c r="F194" i="7"/>
  <c r="G194" i="7"/>
  <c r="F195" i="7"/>
  <c r="G195" i="7"/>
  <c r="F196" i="7"/>
  <c r="G196" i="7"/>
  <c r="H196" i="7"/>
  <c r="F197" i="7"/>
  <c r="G197" i="7"/>
  <c r="H197" i="7"/>
  <c r="F198" i="7"/>
  <c r="G198" i="7"/>
  <c r="H198" i="7"/>
  <c r="F199" i="7"/>
  <c r="G199" i="7"/>
  <c r="H199" i="7"/>
  <c r="F200" i="7"/>
  <c r="G200" i="7"/>
  <c r="H200" i="7"/>
  <c r="F201" i="7"/>
  <c r="G201" i="7"/>
  <c r="H201" i="7"/>
  <c r="F202" i="7"/>
  <c r="G202" i="7"/>
  <c r="H202" i="7"/>
  <c r="F203" i="7"/>
  <c r="G203" i="7"/>
  <c r="H203" i="7"/>
  <c r="F204" i="7"/>
  <c r="G204" i="7"/>
  <c r="H204" i="7"/>
  <c r="I204" i="7" s="1"/>
  <c r="F205" i="7"/>
  <c r="G205" i="7"/>
  <c r="H205" i="7"/>
  <c r="F206" i="7"/>
  <c r="G206" i="7"/>
  <c r="F207" i="7"/>
  <c r="G207" i="7"/>
  <c r="H207" i="7"/>
  <c r="F208" i="7"/>
  <c r="G208" i="7"/>
  <c r="H208" i="7"/>
  <c r="F209" i="7"/>
  <c r="G209" i="7"/>
  <c r="F210" i="7"/>
  <c r="G210" i="7"/>
  <c r="F211" i="7"/>
  <c r="G211" i="7"/>
  <c r="F212" i="7"/>
  <c r="G212" i="7"/>
  <c r="H212" i="7"/>
  <c r="I212" i="7" s="1"/>
  <c r="F213" i="7"/>
  <c r="G213" i="7"/>
  <c r="H213" i="7"/>
  <c r="F214" i="7"/>
  <c r="G214" i="7"/>
  <c r="H214" i="7"/>
  <c r="F215" i="7"/>
  <c r="G215" i="7"/>
  <c r="H215" i="7"/>
  <c r="F216" i="7"/>
  <c r="G216" i="7"/>
  <c r="H216" i="7"/>
  <c r="F217" i="7"/>
  <c r="G217" i="7"/>
  <c r="H217" i="7"/>
  <c r="I217" i="7" s="1"/>
  <c r="F218" i="7"/>
  <c r="G218" i="7"/>
  <c r="H218" i="7"/>
  <c r="F219" i="7"/>
  <c r="G219" i="7"/>
  <c r="H219" i="7"/>
  <c r="F220" i="7"/>
  <c r="G220" i="7"/>
  <c r="H220" i="7"/>
  <c r="F221" i="7"/>
  <c r="G221" i="7"/>
  <c r="H221" i="7"/>
  <c r="F222" i="7"/>
  <c r="G222" i="7"/>
  <c r="F223" i="7"/>
  <c r="G223" i="7"/>
  <c r="H223" i="7"/>
  <c r="F224" i="7"/>
  <c r="G224" i="7"/>
  <c r="H224" i="7"/>
  <c r="F225" i="7"/>
  <c r="G225" i="7"/>
  <c r="F226" i="7"/>
  <c r="G226" i="7"/>
  <c r="F227" i="7"/>
  <c r="G227" i="7"/>
  <c r="F228" i="7"/>
  <c r="G228" i="7"/>
  <c r="H228" i="7"/>
  <c r="F229" i="7"/>
  <c r="G229" i="7"/>
  <c r="H229" i="7"/>
  <c r="F230" i="7"/>
  <c r="G230" i="7"/>
  <c r="H230" i="7"/>
  <c r="F231" i="7"/>
  <c r="G231" i="7"/>
  <c r="H231" i="7"/>
  <c r="F232" i="7"/>
  <c r="G232" i="7"/>
  <c r="H232" i="7"/>
  <c r="F233" i="7"/>
  <c r="G233" i="7"/>
  <c r="H233" i="7"/>
  <c r="F234" i="7"/>
  <c r="G234" i="7"/>
  <c r="H234" i="7"/>
  <c r="F235" i="7"/>
  <c r="G235" i="7"/>
  <c r="H235" i="7"/>
  <c r="F236" i="7"/>
  <c r="G236" i="7"/>
  <c r="H236" i="7"/>
  <c r="I236" i="7" s="1"/>
  <c r="F237" i="7"/>
  <c r="G237" i="7"/>
  <c r="H237" i="7"/>
  <c r="F238" i="7"/>
  <c r="G238" i="7"/>
  <c r="F239" i="7"/>
  <c r="G239" i="7"/>
  <c r="H239" i="7"/>
  <c r="F240" i="7"/>
  <c r="G240" i="7"/>
  <c r="F241" i="7"/>
  <c r="G241" i="7"/>
  <c r="F242" i="7"/>
  <c r="G242" i="7"/>
  <c r="F243" i="7"/>
  <c r="G243" i="7"/>
  <c r="H243" i="7"/>
  <c r="F244" i="7"/>
  <c r="G244" i="7"/>
  <c r="H244" i="7"/>
  <c r="F245" i="7"/>
  <c r="G245" i="7"/>
  <c r="H245" i="7"/>
  <c r="F246" i="7"/>
  <c r="G246" i="7"/>
  <c r="H246" i="7"/>
  <c r="F247" i="7"/>
  <c r="G247" i="7"/>
  <c r="H247" i="7"/>
  <c r="F248" i="7"/>
  <c r="G248" i="7"/>
  <c r="H248" i="7"/>
  <c r="F249" i="7"/>
  <c r="G249" i="7"/>
  <c r="H249" i="7"/>
  <c r="F250" i="7"/>
  <c r="G250" i="7"/>
  <c r="H250" i="7"/>
  <c r="F251" i="7"/>
  <c r="G251" i="7"/>
  <c r="H251" i="7"/>
  <c r="F252" i="7"/>
  <c r="G252" i="7"/>
  <c r="H252" i="7"/>
  <c r="I252" i="7" s="1"/>
  <c r="F253" i="7"/>
  <c r="I253" i="7" s="1"/>
  <c r="G253" i="7"/>
  <c r="H253" i="7"/>
  <c r="F254" i="7"/>
  <c r="G254" i="7"/>
  <c r="F255" i="7"/>
  <c r="G255" i="7"/>
  <c r="H255" i="7"/>
  <c r="F256" i="7"/>
  <c r="G256" i="7"/>
  <c r="F257" i="7"/>
  <c r="G257" i="7"/>
  <c r="F258" i="7"/>
  <c r="G258" i="7"/>
  <c r="F259" i="7"/>
  <c r="G259" i="7"/>
  <c r="F260" i="7"/>
  <c r="G260" i="7"/>
  <c r="H260" i="7"/>
  <c r="F261" i="7"/>
  <c r="G261" i="7"/>
  <c r="H261" i="7"/>
  <c r="F262" i="7"/>
  <c r="G262" i="7"/>
  <c r="H262" i="7"/>
  <c r="F263" i="7"/>
  <c r="G263" i="7"/>
  <c r="H263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I199" i="7" s="1"/>
  <c r="E200" i="7"/>
  <c r="E201" i="7"/>
  <c r="I201" i="7" s="1"/>
  <c r="E202" i="7"/>
  <c r="E203" i="7"/>
  <c r="E204" i="7"/>
  <c r="E205" i="7"/>
  <c r="E206" i="7"/>
  <c r="E207" i="7"/>
  <c r="I207" i="7" s="1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I231" i="7" s="1"/>
  <c r="E232" i="7"/>
  <c r="E233" i="7"/>
  <c r="I233" i="7" s="1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J262" i="16" l="1"/>
  <c r="I259" i="16"/>
  <c r="J259" i="16" s="1"/>
  <c r="J257" i="16"/>
  <c r="I248" i="16"/>
  <c r="J258" i="16" s="1"/>
  <c r="I243" i="16"/>
  <c r="J243" i="16" s="1"/>
  <c r="I239" i="16"/>
  <c r="J239" i="16" s="1"/>
  <c r="I221" i="16"/>
  <c r="J221" i="16" s="1"/>
  <c r="I190" i="16"/>
  <c r="I252" i="16"/>
  <c r="J252" i="16" s="1"/>
  <c r="I250" i="16"/>
  <c r="I230" i="16"/>
  <c r="J230" i="16" s="1"/>
  <c r="I261" i="16"/>
  <c r="J261" i="16" s="1"/>
  <c r="I241" i="16"/>
  <c r="J241" i="16" s="1"/>
  <c r="I223" i="16"/>
  <c r="J223" i="16" s="1"/>
  <c r="I196" i="16"/>
  <c r="I192" i="16"/>
  <c r="I212" i="16"/>
  <c r="J212" i="16" s="1"/>
  <c r="I232" i="16"/>
  <c r="J232" i="16" s="1"/>
  <c r="I227" i="16"/>
  <c r="J227" i="16" s="1"/>
  <c r="I225" i="16"/>
  <c r="J225" i="16" s="1"/>
  <c r="I214" i="16"/>
  <c r="J224" i="16" s="1"/>
  <c r="I205" i="16"/>
  <c r="J215" i="16" s="1"/>
  <c r="J199" i="16"/>
  <c r="I263" i="16"/>
  <c r="I254" i="16"/>
  <c r="I236" i="16"/>
  <c r="J236" i="16" s="1"/>
  <c r="I234" i="16"/>
  <c r="J244" i="16" s="1"/>
  <c r="I207" i="16"/>
  <c r="J217" i="16" s="1"/>
  <c r="J218" i="16"/>
  <c r="J220" i="16"/>
  <c r="I247" i="16"/>
  <c r="J247" i="16" s="1"/>
  <c r="I238" i="16"/>
  <c r="J238" i="16" s="1"/>
  <c r="I189" i="16"/>
  <c r="J211" i="16"/>
  <c r="J256" i="16"/>
  <c r="J240" i="16"/>
  <c r="J222" i="16"/>
  <c r="J204" i="16"/>
  <c r="J202" i="16"/>
  <c r="I191" i="16"/>
  <c r="I215" i="7"/>
  <c r="I237" i="7"/>
  <c r="I263" i="7"/>
  <c r="I247" i="7"/>
  <c r="I196" i="7"/>
  <c r="I227" i="7"/>
  <c r="I211" i="7"/>
  <c r="J211" i="7" s="1"/>
  <c r="I262" i="7"/>
  <c r="I223" i="7"/>
  <c r="J233" i="7" s="1"/>
  <c r="I251" i="7"/>
  <c r="I219" i="7"/>
  <c r="I190" i="7"/>
  <c r="I234" i="7"/>
  <c r="I250" i="7"/>
  <c r="J250" i="7" s="1"/>
  <c r="I218" i="7"/>
  <c r="I260" i="7"/>
  <c r="J260" i="7" s="1"/>
  <c r="I249" i="7"/>
  <c r="I222" i="7"/>
  <c r="J222" i="7" s="1"/>
  <c r="R5" i="4"/>
  <c r="R3" i="4"/>
  <c r="J241" i="18"/>
  <c r="J230" i="18"/>
  <c r="J240" i="18"/>
  <c r="J221" i="18"/>
  <c r="J249" i="18"/>
  <c r="J236" i="18"/>
  <c r="J251" i="18"/>
  <c r="J232" i="18"/>
  <c r="J223" i="18"/>
  <c r="J258" i="18"/>
  <c r="J214" i="18"/>
  <c r="J224" i="18"/>
  <c r="J233" i="18"/>
  <c r="J247" i="18"/>
  <c r="J242" i="18"/>
  <c r="J238" i="18"/>
  <c r="J235" i="18"/>
  <c r="J209" i="18"/>
  <c r="J198" i="18"/>
  <c r="J208" i="18"/>
  <c r="J217" i="18"/>
  <c r="J204" i="18"/>
  <c r="J200" i="18"/>
  <c r="J262" i="18"/>
  <c r="J253" i="18"/>
  <c r="J201" i="18"/>
  <c r="J215" i="18"/>
  <c r="J212" i="18"/>
  <c r="J210" i="18"/>
  <c r="J206" i="18"/>
  <c r="J203" i="18"/>
  <c r="J257" i="18"/>
  <c r="J255" i="18"/>
  <c r="J257" i="17"/>
  <c r="J239" i="17"/>
  <c r="J221" i="17"/>
  <c r="J230" i="17"/>
  <c r="J223" i="17"/>
  <c r="J258" i="17"/>
  <c r="J249" i="17"/>
  <c r="J232" i="17"/>
  <c r="J225" i="17"/>
  <c r="J254" i="17"/>
  <c r="J251" i="17"/>
  <c r="J242" i="17"/>
  <c r="J236" i="17"/>
  <c r="J233" i="17"/>
  <c r="J209" i="17"/>
  <c r="J198" i="17"/>
  <c r="J263" i="17"/>
  <c r="J238" i="17"/>
  <c r="J235" i="17"/>
  <c r="J218" i="17"/>
  <c r="J200" i="17"/>
  <c r="J240" i="17"/>
  <c r="J210" i="17"/>
  <c r="J201" i="17"/>
  <c r="J260" i="17"/>
  <c r="J231" i="17"/>
  <c r="J206" i="17"/>
  <c r="J203" i="17"/>
  <c r="J224" i="17"/>
  <c r="J250" i="16"/>
  <c r="J233" i="16"/>
  <c r="J263" i="16"/>
  <c r="J254" i="16"/>
  <c r="J234" i="16"/>
  <c r="J216" i="16"/>
  <c r="J207" i="16"/>
  <c r="J198" i="16"/>
  <c r="J226" i="16"/>
  <c r="J209" i="16"/>
  <c r="J260" i="16"/>
  <c r="J210" i="16"/>
  <c r="J201" i="16"/>
  <c r="J253" i="16"/>
  <c r="J206" i="16"/>
  <c r="J246" i="16"/>
  <c r="J228" i="16"/>
  <c r="I230" i="7"/>
  <c r="I244" i="7"/>
  <c r="I261" i="7"/>
  <c r="I257" i="7"/>
  <c r="J257" i="7" s="1"/>
  <c r="I241" i="7"/>
  <c r="I225" i="7"/>
  <c r="J225" i="7" s="1"/>
  <c r="I209" i="7"/>
  <c r="J219" i="7" s="1"/>
  <c r="I193" i="7"/>
  <c r="I255" i="7"/>
  <c r="I239" i="7"/>
  <c r="I254" i="7"/>
  <c r="I238" i="7"/>
  <c r="I206" i="7"/>
  <c r="I229" i="7"/>
  <c r="I228" i="7"/>
  <c r="I235" i="7"/>
  <c r="I203" i="7"/>
  <c r="I202" i="7"/>
  <c r="J212" i="7" s="1"/>
  <c r="I192" i="7"/>
  <c r="J227" i="7"/>
  <c r="I248" i="7"/>
  <c r="I205" i="7"/>
  <c r="J205" i="7" s="1"/>
  <c r="I226" i="7"/>
  <c r="J217" i="7"/>
  <c r="I213" i="7"/>
  <c r="I256" i="7"/>
  <c r="I243" i="7"/>
  <c r="J243" i="7" s="1"/>
  <c r="I200" i="7"/>
  <c r="I191" i="7"/>
  <c r="J201" i="7" s="1"/>
  <c r="I208" i="7"/>
  <c r="I195" i="7"/>
  <c r="I246" i="7"/>
  <c r="J246" i="7" s="1"/>
  <c r="I242" i="7"/>
  <c r="J252" i="7" s="1"/>
  <c r="I221" i="7"/>
  <c r="I220" i="7"/>
  <c r="I259" i="7"/>
  <c r="I216" i="7"/>
  <c r="I198" i="7"/>
  <c r="J198" i="7" s="1"/>
  <c r="I194" i="7"/>
  <c r="J262" i="7"/>
  <c r="I224" i="7"/>
  <c r="I258" i="7"/>
  <c r="I245" i="7"/>
  <c r="I189" i="7"/>
  <c r="J199" i="7" s="1"/>
  <c r="I232" i="7"/>
  <c r="I188" i="7"/>
  <c r="I214" i="7"/>
  <c r="J214" i="7" s="1"/>
  <c r="I210" i="7"/>
  <c r="I197" i="7"/>
  <c r="J207" i="7" s="1"/>
  <c r="I240" i="7"/>
  <c r="J237" i="7"/>
  <c r="J247" i="7"/>
  <c r="J263" i="7"/>
  <c r="J205" i="16" l="1"/>
  <c r="J214" i="16"/>
  <c r="J231" i="16"/>
  <c r="J200" i="16"/>
  <c r="J242" i="16"/>
  <c r="J249" i="16"/>
  <c r="J237" i="16"/>
  <c r="J248" i="16"/>
  <c r="J235" i="16"/>
  <c r="J251" i="16"/>
  <c r="J253" i="7"/>
  <c r="J221" i="7"/>
  <c r="J251" i="7"/>
  <c r="J249" i="7"/>
  <c r="J209" i="7"/>
  <c r="J208" i="7"/>
  <c r="J203" i="7"/>
  <c r="J235" i="7"/>
  <c r="J200" i="7"/>
  <c r="J228" i="7"/>
  <c r="J244" i="7"/>
  <c r="J229" i="7"/>
  <c r="J206" i="7"/>
  <c r="J240" i="7"/>
  <c r="J248" i="7"/>
  <c r="J238" i="7"/>
  <c r="J202" i="7"/>
  <c r="J254" i="7"/>
  <c r="J216" i="7"/>
  <c r="J259" i="7"/>
  <c r="J210" i="7"/>
  <c r="J230" i="7"/>
  <c r="J213" i="7"/>
  <c r="J218" i="7"/>
  <c r="J232" i="7"/>
  <c r="J261" i="7"/>
  <c r="J239" i="7"/>
  <c r="J245" i="7"/>
  <c r="J241" i="7"/>
  <c r="J231" i="7"/>
  <c r="J242" i="7"/>
  <c r="J224" i="7"/>
  <c r="J226" i="7"/>
  <c r="J220" i="7"/>
  <c r="J223" i="7"/>
  <c r="J255" i="7"/>
  <c r="J236" i="7"/>
  <c r="J215" i="7"/>
  <c r="J258" i="7"/>
  <c r="J234" i="7"/>
  <c r="J256" i="7"/>
  <c r="J204" i="7"/>
  <c r="F9" i="5" l="1"/>
  <c r="F8" i="5"/>
  <c r="F6" i="5"/>
  <c r="F7" i="5"/>
  <c r="F5" i="5"/>
  <c r="F3" i="5"/>
  <c r="F4" i="5"/>
  <c r="F2" i="5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G161" i="18"/>
  <c r="G162" i="18"/>
  <c r="G163" i="18"/>
  <c r="G164" i="18"/>
  <c r="G165" i="18"/>
  <c r="G166" i="18"/>
  <c r="G167" i="18"/>
  <c r="G168" i="18"/>
  <c r="G169" i="18"/>
  <c r="G170" i="18"/>
  <c r="G171" i="18"/>
  <c r="G172" i="18"/>
  <c r="G173" i="18"/>
  <c r="G174" i="18"/>
  <c r="G175" i="18"/>
  <c r="G176" i="18"/>
  <c r="G177" i="18"/>
  <c r="G178" i="18"/>
  <c r="G179" i="18"/>
  <c r="G180" i="18"/>
  <c r="G181" i="18"/>
  <c r="G182" i="18"/>
  <c r="G183" i="18"/>
  <c r="G184" i="18"/>
  <c r="G185" i="18"/>
  <c r="G186" i="18"/>
  <c r="G187" i="18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H187" i="19"/>
  <c r="F187" i="19"/>
  <c r="E187" i="19"/>
  <c r="D187" i="19"/>
  <c r="C187" i="19"/>
  <c r="B187" i="19"/>
  <c r="H186" i="19"/>
  <c r="F186" i="19"/>
  <c r="E186" i="19"/>
  <c r="D186" i="19"/>
  <c r="C186" i="19"/>
  <c r="B186" i="19"/>
  <c r="H185" i="19"/>
  <c r="F185" i="19"/>
  <c r="E185" i="19"/>
  <c r="D185" i="19"/>
  <c r="C185" i="19"/>
  <c r="B185" i="19"/>
  <c r="H184" i="19"/>
  <c r="F184" i="19"/>
  <c r="E184" i="19"/>
  <c r="D184" i="19"/>
  <c r="C184" i="19"/>
  <c r="B184" i="19"/>
  <c r="H183" i="19"/>
  <c r="F183" i="19"/>
  <c r="E183" i="19"/>
  <c r="D183" i="19"/>
  <c r="C183" i="19"/>
  <c r="B183" i="19"/>
  <c r="H182" i="19"/>
  <c r="F182" i="19"/>
  <c r="E182" i="19"/>
  <c r="D182" i="19"/>
  <c r="C182" i="19"/>
  <c r="B182" i="19"/>
  <c r="H181" i="19"/>
  <c r="F181" i="19"/>
  <c r="E181" i="19"/>
  <c r="D181" i="19"/>
  <c r="C181" i="19"/>
  <c r="B181" i="19"/>
  <c r="H180" i="19"/>
  <c r="F180" i="19"/>
  <c r="E180" i="19"/>
  <c r="D180" i="19"/>
  <c r="C180" i="19"/>
  <c r="B180" i="19"/>
  <c r="H179" i="19"/>
  <c r="F179" i="19"/>
  <c r="E179" i="19"/>
  <c r="D179" i="19"/>
  <c r="C179" i="19"/>
  <c r="B179" i="19"/>
  <c r="H178" i="19"/>
  <c r="F178" i="19"/>
  <c r="E178" i="19"/>
  <c r="D178" i="19"/>
  <c r="C178" i="19"/>
  <c r="B178" i="19"/>
  <c r="H177" i="19"/>
  <c r="F177" i="19"/>
  <c r="E177" i="19"/>
  <c r="D177" i="19"/>
  <c r="C177" i="19"/>
  <c r="B177" i="19"/>
  <c r="H176" i="19"/>
  <c r="F176" i="19"/>
  <c r="E176" i="19"/>
  <c r="D176" i="19"/>
  <c r="C176" i="19"/>
  <c r="B176" i="19"/>
  <c r="H175" i="19"/>
  <c r="F175" i="19"/>
  <c r="E175" i="19"/>
  <c r="D175" i="19"/>
  <c r="C175" i="19"/>
  <c r="B175" i="19"/>
  <c r="H174" i="19"/>
  <c r="F174" i="19"/>
  <c r="E174" i="19"/>
  <c r="D174" i="19"/>
  <c r="C174" i="19"/>
  <c r="B174" i="19"/>
  <c r="H173" i="19"/>
  <c r="F173" i="19"/>
  <c r="E173" i="19"/>
  <c r="D173" i="19"/>
  <c r="C173" i="19"/>
  <c r="B173" i="19"/>
  <c r="H172" i="19"/>
  <c r="F172" i="19"/>
  <c r="E172" i="19"/>
  <c r="D172" i="19"/>
  <c r="C172" i="19"/>
  <c r="B172" i="19"/>
  <c r="H171" i="19"/>
  <c r="F171" i="19"/>
  <c r="E171" i="19"/>
  <c r="D171" i="19"/>
  <c r="C171" i="19"/>
  <c r="B171" i="19"/>
  <c r="H170" i="19"/>
  <c r="F170" i="19"/>
  <c r="E170" i="19"/>
  <c r="D170" i="19"/>
  <c r="C170" i="19"/>
  <c r="B170" i="19"/>
  <c r="H169" i="19"/>
  <c r="F169" i="19"/>
  <c r="E169" i="19"/>
  <c r="D169" i="19"/>
  <c r="C169" i="19"/>
  <c r="B169" i="19"/>
  <c r="H168" i="19"/>
  <c r="F168" i="19"/>
  <c r="E168" i="19"/>
  <c r="D168" i="19"/>
  <c r="C168" i="19"/>
  <c r="B168" i="19"/>
  <c r="H167" i="19"/>
  <c r="F167" i="19"/>
  <c r="E167" i="19"/>
  <c r="D167" i="19"/>
  <c r="C167" i="19"/>
  <c r="B167" i="19"/>
  <c r="H166" i="19"/>
  <c r="F166" i="19"/>
  <c r="E166" i="19"/>
  <c r="D166" i="19"/>
  <c r="C166" i="19"/>
  <c r="B166" i="19"/>
  <c r="H165" i="19"/>
  <c r="F165" i="19"/>
  <c r="E165" i="19"/>
  <c r="D165" i="19"/>
  <c r="C165" i="19"/>
  <c r="B165" i="19"/>
  <c r="H164" i="19"/>
  <c r="F164" i="19"/>
  <c r="E164" i="19"/>
  <c r="D164" i="19"/>
  <c r="C164" i="19"/>
  <c r="B164" i="19"/>
  <c r="H163" i="19"/>
  <c r="F163" i="19"/>
  <c r="E163" i="19"/>
  <c r="D163" i="19"/>
  <c r="C163" i="19"/>
  <c r="B163" i="19"/>
  <c r="H162" i="19"/>
  <c r="F162" i="19"/>
  <c r="E162" i="19"/>
  <c r="D162" i="19"/>
  <c r="C162" i="19"/>
  <c r="B162" i="19"/>
  <c r="H161" i="19"/>
  <c r="F161" i="19"/>
  <c r="E161" i="19"/>
  <c r="D161" i="19"/>
  <c r="C161" i="19"/>
  <c r="B161" i="19"/>
  <c r="H160" i="19"/>
  <c r="F160" i="19"/>
  <c r="E160" i="19"/>
  <c r="D160" i="19"/>
  <c r="C160" i="19"/>
  <c r="B160" i="19"/>
  <c r="H159" i="19"/>
  <c r="F159" i="19"/>
  <c r="E159" i="19"/>
  <c r="D159" i="19"/>
  <c r="C159" i="19"/>
  <c r="B159" i="19"/>
  <c r="H158" i="19"/>
  <c r="F158" i="19"/>
  <c r="E158" i="19"/>
  <c r="D158" i="19"/>
  <c r="C158" i="19"/>
  <c r="B158" i="19"/>
  <c r="H157" i="19"/>
  <c r="F157" i="19"/>
  <c r="E157" i="19"/>
  <c r="D157" i="19"/>
  <c r="C157" i="19"/>
  <c r="B157" i="19"/>
  <c r="H156" i="19"/>
  <c r="F156" i="19"/>
  <c r="E156" i="19"/>
  <c r="D156" i="19"/>
  <c r="C156" i="19"/>
  <c r="B156" i="19"/>
  <c r="H155" i="19"/>
  <c r="F155" i="19"/>
  <c r="E155" i="19"/>
  <c r="D155" i="19"/>
  <c r="C155" i="19"/>
  <c r="B155" i="19"/>
  <c r="H154" i="19"/>
  <c r="F154" i="19"/>
  <c r="E154" i="19"/>
  <c r="D154" i="19"/>
  <c r="C154" i="19"/>
  <c r="B154" i="19"/>
  <c r="H153" i="19"/>
  <c r="F153" i="19"/>
  <c r="E153" i="19"/>
  <c r="D153" i="19"/>
  <c r="C153" i="19"/>
  <c r="B153" i="19"/>
  <c r="H152" i="19"/>
  <c r="F152" i="19"/>
  <c r="E152" i="19"/>
  <c r="D152" i="19"/>
  <c r="C152" i="19"/>
  <c r="B152" i="19"/>
  <c r="H151" i="19"/>
  <c r="F151" i="19"/>
  <c r="E151" i="19"/>
  <c r="D151" i="19"/>
  <c r="C151" i="19"/>
  <c r="B151" i="19"/>
  <c r="H150" i="19"/>
  <c r="F150" i="19"/>
  <c r="E150" i="19"/>
  <c r="D150" i="19"/>
  <c r="C150" i="19"/>
  <c r="B150" i="19"/>
  <c r="H149" i="19"/>
  <c r="F149" i="19"/>
  <c r="E149" i="19"/>
  <c r="D149" i="19"/>
  <c r="C149" i="19"/>
  <c r="B149" i="19"/>
  <c r="H148" i="19"/>
  <c r="F148" i="19"/>
  <c r="E148" i="19"/>
  <c r="D148" i="19"/>
  <c r="C148" i="19"/>
  <c r="B148" i="19"/>
  <c r="H147" i="19"/>
  <c r="F147" i="19"/>
  <c r="E147" i="19"/>
  <c r="D147" i="19"/>
  <c r="C147" i="19"/>
  <c r="B147" i="19"/>
  <c r="H146" i="19"/>
  <c r="F146" i="19"/>
  <c r="E146" i="19"/>
  <c r="D146" i="19"/>
  <c r="C146" i="19"/>
  <c r="B146" i="19"/>
  <c r="H145" i="19"/>
  <c r="F145" i="19"/>
  <c r="E145" i="19"/>
  <c r="D145" i="19"/>
  <c r="C145" i="19"/>
  <c r="B145" i="19"/>
  <c r="H144" i="19"/>
  <c r="F144" i="19"/>
  <c r="E144" i="19"/>
  <c r="D144" i="19"/>
  <c r="C144" i="19"/>
  <c r="B144" i="19"/>
  <c r="H143" i="19"/>
  <c r="F143" i="19"/>
  <c r="E143" i="19"/>
  <c r="D143" i="19"/>
  <c r="C143" i="19"/>
  <c r="B143" i="19"/>
  <c r="H142" i="19"/>
  <c r="F142" i="19"/>
  <c r="E142" i="19"/>
  <c r="D142" i="19"/>
  <c r="C142" i="19"/>
  <c r="B142" i="19"/>
  <c r="H141" i="19"/>
  <c r="F141" i="19"/>
  <c r="E141" i="19"/>
  <c r="D141" i="19"/>
  <c r="C141" i="19"/>
  <c r="B141" i="19"/>
  <c r="H140" i="19"/>
  <c r="F140" i="19"/>
  <c r="E140" i="19"/>
  <c r="D140" i="19"/>
  <c r="C140" i="19"/>
  <c r="B140" i="19"/>
  <c r="H139" i="19"/>
  <c r="F139" i="19"/>
  <c r="E139" i="19"/>
  <c r="D139" i="19"/>
  <c r="C139" i="19"/>
  <c r="B139" i="19"/>
  <c r="H138" i="19"/>
  <c r="F138" i="19"/>
  <c r="E138" i="19"/>
  <c r="D138" i="19"/>
  <c r="C138" i="19"/>
  <c r="B138" i="19"/>
  <c r="H137" i="19"/>
  <c r="F137" i="19"/>
  <c r="E137" i="19"/>
  <c r="D137" i="19"/>
  <c r="C137" i="19"/>
  <c r="B137" i="19"/>
  <c r="H136" i="19"/>
  <c r="F136" i="19"/>
  <c r="E136" i="19"/>
  <c r="D136" i="19"/>
  <c r="C136" i="19"/>
  <c r="B136" i="19"/>
  <c r="H135" i="19"/>
  <c r="F135" i="19"/>
  <c r="E135" i="19"/>
  <c r="D135" i="19"/>
  <c r="C135" i="19"/>
  <c r="B135" i="19"/>
  <c r="H134" i="19"/>
  <c r="F134" i="19"/>
  <c r="E134" i="19"/>
  <c r="D134" i="19"/>
  <c r="C134" i="19"/>
  <c r="B134" i="19"/>
  <c r="H133" i="19"/>
  <c r="F133" i="19"/>
  <c r="E133" i="19"/>
  <c r="D133" i="19"/>
  <c r="C133" i="19"/>
  <c r="B133" i="19"/>
  <c r="H132" i="19"/>
  <c r="F132" i="19"/>
  <c r="E132" i="19"/>
  <c r="D132" i="19"/>
  <c r="C132" i="19"/>
  <c r="B132" i="19"/>
  <c r="H131" i="19"/>
  <c r="F131" i="19"/>
  <c r="E131" i="19"/>
  <c r="D131" i="19"/>
  <c r="C131" i="19"/>
  <c r="B131" i="19"/>
  <c r="H130" i="19"/>
  <c r="F130" i="19"/>
  <c r="E130" i="19"/>
  <c r="D130" i="19"/>
  <c r="C130" i="19"/>
  <c r="B130" i="19"/>
  <c r="H129" i="19"/>
  <c r="F129" i="19"/>
  <c r="E129" i="19"/>
  <c r="D129" i="19"/>
  <c r="C129" i="19"/>
  <c r="B129" i="19"/>
  <c r="H128" i="19"/>
  <c r="F128" i="19"/>
  <c r="E128" i="19"/>
  <c r="D128" i="19"/>
  <c r="C128" i="19"/>
  <c r="B128" i="19"/>
  <c r="H127" i="19"/>
  <c r="F127" i="19"/>
  <c r="E127" i="19"/>
  <c r="D127" i="19"/>
  <c r="C127" i="19"/>
  <c r="B127" i="19"/>
  <c r="H126" i="19"/>
  <c r="F126" i="19"/>
  <c r="E126" i="19"/>
  <c r="D126" i="19"/>
  <c r="C126" i="19"/>
  <c r="B126" i="19"/>
  <c r="H125" i="19"/>
  <c r="F125" i="19"/>
  <c r="E125" i="19"/>
  <c r="D125" i="19"/>
  <c r="C125" i="19"/>
  <c r="B125" i="19"/>
  <c r="H124" i="19"/>
  <c r="F124" i="19"/>
  <c r="E124" i="19"/>
  <c r="D124" i="19"/>
  <c r="C124" i="19"/>
  <c r="B124" i="19"/>
  <c r="H123" i="19"/>
  <c r="F123" i="19"/>
  <c r="E123" i="19"/>
  <c r="D123" i="19"/>
  <c r="C123" i="19"/>
  <c r="B123" i="19"/>
  <c r="H122" i="19"/>
  <c r="F122" i="19"/>
  <c r="E122" i="19"/>
  <c r="D122" i="19"/>
  <c r="C122" i="19"/>
  <c r="B122" i="19"/>
  <c r="H121" i="19"/>
  <c r="F121" i="19"/>
  <c r="E121" i="19"/>
  <c r="D121" i="19"/>
  <c r="C121" i="19"/>
  <c r="B121" i="19"/>
  <c r="H120" i="19"/>
  <c r="F120" i="19"/>
  <c r="E120" i="19"/>
  <c r="D120" i="19"/>
  <c r="C120" i="19"/>
  <c r="B120" i="19"/>
  <c r="H119" i="19"/>
  <c r="F119" i="19"/>
  <c r="E119" i="19"/>
  <c r="D119" i="19"/>
  <c r="C119" i="19"/>
  <c r="B119" i="19"/>
  <c r="H118" i="19"/>
  <c r="F118" i="19"/>
  <c r="E118" i="19"/>
  <c r="D118" i="19"/>
  <c r="C118" i="19"/>
  <c r="B118" i="19"/>
  <c r="H117" i="19"/>
  <c r="F117" i="19"/>
  <c r="E117" i="19"/>
  <c r="D117" i="19"/>
  <c r="C117" i="19"/>
  <c r="B117" i="19"/>
  <c r="H116" i="19"/>
  <c r="F116" i="19"/>
  <c r="E116" i="19"/>
  <c r="D116" i="19"/>
  <c r="C116" i="19"/>
  <c r="B116" i="19"/>
  <c r="H115" i="19"/>
  <c r="F115" i="19"/>
  <c r="E115" i="19"/>
  <c r="D115" i="19"/>
  <c r="C115" i="19"/>
  <c r="B115" i="19"/>
  <c r="H114" i="19"/>
  <c r="F114" i="19"/>
  <c r="E114" i="19"/>
  <c r="D114" i="19"/>
  <c r="C114" i="19"/>
  <c r="B114" i="19"/>
  <c r="H113" i="19"/>
  <c r="F113" i="19"/>
  <c r="E113" i="19"/>
  <c r="D113" i="19"/>
  <c r="C113" i="19"/>
  <c r="B113" i="19"/>
  <c r="H112" i="19"/>
  <c r="F112" i="19"/>
  <c r="E112" i="19"/>
  <c r="D112" i="19"/>
  <c r="C112" i="19"/>
  <c r="B112" i="19"/>
  <c r="H111" i="19"/>
  <c r="F111" i="19"/>
  <c r="E111" i="19"/>
  <c r="D111" i="19"/>
  <c r="C111" i="19"/>
  <c r="B111" i="19"/>
  <c r="H110" i="19"/>
  <c r="F110" i="19"/>
  <c r="E110" i="19"/>
  <c r="D110" i="19"/>
  <c r="C110" i="19"/>
  <c r="B110" i="19"/>
  <c r="H109" i="19"/>
  <c r="F109" i="19"/>
  <c r="E109" i="19"/>
  <c r="D109" i="19"/>
  <c r="C109" i="19"/>
  <c r="B109" i="19"/>
  <c r="H108" i="19"/>
  <c r="F108" i="19"/>
  <c r="E108" i="19"/>
  <c r="D108" i="19"/>
  <c r="C108" i="19"/>
  <c r="B108" i="19"/>
  <c r="H107" i="19"/>
  <c r="F107" i="19"/>
  <c r="E107" i="19"/>
  <c r="D107" i="19"/>
  <c r="C107" i="19"/>
  <c r="B107" i="19"/>
  <c r="H106" i="19"/>
  <c r="F106" i="19"/>
  <c r="E106" i="19"/>
  <c r="D106" i="19"/>
  <c r="C106" i="19"/>
  <c r="B106" i="19"/>
  <c r="H105" i="19"/>
  <c r="F105" i="19"/>
  <c r="E105" i="19"/>
  <c r="D105" i="19"/>
  <c r="C105" i="19"/>
  <c r="B105" i="19"/>
  <c r="H104" i="19"/>
  <c r="F104" i="19"/>
  <c r="E104" i="19"/>
  <c r="D104" i="19"/>
  <c r="C104" i="19"/>
  <c r="B104" i="19"/>
  <c r="H103" i="19"/>
  <c r="F103" i="19"/>
  <c r="E103" i="19"/>
  <c r="D103" i="19"/>
  <c r="C103" i="19"/>
  <c r="B103" i="19"/>
  <c r="H102" i="19"/>
  <c r="F102" i="19"/>
  <c r="E102" i="19"/>
  <c r="D102" i="19"/>
  <c r="C102" i="19"/>
  <c r="B102" i="19"/>
  <c r="H101" i="19"/>
  <c r="F101" i="19"/>
  <c r="E101" i="19"/>
  <c r="D101" i="19"/>
  <c r="C101" i="19"/>
  <c r="B101" i="19"/>
  <c r="H100" i="19"/>
  <c r="F100" i="19"/>
  <c r="E100" i="19"/>
  <c r="D100" i="19"/>
  <c r="C100" i="19"/>
  <c r="B100" i="19"/>
  <c r="H99" i="19"/>
  <c r="F99" i="19"/>
  <c r="E99" i="19"/>
  <c r="D99" i="19"/>
  <c r="C99" i="19"/>
  <c r="B99" i="19"/>
  <c r="H98" i="19"/>
  <c r="F98" i="19"/>
  <c r="E98" i="19"/>
  <c r="D98" i="19"/>
  <c r="C98" i="19"/>
  <c r="B98" i="19"/>
  <c r="H97" i="19"/>
  <c r="F97" i="19"/>
  <c r="E97" i="19"/>
  <c r="D97" i="19"/>
  <c r="C97" i="19"/>
  <c r="B97" i="19"/>
  <c r="H96" i="19"/>
  <c r="F96" i="19"/>
  <c r="E96" i="19"/>
  <c r="D96" i="19"/>
  <c r="C96" i="19"/>
  <c r="B96" i="19"/>
  <c r="H95" i="19"/>
  <c r="F95" i="19"/>
  <c r="E95" i="19"/>
  <c r="D95" i="19"/>
  <c r="C95" i="19"/>
  <c r="B95" i="19"/>
  <c r="H94" i="19"/>
  <c r="F94" i="19"/>
  <c r="E94" i="19"/>
  <c r="D94" i="19"/>
  <c r="C94" i="19"/>
  <c r="B94" i="19"/>
  <c r="H93" i="19"/>
  <c r="F93" i="19"/>
  <c r="E93" i="19"/>
  <c r="D93" i="19"/>
  <c r="C93" i="19"/>
  <c r="B93" i="19"/>
  <c r="H92" i="19"/>
  <c r="F92" i="19"/>
  <c r="E92" i="19"/>
  <c r="D92" i="19"/>
  <c r="C92" i="19"/>
  <c r="B92" i="19"/>
  <c r="H91" i="19"/>
  <c r="F91" i="19"/>
  <c r="E91" i="19"/>
  <c r="D91" i="19"/>
  <c r="C91" i="19"/>
  <c r="B91" i="19"/>
  <c r="H90" i="19"/>
  <c r="F90" i="19"/>
  <c r="E90" i="19"/>
  <c r="D90" i="19"/>
  <c r="C90" i="19"/>
  <c r="B90" i="19"/>
  <c r="H89" i="19"/>
  <c r="F89" i="19"/>
  <c r="E89" i="19"/>
  <c r="D89" i="19"/>
  <c r="C89" i="19"/>
  <c r="B89" i="19"/>
  <c r="H88" i="19"/>
  <c r="F88" i="19"/>
  <c r="E88" i="19"/>
  <c r="D88" i="19"/>
  <c r="C88" i="19"/>
  <c r="B88" i="19"/>
  <c r="H87" i="19"/>
  <c r="F87" i="19"/>
  <c r="E87" i="19"/>
  <c r="D87" i="19"/>
  <c r="C87" i="19"/>
  <c r="B87" i="19"/>
  <c r="H86" i="19"/>
  <c r="F86" i="19"/>
  <c r="E86" i="19"/>
  <c r="D86" i="19"/>
  <c r="C86" i="19"/>
  <c r="B86" i="19"/>
  <c r="H85" i="19"/>
  <c r="F85" i="19"/>
  <c r="E85" i="19"/>
  <c r="D85" i="19"/>
  <c r="C85" i="19"/>
  <c r="B85" i="19"/>
  <c r="H84" i="19"/>
  <c r="F84" i="19"/>
  <c r="E84" i="19"/>
  <c r="D84" i="19"/>
  <c r="C84" i="19"/>
  <c r="B84" i="19"/>
  <c r="H83" i="19"/>
  <c r="F83" i="19"/>
  <c r="E83" i="19"/>
  <c r="D83" i="19"/>
  <c r="C83" i="19"/>
  <c r="B83" i="19"/>
  <c r="H82" i="19"/>
  <c r="F82" i="19"/>
  <c r="E82" i="19"/>
  <c r="D82" i="19"/>
  <c r="C82" i="19"/>
  <c r="B82" i="19"/>
  <c r="H81" i="19"/>
  <c r="F81" i="19"/>
  <c r="E81" i="19"/>
  <c r="D81" i="19"/>
  <c r="C81" i="19"/>
  <c r="B81" i="19"/>
  <c r="H80" i="19"/>
  <c r="F80" i="19"/>
  <c r="E80" i="19"/>
  <c r="D80" i="19"/>
  <c r="C80" i="19"/>
  <c r="B80" i="19"/>
  <c r="H79" i="19"/>
  <c r="F79" i="19"/>
  <c r="E79" i="19"/>
  <c r="D79" i="19"/>
  <c r="C79" i="19"/>
  <c r="B79" i="19"/>
  <c r="H78" i="19"/>
  <c r="F78" i="19"/>
  <c r="E78" i="19"/>
  <c r="D78" i="19"/>
  <c r="C78" i="19"/>
  <c r="B78" i="19"/>
  <c r="H77" i="19"/>
  <c r="F77" i="19"/>
  <c r="E77" i="19"/>
  <c r="D77" i="19"/>
  <c r="C77" i="19"/>
  <c r="B77" i="19"/>
  <c r="H76" i="19"/>
  <c r="F76" i="19"/>
  <c r="E76" i="19"/>
  <c r="D76" i="19"/>
  <c r="C76" i="19"/>
  <c r="B76" i="19"/>
  <c r="H75" i="19"/>
  <c r="F75" i="19"/>
  <c r="E75" i="19"/>
  <c r="D75" i="19"/>
  <c r="C75" i="19"/>
  <c r="B75" i="19"/>
  <c r="H74" i="19"/>
  <c r="F74" i="19"/>
  <c r="E74" i="19"/>
  <c r="D74" i="19"/>
  <c r="C74" i="19"/>
  <c r="B74" i="19"/>
  <c r="H73" i="19"/>
  <c r="F73" i="19"/>
  <c r="E73" i="19"/>
  <c r="D73" i="19"/>
  <c r="C73" i="19"/>
  <c r="B73" i="19"/>
  <c r="H72" i="19"/>
  <c r="F72" i="19"/>
  <c r="E72" i="19"/>
  <c r="D72" i="19"/>
  <c r="C72" i="19"/>
  <c r="B72" i="19"/>
  <c r="H71" i="19"/>
  <c r="F71" i="19"/>
  <c r="E71" i="19"/>
  <c r="D71" i="19"/>
  <c r="C71" i="19"/>
  <c r="B71" i="19"/>
  <c r="H70" i="19"/>
  <c r="F70" i="19"/>
  <c r="E70" i="19"/>
  <c r="D70" i="19"/>
  <c r="C70" i="19"/>
  <c r="B70" i="19"/>
  <c r="H69" i="19"/>
  <c r="F69" i="19"/>
  <c r="E69" i="19"/>
  <c r="D69" i="19"/>
  <c r="C69" i="19"/>
  <c r="B69" i="19"/>
  <c r="H68" i="19"/>
  <c r="F68" i="19"/>
  <c r="E68" i="19"/>
  <c r="D68" i="19"/>
  <c r="C68" i="19"/>
  <c r="B68" i="19"/>
  <c r="H67" i="19"/>
  <c r="F67" i="19"/>
  <c r="E67" i="19"/>
  <c r="D67" i="19"/>
  <c r="C67" i="19"/>
  <c r="B67" i="19"/>
  <c r="H66" i="19"/>
  <c r="F66" i="19"/>
  <c r="E66" i="19"/>
  <c r="D66" i="19"/>
  <c r="C66" i="19"/>
  <c r="B66" i="19"/>
  <c r="H65" i="19"/>
  <c r="F65" i="19"/>
  <c r="E65" i="19"/>
  <c r="D65" i="19"/>
  <c r="C65" i="19"/>
  <c r="B65" i="19"/>
  <c r="H64" i="19"/>
  <c r="F64" i="19"/>
  <c r="E64" i="19"/>
  <c r="D64" i="19"/>
  <c r="C64" i="19"/>
  <c r="B64" i="19"/>
  <c r="H63" i="19"/>
  <c r="F63" i="19"/>
  <c r="E63" i="19"/>
  <c r="D63" i="19"/>
  <c r="C63" i="19"/>
  <c r="B63" i="19"/>
  <c r="H62" i="19"/>
  <c r="F62" i="19"/>
  <c r="E62" i="19"/>
  <c r="D62" i="19"/>
  <c r="C62" i="19"/>
  <c r="B62" i="19"/>
  <c r="H61" i="19"/>
  <c r="F61" i="19"/>
  <c r="E61" i="19"/>
  <c r="D61" i="19"/>
  <c r="C61" i="19"/>
  <c r="B61" i="19"/>
  <c r="H60" i="19"/>
  <c r="F60" i="19"/>
  <c r="E60" i="19"/>
  <c r="D60" i="19"/>
  <c r="C60" i="19"/>
  <c r="B60" i="19"/>
  <c r="H59" i="19"/>
  <c r="F59" i="19"/>
  <c r="E59" i="19"/>
  <c r="D59" i="19"/>
  <c r="C59" i="19"/>
  <c r="B59" i="19"/>
  <c r="H58" i="19"/>
  <c r="F58" i="19"/>
  <c r="E58" i="19"/>
  <c r="D58" i="19"/>
  <c r="C58" i="19"/>
  <c r="B58" i="19"/>
  <c r="H57" i="19"/>
  <c r="F57" i="19"/>
  <c r="E57" i="19"/>
  <c r="D57" i="19"/>
  <c r="C57" i="19"/>
  <c r="B57" i="19"/>
  <c r="H56" i="19"/>
  <c r="F56" i="19"/>
  <c r="E56" i="19"/>
  <c r="D56" i="19"/>
  <c r="C56" i="19"/>
  <c r="B56" i="19"/>
  <c r="H55" i="19"/>
  <c r="F55" i="19"/>
  <c r="E55" i="19"/>
  <c r="D55" i="19"/>
  <c r="C55" i="19"/>
  <c r="B55" i="19"/>
  <c r="H54" i="19"/>
  <c r="F54" i="19"/>
  <c r="E54" i="19"/>
  <c r="D54" i="19"/>
  <c r="C54" i="19"/>
  <c r="B54" i="19"/>
  <c r="H53" i="19"/>
  <c r="F53" i="19"/>
  <c r="E53" i="19"/>
  <c r="D53" i="19"/>
  <c r="C53" i="19"/>
  <c r="B53" i="19"/>
  <c r="H52" i="19"/>
  <c r="F52" i="19"/>
  <c r="E52" i="19"/>
  <c r="D52" i="19"/>
  <c r="C52" i="19"/>
  <c r="B52" i="19"/>
  <c r="H51" i="19"/>
  <c r="F51" i="19"/>
  <c r="E51" i="19"/>
  <c r="D51" i="19"/>
  <c r="C51" i="19"/>
  <c r="B51" i="19"/>
  <c r="H50" i="19"/>
  <c r="F50" i="19"/>
  <c r="E50" i="19"/>
  <c r="D50" i="19"/>
  <c r="C50" i="19"/>
  <c r="B50" i="19"/>
  <c r="H49" i="19"/>
  <c r="F49" i="19"/>
  <c r="E49" i="19"/>
  <c r="D49" i="19"/>
  <c r="C49" i="19"/>
  <c r="B49" i="19"/>
  <c r="H48" i="19"/>
  <c r="F48" i="19"/>
  <c r="E48" i="19"/>
  <c r="D48" i="19"/>
  <c r="C48" i="19"/>
  <c r="B48" i="19"/>
  <c r="H47" i="19"/>
  <c r="F47" i="19"/>
  <c r="E47" i="19"/>
  <c r="D47" i="19"/>
  <c r="C47" i="19"/>
  <c r="B47" i="19"/>
  <c r="H46" i="19"/>
  <c r="F46" i="19"/>
  <c r="E46" i="19"/>
  <c r="D46" i="19"/>
  <c r="C46" i="19"/>
  <c r="B46" i="19"/>
  <c r="H45" i="19"/>
  <c r="F45" i="19"/>
  <c r="E45" i="19"/>
  <c r="D45" i="19"/>
  <c r="C45" i="19"/>
  <c r="B45" i="19"/>
  <c r="H44" i="19"/>
  <c r="F44" i="19"/>
  <c r="E44" i="19"/>
  <c r="D44" i="19"/>
  <c r="C44" i="19"/>
  <c r="B44" i="19"/>
  <c r="H43" i="19"/>
  <c r="F43" i="19"/>
  <c r="E43" i="19"/>
  <c r="D43" i="19"/>
  <c r="C43" i="19"/>
  <c r="B43" i="19"/>
  <c r="H42" i="19"/>
  <c r="F42" i="19"/>
  <c r="E42" i="19"/>
  <c r="D42" i="19"/>
  <c r="C42" i="19"/>
  <c r="B42" i="19"/>
  <c r="H41" i="19"/>
  <c r="F41" i="19"/>
  <c r="E41" i="19"/>
  <c r="D41" i="19"/>
  <c r="C41" i="19"/>
  <c r="B41" i="19"/>
  <c r="H40" i="19"/>
  <c r="F40" i="19"/>
  <c r="E40" i="19"/>
  <c r="D40" i="19"/>
  <c r="C40" i="19"/>
  <c r="B40" i="19"/>
  <c r="H39" i="19"/>
  <c r="F39" i="19"/>
  <c r="E39" i="19"/>
  <c r="D39" i="19"/>
  <c r="C39" i="19"/>
  <c r="B39" i="19"/>
  <c r="H38" i="19"/>
  <c r="F38" i="19"/>
  <c r="E38" i="19"/>
  <c r="D38" i="19"/>
  <c r="C38" i="19"/>
  <c r="B38" i="19"/>
  <c r="H37" i="19"/>
  <c r="F37" i="19"/>
  <c r="E37" i="19"/>
  <c r="D37" i="19"/>
  <c r="C37" i="19"/>
  <c r="B37" i="19"/>
  <c r="H36" i="19"/>
  <c r="F36" i="19"/>
  <c r="E36" i="19"/>
  <c r="D36" i="19"/>
  <c r="C36" i="19"/>
  <c r="B36" i="19"/>
  <c r="H35" i="19"/>
  <c r="F35" i="19"/>
  <c r="E35" i="19"/>
  <c r="D35" i="19"/>
  <c r="C35" i="19"/>
  <c r="B35" i="19"/>
  <c r="H34" i="19"/>
  <c r="F34" i="19"/>
  <c r="E34" i="19"/>
  <c r="D34" i="19"/>
  <c r="C34" i="19"/>
  <c r="B34" i="19"/>
  <c r="H33" i="19"/>
  <c r="F33" i="19"/>
  <c r="E33" i="19"/>
  <c r="D33" i="19"/>
  <c r="C33" i="19"/>
  <c r="B33" i="19"/>
  <c r="H32" i="19"/>
  <c r="F32" i="19"/>
  <c r="E32" i="19"/>
  <c r="D32" i="19"/>
  <c r="C32" i="19"/>
  <c r="B32" i="19"/>
  <c r="H31" i="19"/>
  <c r="F31" i="19"/>
  <c r="E31" i="19"/>
  <c r="D31" i="19"/>
  <c r="C31" i="19"/>
  <c r="B31" i="19"/>
  <c r="H30" i="19"/>
  <c r="F30" i="19"/>
  <c r="E30" i="19"/>
  <c r="D30" i="19"/>
  <c r="C30" i="19"/>
  <c r="B30" i="19"/>
  <c r="H29" i="19"/>
  <c r="F29" i="19"/>
  <c r="E29" i="19"/>
  <c r="D29" i="19"/>
  <c r="C29" i="19"/>
  <c r="B29" i="19"/>
  <c r="H28" i="19"/>
  <c r="F28" i="19"/>
  <c r="E28" i="19"/>
  <c r="D28" i="19"/>
  <c r="C28" i="19"/>
  <c r="B28" i="19"/>
  <c r="H27" i="19"/>
  <c r="F27" i="19"/>
  <c r="E27" i="19"/>
  <c r="D27" i="19"/>
  <c r="C27" i="19"/>
  <c r="B27" i="19"/>
  <c r="H26" i="19"/>
  <c r="F26" i="19"/>
  <c r="E26" i="19"/>
  <c r="D26" i="19"/>
  <c r="C26" i="19"/>
  <c r="B26" i="19"/>
  <c r="H25" i="19"/>
  <c r="F25" i="19"/>
  <c r="E25" i="19"/>
  <c r="D25" i="19"/>
  <c r="C25" i="19"/>
  <c r="B25" i="19"/>
  <c r="H24" i="19"/>
  <c r="F24" i="19"/>
  <c r="E24" i="19"/>
  <c r="D24" i="19"/>
  <c r="C24" i="19"/>
  <c r="B24" i="19"/>
  <c r="H23" i="19"/>
  <c r="F23" i="19"/>
  <c r="E23" i="19"/>
  <c r="D23" i="19"/>
  <c r="C23" i="19"/>
  <c r="B23" i="19"/>
  <c r="H22" i="19"/>
  <c r="F22" i="19"/>
  <c r="E22" i="19"/>
  <c r="D22" i="19"/>
  <c r="C22" i="19"/>
  <c r="B22" i="19"/>
  <c r="H21" i="19"/>
  <c r="F21" i="19"/>
  <c r="E21" i="19"/>
  <c r="D21" i="19"/>
  <c r="C21" i="19"/>
  <c r="B21" i="19"/>
  <c r="H20" i="19"/>
  <c r="F20" i="19"/>
  <c r="E20" i="19"/>
  <c r="D20" i="19"/>
  <c r="C20" i="19"/>
  <c r="B20" i="19"/>
  <c r="H19" i="19"/>
  <c r="F19" i="19"/>
  <c r="E19" i="19"/>
  <c r="D19" i="19"/>
  <c r="C19" i="19"/>
  <c r="B19" i="19"/>
  <c r="H18" i="19"/>
  <c r="F18" i="19"/>
  <c r="E18" i="19"/>
  <c r="D18" i="19"/>
  <c r="C18" i="19"/>
  <c r="B18" i="19"/>
  <c r="H17" i="19"/>
  <c r="F17" i="19"/>
  <c r="E17" i="19"/>
  <c r="D17" i="19"/>
  <c r="C17" i="19"/>
  <c r="B17" i="19"/>
  <c r="H16" i="19"/>
  <c r="F16" i="19"/>
  <c r="E16" i="19"/>
  <c r="D16" i="19"/>
  <c r="C16" i="19"/>
  <c r="B16" i="19"/>
  <c r="H15" i="19"/>
  <c r="F15" i="19"/>
  <c r="E15" i="19"/>
  <c r="D15" i="19"/>
  <c r="C15" i="19"/>
  <c r="B15" i="19"/>
  <c r="H14" i="19"/>
  <c r="F14" i="19"/>
  <c r="E14" i="19"/>
  <c r="D14" i="19"/>
  <c r="C14" i="19"/>
  <c r="B14" i="19"/>
  <c r="H13" i="19"/>
  <c r="F13" i="19"/>
  <c r="E13" i="19"/>
  <c r="D13" i="19"/>
  <c r="C13" i="19"/>
  <c r="B13" i="19"/>
  <c r="H12" i="19"/>
  <c r="F12" i="19"/>
  <c r="E12" i="19"/>
  <c r="D12" i="19"/>
  <c r="C12" i="19"/>
  <c r="B12" i="19"/>
  <c r="H11" i="19"/>
  <c r="F11" i="19"/>
  <c r="E11" i="19"/>
  <c r="D11" i="19"/>
  <c r="C11" i="19"/>
  <c r="B11" i="19"/>
  <c r="H10" i="19"/>
  <c r="F10" i="19"/>
  <c r="E10" i="19"/>
  <c r="D10" i="19"/>
  <c r="C10" i="19"/>
  <c r="B10" i="19"/>
  <c r="H9" i="19"/>
  <c r="F9" i="19"/>
  <c r="E9" i="19"/>
  <c r="D9" i="19"/>
  <c r="C9" i="19"/>
  <c r="B9" i="19"/>
  <c r="H8" i="19"/>
  <c r="F8" i="19"/>
  <c r="E8" i="19"/>
  <c r="D8" i="19"/>
  <c r="C8" i="19"/>
  <c r="B8" i="19"/>
  <c r="H7" i="19"/>
  <c r="F7" i="19"/>
  <c r="E7" i="19"/>
  <c r="D7" i="19"/>
  <c r="C7" i="19"/>
  <c r="B7" i="19"/>
  <c r="H6" i="19"/>
  <c r="F6" i="19"/>
  <c r="E6" i="19"/>
  <c r="D6" i="19"/>
  <c r="C6" i="19"/>
  <c r="B6" i="19"/>
  <c r="H5" i="19"/>
  <c r="F5" i="19"/>
  <c r="E5" i="19"/>
  <c r="D5" i="19"/>
  <c r="C5" i="19"/>
  <c r="B5" i="19"/>
  <c r="H4" i="19"/>
  <c r="F4" i="19"/>
  <c r="E4" i="19"/>
  <c r="D4" i="19"/>
  <c r="C4" i="19"/>
  <c r="B4" i="19"/>
  <c r="H3" i="19"/>
  <c r="G3" i="19"/>
  <c r="F3" i="19"/>
  <c r="E3" i="19"/>
  <c r="D3" i="19"/>
  <c r="C3" i="19"/>
  <c r="B3" i="19"/>
  <c r="I40" i="19"/>
  <c r="I8" i="19"/>
  <c r="H187" i="18"/>
  <c r="F187" i="18"/>
  <c r="E187" i="18"/>
  <c r="D187" i="18"/>
  <c r="C187" i="18"/>
  <c r="I187" i="18" s="1"/>
  <c r="B187" i="18"/>
  <c r="H186" i="18"/>
  <c r="F186" i="18"/>
  <c r="E186" i="18"/>
  <c r="D186" i="18"/>
  <c r="C186" i="18"/>
  <c r="B186" i="18"/>
  <c r="H185" i="18"/>
  <c r="F185" i="18"/>
  <c r="E185" i="18"/>
  <c r="D185" i="18"/>
  <c r="C185" i="18"/>
  <c r="B185" i="18"/>
  <c r="H184" i="18"/>
  <c r="F184" i="18"/>
  <c r="E184" i="18"/>
  <c r="D184" i="18"/>
  <c r="C184" i="18"/>
  <c r="B184" i="18"/>
  <c r="H183" i="18"/>
  <c r="F183" i="18"/>
  <c r="E183" i="18"/>
  <c r="D183" i="18"/>
  <c r="C183" i="18"/>
  <c r="B183" i="18"/>
  <c r="H182" i="18"/>
  <c r="F182" i="18"/>
  <c r="E182" i="18"/>
  <c r="D182" i="18"/>
  <c r="C182" i="18"/>
  <c r="B182" i="18"/>
  <c r="H181" i="18"/>
  <c r="F181" i="18"/>
  <c r="E181" i="18"/>
  <c r="D181" i="18"/>
  <c r="C181" i="18"/>
  <c r="B181" i="18"/>
  <c r="H180" i="18"/>
  <c r="F180" i="18"/>
  <c r="E180" i="18"/>
  <c r="D180" i="18"/>
  <c r="I180" i="18" s="1"/>
  <c r="C180" i="18"/>
  <c r="B180" i="18"/>
  <c r="H179" i="18"/>
  <c r="F179" i="18"/>
  <c r="E179" i="18"/>
  <c r="D179" i="18"/>
  <c r="C179" i="18"/>
  <c r="B179" i="18"/>
  <c r="H178" i="18"/>
  <c r="F178" i="18"/>
  <c r="E178" i="18"/>
  <c r="D178" i="18"/>
  <c r="C178" i="18"/>
  <c r="B178" i="18"/>
  <c r="H177" i="18"/>
  <c r="F177" i="18"/>
  <c r="E177" i="18"/>
  <c r="D177" i="18"/>
  <c r="C177" i="18"/>
  <c r="B177" i="18"/>
  <c r="H176" i="18"/>
  <c r="F176" i="18"/>
  <c r="E176" i="18"/>
  <c r="D176" i="18"/>
  <c r="C176" i="18"/>
  <c r="B176" i="18"/>
  <c r="H175" i="18"/>
  <c r="F175" i="18"/>
  <c r="E175" i="18"/>
  <c r="D175" i="18"/>
  <c r="C175" i="18"/>
  <c r="B175" i="18"/>
  <c r="I175" i="18" s="1"/>
  <c r="H174" i="18"/>
  <c r="F174" i="18"/>
  <c r="E174" i="18"/>
  <c r="D174" i="18"/>
  <c r="C174" i="18"/>
  <c r="B174" i="18"/>
  <c r="H173" i="18"/>
  <c r="F173" i="18"/>
  <c r="E173" i="18"/>
  <c r="D173" i="18"/>
  <c r="C173" i="18"/>
  <c r="B173" i="18"/>
  <c r="H172" i="18"/>
  <c r="F172" i="18"/>
  <c r="E172" i="18"/>
  <c r="D172" i="18"/>
  <c r="C172" i="18"/>
  <c r="B172" i="18"/>
  <c r="H171" i="18"/>
  <c r="F171" i="18"/>
  <c r="E171" i="18"/>
  <c r="D171" i="18"/>
  <c r="C171" i="18"/>
  <c r="B171" i="18"/>
  <c r="H170" i="18"/>
  <c r="F170" i="18"/>
  <c r="E170" i="18"/>
  <c r="D170" i="18"/>
  <c r="C170" i="18"/>
  <c r="B170" i="18"/>
  <c r="H169" i="18"/>
  <c r="F169" i="18"/>
  <c r="E169" i="18"/>
  <c r="D169" i="18"/>
  <c r="C169" i="18"/>
  <c r="B169" i="18"/>
  <c r="H168" i="18"/>
  <c r="F168" i="18"/>
  <c r="E168" i="18"/>
  <c r="I168" i="18" s="1"/>
  <c r="D168" i="18"/>
  <c r="C168" i="18"/>
  <c r="B168" i="18"/>
  <c r="H167" i="18"/>
  <c r="F167" i="18"/>
  <c r="E167" i="18"/>
  <c r="D167" i="18"/>
  <c r="C167" i="18"/>
  <c r="B167" i="18"/>
  <c r="H166" i="18"/>
  <c r="F166" i="18"/>
  <c r="E166" i="18"/>
  <c r="D166" i="18"/>
  <c r="C166" i="18"/>
  <c r="B166" i="18"/>
  <c r="H165" i="18"/>
  <c r="F165" i="18"/>
  <c r="E165" i="18"/>
  <c r="D165" i="18"/>
  <c r="C165" i="18"/>
  <c r="B165" i="18"/>
  <c r="H164" i="18"/>
  <c r="F164" i="18"/>
  <c r="E164" i="18"/>
  <c r="D164" i="18"/>
  <c r="C164" i="18"/>
  <c r="B164" i="18"/>
  <c r="H163" i="18"/>
  <c r="F163" i="18"/>
  <c r="E163" i="18"/>
  <c r="D163" i="18"/>
  <c r="C163" i="18"/>
  <c r="B163" i="18"/>
  <c r="H162" i="18"/>
  <c r="F162" i="18"/>
  <c r="E162" i="18"/>
  <c r="D162" i="18"/>
  <c r="C162" i="18"/>
  <c r="B162" i="18"/>
  <c r="H161" i="18"/>
  <c r="F161" i="18"/>
  <c r="E161" i="18"/>
  <c r="D161" i="18"/>
  <c r="C161" i="18"/>
  <c r="B161" i="18"/>
  <c r="H160" i="18"/>
  <c r="F160" i="18"/>
  <c r="E160" i="18"/>
  <c r="D160" i="18"/>
  <c r="C160" i="18"/>
  <c r="B160" i="18"/>
  <c r="H159" i="18"/>
  <c r="F159" i="18"/>
  <c r="E159" i="18"/>
  <c r="D159" i="18"/>
  <c r="C159" i="18"/>
  <c r="B159" i="18"/>
  <c r="I159" i="18" s="1"/>
  <c r="H158" i="18"/>
  <c r="F158" i="18"/>
  <c r="E158" i="18"/>
  <c r="D158" i="18"/>
  <c r="C158" i="18"/>
  <c r="B158" i="18"/>
  <c r="H157" i="18"/>
  <c r="F157" i="18"/>
  <c r="E157" i="18"/>
  <c r="D157" i="18"/>
  <c r="C157" i="18"/>
  <c r="B157" i="18"/>
  <c r="H156" i="18"/>
  <c r="F156" i="18"/>
  <c r="E156" i="18"/>
  <c r="D156" i="18"/>
  <c r="C156" i="18"/>
  <c r="B156" i="18"/>
  <c r="H155" i="18"/>
  <c r="F155" i="18"/>
  <c r="E155" i="18"/>
  <c r="D155" i="18"/>
  <c r="C155" i="18"/>
  <c r="B155" i="18"/>
  <c r="H154" i="18"/>
  <c r="F154" i="18"/>
  <c r="E154" i="18"/>
  <c r="D154" i="18"/>
  <c r="C154" i="18"/>
  <c r="B154" i="18"/>
  <c r="H153" i="18"/>
  <c r="F153" i="18"/>
  <c r="E153" i="18"/>
  <c r="D153" i="18"/>
  <c r="C153" i="18"/>
  <c r="B153" i="18"/>
  <c r="H152" i="18"/>
  <c r="F152" i="18"/>
  <c r="E152" i="18"/>
  <c r="D152" i="18"/>
  <c r="C152" i="18"/>
  <c r="B152" i="18"/>
  <c r="H151" i="18"/>
  <c r="F151" i="18"/>
  <c r="E151" i="18"/>
  <c r="D151" i="18"/>
  <c r="C151" i="18"/>
  <c r="B151" i="18"/>
  <c r="H150" i="18"/>
  <c r="F150" i="18"/>
  <c r="E150" i="18"/>
  <c r="D150" i="18"/>
  <c r="C150" i="18"/>
  <c r="B150" i="18"/>
  <c r="H149" i="18"/>
  <c r="F149" i="18"/>
  <c r="E149" i="18"/>
  <c r="D149" i="18"/>
  <c r="C149" i="18"/>
  <c r="B149" i="18"/>
  <c r="H148" i="18"/>
  <c r="F148" i="18"/>
  <c r="E148" i="18"/>
  <c r="D148" i="18"/>
  <c r="C148" i="18"/>
  <c r="B148" i="18"/>
  <c r="H147" i="18"/>
  <c r="F147" i="18"/>
  <c r="E147" i="18"/>
  <c r="D147" i="18"/>
  <c r="C147" i="18"/>
  <c r="B147" i="18"/>
  <c r="H146" i="18"/>
  <c r="F146" i="18"/>
  <c r="E146" i="18"/>
  <c r="D146" i="18"/>
  <c r="C146" i="18"/>
  <c r="B146" i="18"/>
  <c r="H145" i="18"/>
  <c r="F145" i="18"/>
  <c r="E145" i="18"/>
  <c r="D145" i="18"/>
  <c r="C145" i="18"/>
  <c r="B145" i="18"/>
  <c r="H144" i="18"/>
  <c r="F144" i="18"/>
  <c r="E144" i="18"/>
  <c r="D144" i="18"/>
  <c r="C144" i="18"/>
  <c r="B144" i="18"/>
  <c r="H143" i="18"/>
  <c r="F143" i="18"/>
  <c r="E143" i="18"/>
  <c r="D143" i="18"/>
  <c r="C143" i="18"/>
  <c r="B143" i="18"/>
  <c r="H142" i="18"/>
  <c r="F142" i="18"/>
  <c r="E142" i="18"/>
  <c r="D142" i="18"/>
  <c r="C142" i="18"/>
  <c r="B142" i="18"/>
  <c r="H141" i="18"/>
  <c r="F141" i="18"/>
  <c r="E141" i="18"/>
  <c r="D141" i="18"/>
  <c r="C141" i="18"/>
  <c r="B141" i="18"/>
  <c r="H140" i="18"/>
  <c r="F140" i="18"/>
  <c r="E140" i="18"/>
  <c r="D140" i="18"/>
  <c r="C140" i="18"/>
  <c r="B140" i="18"/>
  <c r="H139" i="18"/>
  <c r="F139" i="18"/>
  <c r="E139" i="18"/>
  <c r="D139" i="18"/>
  <c r="C139" i="18"/>
  <c r="I139" i="18" s="1"/>
  <c r="B139" i="18"/>
  <c r="H138" i="18"/>
  <c r="F138" i="18"/>
  <c r="E138" i="18"/>
  <c r="D138" i="18"/>
  <c r="C138" i="18"/>
  <c r="B138" i="18"/>
  <c r="H137" i="18"/>
  <c r="F137" i="18"/>
  <c r="E137" i="18"/>
  <c r="D137" i="18"/>
  <c r="C137" i="18"/>
  <c r="B137" i="18"/>
  <c r="H136" i="18"/>
  <c r="F136" i="18"/>
  <c r="E136" i="18"/>
  <c r="D136" i="18"/>
  <c r="C136" i="18"/>
  <c r="B136" i="18"/>
  <c r="H135" i="18"/>
  <c r="F135" i="18"/>
  <c r="E135" i="18"/>
  <c r="D135" i="18"/>
  <c r="C135" i="18"/>
  <c r="B135" i="18"/>
  <c r="H134" i="18"/>
  <c r="F134" i="18"/>
  <c r="E134" i="18"/>
  <c r="D134" i="18"/>
  <c r="C134" i="18"/>
  <c r="B134" i="18"/>
  <c r="H133" i="18"/>
  <c r="F133" i="18"/>
  <c r="E133" i="18"/>
  <c r="D133" i="18"/>
  <c r="C133" i="18"/>
  <c r="B133" i="18"/>
  <c r="H132" i="18"/>
  <c r="F132" i="18"/>
  <c r="E132" i="18"/>
  <c r="D132" i="18"/>
  <c r="C132" i="18"/>
  <c r="B132" i="18"/>
  <c r="H131" i="18"/>
  <c r="F131" i="18"/>
  <c r="E131" i="18"/>
  <c r="D131" i="18"/>
  <c r="C131" i="18"/>
  <c r="B131" i="18"/>
  <c r="H130" i="18"/>
  <c r="F130" i="18"/>
  <c r="E130" i="18"/>
  <c r="D130" i="18"/>
  <c r="C130" i="18"/>
  <c r="B130" i="18"/>
  <c r="H129" i="18"/>
  <c r="F129" i="18"/>
  <c r="E129" i="18"/>
  <c r="D129" i="18"/>
  <c r="C129" i="18"/>
  <c r="B129" i="18"/>
  <c r="H128" i="18"/>
  <c r="F128" i="18"/>
  <c r="E128" i="18"/>
  <c r="D128" i="18"/>
  <c r="C128" i="18"/>
  <c r="B128" i="18"/>
  <c r="H127" i="18"/>
  <c r="F127" i="18"/>
  <c r="E127" i="18"/>
  <c r="D127" i="18"/>
  <c r="C127" i="18"/>
  <c r="B127" i="18"/>
  <c r="H126" i="18"/>
  <c r="F126" i="18"/>
  <c r="E126" i="18"/>
  <c r="D126" i="18"/>
  <c r="C126" i="18"/>
  <c r="B126" i="18"/>
  <c r="H125" i="18"/>
  <c r="F125" i="18"/>
  <c r="E125" i="18"/>
  <c r="D125" i="18"/>
  <c r="C125" i="18"/>
  <c r="B125" i="18"/>
  <c r="H124" i="18"/>
  <c r="F124" i="18"/>
  <c r="E124" i="18"/>
  <c r="D124" i="18"/>
  <c r="C124" i="18"/>
  <c r="B124" i="18"/>
  <c r="H123" i="18"/>
  <c r="F123" i="18"/>
  <c r="E123" i="18"/>
  <c r="D123" i="18"/>
  <c r="C123" i="18"/>
  <c r="B123" i="18"/>
  <c r="H122" i="18"/>
  <c r="F122" i="18"/>
  <c r="E122" i="18"/>
  <c r="D122" i="18"/>
  <c r="C122" i="18"/>
  <c r="B122" i="18"/>
  <c r="H121" i="18"/>
  <c r="F121" i="18"/>
  <c r="E121" i="18"/>
  <c r="D121" i="18"/>
  <c r="C121" i="18"/>
  <c r="B121" i="18"/>
  <c r="H120" i="18"/>
  <c r="F120" i="18"/>
  <c r="E120" i="18"/>
  <c r="D120" i="18"/>
  <c r="C120" i="18"/>
  <c r="B120" i="18"/>
  <c r="H119" i="18"/>
  <c r="F119" i="18"/>
  <c r="E119" i="18"/>
  <c r="D119" i="18"/>
  <c r="C119" i="18"/>
  <c r="B119" i="18"/>
  <c r="H118" i="18"/>
  <c r="F118" i="18"/>
  <c r="E118" i="18"/>
  <c r="D118" i="18"/>
  <c r="C118" i="18"/>
  <c r="B118" i="18"/>
  <c r="H117" i="18"/>
  <c r="F117" i="18"/>
  <c r="E117" i="18"/>
  <c r="D117" i="18"/>
  <c r="C117" i="18"/>
  <c r="B117" i="18"/>
  <c r="H116" i="18"/>
  <c r="F116" i="18"/>
  <c r="E116" i="18"/>
  <c r="D116" i="18"/>
  <c r="C116" i="18"/>
  <c r="B116" i="18"/>
  <c r="H115" i="18"/>
  <c r="F115" i="18"/>
  <c r="E115" i="18"/>
  <c r="D115" i="18"/>
  <c r="C115" i="18"/>
  <c r="B115" i="18"/>
  <c r="H114" i="18"/>
  <c r="F114" i="18"/>
  <c r="E114" i="18"/>
  <c r="D114" i="18"/>
  <c r="C114" i="18"/>
  <c r="B114" i="18"/>
  <c r="H113" i="18"/>
  <c r="F113" i="18"/>
  <c r="E113" i="18"/>
  <c r="D113" i="18"/>
  <c r="C113" i="18"/>
  <c r="B113" i="18"/>
  <c r="H112" i="18"/>
  <c r="F112" i="18"/>
  <c r="E112" i="18"/>
  <c r="D112" i="18"/>
  <c r="C112" i="18"/>
  <c r="B112" i="18"/>
  <c r="H111" i="18"/>
  <c r="F111" i="18"/>
  <c r="E111" i="18"/>
  <c r="D111" i="18"/>
  <c r="C111" i="18"/>
  <c r="B111" i="18"/>
  <c r="H110" i="18"/>
  <c r="F110" i="18"/>
  <c r="E110" i="18"/>
  <c r="D110" i="18"/>
  <c r="C110" i="18"/>
  <c r="B110" i="18"/>
  <c r="H109" i="18"/>
  <c r="F109" i="18"/>
  <c r="E109" i="18"/>
  <c r="D109" i="18"/>
  <c r="C109" i="18"/>
  <c r="B109" i="18"/>
  <c r="H108" i="18"/>
  <c r="F108" i="18"/>
  <c r="E108" i="18"/>
  <c r="D108" i="18"/>
  <c r="C108" i="18"/>
  <c r="B108" i="18"/>
  <c r="H107" i="18"/>
  <c r="F107" i="18"/>
  <c r="E107" i="18"/>
  <c r="D107" i="18"/>
  <c r="C107" i="18"/>
  <c r="I107" i="18" s="1"/>
  <c r="B107" i="18"/>
  <c r="H106" i="18"/>
  <c r="F106" i="18"/>
  <c r="E106" i="18"/>
  <c r="D106" i="18"/>
  <c r="C106" i="18"/>
  <c r="B106" i="18"/>
  <c r="H105" i="18"/>
  <c r="F105" i="18"/>
  <c r="E105" i="18"/>
  <c r="D105" i="18"/>
  <c r="C105" i="18"/>
  <c r="B105" i="18"/>
  <c r="H104" i="18"/>
  <c r="F104" i="18"/>
  <c r="E104" i="18"/>
  <c r="D104" i="18"/>
  <c r="C104" i="18"/>
  <c r="B104" i="18"/>
  <c r="H103" i="18"/>
  <c r="F103" i="18"/>
  <c r="E103" i="18"/>
  <c r="D103" i="18"/>
  <c r="C103" i="18"/>
  <c r="B103" i="18"/>
  <c r="H102" i="18"/>
  <c r="F102" i="18"/>
  <c r="E102" i="18"/>
  <c r="D102" i="18"/>
  <c r="C102" i="18"/>
  <c r="B102" i="18"/>
  <c r="H101" i="18"/>
  <c r="F101" i="18"/>
  <c r="E101" i="18"/>
  <c r="D101" i="18"/>
  <c r="C101" i="18"/>
  <c r="B101" i="18"/>
  <c r="H100" i="18"/>
  <c r="F100" i="18"/>
  <c r="E100" i="18"/>
  <c r="D100" i="18"/>
  <c r="C100" i="18"/>
  <c r="B100" i="18"/>
  <c r="H99" i="18"/>
  <c r="F99" i="18"/>
  <c r="E99" i="18"/>
  <c r="D99" i="18"/>
  <c r="C99" i="18"/>
  <c r="B99" i="18"/>
  <c r="H98" i="18"/>
  <c r="F98" i="18"/>
  <c r="E98" i="18"/>
  <c r="D98" i="18"/>
  <c r="C98" i="18"/>
  <c r="B98" i="18"/>
  <c r="H97" i="18"/>
  <c r="F97" i="18"/>
  <c r="E97" i="18"/>
  <c r="D97" i="18"/>
  <c r="C97" i="18"/>
  <c r="B97" i="18"/>
  <c r="H96" i="18"/>
  <c r="F96" i="18"/>
  <c r="E96" i="18"/>
  <c r="D96" i="18"/>
  <c r="C96" i="18"/>
  <c r="B96" i="18"/>
  <c r="H95" i="18"/>
  <c r="F95" i="18"/>
  <c r="E95" i="18"/>
  <c r="D95" i="18"/>
  <c r="C95" i="18"/>
  <c r="B95" i="18"/>
  <c r="H94" i="18"/>
  <c r="F94" i="18"/>
  <c r="E94" i="18"/>
  <c r="D94" i="18"/>
  <c r="C94" i="18"/>
  <c r="B94" i="18"/>
  <c r="H93" i="18"/>
  <c r="F93" i="18"/>
  <c r="E93" i="18"/>
  <c r="D93" i="18"/>
  <c r="C93" i="18"/>
  <c r="B93" i="18"/>
  <c r="H92" i="18"/>
  <c r="F92" i="18"/>
  <c r="E92" i="18"/>
  <c r="D92" i="18"/>
  <c r="C92" i="18"/>
  <c r="B92" i="18"/>
  <c r="H91" i="18"/>
  <c r="F91" i="18"/>
  <c r="E91" i="18"/>
  <c r="D91" i="18"/>
  <c r="C91" i="18"/>
  <c r="B91" i="18"/>
  <c r="H90" i="18"/>
  <c r="F90" i="18"/>
  <c r="E90" i="18"/>
  <c r="D90" i="18"/>
  <c r="C90" i="18"/>
  <c r="B90" i="18"/>
  <c r="H89" i="18"/>
  <c r="F89" i="18"/>
  <c r="E89" i="18"/>
  <c r="D89" i="18"/>
  <c r="C89" i="18"/>
  <c r="B89" i="18"/>
  <c r="H88" i="18"/>
  <c r="F88" i="18"/>
  <c r="E88" i="18"/>
  <c r="D88" i="18"/>
  <c r="C88" i="18"/>
  <c r="B88" i="18"/>
  <c r="H87" i="18"/>
  <c r="F87" i="18"/>
  <c r="E87" i="18"/>
  <c r="D87" i="18"/>
  <c r="C87" i="18"/>
  <c r="B87" i="18"/>
  <c r="H86" i="18"/>
  <c r="F86" i="18"/>
  <c r="E86" i="18"/>
  <c r="D86" i="18"/>
  <c r="C86" i="18"/>
  <c r="B86" i="18"/>
  <c r="H85" i="18"/>
  <c r="F85" i="18"/>
  <c r="E85" i="18"/>
  <c r="D85" i="18"/>
  <c r="C85" i="18"/>
  <c r="B85" i="18"/>
  <c r="H84" i="18"/>
  <c r="F84" i="18"/>
  <c r="E84" i="18"/>
  <c r="D84" i="18"/>
  <c r="I84" i="18" s="1"/>
  <c r="C84" i="18"/>
  <c r="B84" i="18"/>
  <c r="H83" i="18"/>
  <c r="F83" i="18"/>
  <c r="E83" i="18"/>
  <c r="D83" i="18"/>
  <c r="C83" i="18"/>
  <c r="B83" i="18"/>
  <c r="H82" i="18"/>
  <c r="F82" i="18"/>
  <c r="E82" i="18"/>
  <c r="D82" i="18"/>
  <c r="C82" i="18"/>
  <c r="B82" i="18"/>
  <c r="H81" i="18"/>
  <c r="F81" i="18"/>
  <c r="E81" i="18"/>
  <c r="D81" i="18"/>
  <c r="C81" i="18"/>
  <c r="B81" i="18"/>
  <c r="H80" i="18"/>
  <c r="F80" i="18"/>
  <c r="E80" i="18"/>
  <c r="D80" i="18"/>
  <c r="C80" i="18"/>
  <c r="B80" i="18"/>
  <c r="H79" i="18"/>
  <c r="F79" i="18"/>
  <c r="E79" i="18"/>
  <c r="D79" i="18"/>
  <c r="C79" i="18"/>
  <c r="B79" i="18"/>
  <c r="H78" i="18"/>
  <c r="F78" i="18"/>
  <c r="E78" i="18"/>
  <c r="D78" i="18"/>
  <c r="C78" i="18"/>
  <c r="B78" i="18"/>
  <c r="H77" i="18"/>
  <c r="F77" i="18"/>
  <c r="E77" i="18"/>
  <c r="D77" i="18"/>
  <c r="C77" i="18"/>
  <c r="B77" i="18"/>
  <c r="H76" i="18"/>
  <c r="F76" i="18"/>
  <c r="E76" i="18"/>
  <c r="D76" i="18"/>
  <c r="C76" i="18"/>
  <c r="B76" i="18"/>
  <c r="H75" i="18"/>
  <c r="F75" i="18"/>
  <c r="E75" i="18"/>
  <c r="D75" i="18"/>
  <c r="C75" i="18"/>
  <c r="B75" i="18"/>
  <c r="H74" i="18"/>
  <c r="F74" i="18"/>
  <c r="E74" i="18"/>
  <c r="D74" i="18"/>
  <c r="C74" i="18"/>
  <c r="B74" i="18"/>
  <c r="H73" i="18"/>
  <c r="F73" i="18"/>
  <c r="E73" i="18"/>
  <c r="D73" i="18"/>
  <c r="C73" i="18"/>
  <c r="B73" i="18"/>
  <c r="H72" i="18"/>
  <c r="F72" i="18"/>
  <c r="E72" i="18"/>
  <c r="D72" i="18"/>
  <c r="C72" i="18"/>
  <c r="B72" i="18"/>
  <c r="H71" i="18"/>
  <c r="F71" i="18"/>
  <c r="E71" i="18"/>
  <c r="D71" i="18"/>
  <c r="C71" i="18"/>
  <c r="B71" i="18"/>
  <c r="H70" i="18"/>
  <c r="F70" i="18"/>
  <c r="E70" i="18"/>
  <c r="D70" i="18"/>
  <c r="C70" i="18"/>
  <c r="B70" i="18"/>
  <c r="H69" i="18"/>
  <c r="F69" i="18"/>
  <c r="E69" i="18"/>
  <c r="D69" i="18"/>
  <c r="C69" i="18"/>
  <c r="B69" i="18"/>
  <c r="H68" i="18"/>
  <c r="F68" i="18"/>
  <c r="E68" i="18"/>
  <c r="D68" i="18"/>
  <c r="C68" i="18"/>
  <c r="B68" i="18"/>
  <c r="H67" i="18"/>
  <c r="F67" i="18"/>
  <c r="E67" i="18"/>
  <c r="D67" i="18"/>
  <c r="C67" i="18"/>
  <c r="B67" i="18"/>
  <c r="H66" i="18"/>
  <c r="F66" i="18"/>
  <c r="E66" i="18"/>
  <c r="D66" i="18"/>
  <c r="C66" i="18"/>
  <c r="B66" i="18"/>
  <c r="H65" i="18"/>
  <c r="F65" i="18"/>
  <c r="E65" i="18"/>
  <c r="D65" i="18"/>
  <c r="C65" i="18"/>
  <c r="B65" i="18"/>
  <c r="H64" i="18"/>
  <c r="F64" i="18"/>
  <c r="E64" i="18"/>
  <c r="D64" i="18"/>
  <c r="C64" i="18"/>
  <c r="B64" i="18"/>
  <c r="H63" i="18"/>
  <c r="F63" i="18"/>
  <c r="E63" i="18"/>
  <c r="D63" i="18"/>
  <c r="C63" i="18"/>
  <c r="B63" i="18"/>
  <c r="H62" i="18"/>
  <c r="F62" i="18"/>
  <c r="E62" i="18"/>
  <c r="D62" i="18"/>
  <c r="C62" i="18"/>
  <c r="B62" i="18"/>
  <c r="H61" i="18"/>
  <c r="F61" i="18"/>
  <c r="E61" i="18"/>
  <c r="D61" i="18"/>
  <c r="C61" i="18"/>
  <c r="B61" i="18"/>
  <c r="H60" i="18"/>
  <c r="F60" i="18"/>
  <c r="E60" i="18"/>
  <c r="D60" i="18"/>
  <c r="C60" i="18"/>
  <c r="B60" i="18"/>
  <c r="H59" i="18"/>
  <c r="F59" i="18"/>
  <c r="E59" i="18"/>
  <c r="D59" i="18"/>
  <c r="C59" i="18"/>
  <c r="B59" i="18"/>
  <c r="H58" i="18"/>
  <c r="F58" i="18"/>
  <c r="E58" i="18"/>
  <c r="D58" i="18"/>
  <c r="C58" i="18"/>
  <c r="B58" i="18"/>
  <c r="H57" i="18"/>
  <c r="F57" i="18"/>
  <c r="E57" i="18"/>
  <c r="D57" i="18"/>
  <c r="C57" i="18"/>
  <c r="B57" i="18"/>
  <c r="H56" i="18"/>
  <c r="F56" i="18"/>
  <c r="E56" i="18"/>
  <c r="D56" i="18"/>
  <c r="C56" i="18"/>
  <c r="B56" i="18"/>
  <c r="H55" i="18"/>
  <c r="F55" i="18"/>
  <c r="E55" i="18"/>
  <c r="D55" i="18"/>
  <c r="C55" i="18"/>
  <c r="B55" i="18"/>
  <c r="H54" i="18"/>
  <c r="F54" i="18"/>
  <c r="E54" i="18"/>
  <c r="D54" i="18"/>
  <c r="C54" i="18"/>
  <c r="B54" i="18"/>
  <c r="H53" i="18"/>
  <c r="F53" i="18"/>
  <c r="E53" i="18"/>
  <c r="D53" i="18"/>
  <c r="C53" i="18"/>
  <c r="B53" i="18"/>
  <c r="H52" i="18"/>
  <c r="F52" i="18"/>
  <c r="E52" i="18"/>
  <c r="D52" i="18"/>
  <c r="C52" i="18"/>
  <c r="B52" i="18"/>
  <c r="H51" i="18"/>
  <c r="F51" i="18"/>
  <c r="E51" i="18"/>
  <c r="D51" i="18"/>
  <c r="C51" i="18"/>
  <c r="B51" i="18"/>
  <c r="H50" i="18"/>
  <c r="F50" i="18"/>
  <c r="E50" i="18"/>
  <c r="D50" i="18"/>
  <c r="C50" i="18"/>
  <c r="B50" i="18"/>
  <c r="H49" i="18"/>
  <c r="F49" i="18"/>
  <c r="E49" i="18"/>
  <c r="D49" i="18"/>
  <c r="C49" i="18"/>
  <c r="B49" i="18"/>
  <c r="H48" i="18"/>
  <c r="F48" i="18"/>
  <c r="E48" i="18"/>
  <c r="D48" i="18"/>
  <c r="C48" i="18"/>
  <c r="B48" i="18"/>
  <c r="H47" i="18"/>
  <c r="F47" i="18"/>
  <c r="E47" i="18"/>
  <c r="D47" i="18"/>
  <c r="C47" i="18"/>
  <c r="B47" i="18"/>
  <c r="H46" i="18"/>
  <c r="F46" i="18"/>
  <c r="E46" i="18"/>
  <c r="D46" i="18"/>
  <c r="C46" i="18"/>
  <c r="B46" i="18"/>
  <c r="H45" i="18"/>
  <c r="F45" i="18"/>
  <c r="E45" i="18"/>
  <c r="D45" i="18"/>
  <c r="C45" i="18"/>
  <c r="B45" i="18"/>
  <c r="H44" i="18"/>
  <c r="F44" i="18"/>
  <c r="E44" i="18"/>
  <c r="D44" i="18"/>
  <c r="C44" i="18"/>
  <c r="B44" i="18"/>
  <c r="H43" i="18"/>
  <c r="F43" i="18"/>
  <c r="E43" i="18"/>
  <c r="D43" i="18"/>
  <c r="C43" i="18"/>
  <c r="B43" i="18"/>
  <c r="H42" i="18"/>
  <c r="F42" i="18"/>
  <c r="E42" i="18"/>
  <c r="D42" i="18"/>
  <c r="C42" i="18"/>
  <c r="B42" i="18"/>
  <c r="H41" i="18"/>
  <c r="F41" i="18"/>
  <c r="E41" i="18"/>
  <c r="D41" i="18"/>
  <c r="C41" i="18"/>
  <c r="B41" i="18"/>
  <c r="H40" i="18"/>
  <c r="F40" i="18"/>
  <c r="E40" i="18"/>
  <c r="D40" i="18"/>
  <c r="C40" i="18"/>
  <c r="B40" i="18"/>
  <c r="H39" i="18"/>
  <c r="F39" i="18"/>
  <c r="E39" i="18"/>
  <c r="D39" i="18"/>
  <c r="C39" i="18"/>
  <c r="B39" i="18"/>
  <c r="H38" i="18"/>
  <c r="F38" i="18"/>
  <c r="E38" i="18"/>
  <c r="D38" i="18"/>
  <c r="C38" i="18"/>
  <c r="B38" i="18"/>
  <c r="H37" i="18"/>
  <c r="F37" i="18"/>
  <c r="E37" i="18"/>
  <c r="D37" i="18"/>
  <c r="C37" i="18"/>
  <c r="B37" i="18"/>
  <c r="H36" i="18"/>
  <c r="F36" i="18"/>
  <c r="E36" i="18"/>
  <c r="D36" i="18"/>
  <c r="C36" i="18"/>
  <c r="B36" i="18"/>
  <c r="H35" i="18"/>
  <c r="F35" i="18"/>
  <c r="E35" i="18"/>
  <c r="D35" i="18"/>
  <c r="C35" i="18"/>
  <c r="B35" i="18"/>
  <c r="H34" i="18"/>
  <c r="F34" i="18"/>
  <c r="E34" i="18"/>
  <c r="D34" i="18"/>
  <c r="C34" i="18"/>
  <c r="B34" i="18"/>
  <c r="H33" i="18"/>
  <c r="F33" i="18"/>
  <c r="E33" i="18"/>
  <c r="D33" i="18"/>
  <c r="C33" i="18"/>
  <c r="B33" i="18"/>
  <c r="H32" i="18"/>
  <c r="F32" i="18"/>
  <c r="E32" i="18"/>
  <c r="D32" i="18"/>
  <c r="C32" i="18"/>
  <c r="B32" i="18"/>
  <c r="H31" i="18"/>
  <c r="F31" i="18"/>
  <c r="E31" i="18"/>
  <c r="D31" i="18"/>
  <c r="C31" i="18"/>
  <c r="B31" i="18"/>
  <c r="H30" i="18"/>
  <c r="F30" i="18"/>
  <c r="E30" i="18"/>
  <c r="D30" i="18"/>
  <c r="C30" i="18"/>
  <c r="B30" i="18"/>
  <c r="H29" i="18"/>
  <c r="F29" i="18"/>
  <c r="E29" i="18"/>
  <c r="D29" i="18"/>
  <c r="C29" i="18"/>
  <c r="B29" i="18"/>
  <c r="H28" i="18"/>
  <c r="F28" i="18"/>
  <c r="E28" i="18"/>
  <c r="D28" i="18"/>
  <c r="C28" i="18"/>
  <c r="B28" i="18"/>
  <c r="H27" i="18"/>
  <c r="F27" i="18"/>
  <c r="E27" i="18"/>
  <c r="D27" i="18"/>
  <c r="C27" i="18"/>
  <c r="B27" i="18"/>
  <c r="H26" i="18"/>
  <c r="F26" i="18"/>
  <c r="E26" i="18"/>
  <c r="D26" i="18"/>
  <c r="C26" i="18"/>
  <c r="B26" i="18"/>
  <c r="H25" i="18"/>
  <c r="F25" i="18"/>
  <c r="E25" i="18"/>
  <c r="D25" i="18"/>
  <c r="C25" i="18"/>
  <c r="B25" i="18"/>
  <c r="H24" i="18"/>
  <c r="F24" i="18"/>
  <c r="E24" i="18"/>
  <c r="D24" i="18"/>
  <c r="C24" i="18"/>
  <c r="B24" i="18"/>
  <c r="H23" i="18"/>
  <c r="F23" i="18"/>
  <c r="E23" i="18"/>
  <c r="D23" i="18"/>
  <c r="C23" i="18"/>
  <c r="B23" i="18"/>
  <c r="H22" i="18"/>
  <c r="F22" i="18"/>
  <c r="E22" i="18"/>
  <c r="D22" i="18"/>
  <c r="C22" i="18"/>
  <c r="B22" i="18"/>
  <c r="H21" i="18"/>
  <c r="F21" i="18"/>
  <c r="E21" i="18"/>
  <c r="D21" i="18"/>
  <c r="C21" i="18"/>
  <c r="B21" i="18"/>
  <c r="H20" i="18"/>
  <c r="F20" i="18"/>
  <c r="E20" i="18"/>
  <c r="D20" i="18"/>
  <c r="C20" i="18"/>
  <c r="B20" i="18"/>
  <c r="H19" i="18"/>
  <c r="F19" i="18"/>
  <c r="E19" i="18"/>
  <c r="D19" i="18"/>
  <c r="C19" i="18"/>
  <c r="B19" i="18"/>
  <c r="H18" i="18"/>
  <c r="F18" i="18"/>
  <c r="E18" i="18"/>
  <c r="D18" i="18"/>
  <c r="C18" i="18"/>
  <c r="B18" i="18"/>
  <c r="H17" i="18"/>
  <c r="F17" i="18"/>
  <c r="E17" i="18"/>
  <c r="D17" i="18"/>
  <c r="C17" i="18"/>
  <c r="B17" i="18"/>
  <c r="H16" i="18"/>
  <c r="F16" i="18"/>
  <c r="E16" i="18"/>
  <c r="D16" i="18"/>
  <c r="C16" i="18"/>
  <c r="B16" i="18"/>
  <c r="H15" i="18"/>
  <c r="F15" i="18"/>
  <c r="E15" i="18"/>
  <c r="D15" i="18"/>
  <c r="C15" i="18"/>
  <c r="B15" i="18"/>
  <c r="H14" i="18"/>
  <c r="F14" i="18"/>
  <c r="E14" i="18"/>
  <c r="D14" i="18"/>
  <c r="C14" i="18"/>
  <c r="B14" i="18"/>
  <c r="H13" i="18"/>
  <c r="F13" i="18"/>
  <c r="E13" i="18"/>
  <c r="D13" i="18"/>
  <c r="C13" i="18"/>
  <c r="B13" i="18"/>
  <c r="H12" i="18"/>
  <c r="F12" i="18"/>
  <c r="E12" i="18"/>
  <c r="D12" i="18"/>
  <c r="C12" i="18"/>
  <c r="B12" i="18"/>
  <c r="H11" i="18"/>
  <c r="F11" i="18"/>
  <c r="E11" i="18"/>
  <c r="D11" i="18"/>
  <c r="C11" i="18"/>
  <c r="B11" i="18"/>
  <c r="H10" i="18"/>
  <c r="F10" i="18"/>
  <c r="E10" i="18"/>
  <c r="D10" i="18"/>
  <c r="C10" i="18"/>
  <c r="B10" i="18"/>
  <c r="H9" i="18"/>
  <c r="F9" i="18"/>
  <c r="E9" i="18"/>
  <c r="D9" i="18"/>
  <c r="C9" i="18"/>
  <c r="B9" i="18"/>
  <c r="H8" i="18"/>
  <c r="F8" i="18"/>
  <c r="E8" i="18"/>
  <c r="D8" i="18"/>
  <c r="C8" i="18"/>
  <c r="B8" i="18"/>
  <c r="H7" i="18"/>
  <c r="F7" i="18"/>
  <c r="E7" i="18"/>
  <c r="D7" i="18"/>
  <c r="C7" i="18"/>
  <c r="B7" i="18"/>
  <c r="H6" i="18"/>
  <c r="F6" i="18"/>
  <c r="E6" i="18"/>
  <c r="D6" i="18"/>
  <c r="C6" i="18"/>
  <c r="B6" i="18"/>
  <c r="H5" i="18"/>
  <c r="F5" i="18"/>
  <c r="E5" i="18"/>
  <c r="D5" i="18"/>
  <c r="C5" i="18"/>
  <c r="B5" i="18"/>
  <c r="H4" i="18"/>
  <c r="F4" i="18"/>
  <c r="E4" i="18"/>
  <c r="D4" i="18"/>
  <c r="C4" i="18"/>
  <c r="B4" i="18"/>
  <c r="H3" i="18"/>
  <c r="G3" i="18"/>
  <c r="F3" i="18"/>
  <c r="E3" i="18"/>
  <c r="D3" i="18"/>
  <c r="C3" i="18"/>
  <c r="B3" i="18"/>
  <c r="I138" i="18"/>
  <c r="I122" i="18"/>
  <c r="H187" i="17"/>
  <c r="F187" i="17"/>
  <c r="E187" i="17"/>
  <c r="D187" i="17"/>
  <c r="C187" i="17"/>
  <c r="B187" i="17"/>
  <c r="H186" i="17"/>
  <c r="F186" i="17"/>
  <c r="E186" i="17"/>
  <c r="D186" i="17"/>
  <c r="C186" i="17"/>
  <c r="B186" i="17"/>
  <c r="H185" i="17"/>
  <c r="F185" i="17"/>
  <c r="E185" i="17"/>
  <c r="D185" i="17"/>
  <c r="C185" i="17"/>
  <c r="B185" i="17"/>
  <c r="H184" i="17"/>
  <c r="F184" i="17"/>
  <c r="E184" i="17"/>
  <c r="D184" i="17"/>
  <c r="C184" i="17"/>
  <c r="B184" i="17"/>
  <c r="H183" i="17"/>
  <c r="F183" i="17"/>
  <c r="E183" i="17"/>
  <c r="D183" i="17"/>
  <c r="C183" i="17"/>
  <c r="B183" i="17"/>
  <c r="H182" i="17"/>
  <c r="F182" i="17"/>
  <c r="E182" i="17"/>
  <c r="D182" i="17"/>
  <c r="C182" i="17"/>
  <c r="B182" i="17"/>
  <c r="H181" i="17"/>
  <c r="F181" i="17"/>
  <c r="E181" i="17"/>
  <c r="D181" i="17"/>
  <c r="C181" i="17"/>
  <c r="B181" i="17"/>
  <c r="H180" i="17"/>
  <c r="F180" i="17"/>
  <c r="E180" i="17"/>
  <c r="I180" i="17" s="1"/>
  <c r="D180" i="17"/>
  <c r="C180" i="17"/>
  <c r="B180" i="17"/>
  <c r="H179" i="17"/>
  <c r="F179" i="17"/>
  <c r="E179" i="17"/>
  <c r="D179" i="17"/>
  <c r="C179" i="17"/>
  <c r="B179" i="17"/>
  <c r="H178" i="17"/>
  <c r="F178" i="17"/>
  <c r="E178" i="17"/>
  <c r="D178" i="17"/>
  <c r="C178" i="17"/>
  <c r="B178" i="17"/>
  <c r="H177" i="17"/>
  <c r="F177" i="17"/>
  <c r="E177" i="17"/>
  <c r="D177" i="17"/>
  <c r="C177" i="17"/>
  <c r="B177" i="17"/>
  <c r="H176" i="17"/>
  <c r="F176" i="17"/>
  <c r="E176" i="17"/>
  <c r="D176" i="17"/>
  <c r="C176" i="17"/>
  <c r="B176" i="17"/>
  <c r="H175" i="17"/>
  <c r="F175" i="17"/>
  <c r="E175" i="17"/>
  <c r="D175" i="17"/>
  <c r="C175" i="17"/>
  <c r="B175" i="17"/>
  <c r="H174" i="17"/>
  <c r="F174" i="17"/>
  <c r="E174" i="17"/>
  <c r="D174" i="17"/>
  <c r="C174" i="17"/>
  <c r="B174" i="17"/>
  <c r="H173" i="17"/>
  <c r="F173" i="17"/>
  <c r="E173" i="17"/>
  <c r="D173" i="17"/>
  <c r="C173" i="17"/>
  <c r="B173" i="17"/>
  <c r="H172" i="17"/>
  <c r="F172" i="17"/>
  <c r="E172" i="17"/>
  <c r="D172" i="17"/>
  <c r="C172" i="17"/>
  <c r="B172" i="17"/>
  <c r="H171" i="17"/>
  <c r="F171" i="17"/>
  <c r="E171" i="17"/>
  <c r="D171" i="17"/>
  <c r="C171" i="17"/>
  <c r="B171" i="17"/>
  <c r="H170" i="17"/>
  <c r="F170" i="17"/>
  <c r="E170" i="17"/>
  <c r="D170" i="17"/>
  <c r="C170" i="17"/>
  <c r="B170" i="17"/>
  <c r="H169" i="17"/>
  <c r="F169" i="17"/>
  <c r="E169" i="17"/>
  <c r="D169" i="17"/>
  <c r="C169" i="17"/>
  <c r="B169" i="17"/>
  <c r="H168" i="17"/>
  <c r="F168" i="17"/>
  <c r="E168" i="17"/>
  <c r="D168" i="17"/>
  <c r="C168" i="17"/>
  <c r="B168" i="17"/>
  <c r="H167" i="17"/>
  <c r="F167" i="17"/>
  <c r="E167" i="17"/>
  <c r="D167" i="17"/>
  <c r="C167" i="17"/>
  <c r="B167" i="17"/>
  <c r="H166" i="17"/>
  <c r="F166" i="17"/>
  <c r="E166" i="17"/>
  <c r="D166" i="17"/>
  <c r="C166" i="17"/>
  <c r="B166" i="17"/>
  <c r="H165" i="17"/>
  <c r="F165" i="17"/>
  <c r="E165" i="17"/>
  <c r="D165" i="17"/>
  <c r="C165" i="17"/>
  <c r="B165" i="17"/>
  <c r="H164" i="17"/>
  <c r="F164" i="17"/>
  <c r="E164" i="17"/>
  <c r="D164" i="17"/>
  <c r="C164" i="17"/>
  <c r="B164" i="17"/>
  <c r="H163" i="17"/>
  <c r="F163" i="17"/>
  <c r="E163" i="17"/>
  <c r="D163" i="17"/>
  <c r="C163" i="17"/>
  <c r="B163" i="17"/>
  <c r="H162" i="17"/>
  <c r="F162" i="17"/>
  <c r="E162" i="17"/>
  <c r="D162" i="17"/>
  <c r="C162" i="17"/>
  <c r="B162" i="17"/>
  <c r="H161" i="17"/>
  <c r="F161" i="17"/>
  <c r="E161" i="17"/>
  <c r="D161" i="17"/>
  <c r="C161" i="17"/>
  <c r="B161" i="17"/>
  <c r="H160" i="17"/>
  <c r="F160" i="17"/>
  <c r="E160" i="17"/>
  <c r="D160" i="17"/>
  <c r="C160" i="17"/>
  <c r="B160" i="17"/>
  <c r="H159" i="17"/>
  <c r="F159" i="17"/>
  <c r="E159" i="17"/>
  <c r="D159" i="17"/>
  <c r="C159" i="17"/>
  <c r="B159" i="17"/>
  <c r="H158" i="17"/>
  <c r="F158" i="17"/>
  <c r="E158" i="17"/>
  <c r="D158" i="17"/>
  <c r="C158" i="17"/>
  <c r="B158" i="17"/>
  <c r="H157" i="17"/>
  <c r="F157" i="17"/>
  <c r="E157" i="17"/>
  <c r="D157" i="17"/>
  <c r="C157" i="17"/>
  <c r="B157" i="17"/>
  <c r="H156" i="17"/>
  <c r="F156" i="17"/>
  <c r="E156" i="17"/>
  <c r="D156" i="17"/>
  <c r="C156" i="17"/>
  <c r="B156" i="17"/>
  <c r="H155" i="17"/>
  <c r="F155" i="17"/>
  <c r="E155" i="17"/>
  <c r="D155" i="17"/>
  <c r="C155" i="17"/>
  <c r="B155" i="17"/>
  <c r="H154" i="17"/>
  <c r="F154" i="17"/>
  <c r="E154" i="17"/>
  <c r="D154" i="17"/>
  <c r="C154" i="17"/>
  <c r="B154" i="17"/>
  <c r="H153" i="17"/>
  <c r="F153" i="17"/>
  <c r="E153" i="17"/>
  <c r="D153" i="17"/>
  <c r="C153" i="17"/>
  <c r="B153" i="17"/>
  <c r="H152" i="17"/>
  <c r="F152" i="17"/>
  <c r="E152" i="17"/>
  <c r="D152" i="17"/>
  <c r="C152" i="17"/>
  <c r="B152" i="17"/>
  <c r="H151" i="17"/>
  <c r="F151" i="17"/>
  <c r="E151" i="17"/>
  <c r="D151" i="17"/>
  <c r="C151" i="17"/>
  <c r="B151" i="17"/>
  <c r="H150" i="17"/>
  <c r="F150" i="17"/>
  <c r="E150" i="17"/>
  <c r="D150" i="17"/>
  <c r="C150" i="17"/>
  <c r="B150" i="17"/>
  <c r="H149" i="17"/>
  <c r="F149" i="17"/>
  <c r="E149" i="17"/>
  <c r="D149" i="17"/>
  <c r="C149" i="17"/>
  <c r="B149" i="17"/>
  <c r="H148" i="17"/>
  <c r="F148" i="17"/>
  <c r="I148" i="17" s="1"/>
  <c r="E148" i="17"/>
  <c r="D148" i="17"/>
  <c r="C148" i="17"/>
  <c r="B148" i="17"/>
  <c r="H147" i="17"/>
  <c r="F147" i="17"/>
  <c r="E147" i="17"/>
  <c r="D147" i="17"/>
  <c r="C147" i="17"/>
  <c r="B147" i="17"/>
  <c r="H146" i="17"/>
  <c r="F146" i="17"/>
  <c r="E146" i="17"/>
  <c r="D146" i="17"/>
  <c r="C146" i="17"/>
  <c r="B146" i="17"/>
  <c r="H145" i="17"/>
  <c r="F145" i="17"/>
  <c r="E145" i="17"/>
  <c r="D145" i="17"/>
  <c r="C145" i="17"/>
  <c r="B145" i="17"/>
  <c r="H144" i="17"/>
  <c r="F144" i="17"/>
  <c r="E144" i="17"/>
  <c r="D144" i="17"/>
  <c r="C144" i="17"/>
  <c r="B144" i="17"/>
  <c r="H143" i="17"/>
  <c r="F143" i="17"/>
  <c r="E143" i="17"/>
  <c r="D143" i="17"/>
  <c r="C143" i="17"/>
  <c r="B143" i="17"/>
  <c r="H142" i="17"/>
  <c r="F142" i="17"/>
  <c r="E142" i="17"/>
  <c r="D142" i="17"/>
  <c r="C142" i="17"/>
  <c r="B142" i="17"/>
  <c r="H141" i="17"/>
  <c r="F141" i="17"/>
  <c r="E141" i="17"/>
  <c r="D141" i="17"/>
  <c r="C141" i="17"/>
  <c r="B141" i="17"/>
  <c r="H140" i="17"/>
  <c r="F140" i="17"/>
  <c r="E140" i="17"/>
  <c r="D140" i="17"/>
  <c r="C140" i="17"/>
  <c r="B140" i="17"/>
  <c r="H139" i="17"/>
  <c r="F139" i="17"/>
  <c r="E139" i="17"/>
  <c r="D139" i="17"/>
  <c r="C139" i="17"/>
  <c r="B139" i="17"/>
  <c r="H138" i="17"/>
  <c r="F138" i="17"/>
  <c r="E138" i="17"/>
  <c r="D138" i="17"/>
  <c r="C138" i="17"/>
  <c r="B138" i="17"/>
  <c r="H137" i="17"/>
  <c r="F137" i="17"/>
  <c r="E137" i="17"/>
  <c r="D137" i="17"/>
  <c r="C137" i="17"/>
  <c r="B137" i="17"/>
  <c r="H136" i="17"/>
  <c r="F136" i="17"/>
  <c r="E136" i="17"/>
  <c r="D136" i="17"/>
  <c r="C136" i="17"/>
  <c r="B136" i="17"/>
  <c r="H135" i="17"/>
  <c r="F135" i="17"/>
  <c r="E135" i="17"/>
  <c r="D135" i="17"/>
  <c r="C135" i="17"/>
  <c r="B135" i="17"/>
  <c r="H134" i="17"/>
  <c r="F134" i="17"/>
  <c r="E134" i="17"/>
  <c r="D134" i="17"/>
  <c r="C134" i="17"/>
  <c r="B134" i="17"/>
  <c r="H133" i="17"/>
  <c r="F133" i="17"/>
  <c r="E133" i="17"/>
  <c r="D133" i="17"/>
  <c r="C133" i="17"/>
  <c r="B133" i="17"/>
  <c r="H132" i="17"/>
  <c r="F132" i="17"/>
  <c r="E132" i="17"/>
  <c r="D132" i="17"/>
  <c r="C132" i="17"/>
  <c r="B132" i="17"/>
  <c r="H131" i="17"/>
  <c r="F131" i="17"/>
  <c r="E131" i="17"/>
  <c r="D131" i="17"/>
  <c r="C131" i="17"/>
  <c r="B131" i="17"/>
  <c r="H130" i="17"/>
  <c r="F130" i="17"/>
  <c r="E130" i="17"/>
  <c r="D130" i="17"/>
  <c r="C130" i="17"/>
  <c r="B130" i="17"/>
  <c r="H129" i="17"/>
  <c r="F129" i="17"/>
  <c r="E129" i="17"/>
  <c r="D129" i="17"/>
  <c r="C129" i="17"/>
  <c r="B129" i="17"/>
  <c r="H128" i="17"/>
  <c r="F128" i="17"/>
  <c r="E128" i="17"/>
  <c r="D128" i="17"/>
  <c r="C128" i="17"/>
  <c r="B128" i="17"/>
  <c r="H127" i="17"/>
  <c r="F127" i="17"/>
  <c r="E127" i="17"/>
  <c r="D127" i="17"/>
  <c r="C127" i="17"/>
  <c r="B127" i="17"/>
  <c r="H126" i="17"/>
  <c r="F126" i="17"/>
  <c r="E126" i="17"/>
  <c r="D126" i="17"/>
  <c r="C126" i="17"/>
  <c r="B126" i="17"/>
  <c r="H125" i="17"/>
  <c r="F125" i="17"/>
  <c r="E125" i="17"/>
  <c r="D125" i="17"/>
  <c r="C125" i="17"/>
  <c r="B125" i="17"/>
  <c r="H124" i="17"/>
  <c r="F124" i="17"/>
  <c r="E124" i="17"/>
  <c r="D124" i="17"/>
  <c r="C124" i="17"/>
  <c r="B124" i="17"/>
  <c r="H123" i="17"/>
  <c r="F123" i="17"/>
  <c r="E123" i="17"/>
  <c r="D123" i="17"/>
  <c r="C123" i="17"/>
  <c r="B123" i="17"/>
  <c r="H122" i="17"/>
  <c r="F122" i="17"/>
  <c r="E122" i="17"/>
  <c r="D122" i="17"/>
  <c r="C122" i="17"/>
  <c r="B122" i="17"/>
  <c r="H121" i="17"/>
  <c r="F121" i="17"/>
  <c r="E121" i="17"/>
  <c r="D121" i="17"/>
  <c r="C121" i="17"/>
  <c r="B121" i="17"/>
  <c r="H120" i="17"/>
  <c r="F120" i="17"/>
  <c r="E120" i="17"/>
  <c r="D120" i="17"/>
  <c r="C120" i="17"/>
  <c r="B120" i="17"/>
  <c r="H119" i="17"/>
  <c r="F119" i="17"/>
  <c r="E119" i="17"/>
  <c r="D119" i="17"/>
  <c r="C119" i="17"/>
  <c r="B119" i="17"/>
  <c r="H118" i="17"/>
  <c r="F118" i="17"/>
  <c r="E118" i="17"/>
  <c r="D118" i="17"/>
  <c r="C118" i="17"/>
  <c r="B118" i="17"/>
  <c r="H117" i="17"/>
  <c r="F117" i="17"/>
  <c r="E117" i="17"/>
  <c r="D117" i="17"/>
  <c r="C117" i="17"/>
  <c r="B117" i="17"/>
  <c r="H116" i="17"/>
  <c r="F116" i="17"/>
  <c r="E116" i="17"/>
  <c r="D116" i="17"/>
  <c r="C116" i="17"/>
  <c r="B116" i="17"/>
  <c r="H115" i="17"/>
  <c r="F115" i="17"/>
  <c r="E115" i="17"/>
  <c r="D115" i="17"/>
  <c r="C115" i="17"/>
  <c r="B115" i="17"/>
  <c r="H114" i="17"/>
  <c r="F114" i="17"/>
  <c r="E114" i="17"/>
  <c r="D114" i="17"/>
  <c r="C114" i="17"/>
  <c r="B114" i="17"/>
  <c r="H113" i="17"/>
  <c r="F113" i="17"/>
  <c r="E113" i="17"/>
  <c r="D113" i="17"/>
  <c r="C113" i="17"/>
  <c r="B113" i="17"/>
  <c r="H112" i="17"/>
  <c r="F112" i="17"/>
  <c r="E112" i="17"/>
  <c r="D112" i="17"/>
  <c r="C112" i="17"/>
  <c r="B112" i="17"/>
  <c r="H111" i="17"/>
  <c r="F111" i="17"/>
  <c r="E111" i="17"/>
  <c r="D111" i="17"/>
  <c r="C111" i="17"/>
  <c r="B111" i="17"/>
  <c r="H110" i="17"/>
  <c r="F110" i="17"/>
  <c r="E110" i="17"/>
  <c r="D110" i="17"/>
  <c r="C110" i="17"/>
  <c r="B110" i="17"/>
  <c r="H109" i="17"/>
  <c r="F109" i="17"/>
  <c r="E109" i="17"/>
  <c r="D109" i="17"/>
  <c r="C109" i="17"/>
  <c r="B109" i="17"/>
  <c r="H108" i="17"/>
  <c r="F108" i="17"/>
  <c r="E108" i="17"/>
  <c r="D108" i="17"/>
  <c r="C108" i="17"/>
  <c r="B108" i="17"/>
  <c r="H107" i="17"/>
  <c r="F107" i="17"/>
  <c r="E107" i="17"/>
  <c r="D107" i="17"/>
  <c r="C107" i="17"/>
  <c r="B107" i="17"/>
  <c r="H106" i="17"/>
  <c r="F106" i="17"/>
  <c r="E106" i="17"/>
  <c r="D106" i="17"/>
  <c r="C106" i="17"/>
  <c r="B106" i="17"/>
  <c r="H105" i="17"/>
  <c r="F105" i="17"/>
  <c r="E105" i="17"/>
  <c r="D105" i="17"/>
  <c r="C105" i="17"/>
  <c r="B105" i="17"/>
  <c r="H104" i="17"/>
  <c r="F104" i="17"/>
  <c r="E104" i="17"/>
  <c r="D104" i="17"/>
  <c r="C104" i="17"/>
  <c r="B104" i="17"/>
  <c r="H103" i="17"/>
  <c r="F103" i="17"/>
  <c r="E103" i="17"/>
  <c r="D103" i="17"/>
  <c r="C103" i="17"/>
  <c r="B103" i="17"/>
  <c r="H102" i="17"/>
  <c r="F102" i="17"/>
  <c r="E102" i="17"/>
  <c r="D102" i="17"/>
  <c r="C102" i="17"/>
  <c r="B102" i="17"/>
  <c r="H101" i="17"/>
  <c r="F101" i="17"/>
  <c r="E101" i="17"/>
  <c r="D101" i="17"/>
  <c r="C101" i="17"/>
  <c r="B101" i="17"/>
  <c r="H100" i="17"/>
  <c r="F100" i="17"/>
  <c r="E100" i="17"/>
  <c r="D100" i="17"/>
  <c r="C100" i="17"/>
  <c r="B100" i="17"/>
  <c r="H99" i="17"/>
  <c r="F99" i="17"/>
  <c r="E99" i="17"/>
  <c r="D99" i="17"/>
  <c r="C99" i="17"/>
  <c r="B99" i="17"/>
  <c r="H98" i="17"/>
  <c r="F98" i="17"/>
  <c r="E98" i="17"/>
  <c r="D98" i="17"/>
  <c r="C98" i="17"/>
  <c r="B98" i="17"/>
  <c r="H97" i="17"/>
  <c r="F97" i="17"/>
  <c r="E97" i="17"/>
  <c r="D97" i="17"/>
  <c r="C97" i="17"/>
  <c r="B97" i="17"/>
  <c r="H96" i="17"/>
  <c r="F96" i="17"/>
  <c r="E96" i="17"/>
  <c r="D96" i="17"/>
  <c r="C96" i="17"/>
  <c r="B96" i="17"/>
  <c r="H95" i="17"/>
  <c r="F95" i="17"/>
  <c r="E95" i="17"/>
  <c r="D95" i="17"/>
  <c r="C95" i="17"/>
  <c r="B95" i="17"/>
  <c r="H94" i="17"/>
  <c r="F94" i="17"/>
  <c r="E94" i="17"/>
  <c r="D94" i="17"/>
  <c r="C94" i="17"/>
  <c r="B94" i="17"/>
  <c r="H93" i="17"/>
  <c r="F93" i="17"/>
  <c r="E93" i="17"/>
  <c r="D93" i="17"/>
  <c r="C93" i="17"/>
  <c r="B93" i="17"/>
  <c r="H92" i="17"/>
  <c r="F92" i="17"/>
  <c r="E92" i="17"/>
  <c r="D92" i="17"/>
  <c r="C92" i="17"/>
  <c r="B92" i="17"/>
  <c r="H91" i="17"/>
  <c r="F91" i="17"/>
  <c r="E91" i="17"/>
  <c r="D91" i="17"/>
  <c r="C91" i="17"/>
  <c r="B91" i="17"/>
  <c r="H90" i="17"/>
  <c r="F90" i="17"/>
  <c r="E90" i="17"/>
  <c r="D90" i="17"/>
  <c r="C90" i="17"/>
  <c r="B90" i="17"/>
  <c r="H89" i="17"/>
  <c r="F89" i="17"/>
  <c r="E89" i="17"/>
  <c r="D89" i="17"/>
  <c r="C89" i="17"/>
  <c r="B89" i="17"/>
  <c r="H88" i="17"/>
  <c r="F88" i="17"/>
  <c r="E88" i="17"/>
  <c r="D88" i="17"/>
  <c r="C88" i="17"/>
  <c r="B88" i="17"/>
  <c r="H87" i="17"/>
  <c r="F87" i="17"/>
  <c r="E87" i="17"/>
  <c r="D87" i="17"/>
  <c r="C87" i="17"/>
  <c r="B87" i="17"/>
  <c r="H86" i="17"/>
  <c r="F86" i="17"/>
  <c r="E86" i="17"/>
  <c r="D86" i="17"/>
  <c r="C86" i="17"/>
  <c r="B86" i="17"/>
  <c r="H85" i="17"/>
  <c r="F85" i="17"/>
  <c r="E85" i="17"/>
  <c r="D85" i="17"/>
  <c r="C85" i="17"/>
  <c r="B85" i="17"/>
  <c r="H84" i="17"/>
  <c r="F84" i="17"/>
  <c r="E84" i="17"/>
  <c r="D84" i="17"/>
  <c r="C84" i="17"/>
  <c r="B84" i="17"/>
  <c r="H83" i="17"/>
  <c r="F83" i="17"/>
  <c r="E83" i="17"/>
  <c r="D83" i="17"/>
  <c r="C83" i="17"/>
  <c r="B83" i="17"/>
  <c r="H82" i="17"/>
  <c r="F82" i="17"/>
  <c r="E82" i="17"/>
  <c r="D82" i="17"/>
  <c r="C82" i="17"/>
  <c r="B82" i="17"/>
  <c r="H81" i="17"/>
  <c r="F81" i="17"/>
  <c r="E81" i="17"/>
  <c r="D81" i="17"/>
  <c r="C81" i="17"/>
  <c r="B81" i="17"/>
  <c r="H80" i="17"/>
  <c r="F80" i="17"/>
  <c r="E80" i="17"/>
  <c r="D80" i="17"/>
  <c r="C80" i="17"/>
  <c r="B80" i="17"/>
  <c r="H79" i="17"/>
  <c r="F79" i="17"/>
  <c r="E79" i="17"/>
  <c r="D79" i="17"/>
  <c r="C79" i="17"/>
  <c r="B79" i="17"/>
  <c r="H78" i="17"/>
  <c r="F78" i="17"/>
  <c r="E78" i="17"/>
  <c r="D78" i="17"/>
  <c r="C78" i="17"/>
  <c r="B78" i="17"/>
  <c r="H77" i="17"/>
  <c r="F77" i="17"/>
  <c r="E77" i="17"/>
  <c r="D77" i="17"/>
  <c r="C77" i="17"/>
  <c r="B77" i="17"/>
  <c r="H76" i="17"/>
  <c r="F76" i="17"/>
  <c r="E76" i="17"/>
  <c r="D76" i="17"/>
  <c r="C76" i="17"/>
  <c r="B76" i="17"/>
  <c r="H75" i="17"/>
  <c r="F75" i="17"/>
  <c r="E75" i="17"/>
  <c r="D75" i="17"/>
  <c r="C75" i="17"/>
  <c r="B75" i="17"/>
  <c r="H74" i="17"/>
  <c r="F74" i="17"/>
  <c r="E74" i="17"/>
  <c r="D74" i="17"/>
  <c r="C74" i="17"/>
  <c r="B74" i="17"/>
  <c r="H73" i="17"/>
  <c r="F73" i="17"/>
  <c r="E73" i="17"/>
  <c r="D73" i="17"/>
  <c r="C73" i="17"/>
  <c r="B73" i="17"/>
  <c r="H72" i="17"/>
  <c r="F72" i="17"/>
  <c r="E72" i="17"/>
  <c r="D72" i="17"/>
  <c r="C72" i="17"/>
  <c r="B72" i="17"/>
  <c r="H71" i="17"/>
  <c r="F71" i="17"/>
  <c r="E71" i="17"/>
  <c r="D71" i="17"/>
  <c r="C71" i="17"/>
  <c r="B71" i="17"/>
  <c r="H70" i="17"/>
  <c r="F70" i="17"/>
  <c r="E70" i="17"/>
  <c r="D70" i="17"/>
  <c r="C70" i="17"/>
  <c r="B70" i="17"/>
  <c r="H69" i="17"/>
  <c r="F69" i="17"/>
  <c r="E69" i="17"/>
  <c r="D69" i="17"/>
  <c r="C69" i="17"/>
  <c r="B69" i="17"/>
  <c r="H68" i="17"/>
  <c r="F68" i="17"/>
  <c r="E68" i="17"/>
  <c r="D68" i="17"/>
  <c r="C68" i="17"/>
  <c r="B68" i="17"/>
  <c r="H67" i="17"/>
  <c r="F67" i="17"/>
  <c r="E67" i="17"/>
  <c r="D67" i="17"/>
  <c r="C67" i="17"/>
  <c r="B67" i="17"/>
  <c r="H66" i="17"/>
  <c r="F66" i="17"/>
  <c r="E66" i="17"/>
  <c r="D66" i="17"/>
  <c r="C66" i="17"/>
  <c r="B66" i="17"/>
  <c r="H65" i="17"/>
  <c r="F65" i="17"/>
  <c r="E65" i="17"/>
  <c r="D65" i="17"/>
  <c r="C65" i="17"/>
  <c r="B65" i="17"/>
  <c r="H64" i="17"/>
  <c r="F64" i="17"/>
  <c r="E64" i="17"/>
  <c r="D64" i="17"/>
  <c r="C64" i="17"/>
  <c r="B64" i="17"/>
  <c r="H63" i="17"/>
  <c r="F63" i="17"/>
  <c r="E63" i="17"/>
  <c r="D63" i="17"/>
  <c r="C63" i="17"/>
  <c r="B63" i="17"/>
  <c r="H62" i="17"/>
  <c r="F62" i="17"/>
  <c r="E62" i="17"/>
  <c r="D62" i="17"/>
  <c r="C62" i="17"/>
  <c r="B62" i="17"/>
  <c r="H61" i="17"/>
  <c r="F61" i="17"/>
  <c r="E61" i="17"/>
  <c r="D61" i="17"/>
  <c r="C61" i="17"/>
  <c r="B61" i="17"/>
  <c r="H60" i="17"/>
  <c r="F60" i="17"/>
  <c r="E60" i="17"/>
  <c r="D60" i="17"/>
  <c r="C60" i="17"/>
  <c r="B60" i="17"/>
  <c r="H59" i="17"/>
  <c r="F59" i="17"/>
  <c r="E59" i="17"/>
  <c r="D59" i="17"/>
  <c r="C59" i="17"/>
  <c r="B59" i="17"/>
  <c r="H58" i="17"/>
  <c r="F58" i="17"/>
  <c r="E58" i="17"/>
  <c r="D58" i="17"/>
  <c r="C58" i="17"/>
  <c r="B58" i="17"/>
  <c r="H57" i="17"/>
  <c r="F57" i="17"/>
  <c r="E57" i="17"/>
  <c r="D57" i="17"/>
  <c r="C57" i="17"/>
  <c r="B57" i="17"/>
  <c r="H56" i="17"/>
  <c r="F56" i="17"/>
  <c r="E56" i="17"/>
  <c r="D56" i="17"/>
  <c r="C56" i="17"/>
  <c r="B56" i="17"/>
  <c r="H55" i="17"/>
  <c r="F55" i="17"/>
  <c r="E55" i="17"/>
  <c r="D55" i="17"/>
  <c r="C55" i="17"/>
  <c r="B55" i="17"/>
  <c r="H54" i="17"/>
  <c r="F54" i="17"/>
  <c r="E54" i="17"/>
  <c r="D54" i="17"/>
  <c r="C54" i="17"/>
  <c r="B54" i="17"/>
  <c r="H53" i="17"/>
  <c r="F53" i="17"/>
  <c r="E53" i="17"/>
  <c r="D53" i="17"/>
  <c r="C53" i="17"/>
  <c r="B53" i="17"/>
  <c r="H52" i="17"/>
  <c r="F52" i="17"/>
  <c r="E52" i="17"/>
  <c r="D52" i="17"/>
  <c r="C52" i="17"/>
  <c r="B52" i="17"/>
  <c r="H51" i="17"/>
  <c r="F51" i="17"/>
  <c r="E51" i="17"/>
  <c r="D51" i="17"/>
  <c r="C51" i="17"/>
  <c r="B51" i="17"/>
  <c r="H50" i="17"/>
  <c r="F50" i="17"/>
  <c r="E50" i="17"/>
  <c r="D50" i="17"/>
  <c r="C50" i="17"/>
  <c r="B50" i="17"/>
  <c r="H49" i="17"/>
  <c r="F49" i="17"/>
  <c r="E49" i="17"/>
  <c r="D49" i="17"/>
  <c r="C49" i="17"/>
  <c r="B49" i="17"/>
  <c r="H48" i="17"/>
  <c r="F48" i="17"/>
  <c r="E48" i="17"/>
  <c r="D48" i="17"/>
  <c r="C48" i="17"/>
  <c r="B48" i="17"/>
  <c r="H47" i="17"/>
  <c r="F47" i="17"/>
  <c r="E47" i="17"/>
  <c r="D47" i="17"/>
  <c r="C47" i="17"/>
  <c r="B47" i="17"/>
  <c r="H46" i="17"/>
  <c r="F46" i="17"/>
  <c r="E46" i="17"/>
  <c r="D46" i="17"/>
  <c r="C46" i="17"/>
  <c r="B46" i="17"/>
  <c r="H45" i="17"/>
  <c r="F45" i="17"/>
  <c r="E45" i="17"/>
  <c r="D45" i="17"/>
  <c r="C45" i="17"/>
  <c r="B45" i="17"/>
  <c r="H44" i="17"/>
  <c r="F44" i="17"/>
  <c r="I44" i="17" s="1"/>
  <c r="E44" i="17"/>
  <c r="D44" i="17"/>
  <c r="C44" i="17"/>
  <c r="B44" i="17"/>
  <c r="H43" i="17"/>
  <c r="F43" i="17"/>
  <c r="E43" i="17"/>
  <c r="D43" i="17"/>
  <c r="C43" i="17"/>
  <c r="B43" i="17"/>
  <c r="H42" i="17"/>
  <c r="F42" i="17"/>
  <c r="E42" i="17"/>
  <c r="D42" i="17"/>
  <c r="C42" i="17"/>
  <c r="B42" i="17"/>
  <c r="H41" i="17"/>
  <c r="F41" i="17"/>
  <c r="E41" i="17"/>
  <c r="D41" i="17"/>
  <c r="C41" i="17"/>
  <c r="B41" i="17"/>
  <c r="H40" i="17"/>
  <c r="F40" i="17"/>
  <c r="E40" i="17"/>
  <c r="D40" i="17"/>
  <c r="C40" i="17"/>
  <c r="B40" i="17"/>
  <c r="H39" i="17"/>
  <c r="F39" i="17"/>
  <c r="E39" i="17"/>
  <c r="D39" i="17"/>
  <c r="C39" i="17"/>
  <c r="B39" i="17"/>
  <c r="H38" i="17"/>
  <c r="F38" i="17"/>
  <c r="E38" i="17"/>
  <c r="D38" i="17"/>
  <c r="C38" i="17"/>
  <c r="B38" i="17"/>
  <c r="H37" i="17"/>
  <c r="F37" i="17"/>
  <c r="E37" i="17"/>
  <c r="D37" i="17"/>
  <c r="C37" i="17"/>
  <c r="B37" i="17"/>
  <c r="H36" i="17"/>
  <c r="F36" i="17"/>
  <c r="E36" i="17"/>
  <c r="D36" i="17"/>
  <c r="C36" i="17"/>
  <c r="B36" i="17"/>
  <c r="H35" i="17"/>
  <c r="F35" i="17"/>
  <c r="E35" i="17"/>
  <c r="D35" i="17"/>
  <c r="C35" i="17"/>
  <c r="B35" i="17"/>
  <c r="H34" i="17"/>
  <c r="F34" i="17"/>
  <c r="E34" i="17"/>
  <c r="D34" i="17"/>
  <c r="C34" i="17"/>
  <c r="B34" i="17"/>
  <c r="H33" i="17"/>
  <c r="F33" i="17"/>
  <c r="E33" i="17"/>
  <c r="D33" i="17"/>
  <c r="C33" i="17"/>
  <c r="B33" i="17"/>
  <c r="H32" i="17"/>
  <c r="F32" i="17"/>
  <c r="E32" i="17"/>
  <c r="D32" i="17"/>
  <c r="C32" i="17"/>
  <c r="B32" i="17"/>
  <c r="H31" i="17"/>
  <c r="F31" i="17"/>
  <c r="E31" i="17"/>
  <c r="D31" i="17"/>
  <c r="C31" i="17"/>
  <c r="B31" i="17"/>
  <c r="H30" i="17"/>
  <c r="F30" i="17"/>
  <c r="E30" i="17"/>
  <c r="D30" i="17"/>
  <c r="C30" i="17"/>
  <c r="B30" i="17"/>
  <c r="H29" i="17"/>
  <c r="F29" i="17"/>
  <c r="E29" i="17"/>
  <c r="D29" i="17"/>
  <c r="C29" i="17"/>
  <c r="B29" i="17"/>
  <c r="H28" i="17"/>
  <c r="F28" i="17"/>
  <c r="E28" i="17"/>
  <c r="D28" i="17"/>
  <c r="C28" i="17"/>
  <c r="B28" i="17"/>
  <c r="H27" i="17"/>
  <c r="F27" i="17"/>
  <c r="E27" i="17"/>
  <c r="D27" i="17"/>
  <c r="C27" i="17"/>
  <c r="B27" i="17"/>
  <c r="H26" i="17"/>
  <c r="F26" i="17"/>
  <c r="E26" i="17"/>
  <c r="D26" i="17"/>
  <c r="C26" i="17"/>
  <c r="B26" i="17"/>
  <c r="H25" i="17"/>
  <c r="F25" i="17"/>
  <c r="E25" i="17"/>
  <c r="D25" i="17"/>
  <c r="C25" i="17"/>
  <c r="B25" i="17"/>
  <c r="H24" i="17"/>
  <c r="F24" i="17"/>
  <c r="E24" i="17"/>
  <c r="D24" i="17"/>
  <c r="C24" i="17"/>
  <c r="B24" i="17"/>
  <c r="H23" i="17"/>
  <c r="F23" i="17"/>
  <c r="E23" i="17"/>
  <c r="D23" i="17"/>
  <c r="C23" i="17"/>
  <c r="B23" i="17"/>
  <c r="H22" i="17"/>
  <c r="F22" i="17"/>
  <c r="E22" i="17"/>
  <c r="D22" i="17"/>
  <c r="C22" i="17"/>
  <c r="B22" i="17"/>
  <c r="H21" i="17"/>
  <c r="F21" i="17"/>
  <c r="E21" i="17"/>
  <c r="D21" i="17"/>
  <c r="C21" i="17"/>
  <c r="B21" i="17"/>
  <c r="H20" i="17"/>
  <c r="F20" i="17"/>
  <c r="E20" i="17"/>
  <c r="D20" i="17"/>
  <c r="C20" i="17"/>
  <c r="B20" i="17"/>
  <c r="H19" i="17"/>
  <c r="F19" i="17"/>
  <c r="E19" i="17"/>
  <c r="D19" i="17"/>
  <c r="C19" i="17"/>
  <c r="B19" i="17"/>
  <c r="H18" i="17"/>
  <c r="F18" i="17"/>
  <c r="E18" i="17"/>
  <c r="D18" i="17"/>
  <c r="C18" i="17"/>
  <c r="B18" i="17"/>
  <c r="H17" i="17"/>
  <c r="F17" i="17"/>
  <c r="E17" i="17"/>
  <c r="D17" i="17"/>
  <c r="C17" i="17"/>
  <c r="B17" i="17"/>
  <c r="H16" i="17"/>
  <c r="F16" i="17"/>
  <c r="E16" i="17"/>
  <c r="D16" i="17"/>
  <c r="C16" i="17"/>
  <c r="B16" i="17"/>
  <c r="H15" i="17"/>
  <c r="F15" i="17"/>
  <c r="E15" i="17"/>
  <c r="D15" i="17"/>
  <c r="C15" i="17"/>
  <c r="B15" i="17"/>
  <c r="H14" i="17"/>
  <c r="F14" i="17"/>
  <c r="E14" i="17"/>
  <c r="D14" i="17"/>
  <c r="C14" i="17"/>
  <c r="B14" i="17"/>
  <c r="H13" i="17"/>
  <c r="F13" i="17"/>
  <c r="E13" i="17"/>
  <c r="D13" i="17"/>
  <c r="C13" i="17"/>
  <c r="B13" i="17"/>
  <c r="H12" i="17"/>
  <c r="F12" i="17"/>
  <c r="E12" i="17"/>
  <c r="D12" i="17"/>
  <c r="C12" i="17"/>
  <c r="B12" i="17"/>
  <c r="H11" i="17"/>
  <c r="F11" i="17"/>
  <c r="E11" i="17"/>
  <c r="D11" i="17"/>
  <c r="C11" i="17"/>
  <c r="B11" i="17"/>
  <c r="H10" i="17"/>
  <c r="F10" i="17"/>
  <c r="E10" i="17"/>
  <c r="D10" i="17"/>
  <c r="C10" i="17"/>
  <c r="B10" i="17"/>
  <c r="H9" i="17"/>
  <c r="F9" i="17"/>
  <c r="E9" i="17"/>
  <c r="D9" i="17"/>
  <c r="C9" i="17"/>
  <c r="B9" i="17"/>
  <c r="H8" i="17"/>
  <c r="F8" i="17"/>
  <c r="E8" i="17"/>
  <c r="D8" i="17"/>
  <c r="C8" i="17"/>
  <c r="B8" i="17"/>
  <c r="H7" i="17"/>
  <c r="F7" i="17"/>
  <c r="E7" i="17"/>
  <c r="D7" i="17"/>
  <c r="C7" i="17"/>
  <c r="B7" i="17"/>
  <c r="H6" i="17"/>
  <c r="F6" i="17"/>
  <c r="E6" i="17"/>
  <c r="D6" i="17"/>
  <c r="C6" i="17"/>
  <c r="B6" i="17"/>
  <c r="H5" i="17"/>
  <c r="F5" i="17"/>
  <c r="E5" i="17"/>
  <c r="D5" i="17"/>
  <c r="C5" i="17"/>
  <c r="B5" i="17"/>
  <c r="H4" i="17"/>
  <c r="F4" i="17"/>
  <c r="E4" i="17"/>
  <c r="D4" i="17"/>
  <c r="C4" i="17"/>
  <c r="B4" i="17"/>
  <c r="H3" i="17"/>
  <c r="G3" i="17"/>
  <c r="F3" i="17"/>
  <c r="E3" i="17"/>
  <c r="D3" i="17"/>
  <c r="C3" i="17"/>
  <c r="B3" i="17"/>
  <c r="H187" i="16"/>
  <c r="F187" i="16"/>
  <c r="E187" i="16"/>
  <c r="D187" i="16"/>
  <c r="C187" i="16"/>
  <c r="B187" i="16"/>
  <c r="H186" i="16"/>
  <c r="F186" i="16"/>
  <c r="E186" i="16"/>
  <c r="D186" i="16"/>
  <c r="C186" i="16"/>
  <c r="B186" i="16"/>
  <c r="H185" i="16"/>
  <c r="F185" i="16"/>
  <c r="E185" i="16"/>
  <c r="D185" i="16"/>
  <c r="C185" i="16"/>
  <c r="B185" i="16"/>
  <c r="H184" i="16"/>
  <c r="F184" i="16"/>
  <c r="E184" i="16"/>
  <c r="D184" i="16"/>
  <c r="C184" i="16"/>
  <c r="B184" i="16"/>
  <c r="H183" i="16"/>
  <c r="F183" i="16"/>
  <c r="E183" i="16"/>
  <c r="D183" i="16"/>
  <c r="C183" i="16"/>
  <c r="B183" i="16"/>
  <c r="H182" i="16"/>
  <c r="F182" i="16"/>
  <c r="E182" i="16"/>
  <c r="D182" i="16"/>
  <c r="C182" i="16"/>
  <c r="B182" i="16"/>
  <c r="H181" i="16"/>
  <c r="F181" i="16"/>
  <c r="E181" i="16"/>
  <c r="D181" i="16"/>
  <c r="C181" i="16"/>
  <c r="B181" i="16"/>
  <c r="H180" i="16"/>
  <c r="F180" i="16"/>
  <c r="E180" i="16"/>
  <c r="D180" i="16"/>
  <c r="C180" i="16"/>
  <c r="B180" i="16"/>
  <c r="H179" i="16"/>
  <c r="F179" i="16"/>
  <c r="E179" i="16"/>
  <c r="D179" i="16"/>
  <c r="C179" i="16"/>
  <c r="B179" i="16"/>
  <c r="H178" i="16"/>
  <c r="F178" i="16"/>
  <c r="E178" i="16"/>
  <c r="D178" i="16"/>
  <c r="C178" i="16"/>
  <c r="B178" i="16"/>
  <c r="H177" i="16"/>
  <c r="F177" i="16"/>
  <c r="E177" i="16"/>
  <c r="D177" i="16"/>
  <c r="C177" i="16"/>
  <c r="B177" i="16"/>
  <c r="H176" i="16"/>
  <c r="F176" i="16"/>
  <c r="E176" i="16"/>
  <c r="D176" i="16"/>
  <c r="C176" i="16"/>
  <c r="B176" i="16"/>
  <c r="H175" i="16"/>
  <c r="F175" i="16"/>
  <c r="E175" i="16"/>
  <c r="D175" i="16"/>
  <c r="C175" i="16"/>
  <c r="B175" i="16"/>
  <c r="H174" i="16"/>
  <c r="F174" i="16"/>
  <c r="E174" i="16"/>
  <c r="D174" i="16"/>
  <c r="C174" i="16"/>
  <c r="B174" i="16"/>
  <c r="H173" i="16"/>
  <c r="F173" i="16"/>
  <c r="E173" i="16"/>
  <c r="D173" i="16"/>
  <c r="C173" i="16"/>
  <c r="B173" i="16"/>
  <c r="H172" i="16"/>
  <c r="F172" i="16"/>
  <c r="E172" i="16"/>
  <c r="D172" i="16"/>
  <c r="C172" i="16"/>
  <c r="B172" i="16"/>
  <c r="H171" i="16"/>
  <c r="F171" i="16"/>
  <c r="E171" i="16"/>
  <c r="D171" i="16"/>
  <c r="C171" i="16"/>
  <c r="B171" i="16"/>
  <c r="H170" i="16"/>
  <c r="F170" i="16"/>
  <c r="E170" i="16"/>
  <c r="D170" i="16"/>
  <c r="C170" i="16"/>
  <c r="B170" i="16"/>
  <c r="H169" i="16"/>
  <c r="F169" i="16"/>
  <c r="E169" i="16"/>
  <c r="D169" i="16"/>
  <c r="C169" i="16"/>
  <c r="B169" i="16"/>
  <c r="H168" i="16"/>
  <c r="F168" i="16"/>
  <c r="E168" i="16"/>
  <c r="D168" i="16"/>
  <c r="C168" i="16"/>
  <c r="B168" i="16"/>
  <c r="H167" i="16"/>
  <c r="F167" i="16"/>
  <c r="E167" i="16"/>
  <c r="D167" i="16"/>
  <c r="C167" i="16"/>
  <c r="B167" i="16"/>
  <c r="H166" i="16"/>
  <c r="F166" i="16"/>
  <c r="E166" i="16"/>
  <c r="D166" i="16"/>
  <c r="C166" i="16"/>
  <c r="B166" i="16"/>
  <c r="H165" i="16"/>
  <c r="F165" i="16"/>
  <c r="E165" i="16"/>
  <c r="D165" i="16"/>
  <c r="C165" i="16"/>
  <c r="B165" i="16"/>
  <c r="H164" i="16"/>
  <c r="F164" i="16"/>
  <c r="E164" i="16"/>
  <c r="D164" i="16"/>
  <c r="C164" i="16"/>
  <c r="B164" i="16"/>
  <c r="H163" i="16"/>
  <c r="F163" i="16"/>
  <c r="E163" i="16"/>
  <c r="D163" i="16"/>
  <c r="C163" i="16"/>
  <c r="B163" i="16"/>
  <c r="H162" i="16"/>
  <c r="F162" i="16"/>
  <c r="E162" i="16"/>
  <c r="D162" i="16"/>
  <c r="C162" i="16"/>
  <c r="B162" i="16"/>
  <c r="H161" i="16"/>
  <c r="F161" i="16"/>
  <c r="E161" i="16"/>
  <c r="D161" i="16"/>
  <c r="C161" i="16"/>
  <c r="B161" i="16"/>
  <c r="H160" i="16"/>
  <c r="F160" i="16"/>
  <c r="E160" i="16"/>
  <c r="D160" i="16"/>
  <c r="C160" i="16"/>
  <c r="B160" i="16"/>
  <c r="H159" i="16"/>
  <c r="F159" i="16"/>
  <c r="E159" i="16"/>
  <c r="D159" i="16"/>
  <c r="C159" i="16"/>
  <c r="B159" i="16"/>
  <c r="H158" i="16"/>
  <c r="F158" i="16"/>
  <c r="E158" i="16"/>
  <c r="D158" i="16"/>
  <c r="C158" i="16"/>
  <c r="B158" i="16"/>
  <c r="H157" i="16"/>
  <c r="F157" i="16"/>
  <c r="E157" i="16"/>
  <c r="D157" i="16"/>
  <c r="C157" i="16"/>
  <c r="B157" i="16"/>
  <c r="H156" i="16"/>
  <c r="F156" i="16"/>
  <c r="E156" i="16"/>
  <c r="D156" i="16"/>
  <c r="C156" i="16"/>
  <c r="B156" i="16"/>
  <c r="H155" i="16"/>
  <c r="F155" i="16"/>
  <c r="E155" i="16"/>
  <c r="D155" i="16"/>
  <c r="C155" i="16"/>
  <c r="B155" i="16"/>
  <c r="H154" i="16"/>
  <c r="F154" i="16"/>
  <c r="E154" i="16"/>
  <c r="D154" i="16"/>
  <c r="C154" i="16"/>
  <c r="B154" i="16"/>
  <c r="H153" i="16"/>
  <c r="F153" i="16"/>
  <c r="E153" i="16"/>
  <c r="D153" i="16"/>
  <c r="C153" i="16"/>
  <c r="B153" i="16"/>
  <c r="H152" i="16"/>
  <c r="F152" i="16"/>
  <c r="E152" i="16"/>
  <c r="D152" i="16"/>
  <c r="C152" i="16"/>
  <c r="B152" i="16"/>
  <c r="H151" i="16"/>
  <c r="F151" i="16"/>
  <c r="E151" i="16"/>
  <c r="D151" i="16"/>
  <c r="C151" i="16"/>
  <c r="B151" i="16"/>
  <c r="H150" i="16"/>
  <c r="F150" i="16"/>
  <c r="E150" i="16"/>
  <c r="D150" i="16"/>
  <c r="C150" i="16"/>
  <c r="B150" i="16"/>
  <c r="H149" i="16"/>
  <c r="F149" i="16"/>
  <c r="E149" i="16"/>
  <c r="D149" i="16"/>
  <c r="C149" i="16"/>
  <c r="B149" i="16"/>
  <c r="H148" i="16"/>
  <c r="F148" i="16"/>
  <c r="E148" i="16"/>
  <c r="D148" i="16"/>
  <c r="C148" i="16"/>
  <c r="B148" i="16"/>
  <c r="H147" i="16"/>
  <c r="F147" i="16"/>
  <c r="E147" i="16"/>
  <c r="D147" i="16"/>
  <c r="C147" i="16"/>
  <c r="B147" i="16"/>
  <c r="H146" i="16"/>
  <c r="F146" i="16"/>
  <c r="E146" i="16"/>
  <c r="D146" i="16"/>
  <c r="C146" i="16"/>
  <c r="B146" i="16"/>
  <c r="H145" i="16"/>
  <c r="F145" i="16"/>
  <c r="E145" i="16"/>
  <c r="D145" i="16"/>
  <c r="C145" i="16"/>
  <c r="B145" i="16"/>
  <c r="H144" i="16"/>
  <c r="F144" i="16"/>
  <c r="E144" i="16"/>
  <c r="D144" i="16"/>
  <c r="C144" i="16"/>
  <c r="B144" i="16"/>
  <c r="H143" i="16"/>
  <c r="F143" i="16"/>
  <c r="E143" i="16"/>
  <c r="D143" i="16"/>
  <c r="C143" i="16"/>
  <c r="B143" i="16"/>
  <c r="H142" i="16"/>
  <c r="F142" i="16"/>
  <c r="E142" i="16"/>
  <c r="D142" i="16"/>
  <c r="C142" i="16"/>
  <c r="B142" i="16"/>
  <c r="H141" i="16"/>
  <c r="F141" i="16"/>
  <c r="E141" i="16"/>
  <c r="D141" i="16"/>
  <c r="C141" i="16"/>
  <c r="B141" i="16"/>
  <c r="H140" i="16"/>
  <c r="F140" i="16"/>
  <c r="E140" i="16"/>
  <c r="D140" i="16"/>
  <c r="C140" i="16"/>
  <c r="B140" i="16"/>
  <c r="H139" i="16"/>
  <c r="F139" i="16"/>
  <c r="E139" i="16"/>
  <c r="D139" i="16"/>
  <c r="C139" i="16"/>
  <c r="B139" i="16"/>
  <c r="H138" i="16"/>
  <c r="F138" i="16"/>
  <c r="E138" i="16"/>
  <c r="D138" i="16"/>
  <c r="C138" i="16"/>
  <c r="B138" i="16"/>
  <c r="H137" i="16"/>
  <c r="F137" i="16"/>
  <c r="E137" i="16"/>
  <c r="D137" i="16"/>
  <c r="C137" i="16"/>
  <c r="B137" i="16"/>
  <c r="H136" i="16"/>
  <c r="F136" i="16"/>
  <c r="E136" i="16"/>
  <c r="D136" i="16"/>
  <c r="C136" i="16"/>
  <c r="B136" i="16"/>
  <c r="H135" i="16"/>
  <c r="F135" i="16"/>
  <c r="E135" i="16"/>
  <c r="D135" i="16"/>
  <c r="C135" i="16"/>
  <c r="B135" i="16"/>
  <c r="H134" i="16"/>
  <c r="F134" i="16"/>
  <c r="E134" i="16"/>
  <c r="D134" i="16"/>
  <c r="C134" i="16"/>
  <c r="B134" i="16"/>
  <c r="H133" i="16"/>
  <c r="F133" i="16"/>
  <c r="E133" i="16"/>
  <c r="D133" i="16"/>
  <c r="C133" i="16"/>
  <c r="B133" i="16"/>
  <c r="H132" i="16"/>
  <c r="F132" i="16"/>
  <c r="E132" i="16"/>
  <c r="D132" i="16"/>
  <c r="C132" i="16"/>
  <c r="B132" i="16"/>
  <c r="H131" i="16"/>
  <c r="F131" i="16"/>
  <c r="E131" i="16"/>
  <c r="D131" i="16"/>
  <c r="C131" i="16"/>
  <c r="B131" i="16"/>
  <c r="H130" i="16"/>
  <c r="F130" i="16"/>
  <c r="E130" i="16"/>
  <c r="D130" i="16"/>
  <c r="C130" i="16"/>
  <c r="B130" i="16"/>
  <c r="H129" i="16"/>
  <c r="F129" i="16"/>
  <c r="E129" i="16"/>
  <c r="D129" i="16"/>
  <c r="C129" i="16"/>
  <c r="B129" i="16"/>
  <c r="H128" i="16"/>
  <c r="F128" i="16"/>
  <c r="E128" i="16"/>
  <c r="D128" i="16"/>
  <c r="C128" i="16"/>
  <c r="B128" i="16"/>
  <c r="H127" i="16"/>
  <c r="F127" i="16"/>
  <c r="E127" i="16"/>
  <c r="D127" i="16"/>
  <c r="C127" i="16"/>
  <c r="B127" i="16"/>
  <c r="H126" i="16"/>
  <c r="F126" i="16"/>
  <c r="E126" i="16"/>
  <c r="D126" i="16"/>
  <c r="C126" i="16"/>
  <c r="B126" i="16"/>
  <c r="H125" i="16"/>
  <c r="F125" i="16"/>
  <c r="E125" i="16"/>
  <c r="D125" i="16"/>
  <c r="C125" i="16"/>
  <c r="B125" i="16"/>
  <c r="H124" i="16"/>
  <c r="F124" i="16"/>
  <c r="E124" i="16"/>
  <c r="D124" i="16"/>
  <c r="C124" i="16"/>
  <c r="B124" i="16"/>
  <c r="H123" i="16"/>
  <c r="F123" i="16"/>
  <c r="E123" i="16"/>
  <c r="D123" i="16"/>
  <c r="C123" i="16"/>
  <c r="B123" i="16"/>
  <c r="H122" i="16"/>
  <c r="F122" i="16"/>
  <c r="E122" i="16"/>
  <c r="D122" i="16"/>
  <c r="C122" i="16"/>
  <c r="B122" i="16"/>
  <c r="H121" i="16"/>
  <c r="F121" i="16"/>
  <c r="E121" i="16"/>
  <c r="D121" i="16"/>
  <c r="C121" i="16"/>
  <c r="B121" i="16"/>
  <c r="H120" i="16"/>
  <c r="F120" i="16"/>
  <c r="E120" i="16"/>
  <c r="D120" i="16"/>
  <c r="C120" i="16"/>
  <c r="B120" i="16"/>
  <c r="H119" i="16"/>
  <c r="F119" i="16"/>
  <c r="E119" i="16"/>
  <c r="D119" i="16"/>
  <c r="C119" i="16"/>
  <c r="B119" i="16"/>
  <c r="H118" i="16"/>
  <c r="F118" i="16"/>
  <c r="E118" i="16"/>
  <c r="D118" i="16"/>
  <c r="C118" i="16"/>
  <c r="B118" i="16"/>
  <c r="H117" i="16"/>
  <c r="F117" i="16"/>
  <c r="E117" i="16"/>
  <c r="D117" i="16"/>
  <c r="C117" i="16"/>
  <c r="B117" i="16"/>
  <c r="H116" i="16"/>
  <c r="F116" i="16"/>
  <c r="E116" i="16"/>
  <c r="D116" i="16"/>
  <c r="C116" i="16"/>
  <c r="B116" i="16"/>
  <c r="H115" i="16"/>
  <c r="F115" i="16"/>
  <c r="E115" i="16"/>
  <c r="D115" i="16"/>
  <c r="C115" i="16"/>
  <c r="B115" i="16"/>
  <c r="H114" i="16"/>
  <c r="F114" i="16"/>
  <c r="E114" i="16"/>
  <c r="D114" i="16"/>
  <c r="C114" i="16"/>
  <c r="B114" i="16"/>
  <c r="H113" i="16"/>
  <c r="F113" i="16"/>
  <c r="E113" i="16"/>
  <c r="D113" i="16"/>
  <c r="C113" i="16"/>
  <c r="B113" i="16"/>
  <c r="H112" i="16"/>
  <c r="F112" i="16"/>
  <c r="E112" i="16"/>
  <c r="D112" i="16"/>
  <c r="C112" i="16"/>
  <c r="B112" i="16"/>
  <c r="H111" i="16"/>
  <c r="F111" i="16"/>
  <c r="E111" i="16"/>
  <c r="D111" i="16"/>
  <c r="C111" i="16"/>
  <c r="B111" i="16"/>
  <c r="H110" i="16"/>
  <c r="F110" i="16"/>
  <c r="E110" i="16"/>
  <c r="D110" i="16"/>
  <c r="C110" i="16"/>
  <c r="B110" i="16"/>
  <c r="H109" i="16"/>
  <c r="F109" i="16"/>
  <c r="E109" i="16"/>
  <c r="D109" i="16"/>
  <c r="C109" i="16"/>
  <c r="B109" i="16"/>
  <c r="H108" i="16"/>
  <c r="F108" i="16"/>
  <c r="E108" i="16"/>
  <c r="D108" i="16"/>
  <c r="C108" i="16"/>
  <c r="B108" i="16"/>
  <c r="H107" i="16"/>
  <c r="F107" i="16"/>
  <c r="E107" i="16"/>
  <c r="D107" i="16"/>
  <c r="C107" i="16"/>
  <c r="B107" i="16"/>
  <c r="H106" i="16"/>
  <c r="F106" i="16"/>
  <c r="E106" i="16"/>
  <c r="D106" i="16"/>
  <c r="C106" i="16"/>
  <c r="B106" i="16"/>
  <c r="H105" i="16"/>
  <c r="F105" i="16"/>
  <c r="E105" i="16"/>
  <c r="D105" i="16"/>
  <c r="C105" i="16"/>
  <c r="B105" i="16"/>
  <c r="H104" i="16"/>
  <c r="F104" i="16"/>
  <c r="E104" i="16"/>
  <c r="D104" i="16"/>
  <c r="C104" i="16"/>
  <c r="B104" i="16"/>
  <c r="H103" i="16"/>
  <c r="F103" i="16"/>
  <c r="E103" i="16"/>
  <c r="D103" i="16"/>
  <c r="C103" i="16"/>
  <c r="B103" i="16"/>
  <c r="H102" i="16"/>
  <c r="F102" i="16"/>
  <c r="E102" i="16"/>
  <c r="D102" i="16"/>
  <c r="C102" i="16"/>
  <c r="B102" i="16"/>
  <c r="H101" i="16"/>
  <c r="F101" i="16"/>
  <c r="E101" i="16"/>
  <c r="D101" i="16"/>
  <c r="C101" i="16"/>
  <c r="B101" i="16"/>
  <c r="H100" i="16"/>
  <c r="F100" i="16"/>
  <c r="E100" i="16"/>
  <c r="D100" i="16"/>
  <c r="C100" i="16"/>
  <c r="B100" i="16"/>
  <c r="H99" i="16"/>
  <c r="F99" i="16"/>
  <c r="E99" i="16"/>
  <c r="D99" i="16"/>
  <c r="C99" i="16"/>
  <c r="B99" i="16"/>
  <c r="H98" i="16"/>
  <c r="F98" i="16"/>
  <c r="E98" i="16"/>
  <c r="D98" i="16"/>
  <c r="C98" i="16"/>
  <c r="B98" i="16"/>
  <c r="H97" i="16"/>
  <c r="F97" i="16"/>
  <c r="E97" i="16"/>
  <c r="D97" i="16"/>
  <c r="C97" i="16"/>
  <c r="B97" i="16"/>
  <c r="H96" i="16"/>
  <c r="F96" i="16"/>
  <c r="E96" i="16"/>
  <c r="D96" i="16"/>
  <c r="C96" i="16"/>
  <c r="B96" i="16"/>
  <c r="H95" i="16"/>
  <c r="F95" i="16"/>
  <c r="E95" i="16"/>
  <c r="D95" i="16"/>
  <c r="C95" i="16"/>
  <c r="B95" i="16"/>
  <c r="H94" i="16"/>
  <c r="F94" i="16"/>
  <c r="E94" i="16"/>
  <c r="D94" i="16"/>
  <c r="C94" i="16"/>
  <c r="B94" i="16"/>
  <c r="H93" i="16"/>
  <c r="F93" i="16"/>
  <c r="E93" i="16"/>
  <c r="D93" i="16"/>
  <c r="C93" i="16"/>
  <c r="B93" i="16"/>
  <c r="H92" i="16"/>
  <c r="F92" i="16"/>
  <c r="E92" i="16"/>
  <c r="D92" i="16"/>
  <c r="C92" i="16"/>
  <c r="B92" i="16"/>
  <c r="H91" i="16"/>
  <c r="F91" i="16"/>
  <c r="E91" i="16"/>
  <c r="D91" i="16"/>
  <c r="C91" i="16"/>
  <c r="B91" i="16"/>
  <c r="H90" i="16"/>
  <c r="F90" i="16"/>
  <c r="E90" i="16"/>
  <c r="D90" i="16"/>
  <c r="C90" i="16"/>
  <c r="B90" i="16"/>
  <c r="H89" i="16"/>
  <c r="F89" i="16"/>
  <c r="E89" i="16"/>
  <c r="D89" i="16"/>
  <c r="C89" i="16"/>
  <c r="B89" i="16"/>
  <c r="H88" i="16"/>
  <c r="F88" i="16"/>
  <c r="E88" i="16"/>
  <c r="D88" i="16"/>
  <c r="C88" i="16"/>
  <c r="B88" i="16"/>
  <c r="H87" i="16"/>
  <c r="F87" i="16"/>
  <c r="E87" i="16"/>
  <c r="D87" i="16"/>
  <c r="C87" i="16"/>
  <c r="B87" i="16"/>
  <c r="H86" i="16"/>
  <c r="F86" i="16"/>
  <c r="E86" i="16"/>
  <c r="D86" i="16"/>
  <c r="C86" i="16"/>
  <c r="B86" i="16"/>
  <c r="H85" i="16"/>
  <c r="F85" i="16"/>
  <c r="E85" i="16"/>
  <c r="D85" i="16"/>
  <c r="C85" i="16"/>
  <c r="B85" i="16"/>
  <c r="H84" i="16"/>
  <c r="F84" i="16"/>
  <c r="E84" i="16"/>
  <c r="D84" i="16"/>
  <c r="C84" i="16"/>
  <c r="B84" i="16"/>
  <c r="H83" i="16"/>
  <c r="F83" i="16"/>
  <c r="E83" i="16"/>
  <c r="D83" i="16"/>
  <c r="C83" i="16"/>
  <c r="B83" i="16"/>
  <c r="H82" i="16"/>
  <c r="F82" i="16"/>
  <c r="E82" i="16"/>
  <c r="D82" i="16"/>
  <c r="C82" i="16"/>
  <c r="B82" i="16"/>
  <c r="H81" i="16"/>
  <c r="F81" i="16"/>
  <c r="E81" i="16"/>
  <c r="D81" i="16"/>
  <c r="C81" i="16"/>
  <c r="B81" i="16"/>
  <c r="H80" i="16"/>
  <c r="F80" i="16"/>
  <c r="E80" i="16"/>
  <c r="D80" i="16"/>
  <c r="C80" i="16"/>
  <c r="B80" i="16"/>
  <c r="H79" i="16"/>
  <c r="F79" i="16"/>
  <c r="E79" i="16"/>
  <c r="D79" i="16"/>
  <c r="C79" i="16"/>
  <c r="B79" i="16"/>
  <c r="H78" i="16"/>
  <c r="F78" i="16"/>
  <c r="E78" i="16"/>
  <c r="D78" i="16"/>
  <c r="C78" i="16"/>
  <c r="B78" i="16"/>
  <c r="H77" i="16"/>
  <c r="F77" i="16"/>
  <c r="E77" i="16"/>
  <c r="D77" i="16"/>
  <c r="C77" i="16"/>
  <c r="B77" i="16"/>
  <c r="H76" i="16"/>
  <c r="F76" i="16"/>
  <c r="E76" i="16"/>
  <c r="D76" i="16"/>
  <c r="C76" i="16"/>
  <c r="B76" i="16"/>
  <c r="H75" i="16"/>
  <c r="F75" i="16"/>
  <c r="E75" i="16"/>
  <c r="D75" i="16"/>
  <c r="C75" i="16"/>
  <c r="B75" i="16"/>
  <c r="H74" i="16"/>
  <c r="F74" i="16"/>
  <c r="E74" i="16"/>
  <c r="D74" i="16"/>
  <c r="C74" i="16"/>
  <c r="B74" i="16"/>
  <c r="H73" i="16"/>
  <c r="F73" i="16"/>
  <c r="E73" i="16"/>
  <c r="D73" i="16"/>
  <c r="C73" i="16"/>
  <c r="B73" i="16"/>
  <c r="H72" i="16"/>
  <c r="F72" i="16"/>
  <c r="E72" i="16"/>
  <c r="D72" i="16"/>
  <c r="C72" i="16"/>
  <c r="B72" i="16"/>
  <c r="H71" i="16"/>
  <c r="F71" i="16"/>
  <c r="E71" i="16"/>
  <c r="D71" i="16"/>
  <c r="C71" i="16"/>
  <c r="B71" i="16"/>
  <c r="H70" i="16"/>
  <c r="F70" i="16"/>
  <c r="E70" i="16"/>
  <c r="D70" i="16"/>
  <c r="C70" i="16"/>
  <c r="B70" i="16"/>
  <c r="H69" i="16"/>
  <c r="F69" i="16"/>
  <c r="E69" i="16"/>
  <c r="D69" i="16"/>
  <c r="C69" i="16"/>
  <c r="B69" i="16"/>
  <c r="H68" i="16"/>
  <c r="F68" i="16"/>
  <c r="E68" i="16"/>
  <c r="D68" i="16"/>
  <c r="C68" i="16"/>
  <c r="B68" i="16"/>
  <c r="H67" i="16"/>
  <c r="F67" i="16"/>
  <c r="E67" i="16"/>
  <c r="D67" i="16"/>
  <c r="C67" i="16"/>
  <c r="B67" i="16"/>
  <c r="H66" i="16"/>
  <c r="F66" i="16"/>
  <c r="E66" i="16"/>
  <c r="D66" i="16"/>
  <c r="C66" i="16"/>
  <c r="B66" i="16"/>
  <c r="H65" i="16"/>
  <c r="F65" i="16"/>
  <c r="E65" i="16"/>
  <c r="D65" i="16"/>
  <c r="C65" i="16"/>
  <c r="B65" i="16"/>
  <c r="H64" i="16"/>
  <c r="F64" i="16"/>
  <c r="E64" i="16"/>
  <c r="D64" i="16"/>
  <c r="C64" i="16"/>
  <c r="B64" i="16"/>
  <c r="H63" i="16"/>
  <c r="F63" i="16"/>
  <c r="E63" i="16"/>
  <c r="D63" i="16"/>
  <c r="C63" i="16"/>
  <c r="B63" i="16"/>
  <c r="H62" i="16"/>
  <c r="F62" i="16"/>
  <c r="E62" i="16"/>
  <c r="D62" i="16"/>
  <c r="C62" i="16"/>
  <c r="B62" i="16"/>
  <c r="H61" i="16"/>
  <c r="F61" i="16"/>
  <c r="E61" i="16"/>
  <c r="D61" i="16"/>
  <c r="C61" i="16"/>
  <c r="B61" i="16"/>
  <c r="H60" i="16"/>
  <c r="F60" i="16"/>
  <c r="E60" i="16"/>
  <c r="D60" i="16"/>
  <c r="C60" i="16"/>
  <c r="B60" i="16"/>
  <c r="H59" i="16"/>
  <c r="F59" i="16"/>
  <c r="E59" i="16"/>
  <c r="D59" i="16"/>
  <c r="C59" i="16"/>
  <c r="B59" i="16"/>
  <c r="H58" i="16"/>
  <c r="F58" i="16"/>
  <c r="E58" i="16"/>
  <c r="D58" i="16"/>
  <c r="C58" i="16"/>
  <c r="B58" i="16"/>
  <c r="H57" i="16"/>
  <c r="F57" i="16"/>
  <c r="E57" i="16"/>
  <c r="D57" i="16"/>
  <c r="C57" i="16"/>
  <c r="B57" i="16"/>
  <c r="H56" i="16"/>
  <c r="F56" i="16"/>
  <c r="E56" i="16"/>
  <c r="D56" i="16"/>
  <c r="C56" i="16"/>
  <c r="B56" i="16"/>
  <c r="H55" i="16"/>
  <c r="F55" i="16"/>
  <c r="E55" i="16"/>
  <c r="D55" i="16"/>
  <c r="C55" i="16"/>
  <c r="B55" i="16"/>
  <c r="H54" i="16"/>
  <c r="F54" i="16"/>
  <c r="E54" i="16"/>
  <c r="D54" i="16"/>
  <c r="C54" i="16"/>
  <c r="B54" i="16"/>
  <c r="H53" i="16"/>
  <c r="F53" i="16"/>
  <c r="E53" i="16"/>
  <c r="D53" i="16"/>
  <c r="C53" i="16"/>
  <c r="B53" i="16"/>
  <c r="H52" i="16"/>
  <c r="F52" i="16"/>
  <c r="E52" i="16"/>
  <c r="D52" i="16"/>
  <c r="C52" i="16"/>
  <c r="B52" i="16"/>
  <c r="H51" i="16"/>
  <c r="F51" i="16"/>
  <c r="E51" i="16"/>
  <c r="D51" i="16"/>
  <c r="C51" i="16"/>
  <c r="B51" i="16"/>
  <c r="H50" i="16"/>
  <c r="F50" i="16"/>
  <c r="E50" i="16"/>
  <c r="D50" i="16"/>
  <c r="C50" i="16"/>
  <c r="B50" i="16"/>
  <c r="H49" i="16"/>
  <c r="F49" i="16"/>
  <c r="E49" i="16"/>
  <c r="D49" i="16"/>
  <c r="C49" i="16"/>
  <c r="B49" i="16"/>
  <c r="H48" i="16"/>
  <c r="F48" i="16"/>
  <c r="E48" i="16"/>
  <c r="D48" i="16"/>
  <c r="C48" i="16"/>
  <c r="B48" i="16"/>
  <c r="H47" i="16"/>
  <c r="F47" i="16"/>
  <c r="E47" i="16"/>
  <c r="D47" i="16"/>
  <c r="C47" i="16"/>
  <c r="B47" i="16"/>
  <c r="H46" i="16"/>
  <c r="F46" i="16"/>
  <c r="E46" i="16"/>
  <c r="D46" i="16"/>
  <c r="C46" i="16"/>
  <c r="B46" i="16"/>
  <c r="H45" i="16"/>
  <c r="F45" i="16"/>
  <c r="E45" i="16"/>
  <c r="D45" i="16"/>
  <c r="C45" i="16"/>
  <c r="B45" i="16"/>
  <c r="H44" i="16"/>
  <c r="F44" i="16"/>
  <c r="E44" i="16"/>
  <c r="D44" i="16"/>
  <c r="C44" i="16"/>
  <c r="B44" i="16"/>
  <c r="H43" i="16"/>
  <c r="F43" i="16"/>
  <c r="E43" i="16"/>
  <c r="D43" i="16"/>
  <c r="C43" i="16"/>
  <c r="B43" i="16"/>
  <c r="H42" i="16"/>
  <c r="F42" i="16"/>
  <c r="E42" i="16"/>
  <c r="D42" i="16"/>
  <c r="C42" i="16"/>
  <c r="B42" i="16"/>
  <c r="H41" i="16"/>
  <c r="F41" i="16"/>
  <c r="E41" i="16"/>
  <c r="D41" i="16"/>
  <c r="C41" i="16"/>
  <c r="B41" i="16"/>
  <c r="H40" i="16"/>
  <c r="F40" i="16"/>
  <c r="E40" i="16"/>
  <c r="D40" i="16"/>
  <c r="C40" i="16"/>
  <c r="B40" i="16"/>
  <c r="H39" i="16"/>
  <c r="F39" i="16"/>
  <c r="E39" i="16"/>
  <c r="D39" i="16"/>
  <c r="C39" i="16"/>
  <c r="B39" i="16"/>
  <c r="H38" i="16"/>
  <c r="F38" i="16"/>
  <c r="E38" i="16"/>
  <c r="D38" i="16"/>
  <c r="C38" i="16"/>
  <c r="B38" i="16"/>
  <c r="H37" i="16"/>
  <c r="F37" i="16"/>
  <c r="E37" i="16"/>
  <c r="D37" i="16"/>
  <c r="C37" i="16"/>
  <c r="B37" i="16"/>
  <c r="H36" i="16"/>
  <c r="F36" i="16"/>
  <c r="E36" i="16"/>
  <c r="D36" i="16"/>
  <c r="C36" i="16"/>
  <c r="B36" i="16"/>
  <c r="H35" i="16"/>
  <c r="F35" i="16"/>
  <c r="E35" i="16"/>
  <c r="D35" i="16"/>
  <c r="C35" i="16"/>
  <c r="B35" i="16"/>
  <c r="H34" i="16"/>
  <c r="F34" i="16"/>
  <c r="E34" i="16"/>
  <c r="D34" i="16"/>
  <c r="C34" i="16"/>
  <c r="B34" i="16"/>
  <c r="H33" i="16"/>
  <c r="F33" i="16"/>
  <c r="E33" i="16"/>
  <c r="D33" i="16"/>
  <c r="C33" i="16"/>
  <c r="B33" i="16"/>
  <c r="H32" i="16"/>
  <c r="F32" i="16"/>
  <c r="E32" i="16"/>
  <c r="D32" i="16"/>
  <c r="C32" i="16"/>
  <c r="B32" i="16"/>
  <c r="H31" i="16"/>
  <c r="F31" i="16"/>
  <c r="E31" i="16"/>
  <c r="D31" i="16"/>
  <c r="C31" i="16"/>
  <c r="B31" i="16"/>
  <c r="H30" i="16"/>
  <c r="F30" i="16"/>
  <c r="E30" i="16"/>
  <c r="D30" i="16"/>
  <c r="C30" i="16"/>
  <c r="B30" i="16"/>
  <c r="H29" i="16"/>
  <c r="F29" i="16"/>
  <c r="E29" i="16"/>
  <c r="D29" i="16"/>
  <c r="C29" i="16"/>
  <c r="B29" i="16"/>
  <c r="H28" i="16"/>
  <c r="F28" i="16"/>
  <c r="E28" i="16"/>
  <c r="D28" i="16"/>
  <c r="C28" i="16"/>
  <c r="B28" i="16"/>
  <c r="H27" i="16"/>
  <c r="F27" i="16"/>
  <c r="E27" i="16"/>
  <c r="D27" i="16"/>
  <c r="C27" i="16"/>
  <c r="B27" i="16"/>
  <c r="H26" i="16"/>
  <c r="F26" i="16"/>
  <c r="E26" i="16"/>
  <c r="D26" i="16"/>
  <c r="C26" i="16"/>
  <c r="B26" i="16"/>
  <c r="H25" i="16"/>
  <c r="F25" i="16"/>
  <c r="E25" i="16"/>
  <c r="D25" i="16"/>
  <c r="C25" i="16"/>
  <c r="B25" i="16"/>
  <c r="H24" i="16"/>
  <c r="F24" i="16"/>
  <c r="E24" i="16"/>
  <c r="D24" i="16"/>
  <c r="C24" i="16"/>
  <c r="B24" i="16"/>
  <c r="H23" i="16"/>
  <c r="F23" i="16"/>
  <c r="E23" i="16"/>
  <c r="D23" i="16"/>
  <c r="C23" i="16"/>
  <c r="B23" i="16"/>
  <c r="H22" i="16"/>
  <c r="F22" i="16"/>
  <c r="E22" i="16"/>
  <c r="D22" i="16"/>
  <c r="C22" i="16"/>
  <c r="B22" i="16"/>
  <c r="H21" i="16"/>
  <c r="F21" i="16"/>
  <c r="E21" i="16"/>
  <c r="D21" i="16"/>
  <c r="C21" i="16"/>
  <c r="B21" i="16"/>
  <c r="H20" i="16"/>
  <c r="F20" i="16"/>
  <c r="E20" i="16"/>
  <c r="D20" i="16"/>
  <c r="C20" i="16"/>
  <c r="B20" i="16"/>
  <c r="H19" i="16"/>
  <c r="F19" i="16"/>
  <c r="E19" i="16"/>
  <c r="D19" i="16"/>
  <c r="C19" i="16"/>
  <c r="B19" i="16"/>
  <c r="H18" i="16"/>
  <c r="F18" i="16"/>
  <c r="E18" i="16"/>
  <c r="D18" i="16"/>
  <c r="C18" i="16"/>
  <c r="B18" i="16"/>
  <c r="H17" i="16"/>
  <c r="F17" i="16"/>
  <c r="E17" i="16"/>
  <c r="D17" i="16"/>
  <c r="C17" i="16"/>
  <c r="B17" i="16"/>
  <c r="H16" i="16"/>
  <c r="F16" i="16"/>
  <c r="E16" i="16"/>
  <c r="D16" i="16"/>
  <c r="C16" i="16"/>
  <c r="B16" i="16"/>
  <c r="H15" i="16"/>
  <c r="F15" i="16"/>
  <c r="E15" i="16"/>
  <c r="D15" i="16"/>
  <c r="C15" i="16"/>
  <c r="B15" i="16"/>
  <c r="H14" i="16"/>
  <c r="F14" i="16"/>
  <c r="E14" i="16"/>
  <c r="D14" i="16"/>
  <c r="C14" i="16"/>
  <c r="B14" i="16"/>
  <c r="H13" i="16"/>
  <c r="F13" i="16"/>
  <c r="E13" i="16"/>
  <c r="D13" i="16"/>
  <c r="C13" i="16"/>
  <c r="B13" i="16"/>
  <c r="H12" i="16"/>
  <c r="F12" i="16"/>
  <c r="E12" i="16"/>
  <c r="D12" i="16"/>
  <c r="C12" i="16"/>
  <c r="B12" i="16"/>
  <c r="H11" i="16"/>
  <c r="F11" i="16"/>
  <c r="E11" i="16"/>
  <c r="D11" i="16"/>
  <c r="C11" i="16"/>
  <c r="B11" i="16"/>
  <c r="H10" i="16"/>
  <c r="F10" i="16"/>
  <c r="E10" i="16"/>
  <c r="D10" i="16"/>
  <c r="C10" i="16"/>
  <c r="B10" i="16"/>
  <c r="H9" i="16"/>
  <c r="F9" i="16"/>
  <c r="E9" i="16"/>
  <c r="D9" i="16"/>
  <c r="C9" i="16"/>
  <c r="B9" i="16"/>
  <c r="H8" i="16"/>
  <c r="F8" i="16"/>
  <c r="E8" i="16"/>
  <c r="D8" i="16"/>
  <c r="C8" i="16"/>
  <c r="B8" i="16"/>
  <c r="H7" i="16"/>
  <c r="F7" i="16"/>
  <c r="E7" i="16"/>
  <c r="D7" i="16"/>
  <c r="C7" i="16"/>
  <c r="B7" i="16"/>
  <c r="H6" i="16"/>
  <c r="F6" i="16"/>
  <c r="E6" i="16"/>
  <c r="D6" i="16"/>
  <c r="C6" i="16"/>
  <c r="B6" i="16"/>
  <c r="H5" i="16"/>
  <c r="F5" i="16"/>
  <c r="E5" i="16"/>
  <c r="D5" i="16"/>
  <c r="C5" i="16"/>
  <c r="B5" i="16"/>
  <c r="H4" i="16"/>
  <c r="F4" i="16"/>
  <c r="E4" i="16"/>
  <c r="D4" i="16"/>
  <c r="C4" i="16"/>
  <c r="B4" i="16"/>
  <c r="H3" i="16"/>
  <c r="G3" i="16"/>
  <c r="F3" i="16"/>
  <c r="E3" i="16"/>
  <c r="D3" i="16"/>
  <c r="C3" i="16"/>
  <c r="B3" i="16"/>
  <c r="I127" i="16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3" i="7"/>
  <c r="B187" i="11" a="1"/>
  <c r="B187" i="11" s="1"/>
  <c r="B186" i="11" a="1"/>
  <c r="B186" i="11" s="1"/>
  <c r="B185" i="11" a="1"/>
  <c r="B185" i="11" s="1"/>
  <c r="B184" i="11" a="1"/>
  <c r="B184" i="11" s="1"/>
  <c r="B183" i="11" a="1"/>
  <c r="B183" i="11" s="1"/>
  <c r="B182" i="11" a="1"/>
  <c r="B182" i="11" s="1"/>
  <c r="B181" i="11" a="1"/>
  <c r="B181" i="11" s="1"/>
  <c r="B180" i="11" a="1"/>
  <c r="B180" i="11" s="1"/>
  <c r="B179" i="11" a="1"/>
  <c r="B179" i="11" s="1"/>
  <c r="B178" i="11" a="1"/>
  <c r="B178" i="11" s="1"/>
  <c r="B177" i="11" a="1"/>
  <c r="B177" i="11" s="1"/>
  <c r="B176" i="11" a="1"/>
  <c r="B176" i="11" s="1"/>
  <c r="B175" i="11" a="1"/>
  <c r="B175" i="11" s="1"/>
  <c r="B174" i="11" a="1"/>
  <c r="B174" i="11" s="1"/>
  <c r="B173" i="11" a="1"/>
  <c r="B173" i="11" s="1"/>
  <c r="B172" i="11" a="1"/>
  <c r="B172" i="11" s="1"/>
  <c r="B171" i="11" a="1"/>
  <c r="B171" i="11" s="1"/>
  <c r="B170" i="11" a="1"/>
  <c r="B170" i="11" s="1"/>
  <c r="B169" i="11" a="1"/>
  <c r="B169" i="11" s="1"/>
  <c r="B168" i="11" a="1"/>
  <c r="B168" i="11" s="1"/>
  <c r="B167" i="11" a="1"/>
  <c r="B167" i="11" s="1"/>
  <c r="B166" i="11" a="1"/>
  <c r="B166" i="11" s="1"/>
  <c r="B165" i="11" a="1"/>
  <c r="B165" i="11" s="1"/>
  <c r="B164" i="11" a="1"/>
  <c r="B164" i="11" s="1"/>
  <c r="B163" i="11" a="1"/>
  <c r="B163" i="11" s="1"/>
  <c r="B162" i="11" a="1"/>
  <c r="B162" i="11" s="1"/>
  <c r="B161" i="11" a="1"/>
  <c r="B161" i="11" s="1"/>
  <c r="B160" i="11" a="1"/>
  <c r="B160" i="11" s="1"/>
  <c r="B159" i="11" a="1"/>
  <c r="B159" i="11" s="1"/>
  <c r="B158" i="11" a="1"/>
  <c r="B158" i="11" s="1"/>
  <c r="B157" i="11" a="1"/>
  <c r="B157" i="11" s="1"/>
  <c r="B156" i="11" a="1"/>
  <c r="B156" i="11" s="1"/>
  <c r="B155" i="11" a="1"/>
  <c r="B155" i="11" s="1"/>
  <c r="B154" i="11" a="1"/>
  <c r="B154" i="11" s="1"/>
  <c r="B153" i="11" a="1"/>
  <c r="B153" i="11" s="1"/>
  <c r="B152" i="11" a="1"/>
  <c r="B152" i="11" s="1"/>
  <c r="B151" i="11" a="1"/>
  <c r="B151" i="11" s="1"/>
  <c r="B150" i="11" a="1"/>
  <c r="B150" i="11" s="1"/>
  <c r="B149" i="11" a="1"/>
  <c r="B149" i="11" s="1"/>
  <c r="B148" i="11" a="1"/>
  <c r="B148" i="11" s="1"/>
  <c r="B147" i="11" a="1"/>
  <c r="B147" i="11" s="1"/>
  <c r="B146" i="11" a="1"/>
  <c r="B146" i="11" s="1"/>
  <c r="B145" i="11" a="1"/>
  <c r="B145" i="11" s="1"/>
  <c r="B144" i="11" a="1"/>
  <c r="B144" i="11" s="1"/>
  <c r="B143" i="11" a="1"/>
  <c r="B143" i="11" s="1"/>
  <c r="B142" i="11" a="1"/>
  <c r="B142" i="11" s="1"/>
  <c r="B141" i="11" a="1"/>
  <c r="B141" i="11" s="1"/>
  <c r="B140" i="11" a="1"/>
  <c r="B140" i="11" s="1"/>
  <c r="B139" i="11" a="1"/>
  <c r="B139" i="11" s="1"/>
  <c r="B138" i="11" a="1"/>
  <c r="B138" i="11" s="1"/>
  <c r="B137" i="11" a="1"/>
  <c r="B137" i="11" s="1"/>
  <c r="B136" i="11" a="1"/>
  <c r="B136" i="11" s="1"/>
  <c r="B135" i="11" a="1"/>
  <c r="B135" i="11" s="1"/>
  <c r="B134" i="11" a="1"/>
  <c r="B134" i="11" s="1"/>
  <c r="B133" i="11" a="1"/>
  <c r="B133" i="11" s="1"/>
  <c r="B132" i="11" a="1"/>
  <c r="B132" i="11" s="1"/>
  <c r="B131" i="11" a="1"/>
  <c r="B131" i="11" s="1"/>
  <c r="B130" i="11" a="1"/>
  <c r="B130" i="11" s="1"/>
  <c r="B129" i="11" a="1"/>
  <c r="B129" i="11" s="1"/>
  <c r="B128" i="11" a="1"/>
  <c r="B128" i="11" s="1"/>
  <c r="B127" i="11" a="1"/>
  <c r="B127" i="11" s="1"/>
  <c r="B126" i="11" a="1"/>
  <c r="B126" i="11" s="1"/>
  <c r="B125" i="11" a="1"/>
  <c r="B125" i="11" s="1"/>
  <c r="B124" i="11" a="1"/>
  <c r="B124" i="11" s="1"/>
  <c r="B123" i="11" a="1"/>
  <c r="B123" i="11" s="1"/>
  <c r="B122" i="11" a="1"/>
  <c r="B122" i="11" s="1"/>
  <c r="B121" i="11" a="1"/>
  <c r="B121" i="11" s="1"/>
  <c r="B120" i="11" a="1"/>
  <c r="B120" i="11" s="1"/>
  <c r="B119" i="11" a="1"/>
  <c r="B119" i="11" s="1"/>
  <c r="B118" i="11" a="1"/>
  <c r="B118" i="11" s="1"/>
  <c r="B117" i="11" a="1"/>
  <c r="B117" i="11" s="1"/>
  <c r="B116" i="11" a="1"/>
  <c r="B116" i="11" s="1"/>
  <c r="B115" i="11" a="1"/>
  <c r="B115" i="11" s="1"/>
  <c r="B114" i="11" a="1"/>
  <c r="B114" i="11" s="1"/>
  <c r="B113" i="11" a="1"/>
  <c r="B113" i="11" s="1"/>
  <c r="B112" i="11" a="1"/>
  <c r="B112" i="11" s="1"/>
  <c r="B111" i="11" a="1"/>
  <c r="B111" i="11" s="1"/>
  <c r="B110" i="11" a="1"/>
  <c r="B110" i="11" s="1"/>
  <c r="B109" i="11" a="1"/>
  <c r="B109" i="11" s="1"/>
  <c r="B108" i="11" a="1"/>
  <c r="B108" i="11" s="1"/>
  <c r="B107" i="11" a="1"/>
  <c r="B107" i="11" s="1"/>
  <c r="B106" i="11" a="1"/>
  <c r="B106" i="11" s="1"/>
  <c r="B105" i="11" a="1"/>
  <c r="B105" i="11" s="1"/>
  <c r="B104" i="11" a="1"/>
  <c r="B104" i="11" s="1"/>
  <c r="B103" i="11" a="1"/>
  <c r="B103" i="11" s="1"/>
  <c r="B102" i="11" a="1"/>
  <c r="B102" i="11" s="1"/>
  <c r="B101" i="11" a="1"/>
  <c r="B101" i="11" s="1"/>
  <c r="B100" i="11" a="1"/>
  <c r="B100" i="11" s="1"/>
  <c r="B99" i="11" a="1"/>
  <c r="B99" i="11" s="1"/>
  <c r="B98" i="11" a="1"/>
  <c r="B98" i="11" s="1"/>
  <c r="B97" i="11" a="1"/>
  <c r="B97" i="11" s="1"/>
  <c r="B96" i="11" a="1"/>
  <c r="B96" i="11" s="1"/>
  <c r="B95" i="11" a="1"/>
  <c r="B95" i="11" s="1"/>
  <c r="B94" i="11" a="1"/>
  <c r="B94" i="11" s="1"/>
  <c r="B93" i="11" a="1"/>
  <c r="B93" i="11" s="1"/>
  <c r="B92" i="11" a="1"/>
  <c r="B92" i="11" s="1"/>
  <c r="B91" i="11" a="1"/>
  <c r="B91" i="11" s="1"/>
  <c r="B90" i="11" a="1"/>
  <c r="B90" i="11" s="1"/>
  <c r="B89" i="11" a="1"/>
  <c r="B89" i="11" s="1"/>
  <c r="B88" i="11" a="1"/>
  <c r="B88" i="11" s="1"/>
  <c r="B87" i="11" a="1"/>
  <c r="B87" i="11" s="1"/>
  <c r="B86" i="11" a="1"/>
  <c r="B86" i="11" s="1"/>
  <c r="B85" i="11" a="1"/>
  <c r="B85" i="11" s="1"/>
  <c r="B84" i="11" a="1"/>
  <c r="B84" i="11" s="1"/>
  <c r="B83" i="11" a="1"/>
  <c r="B83" i="11" s="1"/>
  <c r="B82" i="11" a="1"/>
  <c r="B82" i="11" s="1"/>
  <c r="B81" i="11" a="1"/>
  <c r="B81" i="11" s="1"/>
  <c r="B80" i="11" a="1"/>
  <c r="B80" i="11" s="1"/>
  <c r="B79" i="11" a="1"/>
  <c r="B79" i="11" s="1"/>
  <c r="B78" i="11" a="1"/>
  <c r="B78" i="11" s="1"/>
  <c r="B77" i="11" a="1"/>
  <c r="B77" i="11" s="1"/>
  <c r="B76" i="11" a="1"/>
  <c r="B76" i="11" s="1"/>
  <c r="B75" i="11" a="1"/>
  <c r="B75" i="11" s="1"/>
  <c r="B74" i="11" a="1"/>
  <c r="B74" i="11" s="1"/>
  <c r="B73" i="11" a="1"/>
  <c r="B73" i="11" s="1"/>
  <c r="B72" i="11" a="1"/>
  <c r="B72" i="11" s="1"/>
  <c r="B71" i="11" a="1"/>
  <c r="B71" i="11" s="1"/>
  <c r="B70" i="11" a="1"/>
  <c r="B70" i="11" s="1"/>
  <c r="B69" i="11" a="1"/>
  <c r="B69" i="11" s="1"/>
  <c r="B68" i="11" a="1"/>
  <c r="B68" i="11" s="1"/>
  <c r="B67" i="11" a="1"/>
  <c r="B67" i="11" s="1"/>
  <c r="B66" i="11" a="1"/>
  <c r="B66" i="11" s="1"/>
  <c r="B65" i="11" a="1"/>
  <c r="B65" i="11" s="1"/>
  <c r="B64" i="11" a="1"/>
  <c r="B64" i="11" s="1"/>
  <c r="B63" i="11" a="1"/>
  <c r="B63" i="11" s="1"/>
  <c r="B62" i="11" a="1"/>
  <c r="B62" i="11" s="1"/>
  <c r="B61" i="11" a="1"/>
  <c r="B61" i="11" s="1"/>
  <c r="B60" i="11" a="1"/>
  <c r="B60" i="11" s="1"/>
  <c r="B59" i="11" a="1"/>
  <c r="B59" i="11" s="1"/>
  <c r="B58" i="11" a="1"/>
  <c r="B58" i="11" s="1"/>
  <c r="B57" i="11" a="1"/>
  <c r="B57" i="11" s="1"/>
  <c r="B56" i="11" a="1"/>
  <c r="B56" i="11" s="1"/>
  <c r="B55" i="11" a="1"/>
  <c r="B55" i="11" s="1"/>
  <c r="B54" i="11" a="1"/>
  <c r="B54" i="11" s="1"/>
  <c r="B53" i="11" a="1"/>
  <c r="B53" i="11" s="1"/>
  <c r="B52" i="11" a="1"/>
  <c r="B52" i="11" s="1"/>
  <c r="B51" i="11" a="1"/>
  <c r="B51" i="11" s="1"/>
  <c r="B50" i="11" a="1"/>
  <c r="B50" i="11" s="1"/>
  <c r="B49" i="11" a="1"/>
  <c r="B49" i="11" s="1"/>
  <c r="B48" i="11" a="1"/>
  <c r="B48" i="11" s="1"/>
  <c r="B47" i="11" a="1"/>
  <c r="B47" i="11" s="1"/>
  <c r="B46" i="11" a="1"/>
  <c r="B46" i="11" s="1"/>
  <c r="B45" i="11" a="1"/>
  <c r="B45" i="11" s="1"/>
  <c r="B44" i="11" a="1"/>
  <c r="B44" i="11" s="1"/>
  <c r="B43" i="11" a="1"/>
  <c r="B43" i="11" s="1"/>
  <c r="B42" i="11" a="1"/>
  <c r="B42" i="11" s="1"/>
  <c r="B41" i="11" a="1"/>
  <c r="B41" i="11" s="1"/>
  <c r="B40" i="11" a="1"/>
  <c r="B40" i="11" s="1"/>
  <c r="B39" i="11" a="1"/>
  <c r="B39" i="11" s="1"/>
  <c r="B38" i="11" a="1"/>
  <c r="B38" i="11" s="1"/>
  <c r="B37" i="11" a="1"/>
  <c r="B37" i="11" s="1"/>
  <c r="B36" i="11" a="1"/>
  <c r="B36" i="11" s="1"/>
  <c r="B35" i="11" a="1"/>
  <c r="B35" i="11" s="1"/>
  <c r="B34" i="11" a="1"/>
  <c r="B34" i="11" s="1"/>
  <c r="B33" i="11" a="1"/>
  <c r="B33" i="11" s="1"/>
  <c r="B32" i="11" a="1"/>
  <c r="B32" i="11" s="1"/>
  <c r="B31" i="11" a="1"/>
  <c r="B31" i="11" s="1"/>
  <c r="B30" i="11" a="1"/>
  <c r="B30" i="11" s="1"/>
  <c r="B29" i="11" a="1"/>
  <c r="B29" i="11" s="1"/>
  <c r="B28" i="11" a="1"/>
  <c r="B28" i="11" s="1"/>
  <c r="B27" i="11" a="1"/>
  <c r="B27" i="11" s="1"/>
  <c r="B26" i="11" a="1"/>
  <c r="B26" i="11" s="1"/>
  <c r="B25" i="11" a="1"/>
  <c r="B25" i="11" s="1"/>
  <c r="B24" i="11" a="1"/>
  <c r="B24" i="11" s="1"/>
  <c r="B23" i="11" a="1"/>
  <c r="B23" i="11" s="1"/>
  <c r="B22" i="11" a="1"/>
  <c r="B22" i="11" s="1"/>
  <c r="B21" i="11" a="1"/>
  <c r="B21" i="11" s="1"/>
  <c r="B20" i="11" a="1"/>
  <c r="B20" i="11" s="1"/>
  <c r="B19" i="11" a="1"/>
  <c r="B19" i="11" s="1"/>
  <c r="B18" i="11" a="1"/>
  <c r="B18" i="11" s="1"/>
  <c r="B17" i="11" a="1"/>
  <c r="B17" i="11" s="1"/>
  <c r="B16" i="11" a="1"/>
  <c r="B16" i="11" s="1"/>
  <c r="B15" i="11" a="1"/>
  <c r="B15" i="11" s="1"/>
  <c r="B14" i="11" a="1"/>
  <c r="B14" i="11" s="1"/>
  <c r="B13" i="11" a="1"/>
  <c r="B13" i="11" s="1"/>
  <c r="B12" i="11" a="1"/>
  <c r="B12" i="11" s="1"/>
  <c r="B11" i="11" a="1"/>
  <c r="B11" i="11" s="1"/>
  <c r="B10" i="11" a="1"/>
  <c r="B10" i="11" s="1"/>
  <c r="B9" i="11" a="1"/>
  <c r="B9" i="11" s="1"/>
  <c r="B8" i="11" a="1"/>
  <c r="B8" i="11" s="1"/>
  <c r="B7" i="11" a="1"/>
  <c r="B7" i="11" s="1"/>
  <c r="B6" i="11" a="1"/>
  <c r="B6" i="11" s="1"/>
  <c r="B5" i="11" a="1"/>
  <c r="B5" i="11" s="1"/>
  <c r="B4" i="11" a="1"/>
  <c r="B4" i="11" s="1"/>
  <c r="B3" i="11" a="1"/>
  <c r="B3" i="11" s="1"/>
  <c r="B187" i="10" a="1"/>
  <c r="B187" i="10" s="1"/>
  <c r="B186" i="10" a="1"/>
  <c r="B186" i="10" s="1"/>
  <c r="B185" i="10" a="1"/>
  <c r="B185" i="10" s="1"/>
  <c r="B184" i="10" a="1"/>
  <c r="B184" i="10" s="1"/>
  <c r="B183" i="10" a="1"/>
  <c r="B183" i="10" s="1"/>
  <c r="B182" i="10" a="1"/>
  <c r="B182" i="10" s="1"/>
  <c r="B181" i="10" a="1"/>
  <c r="B181" i="10" s="1"/>
  <c r="B180" i="10" a="1"/>
  <c r="B180" i="10" s="1"/>
  <c r="B179" i="10" a="1"/>
  <c r="B179" i="10" s="1"/>
  <c r="B178" i="10" a="1"/>
  <c r="B178" i="10" s="1"/>
  <c r="B177" i="10" a="1"/>
  <c r="B177" i="10" s="1"/>
  <c r="B176" i="10" a="1"/>
  <c r="B176" i="10" s="1"/>
  <c r="B175" i="10" a="1"/>
  <c r="B175" i="10" s="1"/>
  <c r="B174" i="10" a="1"/>
  <c r="B174" i="10" s="1"/>
  <c r="B173" i="10" a="1"/>
  <c r="B173" i="10" s="1"/>
  <c r="B172" i="10" a="1"/>
  <c r="B172" i="10" s="1"/>
  <c r="B171" i="10" a="1"/>
  <c r="B171" i="10" s="1"/>
  <c r="B170" i="10" a="1"/>
  <c r="B170" i="10" s="1"/>
  <c r="B169" i="10" a="1"/>
  <c r="B169" i="10" s="1"/>
  <c r="B168" i="10" a="1"/>
  <c r="B168" i="10" s="1"/>
  <c r="B167" i="10"/>
  <c r="B167" i="10" a="1"/>
  <c r="B166" i="10" a="1"/>
  <c r="B166" i="10" s="1"/>
  <c r="B165" i="10" a="1"/>
  <c r="B165" i="10" s="1"/>
  <c r="B164" i="10" a="1"/>
  <c r="B164" i="10" s="1"/>
  <c r="B163" i="10" a="1"/>
  <c r="B163" i="10" s="1"/>
  <c r="B162" i="10" a="1"/>
  <c r="B162" i="10" s="1"/>
  <c r="B161" i="10" a="1"/>
  <c r="B161" i="10" s="1"/>
  <c r="B160" i="10" a="1"/>
  <c r="B160" i="10" s="1"/>
  <c r="B159" i="10" a="1"/>
  <c r="B159" i="10" s="1"/>
  <c r="B158" i="10" a="1"/>
  <c r="B158" i="10" s="1"/>
  <c r="B157" i="10" a="1"/>
  <c r="B157" i="10" s="1"/>
  <c r="B156" i="10" a="1"/>
  <c r="B156" i="10" s="1"/>
  <c r="B155" i="10" a="1"/>
  <c r="B155" i="10" s="1"/>
  <c r="B154" i="10" a="1"/>
  <c r="B154" i="10" s="1"/>
  <c r="B153" i="10" a="1"/>
  <c r="B153" i="10" s="1"/>
  <c r="B152" i="10" a="1"/>
  <c r="B152" i="10" s="1"/>
  <c r="B151" i="10" a="1"/>
  <c r="B151" i="10" s="1"/>
  <c r="B150" i="10" a="1"/>
  <c r="B150" i="10" s="1"/>
  <c r="B149" i="10" a="1"/>
  <c r="B149" i="10" s="1"/>
  <c r="B148" i="10" a="1"/>
  <c r="B148" i="10" s="1"/>
  <c r="B147" i="10" a="1"/>
  <c r="B147" i="10" s="1"/>
  <c r="B146" i="10" a="1"/>
  <c r="B146" i="10" s="1"/>
  <c r="B145" i="10" a="1"/>
  <c r="B145" i="10" s="1"/>
  <c r="B144" i="10" a="1"/>
  <c r="B144" i="10" s="1"/>
  <c r="B143" i="10" a="1"/>
  <c r="B143" i="10" s="1"/>
  <c r="B142" i="10" a="1"/>
  <c r="B142" i="10" s="1"/>
  <c r="B141" i="10" a="1"/>
  <c r="B141" i="10" s="1"/>
  <c r="B140" i="10" a="1"/>
  <c r="B140" i="10" s="1"/>
  <c r="B139" i="10" a="1"/>
  <c r="B139" i="10" s="1"/>
  <c r="B138" i="10" a="1"/>
  <c r="B138" i="10" s="1"/>
  <c r="B137" i="10" a="1"/>
  <c r="B137" i="10" s="1"/>
  <c r="B136" i="10" a="1"/>
  <c r="B136" i="10" s="1"/>
  <c r="B135" i="10" a="1"/>
  <c r="B135" i="10" s="1"/>
  <c r="B134" i="10" a="1"/>
  <c r="B134" i="10" s="1"/>
  <c r="B133" i="10" a="1"/>
  <c r="B133" i="10" s="1"/>
  <c r="B132" i="10" a="1"/>
  <c r="B132" i="10" s="1"/>
  <c r="B131" i="10" a="1"/>
  <c r="B131" i="10" s="1"/>
  <c r="B130" i="10" a="1"/>
  <c r="B130" i="10" s="1"/>
  <c r="B129" i="10" a="1"/>
  <c r="B129" i="10" s="1"/>
  <c r="B128" i="10" a="1"/>
  <c r="B128" i="10" s="1"/>
  <c r="B127" i="10" a="1"/>
  <c r="B127" i="10" s="1"/>
  <c r="B126" i="10" a="1"/>
  <c r="B126" i="10" s="1"/>
  <c r="B125" i="10" a="1"/>
  <c r="B125" i="10" s="1"/>
  <c r="B124" i="10" a="1"/>
  <c r="B124" i="10" s="1"/>
  <c r="B123" i="10"/>
  <c r="B123" i="10" a="1"/>
  <c r="B122" i="10" a="1"/>
  <c r="B122" i="10" s="1"/>
  <c r="B121" i="10" a="1"/>
  <c r="B121" i="10" s="1"/>
  <c r="B120" i="10" a="1"/>
  <c r="B120" i="10" s="1"/>
  <c r="B119" i="10" a="1"/>
  <c r="B119" i="10" s="1"/>
  <c r="B118" i="10" a="1"/>
  <c r="B118" i="10" s="1"/>
  <c r="B117" i="10" a="1"/>
  <c r="B117" i="10" s="1"/>
  <c r="B116" i="10" a="1"/>
  <c r="B116" i="10" s="1"/>
  <c r="B115" i="10" a="1"/>
  <c r="B115" i="10" s="1"/>
  <c r="B114" i="10" a="1"/>
  <c r="B114" i="10" s="1"/>
  <c r="B113" i="10" a="1"/>
  <c r="B113" i="10" s="1"/>
  <c r="B112" i="10" a="1"/>
  <c r="B112" i="10" s="1"/>
  <c r="B111" i="10" a="1"/>
  <c r="B111" i="10" s="1"/>
  <c r="B110" i="10" a="1"/>
  <c r="B110" i="10" s="1"/>
  <c r="B109" i="10" a="1"/>
  <c r="B109" i="10" s="1"/>
  <c r="B108" i="10" a="1"/>
  <c r="B108" i="10" s="1"/>
  <c r="B107" i="10" a="1"/>
  <c r="B107" i="10" s="1"/>
  <c r="B106" i="10" a="1"/>
  <c r="B106" i="10" s="1"/>
  <c r="B105" i="10" a="1"/>
  <c r="B105" i="10" s="1"/>
  <c r="B104" i="10" a="1"/>
  <c r="B104" i="10" s="1"/>
  <c r="B103" i="10" a="1"/>
  <c r="B103" i="10" s="1"/>
  <c r="B102" i="10" a="1"/>
  <c r="B102" i="10" s="1"/>
  <c r="B101" i="10" a="1"/>
  <c r="B101" i="10" s="1"/>
  <c r="B100" i="10" a="1"/>
  <c r="B100" i="10" s="1"/>
  <c r="B99" i="10" a="1"/>
  <c r="B99" i="10" s="1"/>
  <c r="B98" i="10" a="1"/>
  <c r="B98" i="10" s="1"/>
  <c r="B97" i="10" a="1"/>
  <c r="B97" i="10" s="1"/>
  <c r="B96" i="10" a="1"/>
  <c r="B96" i="10" s="1"/>
  <c r="B95" i="10" a="1"/>
  <c r="B95" i="10" s="1"/>
  <c r="B94" i="10" a="1"/>
  <c r="B94" i="10" s="1"/>
  <c r="B93" i="10" a="1"/>
  <c r="B93" i="10" s="1"/>
  <c r="B92" i="10" a="1"/>
  <c r="B92" i="10" s="1"/>
  <c r="B91" i="10" a="1"/>
  <c r="B91" i="10" s="1"/>
  <c r="B90" i="10" a="1"/>
  <c r="B90" i="10" s="1"/>
  <c r="B89" i="10" a="1"/>
  <c r="B89" i="10" s="1"/>
  <c r="B88" i="10" a="1"/>
  <c r="B88" i="10" s="1"/>
  <c r="B87" i="10" a="1"/>
  <c r="B87" i="10" s="1"/>
  <c r="B86" i="10" a="1"/>
  <c r="B86" i="10" s="1"/>
  <c r="B85" i="10" a="1"/>
  <c r="B85" i="10" s="1"/>
  <c r="B84" i="10" a="1"/>
  <c r="B84" i="10" s="1"/>
  <c r="B83" i="10" a="1"/>
  <c r="B83" i="10" s="1"/>
  <c r="B82" i="10" a="1"/>
  <c r="B82" i="10" s="1"/>
  <c r="B81" i="10" a="1"/>
  <c r="B81" i="10" s="1"/>
  <c r="B80" i="10" a="1"/>
  <c r="B80" i="10" s="1"/>
  <c r="B79" i="10" a="1"/>
  <c r="B79" i="10" s="1"/>
  <c r="B78" i="10" a="1"/>
  <c r="B78" i="10" s="1"/>
  <c r="B77" i="10" a="1"/>
  <c r="B77" i="10" s="1"/>
  <c r="B76" i="10" a="1"/>
  <c r="B76" i="10" s="1"/>
  <c r="B75" i="10" a="1"/>
  <c r="B75" i="10" s="1"/>
  <c r="B74" i="10" a="1"/>
  <c r="B74" i="10" s="1"/>
  <c r="B73" i="10" a="1"/>
  <c r="B73" i="10" s="1"/>
  <c r="B72" i="10" a="1"/>
  <c r="B72" i="10" s="1"/>
  <c r="B71" i="10" a="1"/>
  <c r="B71" i="10" s="1"/>
  <c r="B70" i="10" a="1"/>
  <c r="B70" i="10" s="1"/>
  <c r="B69" i="10" a="1"/>
  <c r="B69" i="10" s="1"/>
  <c r="B68" i="10" a="1"/>
  <c r="B68" i="10" s="1"/>
  <c r="B67" i="10" a="1"/>
  <c r="B67" i="10" s="1"/>
  <c r="B66" i="10" a="1"/>
  <c r="B66" i="10" s="1"/>
  <c r="B65" i="10" a="1"/>
  <c r="B65" i="10" s="1"/>
  <c r="B64" i="10" a="1"/>
  <c r="B64" i="10" s="1"/>
  <c r="B63" i="10" a="1"/>
  <c r="B63" i="10" s="1"/>
  <c r="B62" i="10" a="1"/>
  <c r="B62" i="10" s="1"/>
  <c r="B61" i="10" a="1"/>
  <c r="B61" i="10" s="1"/>
  <c r="B60" i="10" a="1"/>
  <c r="B60" i="10" s="1"/>
  <c r="B59" i="10" a="1"/>
  <c r="B59" i="10" s="1"/>
  <c r="B58" i="10" a="1"/>
  <c r="B58" i="10" s="1"/>
  <c r="B57" i="10" a="1"/>
  <c r="B57" i="10" s="1"/>
  <c r="B56" i="10" a="1"/>
  <c r="B56" i="10" s="1"/>
  <c r="B55" i="10" a="1"/>
  <c r="B55" i="10" s="1"/>
  <c r="B54" i="10" a="1"/>
  <c r="B54" i="10" s="1"/>
  <c r="B53" i="10" a="1"/>
  <c r="B53" i="10" s="1"/>
  <c r="B52" i="10" a="1"/>
  <c r="B52" i="10" s="1"/>
  <c r="B51" i="10" a="1"/>
  <c r="B51" i="10" s="1"/>
  <c r="B50" i="10" a="1"/>
  <c r="B50" i="10" s="1"/>
  <c r="B49" i="10" a="1"/>
  <c r="B49" i="10" s="1"/>
  <c r="B48" i="10" a="1"/>
  <c r="B48" i="10" s="1"/>
  <c r="B47" i="10" a="1"/>
  <c r="B47" i="10" s="1"/>
  <c r="B46" i="10" a="1"/>
  <c r="B46" i="10" s="1"/>
  <c r="B45" i="10" a="1"/>
  <c r="B45" i="10" s="1"/>
  <c r="B44" i="10" a="1"/>
  <c r="B44" i="10" s="1"/>
  <c r="B43" i="10" a="1"/>
  <c r="B43" i="10" s="1"/>
  <c r="B42" i="10" a="1"/>
  <c r="B42" i="10" s="1"/>
  <c r="B41" i="10" a="1"/>
  <c r="B41" i="10" s="1"/>
  <c r="B40" i="10" a="1"/>
  <c r="B40" i="10" s="1"/>
  <c r="B39" i="10" a="1"/>
  <c r="B39" i="10" s="1"/>
  <c r="B38" i="10" a="1"/>
  <c r="B38" i="10" s="1"/>
  <c r="B37" i="10" a="1"/>
  <c r="B37" i="10" s="1"/>
  <c r="B36" i="10" a="1"/>
  <c r="B36" i="10" s="1"/>
  <c r="B35" i="10" a="1"/>
  <c r="B35" i="10" s="1"/>
  <c r="B34" i="10" a="1"/>
  <c r="B34" i="10" s="1"/>
  <c r="B33" i="10" a="1"/>
  <c r="B33" i="10" s="1"/>
  <c r="B32" i="10" a="1"/>
  <c r="B32" i="10" s="1"/>
  <c r="B31" i="10" a="1"/>
  <c r="B31" i="10" s="1"/>
  <c r="B30" i="10" a="1"/>
  <c r="B30" i="10" s="1"/>
  <c r="B29" i="10" a="1"/>
  <c r="B29" i="10" s="1"/>
  <c r="B28" i="10" a="1"/>
  <c r="B28" i="10" s="1"/>
  <c r="B27" i="10" a="1"/>
  <c r="B27" i="10" s="1"/>
  <c r="B26" i="10"/>
  <c r="B26" i="10" a="1"/>
  <c r="B25" i="10" a="1"/>
  <c r="B25" i="10" s="1"/>
  <c r="B24" i="10" a="1"/>
  <c r="B24" i="10" s="1"/>
  <c r="B23" i="10" a="1"/>
  <c r="B23" i="10" s="1"/>
  <c r="B22" i="10" a="1"/>
  <c r="B22" i="10" s="1"/>
  <c r="B21" i="10" a="1"/>
  <c r="B21" i="10" s="1"/>
  <c r="B20" i="10" a="1"/>
  <c r="B20" i="10" s="1"/>
  <c r="B19" i="10" a="1"/>
  <c r="B19" i="10" s="1"/>
  <c r="B18" i="10" a="1"/>
  <c r="B18" i="10" s="1"/>
  <c r="B17" i="10" a="1"/>
  <c r="B17" i="10" s="1"/>
  <c r="B16" i="10" a="1"/>
  <c r="B16" i="10" s="1"/>
  <c r="B15" i="10" a="1"/>
  <c r="B15" i="10" s="1"/>
  <c r="B14" i="10" a="1"/>
  <c r="B14" i="10" s="1"/>
  <c r="B13" i="10" a="1"/>
  <c r="B13" i="10" s="1"/>
  <c r="B12" i="10" a="1"/>
  <c r="B12" i="10" s="1"/>
  <c r="B11" i="10" a="1"/>
  <c r="B11" i="10" s="1"/>
  <c r="B10" i="10" a="1"/>
  <c r="B10" i="10" s="1"/>
  <c r="B9" i="10" a="1"/>
  <c r="B9" i="10" s="1"/>
  <c r="B8" i="10" a="1"/>
  <c r="B8" i="10" s="1"/>
  <c r="B7" i="10" a="1"/>
  <c r="B7" i="10" s="1"/>
  <c r="B6" i="10" a="1"/>
  <c r="B6" i="10" s="1"/>
  <c r="B5" i="10" a="1"/>
  <c r="B5" i="10" s="1"/>
  <c r="B4" i="10" a="1"/>
  <c r="B4" i="10" s="1"/>
  <c r="B3" i="10" a="1"/>
  <c r="B3" i="10" s="1"/>
  <c r="B187" i="9" a="1"/>
  <c r="B187" i="9" s="1"/>
  <c r="B186" i="9" a="1"/>
  <c r="B186" i="9" s="1"/>
  <c r="B185" i="9" a="1"/>
  <c r="B185" i="9" s="1"/>
  <c r="B184" i="9" a="1"/>
  <c r="B184" i="9" s="1"/>
  <c r="B183" i="9" a="1"/>
  <c r="B183" i="9" s="1"/>
  <c r="B182" i="9" a="1"/>
  <c r="B182" i="9" s="1"/>
  <c r="B181" i="9" a="1"/>
  <c r="B181" i="9" s="1"/>
  <c r="B180" i="9" a="1"/>
  <c r="B180" i="9" s="1"/>
  <c r="B179" i="9" a="1"/>
  <c r="B179" i="9" s="1"/>
  <c r="B178" i="9" a="1"/>
  <c r="B178" i="9" s="1"/>
  <c r="B177" i="9" a="1"/>
  <c r="B177" i="9" s="1"/>
  <c r="B176" i="9" a="1"/>
  <c r="B176" i="9" s="1"/>
  <c r="B175" i="9" a="1"/>
  <c r="B175" i="9" s="1"/>
  <c r="B174" i="9" a="1"/>
  <c r="B174" i="9" s="1"/>
  <c r="B173" i="9" a="1"/>
  <c r="B173" i="9" s="1"/>
  <c r="B172" i="9" a="1"/>
  <c r="B172" i="9" s="1"/>
  <c r="B171" i="9" a="1"/>
  <c r="B171" i="9" s="1"/>
  <c r="B170" i="9"/>
  <c r="B170" i="9" a="1"/>
  <c r="B169" i="9" a="1"/>
  <c r="B169" i="9" s="1"/>
  <c r="B168" i="9" a="1"/>
  <c r="B168" i="9" s="1"/>
  <c r="B167" i="9" a="1"/>
  <c r="B167" i="9" s="1"/>
  <c r="B166" i="9" a="1"/>
  <c r="B166" i="9" s="1"/>
  <c r="B165" i="9" a="1"/>
  <c r="B165" i="9" s="1"/>
  <c r="B164" i="9" a="1"/>
  <c r="B164" i="9" s="1"/>
  <c r="B163" i="9" a="1"/>
  <c r="B163" i="9" s="1"/>
  <c r="B162" i="9" a="1"/>
  <c r="B162" i="9" s="1"/>
  <c r="B161" i="9" a="1"/>
  <c r="B161" i="9" s="1"/>
  <c r="B160" i="9" a="1"/>
  <c r="B160" i="9" s="1"/>
  <c r="B159" i="9" a="1"/>
  <c r="B159" i="9" s="1"/>
  <c r="B158" i="9" a="1"/>
  <c r="B158" i="9" s="1"/>
  <c r="B157" i="9" a="1"/>
  <c r="B157" i="9" s="1"/>
  <c r="B156" i="9" a="1"/>
  <c r="B156" i="9" s="1"/>
  <c r="B155" i="9" a="1"/>
  <c r="B155" i="9" s="1"/>
  <c r="B154" i="9" a="1"/>
  <c r="B154" i="9" s="1"/>
  <c r="B153" i="9" a="1"/>
  <c r="B153" i="9" s="1"/>
  <c r="B152" i="9" a="1"/>
  <c r="B152" i="9" s="1"/>
  <c r="B151" i="9" a="1"/>
  <c r="B151" i="9" s="1"/>
  <c r="B150" i="9" a="1"/>
  <c r="B150" i="9" s="1"/>
  <c r="B149" i="9" a="1"/>
  <c r="B149" i="9" s="1"/>
  <c r="B148" i="9" a="1"/>
  <c r="B148" i="9" s="1"/>
  <c r="B147" i="9" a="1"/>
  <c r="B147" i="9" s="1"/>
  <c r="B146" i="9" a="1"/>
  <c r="B146" i="9" s="1"/>
  <c r="B145" i="9" a="1"/>
  <c r="B145" i="9" s="1"/>
  <c r="B144" i="9" a="1"/>
  <c r="B144" i="9" s="1"/>
  <c r="B143" i="9" a="1"/>
  <c r="B143" i="9" s="1"/>
  <c r="B142" i="9" a="1"/>
  <c r="B142" i="9" s="1"/>
  <c r="B141" i="9" a="1"/>
  <c r="B141" i="9" s="1"/>
  <c r="B140" i="9" a="1"/>
  <c r="B140" i="9" s="1"/>
  <c r="B139" i="9" a="1"/>
  <c r="B139" i="9" s="1"/>
  <c r="B138" i="9" a="1"/>
  <c r="B138" i="9" s="1"/>
  <c r="B137" i="9" a="1"/>
  <c r="B137" i="9" s="1"/>
  <c r="B136" i="9" a="1"/>
  <c r="B136" i="9" s="1"/>
  <c r="B135" i="9" a="1"/>
  <c r="B135" i="9" s="1"/>
  <c r="B134" i="9" a="1"/>
  <c r="B134" i="9" s="1"/>
  <c r="B133" i="9" a="1"/>
  <c r="B133" i="9" s="1"/>
  <c r="B132" i="9" a="1"/>
  <c r="B132" i="9" s="1"/>
  <c r="B131" i="9" a="1"/>
  <c r="B131" i="9" s="1"/>
  <c r="B130" i="9" a="1"/>
  <c r="B130" i="9" s="1"/>
  <c r="B129" i="9" a="1"/>
  <c r="B129" i="9" s="1"/>
  <c r="B128" i="9" a="1"/>
  <c r="B128" i="9" s="1"/>
  <c r="B127" i="9" a="1"/>
  <c r="B127" i="9" s="1"/>
  <c r="B126" i="9" a="1"/>
  <c r="B126" i="9" s="1"/>
  <c r="B125" i="9" a="1"/>
  <c r="B125" i="9" s="1"/>
  <c r="B124" i="9" a="1"/>
  <c r="B124" i="9" s="1"/>
  <c r="B123" i="9" a="1"/>
  <c r="B123" i="9" s="1"/>
  <c r="B122" i="9" a="1"/>
  <c r="B122" i="9" s="1"/>
  <c r="B121" i="9" a="1"/>
  <c r="B121" i="9" s="1"/>
  <c r="B120" i="9" a="1"/>
  <c r="B120" i="9" s="1"/>
  <c r="B119" i="9" a="1"/>
  <c r="B119" i="9" s="1"/>
  <c r="B118" i="9" a="1"/>
  <c r="B118" i="9" s="1"/>
  <c r="B117" i="9" a="1"/>
  <c r="B117" i="9" s="1"/>
  <c r="B116" i="9" a="1"/>
  <c r="B116" i="9" s="1"/>
  <c r="B115" i="9" a="1"/>
  <c r="B115" i="9" s="1"/>
  <c r="B114" i="9" a="1"/>
  <c r="B114" i="9" s="1"/>
  <c r="B113" i="9" a="1"/>
  <c r="B113" i="9" s="1"/>
  <c r="B112" i="9" a="1"/>
  <c r="B112" i="9" s="1"/>
  <c r="B111" i="9" a="1"/>
  <c r="B111" i="9" s="1"/>
  <c r="B110" i="9" a="1"/>
  <c r="B110" i="9" s="1"/>
  <c r="B109" i="9" a="1"/>
  <c r="B109" i="9" s="1"/>
  <c r="B108" i="9" a="1"/>
  <c r="B108" i="9" s="1"/>
  <c r="B107" i="9" a="1"/>
  <c r="B107" i="9" s="1"/>
  <c r="B106" i="9" a="1"/>
  <c r="B106" i="9" s="1"/>
  <c r="B105" i="9" a="1"/>
  <c r="B105" i="9" s="1"/>
  <c r="B104" i="9" a="1"/>
  <c r="B104" i="9" s="1"/>
  <c r="B103" i="9" a="1"/>
  <c r="B103" i="9" s="1"/>
  <c r="B102" i="9" a="1"/>
  <c r="B102" i="9" s="1"/>
  <c r="B101" i="9" a="1"/>
  <c r="B101" i="9" s="1"/>
  <c r="B100" i="9" a="1"/>
  <c r="B100" i="9" s="1"/>
  <c r="B99" i="9" a="1"/>
  <c r="B99" i="9" s="1"/>
  <c r="B98" i="9" a="1"/>
  <c r="B98" i="9" s="1"/>
  <c r="B97" i="9" a="1"/>
  <c r="B97" i="9" s="1"/>
  <c r="B96" i="9" a="1"/>
  <c r="B96" i="9" s="1"/>
  <c r="B95" i="9" a="1"/>
  <c r="B95" i="9" s="1"/>
  <c r="B94" i="9" a="1"/>
  <c r="B94" i="9" s="1"/>
  <c r="B93" i="9" a="1"/>
  <c r="B93" i="9" s="1"/>
  <c r="B92" i="9" a="1"/>
  <c r="B92" i="9" s="1"/>
  <c r="B91" i="9" a="1"/>
  <c r="B91" i="9" s="1"/>
  <c r="B90" i="9" a="1"/>
  <c r="B90" i="9" s="1"/>
  <c r="B89" i="9" a="1"/>
  <c r="B89" i="9" s="1"/>
  <c r="B88" i="9" a="1"/>
  <c r="B88" i="9" s="1"/>
  <c r="B87" i="9" a="1"/>
  <c r="B87" i="9" s="1"/>
  <c r="B86" i="9" a="1"/>
  <c r="B86" i="9" s="1"/>
  <c r="B85" i="9" a="1"/>
  <c r="B85" i="9" s="1"/>
  <c r="B84" i="9" a="1"/>
  <c r="B84" i="9" s="1"/>
  <c r="B83" i="9" a="1"/>
  <c r="B83" i="9" s="1"/>
  <c r="B82" i="9" a="1"/>
  <c r="B82" i="9" s="1"/>
  <c r="B81" i="9" a="1"/>
  <c r="B81" i="9" s="1"/>
  <c r="B80" i="9" a="1"/>
  <c r="B80" i="9" s="1"/>
  <c r="B79" i="9" a="1"/>
  <c r="B79" i="9" s="1"/>
  <c r="B78" i="9" a="1"/>
  <c r="B78" i="9" s="1"/>
  <c r="B77" i="9" a="1"/>
  <c r="B77" i="9" s="1"/>
  <c r="B76" i="9" a="1"/>
  <c r="B76" i="9" s="1"/>
  <c r="B75" i="9" a="1"/>
  <c r="B75" i="9" s="1"/>
  <c r="B74" i="9" a="1"/>
  <c r="B74" i="9" s="1"/>
  <c r="B73" i="9" a="1"/>
  <c r="B73" i="9" s="1"/>
  <c r="B72" i="9" a="1"/>
  <c r="B72" i="9" s="1"/>
  <c r="B71" i="9" a="1"/>
  <c r="B71" i="9" s="1"/>
  <c r="B70" i="9" a="1"/>
  <c r="B70" i="9" s="1"/>
  <c r="B69" i="9" a="1"/>
  <c r="B69" i="9" s="1"/>
  <c r="B68" i="9" a="1"/>
  <c r="B68" i="9" s="1"/>
  <c r="B67" i="9" a="1"/>
  <c r="B67" i="9" s="1"/>
  <c r="B66" i="9" a="1"/>
  <c r="B66" i="9" s="1"/>
  <c r="B65" i="9" a="1"/>
  <c r="B65" i="9" s="1"/>
  <c r="B64" i="9" a="1"/>
  <c r="B64" i="9" s="1"/>
  <c r="B63" i="9" a="1"/>
  <c r="B63" i="9" s="1"/>
  <c r="B62" i="9" a="1"/>
  <c r="B62" i="9" s="1"/>
  <c r="B61" i="9" a="1"/>
  <c r="B61" i="9" s="1"/>
  <c r="B60" i="9" a="1"/>
  <c r="B60" i="9" s="1"/>
  <c r="B59" i="9" a="1"/>
  <c r="B59" i="9" s="1"/>
  <c r="B58" i="9" a="1"/>
  <c r="B58" i="9" s="1"/>
  <c r="B57" i="9" a="1"/>
  <c r="B57" i="9" s="1"/>
  <c r="B56" i="9" a="1"/>
  <c r="B56" i="9" s="1"/>
  <c r="B55" i="9" a="1"/>
  <c r="B55" i="9" s="1"/>
  <c r="B54" i="9" a="1"/>
  <c r="B54" i="9" s="1"/>
  <c r="B53" i="9" a="1"/>
  <c r="B53" i="9" s="1"/>
  <c r="B52" i="9" a="1"/>
  <c r="B52" i="9" s="1"/>
  <c r="B51" i="9" a="1"/>
  <c r="B51" i="9" s="1"/>
  <c r="B50" i="9" a="1"/>
  <c r="B50" i="9" s="1"/>
  <c r="B49" i="9" a="1"/>
  <c r="B49" i="9" s="1"/>
  <c r="B48" i="9" a="1"/>
  <c r="B48" i="9" s="1"/>
  <c r="B47" i="9" a="1"/>
  <c r="B47" i="9" s="1"/>
  <c r="B46" i="9" a="1"/>
  <c r="B46" i="9" s="1"/>
  <c r="B45" i="9" a="1"/>
  <c r="B45" i="9" s="1"/>
  <c r="B44" i="9" a="1"/>
  <c r="B44" i="9" s="1"/>
  <c r="B43" i="9" a="1"/>
  <c r="B43" i="9" s="1"/>
  <c r="B42" i="9" a="1"/>
  <c r="B42" i="9" s="1"/>
  <c r="B41" i="9" a="1"/>
  <c r="B41" i="9" s="1"/>
  <c r="B40" i="9" a="1"/>
  <c r="B40" i="9" s="1"/>
  <c r="B39" i="9" a="1"/>
  <c r="B39" i="9" s="1"/>
  <c r="B38" i="9" a="1"/>
  <c r="B38" i="9" s="1"/>
  <c r="B37" i="9" a="1"/>
  <c r="B37" i="9" s="1"/>
  <c r="B36" i="9" a="1"/>
  <c r="B36" i="9" s="1"/>
  <c r="B35" i="9" a="1"/>
  <c r="B35" i="9" s="1"/>
  <c r="B34" i="9" a="1"/>
  <c r="B34" i="9" s="1"/>
  <c r="B33" i="9" a="1"/>
  <c r="B33" i="9" s="1"/>
  <c r="B32" i="9" a="1"/>
  <c r="B32" i="9" s="1"/>
  <c r="B31" i="9" a="1"/>
  <c r="B31" i="9" s="1"/>
  <c r="B30" i="9" a="1"/>
  <c r="B30" i="9" s="1"/>
  <c r="B29" i="9" a="1"/>
  <c r="B29" i="9" s="1"/>
  <c r="B28" i="9" a="1"/>
  <c r="B28" i="9" s="1"/>
  <c r="B27" i="9" a="1"/>
  <c r="B27" i="9" s="1"/>
  <c r="B26" i="9" a="1"/>
  <c r="B26" i="9" s="1"/>
  <c r="B25" i="9" a="1"/>
  <c r="B25" i="9" s="1"/>
  <c r="B24" i="9" a="1"/>
  <c r="B24" i="9" s="1"/>
  <c r="B23" i="9" a="1"/>
  <c r="B23" i="9" s="1"/>
  <c r="B22" i="9" a="1"/>
  <c r="B22" i="9" s="1"/>
  <c r="B21" i="9" a="1"/>
  <c r="B21" i="9" s="1"/>
  <c r="B20" i="9" a="1"/>
  <c r="B20" i="9" s="1"/>
  <c r="B19" i="9" a="1"/>
  <c r="B19" i="9" s="1"/>
  <c r="B18" i="9" a="1"/>
  <c r="B18" i="9" s="1"/>
  <c r="B17" i="9" a="1"/>
  <c r="B17" i="9" s="1"/>
  <c r="B16" i="9" a="1"/>
  <c r="B16" i="9" s="1"/>
  <c r="B15" i="9" a="1"/>
  <c r="B15" i="9" s="1"/>
  <c r="B14" i="9" a="1"/>
  <c r="B14" i="9" s="1"/>
  <c r="B13" i="9" a="1"/>
  <c r="B13" i="9" s="1"/>
  <c r="B12" i="9" a="1"/>
  <c r="B12" i="9" s="1"/>
  <c r="B11" i="9" a="1"/>
  <c r="B11" i="9" s="1"/>
  <c r="B10" i="9" a="1"/>
  <c r="B10" i="9" s="1"/>
  <c r="B9" i="9" a="1"/>
  <c r="B9" i="9" s="1"/>
  <c r="B8" i="9" a="1"/>
  <c r="B8" i="9" s="1"/>
  <c r="B7" i="9" a="1"/>
  <c r="B7" i="9" s="1"/>
  <c r="B6" i="9" a="1"/>
  <c r="B6" i="9" s="1"/>
  <c r="B5" i="9" a="1"/>
  <c r="B5" i="9" s="1"/>
  <c r="B4" i="9" a="1"/>
  <c r="B4" i="9" s="1"/>
  <c r="B3" i="9" a="1"/>
  <c r="B3" i="9" s="1"/>
  <c r="B187" i="8" a="1"/>
  <c r="B187" i="8" s="1"/>
  <c r="B186" i="8" a="1"/>
  <c r="B186" i="8" s="1"/>
  <c r="B185" i="8" a="1"/>
  <c r="B185" i="8" s="1"/>
  <c r="B184" i="8" a="1"/>
  <c r="B184" i="8" s="1"/>
  <c r="B183" i="8" a="1"/>
  <c r="B183" i="8" s="1"/>
  <c r="B182" i="8" a="1"/>
  <c r="B182" i="8" s="1"/>
  <c r="B181" i="8" a="1"/>
  <c r="B181" i="8" s="1"/>
  <c r="B180" i="8" a="1"/>
  <c r="B180" i="8" s="1"/>
  <c r="B179" i="8" a="1"/>
  <c r="B179" i="8" s="1"/>
  <c r="B178" i="8" a="1"/>
  <c r="B178" i="8" s="1"/>
  <c r="B177" i="8" a="1"/>
  <c r="B177" i="8" s="1"/>
  <c r="B176" i="8" a="1"/>
  <c r="B176" i="8" s="1"/>
  <c r="B175" i="8" a="1"/>
  <c r="B175" i="8" s="1"/>
  <c r="B174" i="8" a="1"/>
  <c r="B174" i="8" s="1"/>
  <c r="B173" i="8" a="1"/>
  <c r="B173" i="8" s="1"/>
  <c r="B172" i="8" a="1"/>
  <c r="B172" i="8" s="1"/>
  <c r="B171" i="8" a="1"/>
  <c r="B171" i="8" s="1"/>
  <c r="B170" i="8" a="1"/>
  <c r="B170" i="8" s="1"/>
  <c r="B169" i="8" a="1"/>
  <c r="B169" i="8" s="1"/>
  <c r="B168" i="8" a="1"/>
  <c r="B168" i="8" s="1"/>
  <c r="B167" i="8" a="1"/>
  <c r="B167" i="8" s="1"/>
  <c r="B166" i="8" a="1"/>
  <c r="B166" i="8" s="1"/>
  <c r="B165" i="8" a="1"/>
  <c r="B165" i="8" s="1"/>
  <c r="B164" i="8" a="1"/>
  <c r="B164" i="8" s="1"/>
  <c r="B163" i="8" a="1"/>
  <c r="B163" i="8" s="1"/>
  <c r="B162" i="8" a="1"/>
  <c r="B162" i="8" s="1"/>
  <c r="B161" i="8" a="1"/>
  <c r="B161" i="8" s="1"/>
  <c r="B160" i="8" a="1"/>
  <c r="B160" i="8" s="1"/>
  <c r="B159" i="8" a="1"/>
  <c r="B159" i="8" s="1"/>
  <c r="B158" i="8" a="1"/>
  <c r="B158" i="8" s="1"/>
  <c r="B157" i="8" a="1"/>
  <c r="B157" i="8" s="1"/>
  <c r="B156" i="8" a="1"/>
  <c r="B156" i="8" s="1"/>
  <c r="B155" i="8" a="1"/>
  <c r="B155" i="8" s="1"/>
  <c r="B154" i="8" a="1"/>
  <c r="B154" i="8" s="1"/>
  <c r="B153" i="8" a="1"/>
  <c r="B153" i="8" s="1"/>
  <c r="B152" i="8" a="1"/>
  <c r="B152" i="8" s="1"/>
  <c r="B151" i="8" a="1"/>
  <c r="B151" i="8" s="1"/>
  <c r="B150" i="8" a="1"/>
  <c r="B150" i="8" s="1"/>
  <c r="B149" i="8" a="1"/>
  <c r="B149" i="8" s="1"/>
  <c r="B148" i="8" a="1"/>
  <c r="B148" i="8" s="1"/>
  <c r="B147" i="8" a="1"/>
  <c r="B147" i="8" s="1"/>
  <c r="B146" i="8" a="1"/>
  <c r="B146" i="8" s="1"/>
  <c r="B145" i="8" a="1"/>
  <c r="B145" i="8" s="1"/>
  <c r="B144" i="8" a="1"/>
  <c r="B144" i="8" s="1"/>
  <c r="B143" i="8" a="1"/>
  <c r="B143" i="8" s="1"/>
  <c r="B142" i="8" a="1"/>
  <c r="B142" i="8" s="1"/>
  <c r="B141" i="8" a="1"/>
  <c r="B141" i="8" s="1"/>
  <c r="B140" i="8" a="1"/>
  <c r="B140" i="8" s="1"/>
  <c r="B139" i="8" a="1"/>
  <c r="B139" i="8" s="1"/>
  <c r="B138" i="8" a="1"/>
  <c r="B138" i="8" s="1"/>
  <c r="B137" i="8" a="1"/>
  <c r="B137" i="8" s="1"/>
  <c r="B136" i="8" a="1"/>
  <c r="B136" i="8" s="1"/>
  <c r="B135" i="8" a="1"/>
  <c r="B135" i="8" s="1"/>
  <c r="B134" i="8" a="1"/>
  <c r="B134" i="8" s="1"/>
  <c r="B133" i="8" a="1"/>
  <c r="B133" i="8" s="1"/>
  <c r="B132" i="8" a="1"/>
  <c r="B132" i="8" s="1"/>
  <c r="B131" i="8" a="1"/>
  <c r="B131" i="8" s="1"/>
  <c r="B130" i="8" a="1"/>
  <c r="B130" i="8" s="1"/>
  <c r="B129" i="8" a="1"/>
  <c r="B129" i="8" s="1"/>
  <c r="B128" i="8" a="1"/>
  <c r="B128" i="8" s="1"/>
  <c r="B127" i="8" a="1"/>
  <c r="B127" i="8" s="1"/>
  <c r="B126" i="8" a="1"/>
  <c r="B126" i="8" s="1"/>
  <c r="B125" i="8" a="1"/>
  <c r="B125" i="8" s="1"/>
  <c r="B124" i="8" a="1"/>
  <c r="B124" i="8" s="1"/>
  <c r="B123" i="8" a="1"/>
  <c r="B123" i="8" s="1"/>
  <c r="B122" i="8" a="1"/>
  <c r="B122" i="8" s="1"/>
  <c r="B121" i="8" a="1"/>
  <c r="B121" i="8" s="1"/>
  <c r="B120" i="8" a="1"/>
  <c r="B120" i="8" s="1"/>
  <c r="B119" i="8" a="1"/>
  <c r="B119" i="8" s="1"/>
  <c r="B118" i="8" a="1"/>
  <c r="B118" i="8" s="1"/>
  <c r="B117" i="8" a="1"/>
  <c r="B117" i="8" s="1"/>
  <c r="B116" i="8" a="1"/>
  <c r="B116" i="8" s="1"/>
  <c r="B115" i="8" a="1"/>
  <c r="B115" i="8" s="1"/>
  <c r="B114" i="8" a="1"/>
  <c r="B114" i="8" s="1"/>
  <c r="B113" i="8" a="1"/>
  <c r="B113" i="8" s="1"/>
  <c r="B112" i="8" a="1"/>
  <c r="B112" i="8" s="1"/>
  <c r="B111" i="8" a="1"/>
  <c r="B111" i="8" s="1"/>
  <c r="B110" i="8" a="1"/>
  <c r="B110" i="8" s="1"/>
  <c r="B109" i="8" a="1"/>
  <c r="B109" i="8" s="1"/>
  <c r="B108" i="8" a="1"/>
  <c r="B108" i="8" s="1"/>
  <c r="B107" i="8" a="1"/>
  <c r="B107" i="8" s="1"/>
  <c r="B106" i="8" a="1"/>
  <c r="B106" i="8" s="1"/>
  <c r="B105" i="8" a="1"/>
  <c r="B105" i="8" s="1"/>
  <c r="B104" i="8" a="1"/>
  <c r="B104" i="8" s="1"/>
  <c r="B103" i="8" a="1"/>
  <c r="B103" i="8" s="1"/>
  <c r="B102" i="8" a="1"/>
  <c r="B102" i="8" s="1"/>
  <c r="B101" i="8" a="1"/>
  <c r="B101" i="8" s="1"/>
  <c r="B100" i="8" a="1"/>
  <c r="B100" i="8" s="1"/>
  <c r="B99" i="8" a="1"/>
  <c r="B99" i="8" s="1"/>
  <c r="B98" i="8" a="1"/>
  <c r="B98" i="8" s="1"/>
  <c r="B97" i="8" a="1"/>
  <c r="B97" i="8" s="1"/>
  <c r="B96" i="8" a="1"/>
  <c r="B96" i="8" s="1"/>
  <c r="B95" i="8" a="1"/>
  <c r="B95" i="8" s="1"/>
  <c r="B94" i="8" a="1"/>
  <c r="B94" i="8" s="1"/>
  <c r="B93" i="8" a="1"/>
  <c r="B93" i="8" s="1"/>
  <c r="B92" i="8" a="1"/>
  <c r="B92" i="8" s="1"/>
  <c r="B91" i="8" a="1"/>
  <c r="B91" i="8" s="1"/>
  <c r="B90" i="8" a="1"/>
  <c r="B90" i="8" s="1"/>
  <c r="B89" i="8"/>
  <c r="B89" i="8" a="1"/>
  <c r="B88" i="8" a="1"/>
  <c r="B88" i="8" s="1"/>
  <c r="B87" i="8" a="1"/>
  <c r="B87" i="8" s="1"/>
  <c r="B86" i="8" a="1"/>
  <c r="B86" i="8" s="1"/>
  <c r="B85" i="8" a="1"/>
  <c r="B85" i="8" s="1"/>
  <c r="B84" i="8" a="1"/>
  <c r="B84" i="8" s="1"/>
  <c r="B83" i="8" a="1"/>
  <c r="B83" i="8" s="1"/>
  <c r="B82" i="8" a="1"/>
  <c r="B82" i="8" s="1"/>
  <c r="B81" i="8" a="1"/>
  <c r="B81" i="8" s="1"/>
  <c r="B80" i="8" a="1"/>
  <c r="B80" i="8" s="1"/>
  <c r="B79" i="8" a="1"/>
  <c r="B79" i="8" s="1"/>
  <c r="B78" i="8" a="1"/>
  <c r="B78" i="8" s="1"/>
  <c r="B77" i="8" a="1"/>
  <c r="B77" i="8" s="1"/>
  <c r="B76" i="8" a="1"/>
  <c r="B76" i="8" s="1"/>
  <c r="B75" i="8" a="1"/>
  <c r="B75" i="8" s="1"/>
  <c r="B74" i="8" a="1"/>
  <c r="B74" i="8" s="1"/>
  <c r="B73" i="8" a="1"/>
  <c r="B73" i="8" s="1"/>
  <c r="B72" i="8" a="1"/>
  <c r="B72" i="8" s="1"/>
  <c r="B71" i="8" a="1"/>
  <c r="B71" i="8" s="1"/>
  <c r="B70" i="8" a="1"/>
  <c r="B70" i="8" s="1"/>
  <c r="B69" i="8" a="1"/>
  <c r="B69" i="8" s="1"/>
  <c r="B68" i="8" a="1"/>
  <c r="B68" i="8" s="1"/>
  <c r="B67" i="8" a="1"/>
  <c r="B67" i="8" s="1"/>
  <c r="B66" i="8" a="1"/>
  <c r="B66" i="8" s="1"/>
  <c r="B65" i="8" a="1"/>
  <c r="B65" i="8" s="1"/>
  <c r="B64" i="8" a="1"/>
  <c r="B64" i="8" s="1"/>
  <c r="B63" i="8" a="1"/>
  <c r="B63" i="8" s="1"/>
  <c r="B62" i="8" a="1"/>
  <c r="B62" i="8" s="1"/>
  <c r="B61" i="8" a="1"/>
  <c r="B61" i="8" s="1"/>
  <c r="B60" i="8" a="1"/>
  <c r="B60" i="8" s="1"/>
  <c r="B59" i="8" a="1"/>
  <c r="B59" i="8" s="1"/>
  <c r="B58" i="8" a="1"/>
  <c r="B58" i="8" s="1"/>
  <c r="B57" i="8" a="1"/>
  <c r="B57" i="8" s="1"/>
  <c r="B56" i="8" a="1"/>
  <c r="B56" i="8" s="1"/>
  <c r="B55" i="8" a="1"/>
  <c r="B55" i="8" s="1"/>
  <c r="B54" i="8" a="1"/>
  <c r="B54" i="8" s="1"/>
  <c r="B53" i="8" a="1"/>
  <c r="B53" i="8" s="1"/>
  <c r="B52" i="8" a="1"/>
  <c r="B52" i="8" s="1"/>
  <c r="B51" i="8" a="1"/>
  <c r="B51" i="8" s="1"/>
  <c r="B50" i="8" a="1"/>
  <c r="B50" i="8" s="1"/>
  <c r="B49" i="8" a="1"/>
  <c r="B49" i="8" s="1"/>
  <c r="B48" i="8" a="1"/>
  <c r="B48" i="8" s="1"/>
  <c r="B47" i="8" a="1"/>
  <c r="B47" i="8" s="1"/>
  <c r="B46" i="8" a="1"/>
  <c r="B46" i="8" s="1"/>
  <c r="B45" i="8" a="1"/>
  <c r="B45" i="8" s="1"/>
  <c r="B44" i="8" a="1"/>
  <c r="B44" i="8" s="1"/>
  <c r="B43" i="8" a="1"/>
  <c r="B43" i="8" s="1"/>
  <c r="B42" i="8" a="1"/>
  <c r="B42" i="8" s="1"/>
  <c r="B41" i="8" a="1"/>
  <c r="B41" i="8" s="1"/>
  <c r="B40" i="8" a="1"/>
  <c r="B40" i="8" s="1"/>
  <c r="B39" i="8" a="1"/>
  <c r="B39" i="8" s="1"/>
  <c r="B38" i="8" a="1"/>
  <c r="B38" i="8" s="1"/>
  <c r="B37" i="8" a="1"/>
  <c r="B37" i="8" s="1"/>
  <c r="B36" i="8" a="1"/>
  <c r="B36" i="8" s="1"/>
  <c r="B35" i="8" a="1"/>
  <c r="B35" i="8" s="1"/>
  <c r="B34" i="8" a="1"/>
  <c r="B34" i="8" s="1"/>
  <c r="B33" i="8" a="1"/>
  <c r="B33" i="8" s="1"/>
  <c r="B32" i="8" a="1"/>
  <c r="B32" i="8" s="1"/>
  <c r="B31" i="8" a="1"/>
  <c r="B31" i="8" s="1"/>
  <c r="B30" i="8" a="1"/>
  <c r="B30" i="8" s="1"/>
  <c r="B29" i="8" a="1"/>
  <c r="B29" i="8" s="1"/>
  <c r="B28" i="8" a="1"/>
  <c r="B28" i="8" s="1"/>
  <c r="B27" i="8" a="1"/>
  <c r="B27" i="8" s="1"/>
  <c r="B26" i="8" a="1"/>
  <c r="B26" i="8" s="1"/>
  <c r="B25" i="8" a="1"/>
  <c r="B25" i="8" s="1"/>
  <c r="B24" i="8" a="1"/>
  <c r="B24" i="8" s="1"/>
  <c r="B23" i="8" a="1"/>
  <c r="B23" i="8" s="1"/>
  <c r="B22" i="8" a="1"/>
  <c r="B22" i="8" s="1"/>
  <c r="B21" i="8" a="1"/>
  <c r="B21" i="8" s="1"/>
  <c r="B20" i="8" a="1"/>
  <c r="B20" i="8" s="1"/>
  <c r="B19" i="8" a="1"/>
  <c r="B19" i="8" s="1"/>
  <c r="B18" i="8" a="1"/>
  <c r="B18" i="8" s="1"/>
  <c r="B17" i="8" a="1"/>
  <c r="B17" i="8" s="1"/>
  <c r="B16" i="8" a="1"/>
  <c r="B16" i="8" s="1"/>
  <c r="B15" i="8" a="1"/>
  <c r="B15" i="8" s="1"/>
  <c r="B14" i="8" a="1"/>
  <c r="B14" i="8" s="1"/>
  <c r="B13" i="8" a="1"/>
  <c r="B13" i="8" s="1"/>
  <c r="B12" i="8" a="1"/>
  <c r="B12" i="8" s="1"/>
  <c r="B11" i="8" a="1"/>
  <c r="B11" i="8" s="1"/>
  <c r="B10" i="8" a="1"/>
  <c r="B10" i="8" s="1"/>
  <c r="B9" i="8" a="1"/>
  <c r="B9" i="8" s="1"/>
  <c r="B8" i="8" a="1"/>
  <c r="B8" i="8" s="1"/>
  <c r="B7" i="8" a="1"/>
  <c r="B7" i="8" s="1"/>
  <c r="B6" i="8" a="1"/>
  <c r="B6" i="8" s="1"/>
  <c r="B5" i="8" a="1"/>
  <c r="B5" i="8" s="1"/>
  <c r="B4" i="8" a="1"/>
  <c r="B4" i="8" s="1"/>
  <c r="B3" i="8" a="1"/>
  <c r="B3" i="8" s="1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3" i="7"/>
  <c r="G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3" i="7"/>
  <c r="I129" i="16" l="1"/>
  <c r="I95" i="16"/>
  <c r="I143" i="16"/>
  <c r="I93" i="16"/>
  <c r="I154" i="17"/>
  <c r="I183" i="17"/>
  <c r="I49" i="17"/>
  <c r="I177" i="17"/>
  <c r="I164" i="17"/>
  <c r="I17" i="17"/>
  <c r="I152" i="18"/>
  <c r="I17" i="18"/>
  <c r="I49" i="18"/>
  <c r="I65" i="18"/>
  <c r="I81" i="18"/>
  <c r="I97" i="18"/>
  <c r="I108" i="19"/>
  <c r="I124" i="19"/>
  <c r="I140" i="19"/>
  <c r="I156" i="19"/>
  <c r="I72" i="19"/>
  <c r="I3" i="19"/>
  <c r="I139" i="19"/>
  <c r="I171" i="19"/>
  <c r="I166" i="19"/>
  <c r="I182" i="19"/>
  <c r="I4" i="19"/>
  <c r="I28" i="19"/>
  <c r="I36" i="19"/>
  <c r="I60" i="19"/>
  <c r="I68" i="19"/>
  <c r="I116" i="19"/>
  <c r="I164" i="19"/>
  <c r="I172" i="19"/>
  <c r="I69" i="19"/>
  <c r="I168" i="19"/>
  <c r="I24" i="19"/>
  <c r="I56" i="19"/>
  <c r="I88" i="19"/>
  <c r="I104" i="19"/>
  <c r="I120" i="19"/>
  <c r="I136" i="19"/>
  <c r="J136" i="19" s="1"/>
  <c r="I91" i="19"/>
  <c r="I145" i="19"/>
  <c r="I187" i="19"/>
  <c r="I14" i="19"/>
  <c r="J14" i="19" s="1"/>
  <c r="I62" i="19"/>
  <c r="J62" i="19" s="1"/>
  <c r="I137" i="19"/>
  <c r="I9" i="18"/>
  <c r="I16" i="18"/>
  <c r="I24" i="18"/>
  <c r="I32" i="18"/>
  <c r="I136" i="18"/>
  <c r="I144" i="18"/>
  <c r="J144" i="18" s="1"/>
  <c r="I160" i="18"/>
  <c r="I102" i="17"/>
  <c r="I134" i="17"/>
  <c r="I4" i="17"/>
  <c r="I12" i="17"/>
  <c r="I52" i="17"/>
  <c r="I60" i="17"/>
  <c r="I68" i="17"/>
  <c r="I76" i="17"/>
  <c r="I100" i="17"/>
  <c r="I108" i="17"/>
  <c r="I172" i="17"/>
  <c r="I7" i="17"/>
  <c r="J17" i="17" s="1"/>
  <c r="I15" i="17"/>
  <c r="J25" i="17" s="1"/>
  <c r="I55" i="17"/>
  <c r="I77" i="17"/>
  <c r="I87" i="17"/>
  <c r="I103" i="17"/>
  <c r="I127" i="17"/>
  <c r="I135" i="17"/>
  <c r="I151" i="17"/>
  <c r="I159" i="17"/>
  <c r="I8" i="16"/>
  <c r="J18" i="16" s="1"/>
  <c r="I22" i="16"/>
  <c r="I155" i="16"/>
  <c r="J155" i="16" s="1"/>
  <c r="I171" i="16"/>
  <c r="I184" i="16"/>
  <c r="J194" i="16" s="1"/>
  <c r="I187" i="16"/>
  <c r="J197" i="16" s="1"/>
  <c r="I65" i="16"/>
  <c r="I81" i="16"/>
  <c r="I97" i="16"/>
  <c r="I13" i="16"/>
  <c r="I29" i="16"/>
  <c r="I158" i="16"/>
  <c r="I94" i="19"/>
  <c r="I110" i="19"/>
  <c r="J110" i="19" s="1"/>
  <c r="I134" i="19"/>
  <c r="I142" i="19"/>
  <c r="I150" i="19"/>
  <c r="I158" i="19"/>
  <c r="I91" i="17"/>
  <c r="I130" i="16"/>
  <c r="I60" i="16"/>
  <c r="I148" i="16"/>
  <c r="I156" i="16"/>
  <c r="I172" i="16"/>
  <c r="I16" i="16"/>
  <c r="I76" i="19"/>
  <c r="I84" i="19"/>
  <c r="I92" i="19"/>
  <c r="J92" i="19" s="1"/>
  <c r="I100" i="19"/>
  <c r="I106" i="17"/>
  <c r="I122" i="17"/>
  <c r="J122" i="17" s="1"/>
  <c r="I138" i="17"/>
  <c r="I154" i="16"/>
  <c r="I170" i="16"/>
  <c r="I45" i="18"/>
  <c r="I93" i="18"/>
  <c r="I109" i="18"/>
  <c r="I8" i="18"/>
  <c r="I143" i="19"/>
  <c r="I127" i="19"/>
  <c r="I111" i="19"/>
  <c r="I79" i="19"/>
  <c r="J79" i="19" s="1"/>
  <c r="I15" i="19"/>
  <c r="I22" i="17"/>
  <c r="I102" i="16"/>
  <c r="I182" i="16"/>
  <c r="I73" i="18"/>
  <c r="I89" i="18"/>
  <c r="I113" i="18"/>
  <c r="I121" i="18"/>
  <c r="I129" i="18"/>
  <c r="J139" i="18" s="1"/>
  <c r="I137" i="18"/>
  <c r="I161" i="18"/>
  <c r="I169" i="18"/>
  <c r="I76" i="18"/>
  <c r="I116" i="18"/>
  <c r="I124" i="18"/>
  <c r="I148" i="18"/>
  <c r="J158" i="18" s="1"/>
  <c r="I156" i="18"/>
  <c r="I164" i="18"/>
  <c r="I172" i="18"/>
  <c r="I44" i="18"/>
  <c r="I52" i="18"/>
  <c r="I92" i="18"/>
  <c r="I15" i="18"/>
  <c r="I31" i="18"/>
  <c r="I47" i="18"/>
  <c r="I79" i="18"/>
  <c r="I95" i="18"/>
  <c r="I127" i="18"/>
  <c r="I58" i="18"/>
  <c r="I90" i="18"/>
  <c r="I106" i="18"/>
  <c r="J106" i="18" s="1"/>
  <c r="I154" i="18"/>
  <c r="I170" i="18"/>
  <c r="J180" i="18" s="1"/>
  <c r="I186" i="18"/>
  <c r="I125" i="18"/>
  <c r="I141" i="18"/>
  <c r="I157" i="18"/>
  <c r="I40" i="18"/>
  <c r="I48" i="18"/>
  <c r="I64" i="18"/>
  <c r="J64" i="18" s="1"/>
  <c r="I80" i="18"/>
  <c r="I96" i="18"/>
  <c r="I112" i="18"/>
  <c r="J112" i="18" s="1"/>
  <c r="I120" i="18"/>
  <c r="I128" i="18"/>
  <c r="I184" i="18"/>
  <c r="I91" i="18"/>
  <c r="I123" i="18"/>
  <c r="I155" i="18"/>
  <c r="I171" i="18"/>
  <c r="I30" i="18"/>
  <c r="I110" i="18"/>
  <c r="I158" i="18"/>
  <c r="J168" i="18" s="1"/>
  <c r="I54" i="18"/>
  <c r="I118" i="18"/>
  <c r="I166" i="18"/>
  <c r="I182" i="18"/>
  <c r="I10" i="17"/>
  <c r="I26" i="17"/>
  <c r="I53" i="17"/>
  <c r="I58" i="17"/>
  <c r="J68" i="17" s="1"/>
  <c r="I69" i="17"/>
  <c r="I74" i="17"/>
  <c r="I85" i="17"/>
  <c r="I101" i="17"/>
  <c r="J101" i="17" s="1"/>
  <c r="I186" i="17"/>
  <c r="I29" i="17"/>
  <c r="I45" i="17"/>
  <c r="I8" i="17"/>
  <c r="I16" i="17"/>
  <c r="I24" i="17"/>
  <c r="I40" i="17"/>
  <c r="I48" i="17"/>
  <c r="I56" i="17"/>
  <c r="I64" i="17"/>
  <c r="J74" i="17" s="1"/>
  <c r="I72" i="17"/>
  <c r="I88" i="17"/>
  <c r="I96" i="17"/>
  <c r="J106" i="17" s="1"/>
  <c r="I120" i="17"/>
  <c r="I128" i="17"/>
  <c r="I136" i="17"/>
  <c r="I168" i="17"/>
  <c r="I176" i="17"/>
  <c r="I184" i="17"/>
  <c r="I11" i="17"/>
  <c r="I27" i="17"/>
  <c r="J27" i="17" s="1"/>
  <c r="I43" i="17"/>
  <c r="I59" i="17"/>
  <c r="J59" i="17" s="1"/>
  <c r="I107" i="17"/>
  <c r="I139" i="17"/>
  <c r="I171" i="17"/>
  <c r="J171" i="17" s="1"/>
  <c r="I187" i="17"/>
  <c r="J187" i="17" s="1"/>
  <c r="I54" i="17"/>
  <c r="J54" i="17" s="1"/>
  <c r="I86" i="17"/>
  <c r="J86" i="17" s="1"/>
  <c r="I150" i="17"/>
  <c r="I182" i="17"/>
  <c r="I65" i="17"/>
  <c r="J65" i="17" s="1"/>
  <c r="I97" i="17"/>
  <c r="I113" i="17"/>
  <c r="I145" i="17"/>
  <c r="J145" i="17" s="1"/>
  <c r="I161" i="17"/>
  <c r="J161" i="17" s="1"/>
  <c r="I175" i="17"/>
  <c r="I143" i="17"/>
  <c r="I47" i="17"/>
  <c r="I24" i="16"/>
  <c r="I32" i="16"/>
  <c r="J32" i="16" s="1"/>
  <c r="I56" i="16"/>
  <c r="I64" i="16"/>
  <c r="I72" i="16"/>
  <c r="I80" i="16"/>
  <c r="I104" i="16"/>
  <c r="I112" i="16"/>
  <c r="I120" i="16"/>
  <c r="I128" i="16"/>
  <c r="J128" i="16" s="1"/>
  <c r="I144" i="16"/>
  <c r="I152" i="16"/>
  <c r="J162" i="16" s="1"/>
  <c r="I160" i="16"/>
  <c r="I168" i="16"/>
  <c r="J168" i="16" s="1"/>
  <c r="I176" i="16"/>
  <c r="I75" i="16"/>
  <c r="J85" i="16" s="1"/>
  <c r="I91" i="16"/>
  <c r="J91" i="16" s="1"/>
  <c r="I123" i="16"/>
  <c r="I139" i="16"/>
  <c r="I6" i="16"/>
  <c r="I126" i="16"/>
  <c r="J126" i="16" s="1"/>
  <c r="I38" i="16"/>
  <c r="I54" i="16"/>
  <c r="J64" i="16" s="1"/>
  <c r="I86" i="16"/>
  <c r="I9" i="16"/>
  <c r="I17" i="16"/>
  <c r="I49" i="16"/>
  <c r="I145" i="16"/>
  <c r="I177" i="16"/>
  <c r="J187" i="16" s="1"/>
  <c r="I89" i="16"/>
  <c r="I113" i="16"/>
  <c r="I137" i="16"/>
  <c r="J137" i="16" s="1"/>
  <c r="I161" i="16"/>
  <c r="J161" i="16" s="1"/>
  <c r="I169" i="16"/>
  <c r="J169" i="16" s="1"/>
  <c r="I30" i="16"/>
  <c r="I110" i="16"/>
  <c r="I92" i="16"/>
  <c r="J102" i="16" s="1"/>
  <c r="I108" i="16"/>
  <c r="I116" i="16"/>
  <c r="I124" i="16"/>
  <c r="I132" i="16"/>
  <c r="I31" i="16"/>
  <c r="I47" i="16"/>
  <c r="I63" i="16"/>
  <c r="I175" i="16"/>
  <c r="I138" i="16"/>
  <c r="J138" i="16" s="1"/>
  <c r="I146" i="16"/>
  <c r="I178" i="16"/>
  <c r="J188" i="16" s="1"/>
  <c r="I61" i="16"/>
  <c r="I125" i="16"/>
  <c r="I141" i="16"/>
  <c r="I157" i="16"/>
  <c r="I77" i="16"/>
  <c r="I45" i="16"/>
  <c r="I109" i="16"/>
  <c r="I122" i="16"/>
  <c r="J122" i="16" s="1"/>
  <c r="I162" i="16"/>
  <c r="J172" i="16" s="1"/>
  <c r="I186" i="16"/>
  <c r="J196" i="16" s="1"/>
  <c r="I43" i="18"/>
  <c r="I59" i="18"/>
  <c r="J59" i="18" s="1"/>
  <c r="I67" i="18"/>
  <c r="I77" i="18"/>
  <c r="I43" i="19"/>
  <c r="I136" i="16"/>
  <c r="I88" i="16"/>
  <c r="I40" i="16"/>
  <c r="I160" i="17"/>
  <c r="I144" i="17"/>
  <c r="J144" i="17" s="1"/>
  <c r="I112" i="17"/>
  <c r="I80" i="17"/>
  <c r="I32" i="17"/>
  <c r="J32" i="17" s="1"/>
  <c r="I104" i="18"/>
  <c r="I88" i="18"/>
  <c r="J88" i="18" s="1"/>
  <c r="I72" i="18"/>
  <c r="I56" i="18"/>
  <c r="I48" i="16"/>
  <c r="I104" i="17"/>
  <c r="J104" i="17" s="1"/>
  <c r="I152" i="17"/>
  <c r="I184" i="19"/>
  <c r="I166" i="16"/>
  <c r="I150" i="16"/>
  <c r="I134" i="16"/>
  <c r="I118" i="16"/>
  <c r="I70" i="16"/>
  <c r="I150" i="18"/>
  <c r="I134" i="18"/>
  <c r="I102" i="18"/>
  <c r="J102" i="18" s="1"/>
  <c r="I70" i="18"/>
  <c r="I38" i="18"/>
  <c r="I22" i="18"/>
  <c r="J32" i="18" s="1"/>
  <c r="I6" i="18"/>
  <c r="J16" i="18" s="1"/>
  <c r="I174" i="19"/>
  <c r="I126" i="19"/>
  <c r="J126" i="19" s="1"/>
  <c r="I78" i="19"/>
  <c r="J78" i="19" s="1"/>
  <c r="I46" i="19"/>
  <c r="J46" i="19" s="1"/>
  <c r="I30" i="19"/>
  <c r="J40" i="19" s="1"/>
  <c r="I96" i="16"/>
  <c r="I173" i="16"/>
  <c r="I173" i="18"/>
  <c r="I173" i="17"/>
  <c r="I157" i="17"/>
  <c r="I141" i="17"/>
  <c r="J151" i="17" s="1"/>
  <c r="I125" i="17"/>
  <c r="J135" i="17" s="1"/>
  <c r="I109" i="17"/>
  <c r="I93" i="17"/>
  <c r="J103" i="17" s="1"/>
  <c r="I61" i="17"/>
  <c r="I13" i="17"/>
  <c r="I75" i="17"/>
  <c r="I123" i="17"/>
  <c r="J123" i="17" s="1"/>
  <c r="I155" i="17"/>
  <c r="J155" i="17" s="1"/>
  <c r="I107" i="16"/>
  <c r="I176" i="18"/>
  <c r="J176" i="18" s="1"/>
  <c r="I71" i="19"/>
  <c r="I103" i="19"/>
  <c r="J113" i="19" s="1"/>
  <c r="I118" i="19"/>
  <c r="J118" i="19" s="1"/>
  <c r="I6" i="17"/>
  <c r="I38" i="17"/>
  <c r="I70" i="17"/>
  <c r="J70" i="17" s="1"/>
  <c r="I118" i="17"/>
  <c r="I166" i="17"/>
  <c r="J176" i="17" s="1"/>
  <c r="I86" i="18"/>
  <c r="J96" i="18" s="1"/>
  <c r="I12" i="19"/>
  <c r="I20" i="19"/>
  <c r="I42" i="19"/>
  <c r="I44" i="19"/>
  <c r="I52" i="19"/>
  <c r="I119" i="19"/>
  <c r="I52" i="16"/>
  <c r="I74" i="19"/>
  <c r="I90" i="19"/>
  <c r="J100" i="19" s="1"/>
  <c r="I12" i="16"/>
  <c r="I33" i="16"/>
  <c r="I41" i="16"/>
  <c r="I68" i="16"/>
  <c r="I9" i="17"/>
  <c r="I33" i="17"/>
  <c r="I41" i="17"/>
  <c r="I57" i="17"/>
  <c r="I81" i="17"/>
  <c r="I89" i="17"/>
  <c r="I105" i="17"/>
  <c r="I129" i="17"/>
  <c r="I137" i="17"/>
  <c r="I185" i="17"/>
  <c r="J185" i="17" s="1"/>
  <c r="I33" i="18"/>
  <c r="J33" i="18" s="1"/>
  <c r="I41" i="18"/>
  <c r="J41" i="18" s="1"/>
  <c r="I21" i="19"/>
  <c r="I31" i="19"/>
  <c r="J31" i="19" s="1"/>
  <c r="I47" i="19"/>
  <c r="I63" i="19"/>
  <c r="I132" i="19"/>
  <c r="I148" i="19"/>
  <c r="I18" i="16"/>
  <c r="I26" i="16"/>
  <c r="J26" i="16" s="1"/>
  <c r="I28" i="16"/>
  <c r="J38" i="16" s="1"/>
  <c r="I34" i="16"/>
  <c r="I42" i="16"/>
  <c r="I44" i="16"/>
  <c r="J54" i="16" s="1"/>
  <c r="I20" i="17"/>
  <c r="I28" i="17"/>
  <c r="I36" i="17"/>
  <c r="I84" i="17"/>
  <c r="J84" i="17" s="1"/>
  <c r="I92" i="17"/>
  <c r="J102" i="17" s="1"/>
  <c r="I116" i="17"/>
  <c r="I124" i="17"/>
  <c r="I132" i="17"/>
  <c r="J142" i="17" s="1"/>
  <c r="I140" i="17"/>
  <c r="I28" i="18"/>
  <c r="I60" i="18"/>
  <c r="I37" i="19"/>
  <c r="J47" i="19" s="1"/>
  <c r="I95" i="19"/>
  <c r="I180" i="19"/>
  <c r="I7" i="16"/>
  <c r="J17" i="16" s="1"/>
  <c r="I15" i="16"/>
  <c r="I76" i="16"/>
  <c r="I68" i="18"/>
  <c r="I100" i="18"/>
  <c r="I108" i="18"/>
  <c r="I145" i="18"/>
  <c r="I177" i="18"/>
  <c r="J187" i="18" s="1"/>
  <c r="I39" i="16"/>
  <c r="J39" i="16" s="1"/>
  <c r="I55" i="16"/>
  <c r="I63" i="17"/>
  <c r="I95" i="17"/>
  <c r="J95" i="17" s="1"/>
  <c r="I111" i="17"/>
  <c r="I39" i="18"/>
  <c r="J49" i="18" s="1"/>
  <c r="I159" i="19"/>
  <c r="I175" i="19"/>
  <c r="I87" i="16"/>
  <c r="J87" i="16" s="1"/>
  <c r="I140" i="16"/>
  <c r="J140" i="16" s="1"/>
  <c r="I31" i="17"/>
  <c r="I79" i="17"/>
  <c r="I63" i="18"/>
  <c r="J63" i="18" s="1"/>
  <c r="I87" i="18"/>
  <c r="J97" i="18" s="1"/>
  <c r="I132" i="18"/>
  <c r="J132" i="18" s="1"/>
  <c r="I140" i="18"/>
  <c r="I79" i="16"/>
  <c r="I111" i="16"/>
  <c r="I119" i="16"/>
  <c r="J119" i="16" s="1"/>
  <c r="I164" i="16"/>
  <c r="I180" i="16"/>
  <c r="J190" i="16" s="1"/>
  <c r="I111" i="18"/>
  <c r="I119" i="18"/>
  <c r="J119" i="18" s="1"/>
  <c r="I135" i="18"/>
  <c r="I143" i="18"/>
  <c r="I167" i="16"/>
  <c r="J167" i="16" s="1"/>
  <c r="I3" i="17"/>
  <c r="I34" i="17"/>
  <c r="J34" i="17" s="1"/>
  <c r="I42" i="17"/>
  <c r="I90" i="17"/>
  <c r="I170" i="17"/>
  <c r="J170" i="17" s="1"/>
  <c r="I13" i="18"/>
  <c r="I85" i="18"/>
  <c r="I101" i="18"/>
  <c r="I167" i="18"/>
  <c r="I183" i="18"/>
  <c r="J183" i="18" s="1"/>
  <c r="I159" i="16"/>
  <c r="I19" i="17"/>
  <c r="I35" i="17"/>
  <c r="I19" i="18"/>
  <c r="J19" i="18" s="1"/>
  <c r="I29" i="18"/>
  <c r="I51" i="18"/>
  <c r="I61" i="18"/>
  <c r="J61" i="18" s="1"/>
  <c r="I74" i="18"/>
  <c r="J84" i="18" s="1"/>
  <c r="I11" i="19"/>
  <c r="J21" i="19" s="1"/>
  <c r="I43" i="16"/>
  <c r="I85" i="16"/>
  <c r="I78" i="17"/>
  <c r="I147" i="17"/>
  <c r="I181" i="17"/>
  <c r="J181" i="17" s="1"/>
  <c r="I26" i="18"/>
  <c r="J26" i="18" s="1"/>
  <c r="I179" i="18"/>
  <c r="J179" i="18" s="1"/>
  <c r="I9" i="19"/>
  <c r="I70" i="19"/>
  <c r="I93" i="19"/>
  <c r="I133" i="19"/>
  <c r="I59" i="16"/>
  <c r="I101" i="16"/>
  <c r="I135" i="16"/>
  <c r="I185" i="16"/>
  <c r="J195" i="16" s="1"/>
  <c r="I25" i="17"/>
  <c r="I94" i="17"/>
  <c r="I163" i="17"/>
  <c r="J173" i="17" s="1"/>
  <c r="I7" i="18"/>
  <c r="J17" i="18" s="1"/>
  <c r="I42" i="18"/>
  <c r="J42" i="18" s="1"/>
  <c r="I57" i="18"/>
  <c r="I126" i="18"/>
  <c r="J136" i="18" s="1"/>
  <c r="I25" i="19"/>
  <c r="I59" i="19"/>
  <c r="J69" i="19" s="1"/>
  <c r="I86" i="19"/>
  <c r="J86" i="19" s="1"/>
  <c r="I109" i="19"/>
  <c r="I149" i="19"/>
  <c r="J149" i="19" s="1"/>
  <c r="I14" i="16"/>
  <c r="I117" i="16"/>
  <c r="I151" i="16"/>
  <c r="J151" i="16" s="1"/>
  <c r="I110" i="17"/>
  <c r="I179" i="17"/>
  <c r="I23" i="18"/>
  <c r="I142" i="18"/>
  <c r="J152" i="18" s="1"/>
  <c r="I7" i="19"/>
  <c r="I75" i="19"/>
  <c r="I133" i="16"/>
  <c r="I126" i="17"/>
  <c r="I5" i="18"/>
  <c r="I23" i="19"/>
  <c r="I57" i="19"/>
  <c r="I97" i="19"/>
  <c r="I141" i="19"/>
  <c r="I163" i="19"/>
  <c r="I181" i="19"/>
  <c r="I57" i="16"/>
  <c r="I46" i="16"/>
  <c r="J56" i="16" s="1"/>
  <c r="I149" i="16"/>
  <c r="J159" i="16" s="1"/>
  <c r="I183" i="16"/>
  <c r="I23" i="17"/>
  <c r="J23" i="17" s="1"/>
  <c r="I73" i="17"/>
  <c r="I142" i="17"/>
  <c r="I3" i="18"/>
  <c r="J13" i="18" s="1"/>
  <c r="I21" i="18"/>
  <c r="I55" i="18"/>
  <c r="J65" i="18" s="1"/>
  <c r="I105" i="18"/>
  <c r="J105" i="18" s="1"/>
  <c r="I174" i="18"/>
  <c r="J184" i="18" s="1"/>
  <c r="I10" i="19"/>
  <c r="J20" i="19" s="1"/>
  <c r="I39" i="19"/>
  <c r="I73" i="19"/>
  <c r="I107" i="19"/>
  <c r="I113" i="19"/>
  <c r="I157" i="19"/>
  <c r="I179" i="19"/>
  <c r="I178" i="17"/>
  <c r="J178" i="17" s="1"/>
  <c r="I162" i="17"/>
  <c r="J162" i="17" s="1"/>
  <c r="I146" i="17"/>
  <c r="J146" i="17" s="1"/>
  <c r="I130" i="17"/>
  <c r="J130" i="17" s="1"/>
  <c r="I114" i="17"/>
  <c r="J124" i="17" s="1"/>
  <c r="I98" i="17"/>
  <c r="I82" i="17"/>
  <c r="J82" i="17" s="1"/>
  <c r="I66" i="17"/>
  <c r="J76" i="17" s="1"/>
  <c r="I50" i="17"/>
  <c r="I18" i="17"/>
  <c r="I4" i="16"/>
  <c r="I62" i="16"/>
  <c r="J72" i="16" s="1"/>
  <c r="I165" i="16"/>
  <c r="I5" i="17"/>
  <c r="I39" i="17"/>
  <c r="J49" i="17" s="1"/>
  <c r="I158" i="17"/>
  <c r="I11" i="18"/>
  <c r="I37" i="18"/>
  <c r="I71" i="18"/>
  <c r="I26" i="19"/>
  <c r="I55" i="19"/>
  <c r="I89" i="19"/>
  <c r="I123" i="19"/>
  <c r="I129" i="19"/>
  <c r="J139" i="19" s="1"/>
  <c r="I173" i="19"/>
  <c r="I20" i="16"/>
  <c r="J30" i="16" s="1"/>
  <c r="I78" i="16"/>
  <c r="I181" i="16"/>
  <c r="I21" i="17"/>
  <c r="I174" i="17"/>
  <c r="J174" i="17" s="1"/>
  <c r="I53" i="18"/>
  <c r="I105" i="19"/>
  <c r="I10" i="16"/>
  <c r="I25" i="16"/>
  <c r="I36" i="16"/>
  <c r="I94" i="16"/>
  <c r="I37" i="17"/>
  <c r="I71" i="17"/>
  <c r="J71" i="17" s="1"/>
  <c r="I121" i="17"/>
  <c r="J121" i="17" s="1"/>
  <c r="I156" i="17"/>
  <c r="I27" i="18"/>
  <c r="J27" i="18" s="1"/>
  <c r="I35" i="18"/>
  <c r="I69" i="18"/>
  <c r="J79" i="18" s="1"/>
  <c r="I103" i="18"/>
  <c r="I153" i="18"/>
  <c r="J153" i="18" s="1"/>
  <c r="I5" i="19"/>
  <c r="I58" i="19"/>
  <c r="I87" i="19"/>
  <c r="I121" i="19"/>
  <c r="I155" i="19"/>
  <c r="I23" i="16"/>
  <c r="J23" i="16" s="1"/>
  <c r="I50" i="16"/>
  <c r="I58" i="16"/>
  <c r="I73" i="16"/>
  <c r="I84" i="16"/>
  <c r="J84" i="16" s="1"/>
  <c r="I142" i="16"/>
  <c r="J142" i="16" s="1"/>
  <c r="I51" i="17"/>
  <c r="J61" i="17" s="1"/>
  <c r="I119" i="17"/>
  <c r="I169" i="17"/>
  <c r="J169" i="17" s="1"/>
  <c r="I14" i="18"/>
  <c r="I75" i="18"/>
  <c r="I83" i="18"/>
  <c r="J83" i="18" s="1"/>
  <c r="I117" i="18"/>
  <c r="J117" i="18" s="1"/>
  <c r="I151" i="18"/>
  <c r="J161" i="18" s="1"/>
  <c r="I53" i="19"/>
  <c r="J53" i="19" s="1"/>
  <c r="I106" i="19"/>
  <c r="I5" i="16"/>
  <c r="I66" i="16"/>
  <c r="J66" i="16" s="1"/>
  <c r="I74" i="16"/>
  <c r="J74" i="16" s="1"/>
  <c r="I100" i="16"/>
  <c r="J110" i="16" s="1"/>
  <c r="I67" i="17"/>
  <c r="J77" i="17" s="1"/>
  <c r="I99" i="18"/>
  <c r="J109" i="18" s="1"/>
  <c r="I133" i="18"/>
  <c r="J133" i="18" s="1"/>
  <c r="I13" i="19"/>
  <c r="J13" i="19" s="1"/>
  <c r="I35" i="19"/>
  <c r="I122" i="19"/>
  <c r="I3" i="16"/>
  <c r="I21" i="16"/>
  <c r="I82" i="16"/>
  <c r="I90" i="16"/>
  <c r="J90" i="16" s="1"/>
  <c r="I105" i="16"/>
  <c r="J105" i="16" s="1"/>
  <c r="I174" i="16"/>
  <c r="I14" i="17"/>
  <c r="J14" i="17" s="1"/>
  <c r="I83" i="17"/>
  <c r="I117" i="17"/>
  <c r="J127" i="17" s="1"/>
  <c r="I12" i="18"/>
  <c r="I46" i="18"/>
  <c r="I115" i="18"/>
  <c r="J115" i="18" s="1"/>
  <c r="I149" i="18"/>
  <c r="J149" i="18" s="1"/>
  <c r="I6" i="19"/>
  <c r="I29" i="19"/>
  <c r="I138" i="19"/>
  <c r="I178" i="18"/>
  <c r="J178" i="18" s="1"/>
  <c r="I162" i="18"/>
  <c r="J162" i="18" s="1"/>
  <c r="I146" i="18"/>
  <c r="I130" i="18"/>
  <c r="J130" i="18" s="1"/>
  <c r="I114" i="18"/>
  <c r="I98" i="18"/>
  <c r="I82" i="18"/>
  <c r="I66" i="18"/>
  <c r="J76" i="18" s="1"/>
  <c r="I50" i="18"/>
  <c r="I185" i="18"/>
  <c r="J185" i="18" s="1"/>
  <c r="I37" i="16"/>
  <c r="I71" i="16"/>
  <c r="J81" i="16" s="1"/>
  <c r="I98" i="16"/>
  <c r="I106" i="16"/>
  <c r="J116" i="16" s="1"/>
  <c r="I121" i="16"/>
  <c r="I30" i="17"/>
  <c r="I99" i="17"/>
  <c r="J99" i="17" s="1"/>
  <c r="I133" i="17"/>
  <c r="I167" i="17"/>
  <c r="J177" i="17" s="1"/>
  <c r="I4" i="18"/>
  <c r="I62" i="18"/>
  <c r="J62" i="18" s="1"/>
  <c r="I131" i="18"/>
  <c r="I165" i="18"/>
  <c r="J175" i="18" s="1"/>
  <c r="I22" i="19"/>
  <c r="I45" i="19"/>
  <c r="I67" i="19"/>
  <c r="I80" i="19"/>
  <c r="I85" i="19"/>
  <c r="I154" i="19"/>
  <c r="J164" i="19" s="1"/>
  <c r="I183" i="19"/>
  <c r="I11" i="16"/>
  <c r="I53" i="16"/>
  <c r="I114" i="16"/>
  <c r="J114" i="16" s="1"/>
  <c r="I46" i="17"/>
  <c r="J56" i="17" s="1"/>
  <c r="I115" i="17"/>
  <c r="I149" i="17"/>
  <c r="J159" i="17" s="1"/>
  <c r="I20" i="18"/>
  <c r="I78" i="18"/>
  <c r="I147" i="18"/>
  <c r="I181" i="18"/>
  <c r="I17" i="19"/>
  <c r="J17" i="19" s="1"/>
  <c r="I38" i="19"/>
  <c r="I61" i="19"/>
  <c r="J61" i="19" s="1"/>
  <c r="I83" i="19"/>
  <c r="I96" i="19"/>
  <c r="J96" i="19" s="1"/>
  <c r="I101" i="19"/>
  <c r="J101" i="19" s="1"/>
  <c r="I170" i="19"/>
  <c r="I152" i="19"/>
  <c r="J152" i="19" s="1"/>
  <c r="I153" i="17"/>
  <c r="I27" i="16"/>
  <c r="I69" i="16"/>
  <c r="I103" i="16"/>
  <c r="J103" i="16" s="1"/>
  <c r="I153" i="16"/>
  <c r="J153" i="16" s="1"/>
  <c r="I62" i="17"/>
  <c r="J62" i="17" s="1"/>
  <c r="I131" i="17"/>
  <c r="I165" i="17"/>
  <c r="J175" i="17" s="1"/>
  <c r="I10" i="18"/>
  <c r="I25" i="18"/>
  <c r="I36" i="18"/>
  <c r="J36" i="18" s="1"/>
  <c r="I94" i="18"/>
  <c r="J104" i="18" s="1"/>
  <c r="I163" i="18"/>
  <c r="I27" i="19"/>
  <c r="I33" i="19"/>
  <c r="I54" i="19"/>
  <c r="J54" i="19" s="1"/>
  <c r="I77" i="19"/>
  <c r="I99" i="19"/>
  <c r="I112" i="19"/>
  <c r="I117" i="19"/>
  <c r="I186" i="19"/>
  <c r="J186" i="19" s="1"/>
  <c r="I176" i="19"/>
  <c r="I18" i="19"/>
  <c r="J18" i="19" s="1"/>
  <c r="I161" i="19"/>
  <c r="I34" i="19"/>
  <c r="I177" i="19"/>
  <c r="I16" i="19"/>
  <c r="J26" i="19" s="1"/>
  <c r="I50" i="19"/>
  <c r="J50" i="19" s="1"/>
  <c r="I153" i="19"/>
  <c r="J153" i="19" s="1"/>
  <c r="I19" i="19"/>
  <c r="I32" i="19"/>
  <c r="I66" i="19"/>
  <c r="I135" i="19"/>
  <c r="J145" i="19" s="1"/>
  <c r="I169" i="19"/>
  <c r="I48" i="19"/>
  <c r="J58" i="19" s="1"/>
  <c r="I82" i="19"/>
  <c r="J82" i="19" s="1"/>
  <c r="I151" i="19"/>
  <c r="I185" i="19"/>
  <c r="I51" i="19"/>
  <c r="I64" i="19"/>
  <c r="I98" i="19"/>
  <c r="J108" i="19" s="1"/>
  <c r="I167" i="19"/>
  <c r="J22" i="19"/>
  <c r="I114" i="19"/>
  <c r="J114" i="19" s="1"/>
  <c r="I130" i="19"/>
  <c r="J130" i="19" s="1"/>
  <c r="I146" i="19"/>
  <c r="J146" i="19" s="1"/>
  <c r="I49" i="19"/>
  <c r="J49" i="19" s="1"/>
  <c r="I115" i="19"/>
  <c r="J115" i="19" s="1"/>
  <c r="I128" i="19"/>
  <c r="I162" i="19"/>
  <c r="J172" i="19" s="1"/>
  <c r="I65" i="19"/>
  <c r="I131" i="19"/>
  <c r="I144" i="19"/>
  <c r="J144" i="19" s="1"/>
  <c r="I178" i="19"/>
  <c r="I41" i="19"/>
  <c r="J41" i="19" s="1"/>
  <c r="I81" i="19"/>
  <c r="I102" i="19"/>
  <c r="I125" i="19"/>
  <c r="I147" i="19"/>
  <c r="I160" i="19"/>
  <c r="I165" i="19"/>
  <c r="J175" i="19" s="1"/>
  <c r="J148" i="18"/>
  <c r="J167" i="18"/>
  <c r="I18" i="18"/>
  <c r="I34" i="18"/>
  <c r="J87" i="18"/>
  <c r="J116" i="18"/>
  <c r="J16" i="17"/>
  <c r="J183" i="17"/>
  <c r="J78" i="17"/>
  <c r="J112" i="17"/>
  <c r="J94" i="17"/>
  <c r="I147" i="16"/>
  <c r="J157" i="16" s="1"/>
  <c r="I163" i="16"/>
  <c r="I179" i="16"/>
  <c r="J189" i="16" s="1"/>
  <c r="I131" i="16"/>
  <c r="J141" i="16" s="1"/>
  <c r="I19" i="16"/>
  <c r="J29" i="16" s="1"/>
  <c r="I35" i="16"/>
  <c r="J45" i="16" s="1"/>
  <c r="J43" i="16"/>
  <c r="I51" i="16"/>
  <c r="I67" i="16"/>
  <c r="J67" i="16" s="1"/>
  <c r="I83" i="16"/>
  <c r="I99" i="16"/>
  <c r="I115" i="16"/>
  <c r="J39" i="19"/>
  <c r="J119" i="19"/>
  <c r="J56" i="19"/>
  <c r="J134" i="19"/>
  <c r="J166" i="19"/>
  <c r="J182" i="19"/>
  <c r="J120" i="19"/>
  <c r="J184" i="19"/>
  <c r="J36" i="19"/>
  <c r="J155" i="19"/>
  <c r="J52" i="19"/>
  <c r="J150" i="19"/>
  <c r="J174" i="19"/>
  <c r="J104" i="19"/>
  <c r="J181" i="19"/>
  <c r="J107" i="19"/>
  <c r="J118" i="18"/>
  <c r="J134" i="18"/>
  <c r="J154" i="18"/>
  <c r="J51" i="18"/>
  <c r="J77" i="18"/>
  <c r="J93" i="18"/>
  <c r="J52" i="18"/>
  <c r="J124" i="18"/>
  <c r="J150" i="18"/>
  <c r="J75" i="18"/>
  <c r="J137" i="18"/>
  <c r="J122" i="18"/>
  <c r="J91" i="18"/>
  <c r="J138" i="18"/>
  <c r="J169" i="18"/>
  <c r="J181" i="18"/>
  <c r="J95" i="18"/>
  <c r="J107" i="18"/>
  <c r="J63" i="17"/>
  <c r="J111" i="17"/>
  <c r="J148" i="17"/>
  <c r="J22" i="17"/>
  <c r="J118" i="17"/>
  <c r="J134" i="17"/>
  <c r="J150" i="17"/>
  <c r="J182" i="17"/>
  <c r="J186" i="17"/>
  <c r="J20" i="17"/>
  <c r="J164" i="17"/>
  <c r="J52" i="17"/>
  <c r="J168" i="17"/>
  <c r="J149" i="17"/>
  <c r="J158" i="17"/>
  <c r="J29" i="17"/>
  <c r="J73" i="17"/>
  <c r="J88" i="17"/>
  <c r="J91" i="17"/>
  <c r="J100" i="17"/>
  <c r="J113" i="17"/>
  <c r="J116" i="17"/>
  <c r="J68" i="16"/>
  <c r="J139" i="16"/>
  <c r="J95" i="16"/>
  <c r="J22" i="16"/>
  <c r="J70" i="16"/>
  <c r="J184" i="16"/>
  <c r="J130" i="16"/>
  <c r="J129" i="16"/>
  <c r="J120" i="16"/>
  <c r="J33" i="16"/>
  <c r="J118" i="16"/>
  <c r="J136" i="16"/>
  <c r="J40" i="16"/>
  <c r="J80" i="16"/>
  <c r="J134" i="16"/>
  <c r="J158" i="16"/>
  <c r="I115" i="7"/>
  <c r="I56" i="7"/>
  <c r="I179" i="7"/>
  <c r="J189" i="7" s="1"/>
  <c r="I163" i="7"/>
  <c r="I147" i="7"/>
  <c r="I131" i="7"/>
  <c r="I99" i="7"/>
  <c r="I67" i="7"/>
  <c r="I51" i="7"/>
  <c r="I35" i="7"/>
  <c r="I19" i="7"/>
  <c r="I130" i="7"/>
  <c r="I177" i="7"/>
  <c r="I161" i="7"/>
  <c r="I145" i="7"/>
  <c r="I129" i="7"/>
  <c r="I113" i="7"/>
  <c r="I97" i="7"/>
  <c r="I81" i="7"/>
  <c r="I187" i="7"/>
  <c r="J197" i="7" s="1"/>
  <c r="I171" i="7"/>
  <c r="I155" i="7"/>
  <c r="I139" i="7"/>
  <c r="I123" i="7"/>
  <c r="I107" i="7"/>
  <c r="I91" i="7"/>
  <c r="I75" i="7"/>
  <c r="I59" i="7"/>
  <c r="I43" i="7"/>
  <c r="I27" i="7"/>
  <c r="I11" i="7"/>
  <c r="I185" i="7"/>
  <c r="J195" i="7" s="1"/>
  <c r="I169" i="7"/>
  <c r="I153" i="7"/>
  <c r="I137" i="7"/>
  <c r="I121" i="7"/>
  <c r="I105" i="7"/>
  <c r="I89" i="7"/>
  <c r="I73" i="7"/>
  <c r="I57" i="7"/>
  <c r="I41" i="7"/>
  <c r="I25" i="7"/>
  <c r="I9" i="7"/>
  <c r="I83" i="7"/>
  <c r="I174" i="7"/>
  <c r="I158" i="7"/>
  <c r="I142" i="7"/>
  <c r="I126" i="7"/>
  <c r="I110" i="7"/>
  <c r="I94" i="7"/>
  <c r="I78" i="7"/>
  <c r="I62" i="7"/>
  <c r="I46" i="7"/>
  <c r="I30" i="7"/>
  <c r="I14" i="7"/>
  <c r="I162" i="7"/>
  <c r="I173" i="7"/>
  <c r="I157" i="7"/>
  <c r="I141" i="7"/>
  <c r="I125" i="7"/>
  <c r="I109" i="7"/>
  <c r="I93" i="7"/>
  <c r="I77" i="7"/>
  <c r="I61" i="7"/>
  <c r="I45" i="7"/>
  <c r="I29" i="7"/>
  <c r="I13" i="7"/>
  <c r="I178" i="7"/>
  <c r="J188" i="7" s="1"/>
  <c r="I3" i="7"/>
  <c r="I172" i="7"/>
  <c r="I156" i="7"/>
  <c r="I140" i="7"/>
  <c r="I124" i="7"/>
  <c r="I108" i="7"/>
  <c r="I92" i="7"/>
  <c r="I76" i="7"/>
  <c r="I60" i="7"/>
  <c r="I44" i="7"/>
  <c r="I28" i="7"/>
  <c r="I12" i="7"/>
  <c r="I186" i="7"/>
  <c r="J196" i="7" s="1"/>
  <c r="I170" i="7"/>
  <c r="I154" i="7"/>
  <c r="I138" i="7"/>
  <c r="I122" i="7"/>
  <c r="I106" i="7"/>
  <c r="I90" i="7"/>
  <c r="I74" i="7"/>
  <c r="I58" i="7"/>
  <c r="I42" i="7"/>
  <c r="I26" i="7"/>
  <c r="I10" i="7"/>
  <c r="I40" i="7"/>
  <c r="I24" i="7"/>
  <c r="I8" i="7"/>
  <c r="I152" i="7"/>
  <c r="I120" i="7"/>
  <c r="J120" i="7" s="1"/>
  <c r="I72" i="7"/>
  <c r="I183" i="7"/>
  <c r="J193" i="7" s="1"/>
  <c r="I167" i="7"/>
  <c r="I151" i="7"/>
  <c r="I135" i="7"/>
  <c r="I119" i="7"/>
  <c r="I103" i="7"/>
  <c r="I87" i="7"/>
  <c r="I71" i="7"/>
  <c r="I55" i="7"/>
  <c r="I39" i="7"/>
  <c r="I23" i="7"/>
  <c r="I7" i="7"/>
  <c r="I168" i="7"/>
  <c r="I136" i="7"/>
  <c r="I88" i="7"/>
  <c r="I182" i="7"/>
  <c r="J192" i="7" s="1"/>
  <c r="I166" i="7"/>
  <c r="I150" i="7"/>
  <c r="I134" i="7"/>
  <c r="I118" i="7"/>
  <c r="I102" i="7"/>
  <c r="I86" i="7"/>
  <c r="I70" i="7"/>
  <c r="I54" i="7"/>
  <c r="I38" i="7"/>
  <c r="I22" i="7"/>
  <c r="I6" i="7"/>
  <c r="I181" i="7"/>
  <c r="J191" i="7" s="1"/>
  <c r="I165" i="7"/>
  <c r="I149" i="7"/>
  <c r="I133" i="7"/>
  <c r="I117" i="7"/>
  <c r="I101" i="7"/>
  <c r="I85" i="7"/>
  <c r="I69" i="7"/>
  <c r="I53" i="7"/>
  <c r="I37" i="7"/>
  <c r="I21" i="7"/>
  <c r="I5" i="7"/>
  <c r="I184" i="7"/>
  <c r="J194" i="7" s="1"/>
  <c r="I104" i="7"/>
  <c r="I180" i="7"/>
  <c r="J190" i="7" s="1"/>
  <c r="I164" i="7"/>
  <c r="I148" i="7"/>
  <c r="I132" i="7"/>
  <c r="I116" i="7"/>
  <c r="I100" i="7"/>
  <c r="I84" i="7"/>
  <c r="I68" i="7"/>
  <c r="I52" i="7"/>
  <c r="I36" i="7"/>
  <c r="I20" i="7"/>
  <c r="I4" i="7"/>
  <c r="I114" i="7"/>
  <c r="I98" i="7"/>
  <c r="I82" i="7"/>
  <c r="I66" i="7"/>
  <c r="I50" i="7"/>
  <c r="I34" i="7"/>
  <c r="I18" i="7"/>
  <c r="I65" i="7"/>
  <c r="I49" i="7"/>
  <c r="I33" i="7"/>
  <c r="I17" i="7"/>
  <c r="I176" i="7"/>
  <c r="I160" i="7"/>
  <c r="I144" i="7"/>
  <c r="I128" i="7"/>
  <c r="I112" i="7"/>
  <c r="I96" i="7"/>
  <c r="I80" i="7"/>
  <c r="I64" i="7"/>
  <c r="I48" i="7"/>
  <c r="I32" i="7"/>
  <c r="I16" i="7"/>
  <c r="I146" i="7"/>
  <c r="I175" i="7"/>
  <c r="I159" i="7"/>
  <c r="I143" i="7"/>
  <c r="J143" i="7" s="1"/>
  <c r="I127" i="7"/>
  <c r="I111" i="7"/>
  <c r="I95" i="7"/>
  <c r="I79" i="7"/>
  <c r="I63" i="7"/>
  <c r="I47" i="7"/>
  <c r="J47" i="7" s="1"/>
  <c r="I31" i="7"/>
  <c r="I15" i="7"/>
  <c r="J183" i="16" l="1"/>
  <c r="J193" i="16"/>
  <c r="J53" i="16"/>
  <c r="J182" i="16"/>
  <c r="J192" i="16"/>
  <c r="J49" i="16"/>
  <c r="J41" i="16"/>
  <c r="J113" i="16"/>
  <c r="J181" i="16"/>
  <c r="J191" i="16"/>
  <c r="J112" i="16"/>
  <c r="J77" i="16"/>
  <c r="J65" i="16"/>
  <c r="J125" i="16"/>
  <c r="J132" i="16"/>
  <c r="J165" i="16"/>
  <c r="J117" i="16"/>
  <c r="J150" i="16"/>
  <c r="J42" i="16"/>
  <c r="J160" i="16"/>
  <c r="J88" i="16"/>
  <c r="J34" i="16"/>
  <c r="J145" i="16"/>
  <c r="J57" i="16"/>
  <c r="J144" i="16"/>
  <c r="J98" i="16"/>
  <c r="J21" i="16"/>
  <c r="J179" i="16"/>
  <c r="J180" i="16"/>
  <c r="J164" i="16"/>
  <c r="J124" i="16"/>
  <c r="J13" i="16"/>
  <c r="K3" i="16" s="1"/>
  <c r="J109" i="16"/>
  <c r="J171" i="16"/>
  <c r="J75" i="16"/>
  <c r="J133" i="16"/>
  <c r="J50" i="16"/>
  <c r="J79" i="16"/>
  <c r="J61" i="16"/>
  <c r="J25" i="16"/>
  <c r="J96" i="17"/>
  <c r="J172" i="17"/>
  <c r="J64" i="17"/>
  <c r="J90" i="17"/>
  <c r="J180" i="17"/>
  <c r="J133" i="17"/>
  <c r="J143" i="17"/>
  <c r="J21" i="17"/>
  <c r="J157" i="17"/>
  <c r="J97" i="17"/>
  <c r="J128" i="17"/>
  <c r="J85" i="17"/>
  <c r="J108" i="17"/>
  <c r="J140" i="17"/>
  <c r="J55" i="17"/>
  <c r="J135" i="18"/>
  <c r="J29" i="18"/>
  <c r="J86" i="18"/>
  <c r="J165" i="18"/>
  <c r="J170" i="18"/>
  <c r="J160" i="18"/>
  <c r="J114" i="18"/>
  <c r="J23" i="18"/>
  <c r="J100" i="18"/>
  <c r="J90" i="18"/>
  <c r="J146" i="18"/>
  <c r="J53" i="18"/>
  <c r="J166" i="18"/>
  <c r="J121" i="18"/>
  <c r="J159" i="18"/>
  <c r="J18" i="18"/>
  <c r="J128" i="18"/>
  <c r="J58" i="18"/>
  <c r="J113" i="18"/>
  <c r="J22" i="18"/>
  <c r="J40" i="18"/>
  <c r="J89" i="18"/>
  <c r="J142" i="18"/>
  <c r="J24" i="18"/>
  <c r="J103" i="18"/>
  <c r="J103" i="19"/>
  <c r="J68" i="19"/>
  <c r="J70" i="19"/>
  <c r="J160" i="19"/>
  <c r="J15" i="19"/>
  <c r="J94" i="19"/>
  <c r="J88" i="19"/>
  <c r="J90" i="19"/>
  <c r="J123" i="19"/>
  <c r="J167" i="19"/>
  <c r="J67" i="19"/>
  <c r="J142" i="19"/>
  <c r="J121" i="19"/>
  <c r="J24" i="19"/>
  <c r="J102" i="19"/>
  <c r="J137" i="19"/>
  <c r="J168" i="19"/>
  <c r="J131" i="19"/>
  <c r="J72" i="19"/>
  <c r="J187" i="19"/>
  <c r="J30" i="19"/>
  <c r="J45" i="19"/>
  <c r="J81" i="19"/>
  <c r="J161" i="19"/>
  <c r="J63" i="19"/>
  <c r="J83" i="19"/>
  <c r="J147" i="19"/>
  <c r="J125" i="19"/>
  <c r="J38" i="19"/>
  <c r="J44" i="19"/>
  <c r="J185" i="19"/>
  <c r="J176" i="19"/>
  <c r="J116" i="19"/>
  <c r="J93" i="19"/>
  <c r="J25" i="19"/>
  <c r="J84" i="19"/>
  <c r="J127" i="19"/>
  <c r="J178" i="19"/>
  <c r="J112" i="19"/>
  <c r="J157" i="19"/>
  <c r="J128" i="19"/>
  <c r="J179" i="19"/>
  <c r="J124" i="19"/>
  <c r="J66" i="19"/>
  <c r="J132" i="19"/>
  <c r="J73" i="19"/>
  <c r="J163" i="19"/>
  <c r="J33" i="19"/>
  <c r="J19" i="19"/>
  <c r="J37" i="19"/>
  <c r="J183" i="19"/>
  <c r="J80" i="18"/>
  <c r="J54" i="18"/>
  <c r="J123" i="18"/>
  <c r="J140" i="18"/>
  <c r="J48" i="18"/>
  <c r="J73" i="18"/>
  <c r="J15" i="18"/>
  <c r="J21" i="18"/>
  <c r="J25" i="18"/>
  <c r="J74" i="18"/>
  <c r="J20" i="18"/>
  <c r="J60" i="18"/>
  <c r="J57" i="18"/>
  <c r="J101" i="18"/>
  <c r="J186" i="18"/>
  <c r="J157" i="18"/>
  <c r="J71" i="18"/>
  <c r="J78" i="18"/>
  <c r="J131" i="18"/>
  <c r="J98" i="18"/>
  <c r="J47" i="18"/>
  <c r="J138" i="17"/>
  <c r="J58" i="17"/>
  <c r="J42" i="17"/>
  <c r="J36" i="17"/>
  <c r="J120" i="17"/>
  <c r="J79" i="17"/>
  <c r="J38" i="17"/>
  <c r="J15" i="17"/>
  <c r="J166" i="17"/>
  <c r="J87" i="17"/>
  <c r="J139" i="17"/>
  <c r="J26" i="17"/>
  <c r="J132" i="17"/>
  <c r="J105" i="17"/>
  <c r="J30" i="17"/>
  <c r="J44" i="17"/>
  <c r="J75" i="17"/>
  <c r="J163" i="17"/>
  <c r="J154" i="17"/>
  <c r="J19" i="17"/>
  <c r="J57" i="17"/>
  <c r="J170" i="16"/>
  <c r="J104" i="16"/>
  <c r="J154" i="16"/>
  <c r="J97" i="16"/>
  <c r="J16" i="16"/>
  <c r="J47" i="16"/>
  <c r="J173" i="16"/>
  <c r="J149" i="16"/>
  <c r="J82" i="16"/>
  <c r="J166" i="16"/>
  <c r="J178" i="16"/>
  <c r="J60" i="16"/>
  <c r="J135" i="16"/>
  <c r="J107" i="16"/>
  <c r="J156" i="16"/>
  <c r="J183" i="7"/>
  <c r="J55" i="16"/>
  <c r="J167" i="17"/>
  <c r="J70" i="18"/>
  <c r="J136" i="17"/>
  <c r="J155" i="18"/>
  <c r="J148" i="19"/>
  <c r="J33" i="17"/>
  <c r="J92" i="16"/>
  <c r="J98" i="19"/>
  <c r="J99" i="19"/>
  <c r="J177" i="18"/>
  <c r="J75" i="19"/>
  <c r="J72" i="17"/>
  <c r="J67" i="18"/>
  <c r="J55" i="19"/>
  <c r="J140" i="19"/>
  <c r="J28" i="16"/>
  <c r="J143" i="16"/>
  <c r="J107" i="17"/>
  <c r="J48" i="17"/>
  <c r="J40" i="17"/>
  <c r="J127" i="18"/>
  <c r="J13" i="17"/>
  <c r="J41" i="17"/>
  <c r="J86" i="16"/>
  <c r="J147" i="17"/>
  <c r="J123" i="16"/>
  <c r="J176" i="16"/>
  <c r="J43" i="17"/>
  <c r="J35" i="16"/>
  <c r="J111" i="18"/>
  <c r="J111" i="16"/>
  <c r="J152" i="17"/>
  <c r="J89" i="16"/>
  <c r="J59" i="16"/>
  <c r="J115" i="17"/>
  <c r="J114" i="17"/>
  <c r="J175" i="16"/>
  <c r="J177" i="16"/>
  <c r="J170" i="19"/>
  <c r="J121" i="16"/>
  <c r="J29" i="19"/>
  <c r="J151" i="19"/>
  <c r="J180" i="19"/>
  <c r="J89" i="17"/>
  <c r="J48" i="16"/>
  <c r="J63" i="16"/>
  <c r="J184" i="17"/>
  <c r="J110" i="18"/>
  <c r="J151" i="18"/>
  <c r="J43" i="18"/>
  <c r="J30" i="18"/>
  <c r="J125" i="18"/>
  <c r="J172" i="18"/>
  <c r="J80" i="17"/>
  <c r="J72" i="18"/>
  <c r="J31" i="16"/>
  <c r="J171" i="18"/>
  <c r="J164" i="18"/>
  <c r="J182" i="18"/>
  <c r="J46" i="18"/>
  <c r="J28" i="18"/>
  <c r="J37" i="18"/>
  <c r="J55" i="18"/>
  <c r="J82" i="18"/>
  <c r="J39" i="18"/>
  <c r="J141" i="18"/>
  <c r="J38" i="18"/>
  <c r="J143" i="18"/>
  <c r="J66" i="18"/>
  <c r="J156" i="18"/>
  <c r="J85" i="18"/>
  <c r="J68" i="18"/>
  <c r="J147" i="18"/>
  <c r="J44" i="18"/>
  <c r="J120" i="18"/>
  <c r="J53" i="17"/>
  <c r="J69" i="17"/>
  <c r="J109" i="17"/>
  <c r="J129" i="17"/>
  <c r="J28" i="17"/>
  <c r="J45" i="17"/>
  <c r="J179" i="17"/>
  <c r="J117" i="17"/>
  <c r="J47" i="17"/>
  <c r="J126" i="17"/>
  <c r="J50" i="17"/>
  <c r="J165" i="17"/>
  <c r="J31" i="17"/>
  <c r="J46" i="17"/>
  <c r="J131" i="17"/>
  <c r="J37" i="17"/>
  <c r="J137" i="17"/>
  <c r="J110" i="17"/>
  <c r="J160" i="17"/>
  <c r="J92" i="17"/>
  <c r="J125" i="17"/>
  <c r="J39" i="17"/>
  <c r="J146" i="16"/>
  <c r="J52" i="16"/>
  <c r="J73" i="16"/>
  <c r="J37" i="16"/>
  <c r="J101" i="16"/>
  <c r="J78" i="16"/>
  <c r="J58" i="16"/>
  <c r="J127" i="16"/>
  <c r="J163" i="16"/>
  <c r="J15" i="16"/>
  <c r="J36" i="16"/>
  <c r="J62" i="16"/>
  <c r="J71" i="16"/>
  <c r="J186" i="16"/>
  <c r="J99" i="16"/>
  <c r="J76" i="16"/>
  <c r="J148" i="16"/>
  <c r="J44" i="16"/>
  <c r="J51" i="16"/>
  <c r="J27" i="16"/>
  <c r="J185" i="16"/>
  <c r="J96" i="16"/>
  <c r="J158" i="19"/>
  <c r="J19" i="16"/>
  <c r="J35" i="17"/>
  <c r="J174" i="16"/>
  <c r="J145" i="18"/>
  <c r="J69" i="18"/>
  <c r="J162" i="19"/>
  <c r="J117" i="19"/>
  <c r="J87" i="19"/>
  <c r="J105" i="19"/>
  <c r="J100" i="16"/>
  <c r="J81" i="18"/>
  <c r="J182" i="7"/>
  <c r="J113" i="7"/>
  <c r="J50" i="18"/>
  <c r="J56" i="18"/>
  <c r="J92" i="18"/>
  <c r="J71" i="19"/>
  <c r="J129" i="18"/>
  <c r="J14" i="16"/>
  <c r="J116" i="7"/>
  <c r="J165" i="19"/>
  <c r="J35" i="18"/>
  <c r="J115" i="16"/>
  <c r="J98" i="17"/>
  <c r="J35" i="19"/>
  <c r="J156" i="19"/>
  <c r="J59" i="19"/>
  <c r="J163" i="18"/>
  <c r="J173" i="19"/>
  <c r="J97" i="19"/>
  <c r="J109" i="19"/>
  <c r="J133" i="19"/>
  <c r="J31" i="7"/>
  <c r="J147" i="16"/>
  <c r="J153" i="17"/>
  <c r="J24" i="17"/>
  <c r="J66" i="7"/>
  <c r="J104" i="7"/>
  <c r="J46" i="16"/>
  <c r="J126" i="18"/>
  <c r="J122" i="19"/>
  <c r="J85" i="19"/>
  <c r="J156" i="17"/>
  <c r="J57" i="19"/>
  <c r="J64" i="19"/>
  <c r="J83" i="17"/>
  <c r="J94" i="16"/>
  <c r="J51" i="19"/>
  <c r="J83" i="16"/>
  <c r="J65" i="19"/>
  <c r="J31" i="18"/>
  <c r="J43" i="19"/>
  <c r="J108" i="18"/>
  <c r="J141" i="17"/>
  <c r="J34" i="19"/>
  <c r="J131" i="16"/>
  <c r="J23" i="19"/>
  <c r="J106" i="16"/>
  <c r="J174" i="18"/>
  <c r="J99" i="18"/>
  <c r="J129" i="19"/>
  <c r="J28" i="19"/>
  <c r="J143" i="19"/>
  <c r="J152" i="16"/>
  <c r="J51" i="17"/>
  <c r="J89" i="19"/>
  <c r="J20" i="16"/>
  <c r="J80" i="19"/>
  <c r="J95" i="19"/>
  <c r="J45" i="18"/>
  <c r="J159" i="19"/>
  <c r="J119" i="17"/>
  <c r="J125" i="7"/>
  <c r="J83" i="7"/>
  <c r="J59" i="7"/>
  <c r="J111" i="19"/>
  <c r="J24" i="16"/>
  <c r="J108" i="16"/>
  <c r="J93" i="17"/>
  <c r="J74" i="19"/>
  <c r="J94" i="18"/>
  <c r="J159" i="7"/>
  <c r="J93" i="16"/>
  <c r="J18" i="17"/>
  <c r="J27" i="19"/>
  <c r="J66" i="17"/>
  <c r="J138" i="19"/>
  <c r="J141" i="19"/>
  <c r="J77" i="19"/>
  <c r="J48" i="19"/>
  <c r="J106" i="19"/>
  <c r="J69" i="16"/>
  <c r="J81" i="17"/>
  <c r="J173" i="18"/>
  <c r="J171" i="19"/>
  <c r="J60" i="17"/>
  <c r="J34" i="18"/>
  <c r="J55" i="7"/>
  <c r="J115" i="7"/>
  <c r="J163" i="7"/>
  <c r="J67" i="17"/>
  <c r="J32" i="19"/>
  <c r="J179" i="7"/>
  <c r="J169" i="19"/>
  <c r="J135" i="19"/>
  <c r="J14" i="18"/>
  <c r="J76" i="19"/>
  <c r="J177" i="19"/>
  <c r="J60" i="19"/>
  <c r="J154" i="19"/>
  <c r="J91" i="19"/>
  <c r="J42" i="19"/>
  <c r="J16" i="19"/>
  <c r="J181" i="7"/>
  <c r="J77" i="7"/>
  <c r="J145" i="7"/>
  <c r="J105" i="7"/>
  <c r="J42" i="7"/>
  <c r="J43" i="7"/>
  <c r="J141" i="7"/>
  <c r="J107" i="7"/>
  <c r="J100" i="7"/>
  <c r="J132" i="7"/>
  <c r="J165" i="7"/>
  <c r="J109" i="7"/>
  <c r="J157" i="7"/>
  <c r="J123" i="7"/>
  <c r="J146" i="7"/>
  <c r="J93" i="7"/>
  <c r="J27" i="7"/>
  <c r="J177" i="7"/>
  <c r="J91" i="7"/>
  <c r="J75" i="7"/>
  <c r="J144" i="7"/>
  <c r="J68" i="7"/>
  <c r="J84" i="7"/>
  <c r="J117" i="7"/>
  <c r="J26" i="7"/>
  <c r="J19" i="7"/>
  <c r="J99" i="7"/>
  <c r="J69" i="7"/>
  <c r="J101" i="7"/>
  <c r="J150" i="7"/>
  <c r="J167" i="7"/>
  <c r="J138" i="7"/>
  <c r="J166" i="7"/>
  <c r="J175" i="7"/>
  <c r="J32" i="7"/>
  <c r="J185" i="7"/>
  <c r="J23" i="7"/>
  <c r="J54" i="7"/>
  <c r="J81" i="7"/>
  <c r="J35" i="7"/>
  <c r="J114" i="7"/>
  <c r="J21" i="7"/>
  <c r="J70" i="7"/>
  <c r="J87" i="7"/>
  <c r="J58" i="7"/>
  <c r="J173" i="7"/>
  <c r="J41" i="7"/>
  <c r="J158" i="7"/>
  <c r="J121" i="7"/>
  <c r="J160" i="7"/>
  <c r="J37" i="7"/>
  <c r="J86" i="7"/>
  <c r="J74" i="7"/>
  <c r="J162" i="7"/>
  <c r="J137" i="7"/>
  <c r="J176" i="7"/>
  <c r="J63" i="7"/>
  <c r="J102" i="7"/>
  <c r="J90" i="7"/>
  <c r="J73" i="7"/>
  <c r="J36" i="7"/>
  <c r="J118" i="7"/>
  <c r="J131" i="7"/>
  <c r="J57" i="7"/>
  <c r="J52" i="7"/>
  <c r="J85" i="7"/>
  <c r="J134" i="7"/>
  <c r="J147" i="7"/>
  <c r="J103" i="7"/>
  <c r="J133" i="7"/>
  <c r="J33" i="7"/>
  <c r="J149" i="7"/>
  <c r="J129" i="7"/>
  <c r="J20" i="7"/>
  <c r="J97" i="7"/>
  <c r="J135" i="7"/>
  <c r="J140" i="7"/>
  <c r="J161" i="7"/>
  <c r="J51" i="7"/>
  <c r="J80" i="7"/>
  <c r="J119" i="7"/>
  <c r="J67" i="7"/>
  <c r="J14" i="7"/>
  <c r="J139" i="7"/>
  <c r="J53" i="7"/>
  <c r="J25" i="7"/>
  <c r="J168" i="7"/>
  <c r="J154" i="7"/>
  <c r="J178" i="7"/>
  <c r="J30" i="7"/>
  <c r="J155" i="7"/>
  <c r="J152" i="7"/>
  <c r="J170" i="7"/>
  <c r="J46" i="7"/>
  <c r="J171" i="7"/>
  <c r="J50" i="7"/>
  <c r="J180" i="7"/>
  <c r="J16" i="7"/>
  <c r="J186" i="7"/>
  <c r="J13" i="7"/>
  <c r="J62" i="7"/>
  <c r="J187" i="7"/>
  <c r="J71" i="7"/>
  <c r="J151" i="7"/>
  <c r="J106" i="7"/>
  <c r="J22" i="7"/>
  <c r="J29" i="7"/>
  <c r="J79" i="7"/>
  <c r="J122" i="7"/>
  <c r="J82" i="7"/>
  <c r="J184" i="7"/>
  <c r="J48" i="7"/>
  <c r="J18" i="7"/>
  <c r="J28" i="7"/>
  <c r="J45" i="7"/>
  <c r="J111" i="7"/>
  <c r="J95" i="7"/>
  <c r="J128" i="7"/>
  <c r="J98" i="7"/>
  <c r="J15" i="7"/>
  <c r="J39" i="7"/>
  <c r="J44" i="7"/>
  <c r="J61" i="7"/>
  <c r="J96" i="7"/>
  <c r="J169" i="7"/>
  <c r="J89" i="7"/>
  <c r="J112" i="7"/>
  <c r="J153" i="7"/>
  <c r="J148" i="7"/>
  <c r="J56" i="7"/>
  <c r="J60" i="7"/>
  <c r="J78" i="7"/>
  <c r="J24" i="7"/>
  <c r="J164" i="7"/>
  <c r="J76" i="7"/>
  <c r="J94" i="7"/>
  <c r="J127" i="7"/>
  <c r="J17" i="7"/>
  <c r="J92" i="7"/>
  <c r="J110" i="7"/>
  <c r="J40" i="7"/>
  <c r="J38" i="7"/>
  <c r="J108" i="7"/>
  <c r="J126" i="7"/>
  <c r="J49" i="7"/>
  <c r="J124" i="7"/>
  <c r="J142" i="7"/>
  <c r="J130" i="7"/>
  <c r="J65" i="7"/>
  <c r="J88" i="7"/>
  <c r="J156" i="7"/>
  <c r="J174" i="7"/>
  <c r="J64" i="7"/>
  <c r="J136" i="7"/>
  <c r="J172" i="7"/>
  <c r="J34" i="7"/>
  <c r="J72" i="7"/>
  <c r="K3" i="7" l="1"/>
  <c r="L3" i="7" s="1"/>
  <c r="O2" i="5" s="1"/>
  <c r="P2" i="5" s="1"/>
  <c r="Q2" i="5" s="1"/>
  <c r="O4" i="5"/>
  <c r="P4" i="5" s="1"/>
  <c r="Q4" i="5" s="1"/>
  <c r="O3" i="5"/>
  <c r="P3" i="5" s="1"/>
  <c r="Q3" i="5" s="1"/>
  <c r="O5" i="5"/>
  <c r="P5" i="5" s="1"/>
  <c r="Q5" i="5" s="1"/>
  <c r="Q6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<sst xmlns="http://schemas.openxmlformats.org/spreadsheetml/2006/main" count="221" uniqueCount="81">
  <si>
    <t>DATE</t>
  </si>
  <si>
    <t>1Y_Treasury</t>
  </si>
  <si>
    <t>2Y_Treasury</t>
  </si>
  <si>
    <t>8. 🔋 Lithium / Rare Earth Commodity Futures</t>
  </si>
  <si>
    <t>The Risk Factor:</t>
  </si>
  <si>
    <r>
      <t>Lithium carbonate</t>
    </r>
    <r>
      <rPr>
        <sz val="11"/>
        <color theme="1"/>
        <rFont val="Aptos Narrow"/>
        <family val="2"/>
        <scheme val="minor"/>
      </rPr>
      <t xml:space="preserve"> futures</t>
    </r>
  </si>
  <si>
    <r>
      <t>Cobalt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rare earth element</t>
    </r>
    <r>
      <rPr>
        <sz val="11"/>
        <color theme="1"/>
        <rFont val="Aptos Narrow"/>
        <family val="2"/>
        <scheme val="minor"/>
      </rPr>
      <t xml:space="preserve"> derivatives</t>
    </r>
  </si>
  <si>
    <t>Why NMRF in 2007:</t>
  </si>
  <si>
    <t>❌ No lithium futures (demand was minimal - pre-EV boom)</t>
  </si>
  <si>
    <t>❌ Rare earths traded OTC only</t>
  </si>
  <si>
    <t>❌ China monopoly = no transparent pricing</t>
  </si>
  <si>
    <t>❌ No derivatives exchanges</t>
  </si>
  <si>
    <t>Today:</t>
  </si>
  <si>
    <t>✅ CME lithium futures launched (2021)</t>
  </si>
  <si>
    <t>✅ LME cobalt futures exist</t>
  </si>
  <si>
    <t>✅ But often NMRF:</t>
  </si>
  <si>
    <t>Only 2-3 years of data (lithium)</t>
  </si>
  <si>
    <t>Extreme price manipulation concerns</t>
  </si>
  <si>
    <t>Concentration risk (few producers)</t>
  </si>
  <si>
    <t>9. 🌐 Sovereign CDS for Frontier Markets</t>
  </si>
  <si>
    <r>
      <t>CDS spreads</t>
    </r>
    <r>
      <rPr>
        <sz val="11"/>
        <color theme="1"/>
        <rFont val="Aptos Narrow"/>
        <family val="2"/>
        <scheme val="minor"/>
      </rPr>
      <t xml:space="preserve"> for countries like </t>
    </r>
    <r>
      <rPr>
        <b/>
        <sz val="11"/>
        <color theme="1"/>
        <rFont val="Aptos Narrow"/>
        <family val="2"/>
        <scheme val="minor"/>
      </rPr>
      <t>Nigeria, Kenya, Bangladesh</t>
    </r>
  </si>
  <si>
    <t>⚠️ EM CDS existed but limited to major EMs (Brazil, Russia, Turkey)</t>
  </si>
  <si>
    <r>
      <t xml:space="preserve">❌ </t>
    </r>
    <r>
      <rPr>
        <b/>
        <sz val="11"/>
        <color theme="1"/>
        <rFont val="Aptos Narrow"/>
        <family val="2"/>
        <scheme val="minor"/>
      </rPr>
      <t>Frontier markets:</t>
    </r>
    <r>
      <rPr>
        <sz val="11"/>
        <color theme="1"/>
        <rFont val="Aptos Narrow"/>
        <family val="2"/>
        <scheme val="minor"/>
      </rPr>
      <t xml:space="preserve"> No CDS market at all</t>
    </r>
  </si>
  <si>
    <t>❌ Illiquid sovereign bonds = no spread derivatives</t>
  </si>
  <si>
    <t>❌ Post-2008, some markets developed</t>
  </si>
  <si>
    <t>Carbon credits</t>
  </si>
  <si>
    <t>ESG/Green Bond Spreads</t>
  </si>
  <si>
    <t>MSFT price</t>
  </si>
  <si>
    <t>Intel price</t>
  </si>
  <si>
    <t>NORM.INV(RAND(), 38, 5)</t>
  </si>
  <si>
    <t>Coupon</t>
  </si>
  <si>
    <t>FILTER(A2, WEEKDAY(A2, 2) &lt;= 5)</t>
  </si>
  <si>
    <t>Credit Spread: Corporate(HY)</t>
  </si>
  <si>
    <t>Credit spread: sovereign (high yield, or HY)</t>
  </si>
  <si>
    <t>Credit spread: sovereign (investment grade, or IG)</t>
  </si>
  <si>
    <t>Carbon Credits</t>
  </si>
  <si>
    <t>Treasury bonds</t>
  </si>
  <si>
    <t>Holding</t>
  </si>
  <si>
    <t>Quantity</t>
  </si>
  <si>
    <t>Notional</t>
  </si>
  <si>
    <t>Sovereign Bonds IG</t>
  </si>
  <si>
    <t>Sovereign Bonds HY</t>
  </si>
  <si>
    <t>Price</t>
  </si>
  <si>
    <t>MSFT stocks</t>
  </si>
  <si>
    <t>Intel Stock</t>
  </si>
  <si>
    <t>Treasury Bonds IG valuation</t>
  </si>
  <si>
    <t>Credit spread: Sovereign Bonds IG valuation</t>
  </si>
  <si>
    <t>MSFT</t>
  </si>
  <si>
    <t>Intel</t>
  </si>
  <si>
    <t>carbon credits</t>
  </si>
  <si>
    <t>Portfolio value</t>
  </si>
  <si>
    <t>10 day PnL</t>
  </si>
  <si>
    <t>ES</t>
  </si>
  <si>
    <t>VaR</t>
  </si>
  <si>
    <t>Credit Spread:Corporate HY</t>
  </si>
  <si>
    <t>Credit Spread Corporate HY</t>
  </si>
  <si>
    <t>ES, Q(pi,4)</t>
  </si>
  <si>
    <t>ES, Q(pi,3)</t>
  </si>
  <si>
    <t>ES, Q(pi,2)</t>
  </si>
  <si>
    <t>ES, Q(pi,1)</t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</si>
  <si>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(P,2)</t>
    </r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</si>
  <si>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(P,3)</t>
    </r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</si>
  <si>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(P,4)</t>
    </r>
  </si>
  <si>
    <t>LH  = 10</t>
  </si>
  <si>
    <t>LH  = 20</t>
  </si>
  <si>
    <t>LH  = 40</t>
  </si>
  <si>
    <t>LH  = 60</t>
  </si>
  <si>
    <t>Absolute ES</t>
  </si>
  <si>
    <t>Calculated value</t>
  </si>
  <si>
    <t>LH</t>
  </si>
  <si>
    <r>
      <t>ES</t>
    </r>
    <r>
      <rPr>
        <vertAlign val="subscript"/>
        <sz val="14"/>
        <color theme="1"/>
        <rFont val="Aptos Narrow"/>
        <family val="2"/>
        <scheme val="minor"/>
      </rPr>
      <t>F,C</t>
    </r>
  </si>
  <si>
    <t>Total</t>
  </si>
  <si>
    <t>T</t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</si>
  <si>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(P)</t>
    </r>
  </si>
  <si>
    <t>LH=10</t>
  </si>
  <si>
    <t>LH=10, 20</t>
  </si>
  <si>
    <t>LH=10, 40</t>
  </si>
  <si>
    <t>LH=10, 60</t>
  </si>
  <si>
    <t>LH=20</t>
  </si>
  <si>
    <t>Standard deviation of factors</t>
  </si>
  <si>
    <t>Standard deviation/Average%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</si>
</sst>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00000"/>
    <numFmt numFmtId="165" formatCode="0.0000%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9"/>
      <color rgb="FF0A0A0A"/>
      <name val="Courier New"/>
      <family val="3"/>
    </font>
    <font>
      <sz val="10"/>
      <color rgb="FF0A0A0A"/>
      <name val="Arial Unicode MS"/>
    </font>
    <font>
      <sz val="8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vertAlign val="subscript"/>
      <sz val="1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wrapText="1"/>
    </xf>
    <xf numFmtId="0" fontId="20" fillId="0" borderId="0" xfId="0" applyFont="1"/>
    <xf numFmtId="0" fontId="21" fillId="0" borderId="0" xfId="0" applyFont="1" applyAlignment="1">
      <alignment vertical="center"/>
    </xf>
    <xf numFmtId="43" fontId="0" fillId="0" borderId="0" xfId="42" applyFont="1"/>
    <xf numFmtId="0" fontId="24" fillId="0" borderId="0" xfId="0" applyFont="1"/>
    <xf numFmtId="43" fontId="0" fillId="33" borderId="0" xfId="0" applyNumberFormat="1" applyFill="1"/>
    <xf numFmtId="164" fontId="0" fillId="0" borderId="0" xfId="0" applyNumberFormat="1"/>
    <xf numFmtId="14" fontId="0" fillId="34" borderId="0" xfId="0" applyNumberFormat="1" applyFill="1"/>
    <xf numFmtId="0" fontId="0" fillId="34" borderId="0" xfId="0" applyFill="1"/>
    <xf numFmtId="164" fontId="0" fillId="34" borderId="0" xfId="0" applyNumberFormat="1" applyFill="1"/>
    <xf numFmtId="165" fontId="0" fillId="0" borderId="0" xfId="43" applyNumberFormat="1" applyFont="1"/>
    <xf numFmtId="0" fontId="0" fillId="0" borderId="0" xfId="0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9</xdr:col>
      <xdr:colOff>292475</xdr:colOff>
      <xdr:row>32</xdr:row>
      <xdr:rowOff>63702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989512-043E-A50A-52C3-EFAB8120A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5650"/>
          <a:ext cx="7296525" cy="3930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81105-A324-4D8E-BCD3-D819580EE136}">
  <dimension ref="A1:R263"/>
  <sheetViews>
    <sheetView workbookViewId="0">
      <selection activeCell="C1" sqref="C1:F1"/>
    </sheetView>
  </sheetViews>
  <sheetFormatPr defaultColWidth="14.36328125" defaultRowHeight="14.5"/>
  <cols>
    <col min="2" max="2" width="10.453125" style="1" customWidth="1"/>
    <col min="3" max="3" width="12.08984375" customWidth="1"/>
    <col min="4" max="4" width="18.81640625" customWidth="1"/>
    <col min="5" max="5" width="15.7265625" customWidth="1"/>
    <col min="7" max="7" width="17.453125" customWidth="1"/>
    <col min="8" max="8" width="16.6328125" customWidth="1"/>
    <col min="9" max="9" width="17.453125" customWidth="1"/>
    <col min="10" max="10" width="18.7265625" customWidth="1"/>
  </cols>
  <sheetData>
    <row r="1" spans="1:18">
      <c r="C1" s="18" t="s">
        <v>63</v>
      </c>
      <c r="D1" s="18"/>
      <c r="E1" s="18"/>
      <c r="F1" s="18"/>
      <c r="G1" t="s">
        <v>64</v>
      </c>
      <c r="H1" t="s">
        <v>65</v>
      </c>
      <c r="I1" t="s">
        <v>66</v>
      </c>
      <c r="J1" t="s">
        <v>64</v>
      </c>
      <c r="K1" s="18" t="s">
        <v>79</v>
      </c>
      <c r="L1" s="18"/>
      <c r="M1" s="18"/>
      <c r="N1" s="18"/>
      <c r="O1" s="18"/>
      <c r="P1" s="18"/>
      <c r="Q1" s="18"/>
      <c r="R1" s="18"/>
    </row>
    <row r="2" spans="1:18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  <c r="K2" t="s">
        <v>1</v>
      </c>
      <c r="L2" t="s">
        <v>2</v>
      </c>
      <c r="M2" t="s">
        <v>27</v>
      </c>
      <c r="N2" t="s">
        <v>28</v>
      </c>
      <c r="O2" s="7" t="s">
        <v>34</v>
      </c>
      <c r="P2" s="7" t="s">
        <v>33</v>
      </c>
      <c r="Q2" s="7" t="s">
        <v>32</v>
      </c>
      <c r="R2" t="s">
        <v>35</v>
      </c>
    </row>
    <row r="3" spans="1:18">
      <c r="A3" s="1">
        <v>45474</v>
      </c>
      <c r="B3" s="1"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0.69637380533808979</v>
      </c>
      <c r="J3">
        <v>20.644002405101538</v>
      </c>
      <c r="K3">
        <f>_xlfn.STDEV.P(C3:C263)</f>
        <v>4.5375174590141058E-3</v>
      </c>
      <c r="L3">
        <f t="shared" ref="L3:R3" si="0">_xlfn.STDEV.P(D3:D263)</f>
        <v>4.4961098806757431E-3</v>
      </c>
      <c r="M3">
        <f t="shared" si="0"/>
        <v>2.2034076609775313</v>
      </c>
      <c r="N3">
        <f t="shared" si="0"/>
        <v>2.0972958974441394</v>
      </c>
      <c r="O3">
        <f t="shared" si="0"/>
        <v>6.0694822221412183E-2</v>
      </c>
      <c r="P3">
        <f t="shared" si="0"/>
        <v>5.2996577004110527E-2</v>
      </c>
      <c r="Q3">
        <f t="shared" si="0"/>
        <v>5.9420423395559075E-3</v>
      </c>
      <c r="R3">
        <f t="shared" si="0"/>
        <v>4.9886876704008222E-5</v>
      </c>
    </row>
    <row r="4" spans="1:18">
      <c r="A4" s="1">
        <v>45475</v>
      </c>
      <c r="B4" s="1">
        <v>45475</v>
      </c>
      <c r="C4">
        <v>4.2693680456226319</v>
      </c>
      <c r="D4">
        <v>4.5693680456226318</v>
      </c>
      <c r="E4">
        <v>522.8798879229264</v>
      </c>
      <c r="F4">
        <v>36.780622371287549</v>
      </c>
      <c r="G4">
        <v>0.51</v>
      </c>
      <c r="H4">
        <v>0.66683918678009313</v>
      </c>
      <c r="I4">
        <v>0.70908799015603807</v>
      </c>
      <c r="J4">
        <v>20.644055932511211</v>
      </c>
      <c r="K4" s="18" t="s">
        <v>80</v>
      </c>
      <c r="L4" s="18"/>
      <c r="M4" s="18"/>
      <c r="N4" s="18"/>
      <c r="O4" s="18"/>
      <c r="P4" s="18"/>
      <c r="Q4" s="18"/>
      <c r="R4" s="18"/>
    </row>
    <row r="5" spans="1:18">
      <c r="A5" s="1">
        <v>45476</v>
      </c>
      <c r="B5" s="1">
        <v>45476</v>
      </c>
      <c r="C5">
        <v>4.2604933822940332</v>
      </c>
      <c r="D5">
        <v>4.560493382294033</v>
      </c>
      <c r="E5">
        <v>522.63871139715388</v>
      </c>
      <c r="F5">
        <v>33.649895846541796</v>
      </c>
      <c r="G5">
        <v>0.51</v>
      </c>
      <c r="H5">
        <v>0.57386830467479677</v>
      </c>
      <c r="I5">
        <v>0.70174465767380134</v>
      </c>
      <c r="J5">
        <v>20.644002092841365</v>
      </c>
      <c r="K5" s="17">
        <f>_xlfn.STDEV.P(C3:C263)/AVERAGE(C3:C263)</f>
        <v>1.0627636033977989E-3</v>
      </c>
      <c r="L5" s="17">
        <f t="shared" ref="L5:R5" si="1">_xlfn.STDEV.P(D3:D263)/AVERAGE(D3:D263)</f>
        <v>9.8390708903707937E-4</v>
      </c>
      <c r="M5" s="17">
        <f t="shared" si="1"/>
        <v>4.2190212033198695E-3</v>
      </c>
      <c r="N5" s="17">
        <f t="shared" si="1"/>
        <v>5.4559228679429396E-2</v>
      </c>
      <c r="O5" s="17">
        <f t="shared" si="1"/>
        <v>0.15633269201730465</v>
      </c>
      <c r="P5" s="17">
        <f t="shared" si="1"/>
        <v>8.8635040873206478E-2</v>
      </c>
      <c r="Q5" s="17">
        <f t="shared" si="1"/>
        <v>8.4803547458449334E-3</v>
      </c>
      <c r="R5" s="17">
        <f t="shared" si="1"/>
        <v>2.4165313802142659E-6</v>
      </c>
    </row>
    <row r="6" spans="1:18">
      <c r="A6" s="1">
        <v>45477</v>
      </c>
      <c r="B6" s="1">
        <v>45477</v>
      </c>
      <c r="C6">
        <v>4.2669614641547948</v>
      </c>
      <c r="D6">
        <v>4.5669614641547946</v>
      </c>
      <c r="E6">
        <v>523.30347316179484</v>
      </c>
      <c r="F6">
        <v>37.081655815154434</v>
      </c>
      <c r="G6">
        <v>0.51</v>
      </c>
      <c r="H6">
        <v>0.55415584496385106</v>
      </c>
      <c r="I6">
        <v>0.68446685737671853</v>
      </c>
      <c r="J6">
        <v>20.643982266387258</v>
      </c>
    </row>
    <row r="7" spans="1:18">
      <c r="A7" s="1">
        <v>45478</v>
      </c>
      <c r="B7" s="1">
        <v>45478</v>
      </c>
      <c r="C7">
        <v>4.2761961078121002</v>
      </c>
      <c r="D7">
        <v>4.5761961078121001</v>
      </c>
      <c r="E7">
        <v>520.6548777720443</v>
      </c>
      <c r="F7">
        <v>38.854787651800514</v>
      </c>
      <c r="G7">
        <v>0.5</v>
      </c>
      <c r="H7">
        <v>0.70278174603160293</v>
      </c>
      <c r="I7">
        <v>0.70703017058976925</v>
      </c>
      <c r="J7">
        <v>20.643926472272973</v>
      </c>
    </row>
    <row r="8" spans="1:18">
      <c r="A8" s="1">
        <v>45481</v>
      </c>
      <c r="B8" s="1">
        <v>45481</v>
      </c>
      <c r="C8">
        <v>4.277452636718122</v>
      </c>
      <c r="D8">
        <v>4.5774526367181219</v>
      </c>
      <c r="E8">
        <v>524.18642546096248</v>
      </c>
      <c r="F8">
        <v>39.915107945774146</v>
      </c>
      <c r="G8">
        <v>0.52</v>
      </c>
      <c r="H8">
        <v>0.69285183625186297</v>
      </c>
      <c r="I8">
        <v>0.70188084804721096</v>
      </c>
      <c r="J8">
        <v>20.643945132120972</v>
      </c>
    </row>
    <row r="9" spans="1:18">
      <c r="A9" s="1">
        <v>45482</v>
      </c>
      <c r="B9" s="1">
        <v>45482</v>
      </c>
      <c r="C9">
        <v>4.2662062692595519</v>
      </c>
      <c r="D9">
        <v>4.5662062692595518</v>
      </c>
      <c r="E9">
        <v>526.76260219546157</v>
      </c>
      <c r="F9">
        <v>38.826036968131874</v>
      </c>
      <c r="G9">
        <v>0.52</v>
      </c>
      <c r="H9">
        <v>0.621093074066142</v>
      </c>
      <c r="I9">
        <v>0.69910659417464205</v>
      </c>
      <c r="J9">
        <v>20.64401889379312</v>
      </c>
    </row>
    <row r="10" spans="1:18">
      <c r="A10" s="1">
        <v>45483</v>
      </c>
      <c r="B10" s="1">
        <v>45483</v>
      </c>
      <c r="C10">
        <v>4.2698552197216539</v>
      </c>
      <c r="D10">
        <v>4.5698552197216538</v>
      </c>
      <c r="E10">
        <v>526.48410786002228</v>
      </c>
      <c r="F10">
        <v>40.559421638910528</v>
      </c>
      <c r="G10">
        <v>0.51</v>
      </c>
      <c r="H10">
        <v>0.62999664878446027</v>
      </c>
      <c r="I10">
        <v>0.70233000095280229</v>
      </c>
      <c r="J10">
        <v>20.644012196529484</v>
      </c>
    </row>
    <row r="11" spans="1:18">
      <c r="A11" s="1">
        <v>45484</v>
      </c>
      <c r="B11" s="1">
        <v>45484</v>
      </c>
      <c r="C11">
        <v>4.2725652328067998</v>
      </c>
      <c r="D11">
        <v>4.5725652328067996</v>
      </c>
      <c r="E11">
        <v>523.52380879666441</v>
      </c>
      <c r="F11">
        <v>36.703912590905624</v>
      </c>
      <c r="G11">
        <v>0.51</v>
      </c>
      <c r="H11">
        <v>0.6105303019955014</v>
      </c>
      <c r="I11">
        <v>0.71572030457887426</v>
      </c>
      <c r="J11">
        <v>20.643939509216022</v>
      </c>
    </row>
    <row r="12" spans="1:18">
      <c r="A12" s="1">
        <v>45485</v>
      </c>
      <c r="B12" s="1">
        <v>45485</v>
      </c>
      <c r="C12">
        <v>4.267594107102334</v>
      </c>
      <c r="D12">
        <v>4.5675941071023338</v>
      </c>
      <c r="E12">
        <v>520.59332699673621</v>
      </c>
      <c r="F12">
        <v>36.072424972989943</v>
      </c>
      <c r="G12">
        <v>0.51</v>
      </c>
      <c r="H12">
        <v>0.62792873634441904</v>
      </c>
      <c r="I12">
        <v>0.69935472213673799</v>
      </c>
      <c r="J12">
        <v>20.644027472674146</v>
      </c>
    </row>
    <row r="13" spans="1:18">
      <c r="A13" s="1">
        <v>45488</v>
      </c>
      <c r="B13" s="1">
        <v>45488</v>
      </c>
      <c r="C13">
        <v>4.2642740494894369</v>
      </c>
      <c r="D13">
        <v>4.5642740494894367</v>
      </c>
      <c r="E13">
        <v>522.01054447622812</v>
      </c>
      <c r="F13">
        <v>36.576998527171291</v>
      </c>
      <c r="G13">
        <v>0.48</v>
      </c>
      <c r="H13">
        <v>0.68700411403614692</v>
      </c>
      <c r="I13">
        <v>0.704320557528056</v>
      </c>
      <c r="J13">
        <v>20.643980331871433</v>
      </c>
    </row>
    <row r="14" spans="1:18">
      <c r="A14" s="1">
        <v>45489</v>
      </c>
      <c r="B14" s="1">
        <v>45489</v>
      </c>
      <c r="C14">
        <v>4.2577580097793719</v>
      </c>
      <c r="D14">
        <v>4.5577580097793717</v>
      </c>
      <c r="E14">
        <v>524.55069159368588</v>
      </c>
      <c r="F14">
        <v>39.626477070109928</v>
      </c>
      <c r="G14">
        <v>0.5</v>
      </c>
      <c r="H14">
        <v>0.54610545978927516</v>
      </c>
      <c r="I14">
        <v>0.70274326757321204</v>
      </c>
      <c r="J14">
        <v>20.643987235494897</v>
      </c>
    </row>
    <row r="15" spans="1:18">
      <c r="A15" s="1">
        <v>45490</v>
      </c>
      <c r="B15" s="1">
        <v>45490</v>
      </c>
      <c r="C15">
        <v>4.2781558453295006</v>
      </c>
      <c r="D15">
        <v>4.5781558453295004</v>
      </c>
      <c r="E15">
        <v>524.05111251639414</v>
      </c>
      <c r="F15">
        <v>33.354784589892333</v>
      </c>
      <c r="G15">
        <v>0.5</v>
      </c>
      <c r="H15">
        <v>0.56237300256745582</v>
      </c>
      <c r="I15">
        <v>0.69713657233335791</v>
      </c>
      <c r="J15">
        <v>20.643925140761738</v>
      </c>
    </row>
    <row r="16" spans="1:18">
      <c r="A16" s="1">
        <v>45491</v>
      </c>
      <c r="B16" s="1">
        <v>45491</v>
      </c>
      <c r="C16">
        <v>4.2698508434478191</v>
      </c>
      <c r="D16">
        <v>4.5698508434478189</v>
      </c>
      <c r="E16">
        <v>527.45429331749438</v>
      </c>
      <c r="F16">
        <v>38.030585152773028</v>
      </c>
      <c r="G16">
        <v>0.49</v>
      </c>
      <c r="H16">
        <v>0.61849848957673326</v>
      </c>
      <c r="I16">
        <v>0.68759396070637568</v>
      </c>
      <c r="J16">
        <v>20.643960070016337</v>
      </c>
    </row>
    <row r="17" spans="1:10">
      <c r="A17" s="1">
        <v>45492</v>
      </c>
      <c r="B17" s="1">
        <v>45492</v>
      </c>
      <c r="C17">
        <v>4.2720218002074803</v>
      </c>
      <c r="D17">
        <v>4.5720218002074802</v>
      </c>
      <c r="E17">
        <v>524.03204367139142</v>
      </c>
      <c r="F17">
        <v>33.902360228715622</v>
      </c>
      <c r="G17">
        <v>0.5</v>
      </c>
      <c r="H17">
        <v>0.5490880808649935</v>
      </c>
      <c r="I17">
        <v>0.70006206194888543</v>
      </c>
      <c r="J17">
        <v>20.644061050711525</v>
      </c>
    </row>
    <row r="18" spans="1:10">
      <c r="A18" s="1">
        <v>45495</v>
      </c>
      <c r="B18" s="1">
        <v>45495</v>
      </c>
      <c r="C18">
        <v>4.2679522907967389</v>
      </c>
      <c r="D18">
        <v>4.5679522907967387</v>
      </c>
      <c r="E18">
        <v>522.07785217576384</v>
      </c>
      <c r="F18">
        <v>35.849288630557652</v>
      </c>
      <c r="G18">
        <v>0.5</v>
      </c>
      <c r="H18">
        <v>0.5723193563041219</v>
      </c>
      <c r="I18">
        <v>0.69976385402786478</v>
      </c>
      <c r="J18">
        <v>20.643974973777926</v>
      </c>
    </row>
    <row r="19" spans="1:10">
      <c r="A19" s="1">
        <v>45496</v>
      </c>
      <c r="B19" s="1">
        <v>45496</v>
      </c>
      <c r="C19">
        <v>4.2673965005135441</v>
      </c>
      <c r="D19">
        <v>4.567396500513544</v>
      </c>
      <c r="E19">
        <v>524.19479469258954</v>
      </c>
      <c r="F19">
        <v>35.044106517496893</v>
      </c>
      <c r="G19">
        <v>0.5</v>
      </c>
      <c r="H19">
        <v>0.64795072415992583</v>
      </c>
      <c r="I19">
        <v>0.69334335621931953</v>
      </c>
      <c r="J19">
        <v>20.643966957203748</v>
      </c>
    </row>
    <row r="20" spans="1:10">
      <c r="A20" s="1">
        <v>45497</v>
      </c>
      <c r="B20" s="1">
        <v>45497</v>
      </c>
      <c r="C20">
        <v>4.2701843070695036</v>
      </c>
      <c r="D20">
        <v>4.5701843070695034</v>
      </c>
      <c r="E20">
        <v>523.96248452188843</v>
      </c>
      <c r="F20">
        <v>38.359849141622597</v>
      </c>
      <c r="G20">
        <v>0.5</v>
      </c>
      <c r="H20">
        <v>0.64830968054183546</v>
      </c>
      <c r="I20">
        <v>0.69943081165274745</v>
      </c>
      <c r="J20">
        <v>20.643958383788931</v>
      </c>
    </row>
    <row r="21" spans="1:10">
      <c r="A21" s="1">
        <v>45498</v>
      </c>
      <c r="B21" s="1">
        <v>45498</v>
      </c>
      <c r="C21">
        <v>4.2719100809991772</v>
      </c>
      <c r="D21">
        <v>4.5719100809991771</v>
      </c>
      <c r="E21">
        <v>521.52219962432457</v>
      </c>
      <c r="F21">
        <v>37.927617211505947</v>
      </c>
      <c r="G21">
        <v>0.51</v>
      </c>
      <c r="H21">
        <v>0.58562395283447943</v>
      </c>
      <c r="I21">
        <v>0.68975902460492922</v>
      </c>
      <c r="J21">
        <v>20.643984767912734</v>
      </c>
    </row>
    <row r="22" spans="1:10">
      <c r="A22" s="1">
        <v>45499</v>
      </c>
      <c r="B22" s="1">
        <v>45499</v>
      </c>
      <c r="C22">
        <v>4.2681933033662691</v>
      </c>
      <c r="D22">
        <v>4.5681933033662689</v>
      </c>
      <c r="E22">
        <v>521.62492405113562</v>
      </c>
      <c r="F22">
        <v>42.436434147238558</v>
      </c>
      <c r="G22">
        <v>0.5</v>
      </c>
      <c r="H22">
        <v>0.63961398005752579</v>
      </c>
      <c r="I22">
        <v>0.69630341570071941</v>
      </c>
      <c r="J22">
        <v>20.644021591394285</v>
      </c>
    </row>
    <row r="23" spans="1:10">
      <c r="A23" s="1">
        <v>45502</v>
      </c>
      <c r="B23" s="1">
        <v>45502</v>
      </c>
      <c r="C23">
        <v>4.2642631932414243</v>
      </c>
      <c r="D23">
        <v>4.5642631932414242</v>
      </c>
      <c r="E23">
        <v>522.91142144465596</v>
      </c>
      <c r="F23">
        <v>36.889521516389109</v>
      </c>
      <c r="G23">
        <v>0.47</v>
      </c>
      <c r="H23">
        <v>0.52112815268353818</v>
      </c>
      <c r="I23">
        <v>0.70276168083426949</v>
      </c>
      <c r="J23">
        <v>20.64400439459623</v>
      </c>
    </row>
    <row r="24" spans="1:10">
      <c r="A24" s="1">
        <v>45503</v>
      </c>
      <c r="B24" s="1">
        <v>45503</v>
      </c>
      <c r="C24">
        <v>4.2660029259033969</v>
      </c>
      <c r="D24">
        <v>4.5660029259033967</v>
      </c>
      <c r="E24">
        <v>524.36306961210619</v>
      </c>
      <c r="F24">
        <v>37.192100956147279</v>
      </c>
      <c r="G24">
        <v>0.47</v>
      </c>
      <c r="H24">
        <v>0.56916153528158875</v>
      </c>
      <c r="I24">
        <v>0.70214312416986324</v>
      </c>
      <c r="J24">
        <v>20.644098978622232</v>
      </c>
    </row>
    <row r="25" spans="1:10">
      <c r="A25" s="1">
        <v>45504</v>
      </c>
      <c r="B25" s="1">
        <v>45504</v>
      </c>
      <c r="C25">
        <v>4.2688968310090853</v>
      </c>
      <c r="D25">
        <v>4.5688968310090852</v>
      </c>
      <c r="E25">
        <v>525.06476108041193</v>
      </c>
      <c r="F25">
        <v>36.964285629237615</v>
      </c>
      <c r="G25">
        <v>0.47</v>
      </c>
      <c r="H25">
        <v>0.58837664267330225</v>
      </c>
      <c r="I25">
        <v>0.7007374946028575</v>
      </c>
      <c r="J25">
        <v>20.64399471591425</v>
      </c>
    </row>
    <row r="26" spans="1:10">
      <c r="A26" s="1">
        <v>45505</v>
      </c>
      <c r="B26" s="1">
        <v>45505</v>
      </c>
      <c r="C26">
        <v>4.2649780261180572</v>
      </c>
      <c r="D26">
        <v>4.564978026118057</v>
      </c>
      <c r="E26">
        <v>523.54704585094169</v>
      </c>
      <c r="F26">
        <v>38.903268659018188</v>
      </c>
      <c r="G26">
        <v>0.48</v>
      </c>
      <c r="H26">
        <v>0.63541026699596581</v>
      </c>
      <c r="I26">
        <v>0.69493544863954193</v>
      </c>
      <c r="J26">
        <v>20.643974944062759</v>
      </c>
    </row>
    <row r="27" spans="1:10">
      <c r="A27" s="1">
        <v>45506</v>
      </c>
      <c r="B27" s="1">
        <v>45506</v>
      </c>
      <c r="C27">
        <v>4.2660862276521936</v>
      </c>
      <c r="D27">
        <v>4.5660862276521934</v>
      </c>
      <c r="E27">
        <v>522.74279672376258</v>
      </c>
      <c r="F27">
        <v>33.379825652215381</v>
      </c>
      <c r="G27">
        <v>0.48</v>
      </c>
      <c r="H27">
        <v>0.70391436543514851</v>
      </c>
      <c r="I27">
        <v>0.70323493319226149</v>
      </c>
      <c r="J27">
        <v>20.643958813857552</v>
      </c>
    </row>
    <row r="28" spans="1:10">
      <c r="A28" s="1">
        <v>45509</v>
      </c>
      <c r="B28" s="1">
        <v>45509</v>
      </c>
      <c r="C28">
        <v>4.2714196457761533</v>
      </c>
      <c r="D28">
        <v>4.5714196457761531</v>
      </c>
      <c r="E28">
        <v>524.25189918331387</v>
      </c>
      <c r="F28">
        <v>37.890763494453822</v>
      </c>
      <c r="G28">
        <v>0.47</v>
      </c>
      <c r="H28">
        <v>0.51855134902046418</v>
      </c>
      <c r="I28">
        <v>0.69995285204267221</v>
      </c>
      <c r="J28">
        <v>20.644004629902287</v>
      </c>
    </row>
    <row r="29" spans="1:10">
      <c r="A29" s="1">
        <v>45510</v>
      </c>
      <c r="B29" s="1">
        <v>45510</v>
      </c>
      <c r="C29">
        <v>4.2646362239302302</v>
      </c>
      <c r="D29">
        <v>4.5646362239302301</v>
      </c>
      <c r="E29">
        <v>523.04411803166306</v>
      </c>
      <c r="F29">
        <v>36.543960228685179</v>
      </c>
      <c r="G29">
        <v>0.48</v>
      </c>
      <c r="H29">
        <v>0.61345519090253953</v>
      </c>
      <c r="I29">
        <v>0.69309421275873873</v>
      </c>
      <c r="J29">
        <v>20.643953722484884</v>
      </c>
    </row>
    <row r="30" spans="1:10">
      <c r="A30" s="1">
        <v>45511</v>
      </c>
      <c r="B30" s="1">
        <v>45511</v>
      </c>
      <c r="C30">
        <v>4.273870626059642</v>
      </c>
      <c r="D30">
        <v>4.5738706260596418</v>
      </c>
      <c r="E30">
        <v>524.60133780575472</v>
      </c>
      <c r="F30">
        <v>40.453901715169792</v>
      </c>
      <c r="G30">
        <v>0.48</v>
      </c>
      <c r="H30">
        <v>0.51267059103647528</v>
      </c>
      <c r="I30">
        <v>0.69538083592557809</v>
      </c>
      <c r="J30">
        <v>20.643923547864421</v>
      </c>
    </row>
    <row r="31" spans="1:10">
      <c r="A31" s="1">
        <v>45512</v>
      </c>
      <c r="B31" s="1">
        <v>45512</v>
      </c>
      <c r="C31">
        <v>4.2693270591209895</v>
      </c>
      <c r="D31">
        <v>4.5693270591209894</v>
      </c>
      <c r="E31">
        <v>522.98110485374343</v>
      </c>
      <c r="F31">
        <v>38.285504771567496</v>
      </c>
      <c r="G31">
        <v>0.47</v>
      </c>
      <c r="H31">
        <v>0.60845553352886794</v>
      </c>
      <c r="I31">
        <v>0.68963396967569757</v>
      </c>
      <c r="J31">
        <v>20.644065153141494</v>
      </c>
    </row>
    <row r="32" spans="1:10">
      <c r="A32" s="1">
        <v>45513</v>
      </c>
      <c r="B32" s="1">
        <v>45513</v>
      </c>
      <c r="C32">
        <v>4.2685018357564459</v>
      </c>
      <c r="D32">
        <v>4.5685018357564458</v>
      </c>
      <c r="E32">
        <v>522.6596337054367</v>
      </c>
      <c r="F32">
        <v>38.205097176648657</v>
      </c>
      <c r="G32">
        <v>0.47</v>
      </c>
      <c r="H32">
        <v>0.54511387598976946</v>
      </c>
      <c r="I32">
        <v>0.6892224852376696</v>
      </c>
      <c r="J32">
        <v>20.643938111692691</v>
      </c>
    </row>
    <row r="33" spans="1:10">
      <c r="A33" s="1">
        <v>45516</v>
      </c>
      <c r="B33" s="1">
        <v>45516</v>
      </c>
      <c r="C33">
        <v>4.2664061664272941</v>
      </c>
      <c r="D33">
        <v>4.5664061664272939</v>
      </c>
      <c r="E33">
        <v>518.96047504697026</v>
      </c>
      <c r="F33">
        <v>37.427121338437587</v>
      </c>
      <c r="G33">
        <v>0.45</v>
      </c>
      <c r="H33">
        <v>0.55684118011393369</v>
      </c>
      <c r="I33">
        <v>0.69555376637568489</v>
      </c>
      <c r="J33">
        <v>20.643960459494348</v>
      </c>
    </row>
    <row r="34" spans="1:10">
      <c r="A34" s="1">
        <v>45517</v>
      </c>
      <c r="B34" s="1">
        <v>45517</v>
      </c>
      <c r="C34">
        <v>4.2689477511397547</v>
      </c>
      <c r="D34">
        <v>4.5689477511397545</v>
      </c>
      <c r="E34">
        <v>525.13475827777347</v>
      </c>
      <c r="F34">
        <v>38.962107707121206</v>
      </c>
      <c r="G34">
        <v>0.45</v>
      </c>
      <c r="H34">
        <v>0.62349789337206762</v>
      </c>
      <c r="I34">
        <v>0.69405716849724319</v>
      </c>
      <c r="J34">
        <v>20.644009432863569</v>
      </c>
    </row>
    <row r="35" spans="1:10">
      <c r="A35" s="1">
        <v>45518</v>
      </c>
      <c r="B35" s="1">
        <v>45518</v>
      </c>
      <c r="C35">
        <v>4.2803974983687469</v>
      </c>
      <c r="D35">
        <v>4.5803974983687468</v>
      </c>
      <c r="E35">
        <v>525.68140366412604</v>
      </c>
      <c r="F35">
        <v>36.995926114898047</v>
      </c>
      <c r="G35">
        <v>0.47</v>
      </c>
      <c r="H35">
        <v>0.54459865420828146</v>
      </c>
      <c r="I35">
        <v>0.69653838432958803</v>
      </c>
      <c r="J35">
        <v>20.643977175900346</v>
      </c>
    </row>
    <row r="36" spans="1:10">
      <c r="A36" s="1">
        <v>45519</v>
      </c>
      <c r="B36" s="1">
        <v>45519</v>
      </c>
      <c r="C36">
        <v>4.2742847939537025</v>
      </c>
      <c r="D36">
        <v>4.5742847939537024</v>
      </c>
      <c r="E36">
        <v>523.2760838064529</v>
      </c>
      <c r="F36">
        <v>36.724478427262476</v>
      </c>
      <c r="G36">
        <v>0.47</v>
      </c>
      <c r="H36">
        <v>0.55110036484791536</v>
      </c>
      <c r="I36">
        <v>0.70600059142110705</v>
      </c>
      <c r="J36">
        <v>20.644023647719457</v>
      </c>
    </row>
    <row r="37" spans="1:10">
      <c r="A37" s="1">
        <v>45520</v>
      </c>
      <c r="B37" s="1">
        <v>45520</v>
      </c>
      <c r="C37">
        <v>4.2802444123086705</v>
      </c>
      <c r="D37">
        <v>4.5802444123086703</v>
      </c>
      <c r="E37">
        <v>523.43830257624336</v>
      </c>
      <c r="F37">
        <v>36.737884551995869</v>
      </c>
      <c r="G37">
        <v>0.47</v>
      </c>
      <c r="H37">
        <v>0.55915909506694206</v>
      </c>
      <c r="I37">
        <v>0.7106175541489258</v>
      </c>
      <c r="J37">
        <v>20.643960288178491</v>
      </c>
    </row>
    <row r="38" spans="1:10">
      <c r="A38" s="1">
        <v>45523</v>
      </c>
      <c r="B38" s="1">
        <v>45523</v>
      </c>
      <c r="C38">
        <v>4.2729676590100754</v>
      </c>
      <c r="D38">
        <v>4.5729676590100752</v>
      </c>
      <c r="E38">
        <v>523.96798927397276</v>
      </c>
      <c r="F38">
        <v>36.681508519087387</v>
      </c>
      <c r="G38">
        <v>0.48</v>
      </c>
      <c r="H38">
        <v>0.67889574065689384</v>
      </c>
      <c r="I38">
        <v>0.69714298034377709</v>
      </c>
      <c r="J38">
        <v>20.643983878904908</v>
      </c>
    </row>
    <row r="39" spans="1:10">
      <c r="A39" s="1">
        <v>45524</v>
      </c>
      <c r="B39" s="1">
        <v>45524</v>
      </c>
      <c r="C39">
        <v>4.2674997307313207</v>
      </c>
      <c r="D39">
        <v>4.5674997307313205</v>
      </c>
      <c r="E39">
        <v>520.63545065844755</v>
      </c>
      <c r="F39">
        <v>40.814389152668468</v>
      </c>
      <c r="G39">
        <v>0.47</v>
      </c>
      <c r="H39">
        <v>0.6321300856211518</v>
      </c>
      <c r="I39">
        <v>0.69121982124284309</v>
      </c>
      <c r="J39">
        <v>20.644024687181929</v>
      </c>
    </row>
    <row r="40" spans="1:10">
      <c r="A40" s="1">
        <v>45525</v>
      </c>
      <c r="B40" s="1">
        <v>45525</v>
      </c>
      <c r="C40">
        <v>4.2777667510635426</v>
      </c>
      <c r="D40">
        <v>4.5777667510635425</v>
      </c>
      <c r="E40">
        <v>522.31877807997432</v>
      </c>
      <c r="F40">
        <v>33.201560605559273</v>
      </c>
      <c r="G40">
        <v>0.48</v>
      </c>
      <c r="H40">
        <v>0.64850117488960368</v>
      </c>
      <c r="I40">
        <v>0.69852323499439795</v>
      </c>
      <c r="J40">
        <v>20.643952830167898</v>
      </c>
    </row>
    <row r="41" spans="1:10">
      <c r="A41" s="1">
        <v>45526</v>
      </c>
      <c r="B41" s="1">
        <v>45526</v>
      </c>
      <c r="C41">
        <v>4.2739835446936558</v>
      </c>
      <c r="D41">
        <v>4.5739835446936556</v>
      </c>
      <c r="E41">
        <v>521.06002726970189</v>
      </c>
      <c r="F41">
        <v>37.781563702933227</v>
      </c>
      <c r="G41">
        <v>0.48</v>
      </c>
      <c r="H41">
        <v>0.64653763471706904</v>
      </c>
      <c r="I41">
        <v>0.6941954334163406</v>
      </c>
      <c r="J41">
        <v>20.644030589644824</v>
      </c>
    </row>
    <row r="42" spans="1:10">
      <c r="A42" s="1">
        <v>45527</v>
      </c>
      <c r="B42" s="1">
        <v>45527</v>
      </c>
      <c r="C42">
        <v>4.2694755617284805</v>
      </c>
      <c r="D42">
        <v>4.5694755617284804</v>
      </c>
      <c r="E42">
        <v>525.63459896599466</v>
      </c>
      <c r="F42">
        <v>36.950993225638655</v>
      </c>
      <c r="G42">
        <v>0.46</v>
      </c>
      <c r="H42">
        <v>0.59888175114452324</v>
      </c>
      <c r="I42">
        <v>0.7020118979490434</v>
      </c>
      <c r="J42">
        <v>20.644049722260917</v>
      </c>
    </row>
    <row r="43" spans="1:10">
      <c r="A43" s="1">
        <v>45530</v>
      </c>
      <c r="B43" s="1">
        <v>45530</v>
      </c>
      <c r="C43">
        <v>4.2700857357198894</v>
      </c>
      <c r="D43">
        <v>4.5700857357198892</v>
      </c>
      <c r="E43">
        <v>520.42963841672292</v>
      </c>
      <c r="F43">
        <v>36.572687824893393</v>
      </c>
      <c r="G43">
        <v>0.49</v>
      </c>
      <c r="H43">
        <v>0.55461566734699941</v>
      </c>
      <c r="I43">
        <v>0.69931302005232787</v>
      </c>
      <c r="J43">
        <v>20.643962837275957</v>
      </c>
    </row>
    <row r="44" spans="1:10">
      <c r="A44" s="1">
        <v>45531</v>
      </c>
      <c r="B44" s="1">
        <v>45531</v>
      </c>
      <c r="C44">
        <v>4.2719533046324552</v>
      </c>
      <c r="D44">
        <v>4.571953304632455</v>
      </c>
      <c r="E44">
        <v>525.16540102618239</v>
      </c>
      <c r="F44">
        <v>38.042622468290034</v>
      </c>
      <c r="G44">
        <v>0.49</v>
      </c>
      <c r="H44">
        <v>0.59072812469350178</v>
      </c>
      <c r="I44">
        <v>0.70429939893820481</v>
      </c>
      <c r="J44">
        <v>20.644016868439728</v>
      </c>
    </row>
    <row r="45" spans="1:10">
      <c r="A45" s="1">
        <v>45532</v>
      </c>
      <c r="B45" s="1">
        <v>45532</v>
      </c>
      <c r="C45">
        <v>4.2637220177836737</v>
      </c>
      <c r="D45">
        <v>4.5637220177836735</v>
      </c>
      <c r="E45">
        <v>521.53933192376917</v>
      </c>
      <c r="F45">
        <v>36.683013583439156</v>
      </c>
      <c r="G45">
        <v>0.5</v>
      </c>
      <c r="H45">
        <v>0.56711515849707372</v>
      </c>
      <c r="I45">
        <v>0.69590723736741766</v>
      </c>
      <c r="J45">
        <v>20.644029156304089</v>
      </c>
    </row>
    <row r="46" spans="1:10">
      <c r="A46" s="1">
        <v>45533</v>
      </c>
      <c r="B46" s="1">
        <v>45533</v>
      </c>
      <c r="C46">
        <v>4.2653564098054888</v>
      </c>
      <c r="D46">
        <v>4.5653564098054886</v>
      </c>
      <c r="E46">
        <v>522.34948292318791</v>
      </c>
      <c r="F46">
        <v>37.837513679821456</v>
      </c>
      <c r="G46">
        <v>0.47</v>
      </c>
      <c r="H46">
        <v>0.57358676878670511</v>
      </c>
      <c r="I46">
        <v>0.70046485489437249</v>
      </c>
      <c r="J46">
        <v>20.644022762574693</v>
      </c>
    </row>
    <row r="47" spans="1:10">
      <c r="A47" s="1">
        <v>45534</v>
      </c>
      <c r="B47" s="1">
        <v>45534</v>
      </c>
      <c r="C47">
        <v>4.2676533661215617</v>
      </c>
      <c r="D47">
        <v>4.5676533661215615</v>
      </c>
      <c r="E47">
        <v>520.62478782263031</v>
      </c>
      <c r="F47">
        <v>39.089866401090347</v>
      </c>
      <c r="G47">
        <v>0.48</v>
      </c>
      <c r="H47">
        <v>0.61997431410093384</v>
      </c>
      <c r="I47">
        <v>0.69959790952404322</v>
      </c>
      <c r="J47">
        <v>20.643970254902648</v>
      </c>
    </row>
    <row r="48" spans="1:10">
      <c r="A48" s="1">
        <v>45537</v>
      </c>
      <c r="B48" s="1">
        <v>45537</v>
      </c>
      <c r="C48">
        <v>4.2739325357710047</v>
      </c>
      <c r="D48">
        <v>4.5739325357710046</v>
      </c>
      <c r="E48">
        <v>519.98679714320019</v>
      </c>
      <c r="F48">
        <v>33.869705422690828</v>
      </c>
      <c r="G48">
        <v>0.49</v>
      </c>
      <c r="H48">
        <v>0.61042914720553454</v>
      </c>
      <c r="I48">
        <v>0.69406652266420776</v>
      </c>
      <c r="J48">
        <v>20.644041198476572</v>
      </c>
    </row>
    <row r="49" spans="1:10">
      <c r="A49" s="1">
        <v>45538</v>
      </c>
      <c r="B49" s="1">
        <v>45538</v>
      </c>
      <c r="C49">
        <v>4.2697776509502798</v>
      </c>
      <c r="D49">
        <v>4.5697776509502797</v>
      </c>
      <c r="E49">
        <v>524.23648089988455</v>
      </c>
      <c r="F49">
        <v>38.32503386543943</v>
      </c>
      <c r="G49">
        <v>0.46</v>
      </c>
      <c r="H49">
        <v>0.45604114211023883</v>
      </c>
      <c r="I49">
        <v>0.70196682556074574</v>
      </c>
      <c r="J49">
        <v>20.643920819269681</v>
      </c>
    </row>
    <row r="50" spans="1:10">
      <c r="A50" s="1">
        <v>45539</v>
      </c>
      <c r="B50" s="1">
        <v>45539</v>
      </c>
      <c r="C50">
        <v>4.277079770089057</v>
      </c>
      <c r="D50">
        <v>4.5770797700890569</v>
      </c>
      <c r="E50">
        <v>518.32427129416146</v>
      </c>
      <c r="F50">
        <v>35.524660252360754</v>
      </c>
      <c r="G50">
        <v>0.46</v>
      </c>
      <c r="H50">
        <v>0.53293281627236999</v>
      </c>
      <c r="I50">
        <v>0.70293096255272014</v>
      </c>
      <c r="J50">
        <v>20.643931413604037</v>
      </c>
    </row>
    <row r="51" spans="1:10">
      <c r="A51" s="1">
        <v>45540</v>
      </c>
      <c r="B51" s="1">
        <v>45540</v>
      </c>
      <c r="C51">
        <v>4.2677893320129874</v>
      </c>
      <c r="D51">
        <v>4.5677893320129872</v>
      </c>
      <c r="E51">
        <v>523.46646854768085</v>
      </c>
      <c r="F51">
        <v>38.366821599782355</v>
      </c>
      <c r="G51">
        <v>0.46</v>
      </c>
      <c r="H51">
        <v>0.6381689915146882</v>
      </c>
      <c r="I51">
        <v>0.70903592970169005</v>
      </c>
      <c r="J51">
        <v>20.643958511403273</v>
      </c>
    </row>
    <row r="52" spans="1:10">
      <c r="A52" s="1">
        <v>45541</v>
      </c>
      <c r="B52" s="1">
        <v>45541</v>
      </c>
      <c r="C52">
        <v>4.2742847450595933</v>
      </c>
      <c r="D52">
        <v>4.5742847450595931</v>
      </c>
      <c r="E52">
        <v>523.97777436901447</v>
      </c>
      <c r="F52">
        <v>38.642996514109093</v>
      </c>
      <c r="G52">
        <v>0.46</v>
      </c>
      <c r="H52">
        <v>0.5789415043404289</v>
      </c>
      <c r="I52">
        <v>0.70310217687673859</v>
      </c>
      <c r="J52">
        <v>20.643956773830702</v>
      </c>
    </row>
    <row r="53" spans="1:10">
      <c r="A53" s="1">
        <v>45544</v>
      </c>
      <c r="B53" s="1">
        <v>45544</v>
      </c>
      <c r="C53">
        <v>4.2776995972279774</v>
      </c>
      <c r="D53">
        <v>4.5776995972279773</v>
      </c>
      <c r="E53">
        <v>524.51402475999203</v>
      </c>
      <c r="F53">
        <v>40.370652805976398</v>
      </c>
      <c r="G53">
        <v>0.43</v>
      </c>
      <c r="H53">
        <v>0.53350915839382751</v>
      </c>
      <c r="I53">
        <v>0.70160470069714387</v>
      </c>
      <c r="J53">
        <v>20.644061795338153</v>
      </c>
    </row>
    <row r="54" spans="1:10">
      <c r="A54" s="1">
        <v>45545</v>
      </c>
      <c r="B54" s="1">
        <v>45545</v>
      </c>
      <c r="C54">
        <v>4.263011952157143</v>
      </c>
      <c r="D54">
        <v>4.5630119521571428</v>
      </c>
      <c r="E54">
        <v>525.27244760521455</v>
      </c>
      <c r="F54">
        <v>38.892837776212644</v>
      </c>
      <c r="G54">
        <v>0.42</v>
      </c>
      <c r="H54">
        <v>0.69293003099488715</v>
      </c>
      <c r="I54">
        <v>0.70570672007060187</v>
      </c>
      <c r="J54">
        <v>20.643975380410904</v>
      </c>
    </row>
    <row r="55" spans="1:10">
      <c r="A55" s="1">
        <v>45546</v>
      </c>
      <c r="B55" s="1">
        <v>45546</v>
      </c>
      <c r="C55">
        <v>4.2655633198352039</v>
      </c>
      <c r="D55">
        <v>4.5655633198352037</v>
      </c>
      <c r="E55">
        <v>524.5752724160036</v>
      </c>
      <c r="F55">
        <v>37.57725404944599</v>
      </c>
      <c r="G55">
        <v>0.41</v>
      </c>
      <c r="H55">
        <v>0.64453953161662647</v>
      </c>
      <c r="I55">
        <v>0.70909878967902307</v>
      </c>
      <c r="J55">
        <v>20.644061232333751</v>
      </c>
    </row>
    <row r="56" spans="1:10">
      <c r="A56" s="1">
        <v>45547</v>
      </c>
      <c r="B56" s="1">
        <v>45547</v>
      </c>
      <c r="C56">
        <v>4.2710179318608219</v>
      </c>
      <c r="D56">
        <v>4.5710179318608217</v>
      </c>
      <c r="E56">
        <v>522.14772269209311</v>
      </c>
      <c r="F56">
        <v>37.878281148289481</v>
      </c>
      <c r="G56">
        <v>0.4</v>
      </c>
      <c r="H56">
        <v>0.65161212068925534</v>
      </c>
      <c r="I56">
        <v>0.70629066002476293</v>
      </c>
      <c r="J56">
        <v>20.644047843041641</v>
      </c>
    </row>
    <row r="57" spans="1:10">
      <c r="A57" s="1">
        <v>45548</v>
      </c>
      <c r="B57" s="1">
        <v>45548</v>
      </c>
      <c r="C57">
        <v>4.2722414135531981</v>
      </c>
      <c r="D57">
        <v>4.5722414135531979</v>
      </c>
      <c r="E57">
        <v>521.30126530599182</v>
      </c>
      <c r="F57">
        <v>37.663861257791922</v>
      </c>
      <c r="G57">
        <v>0.38</v>
      </c>
      <c r="H57">
        <v>0.54065308879491747</v>
      </c>
      <c r="I57">
        <v>0.70112461331889553</v>
      </c>
      <c r="J57">
        <v>20.643946000867729</v>
      </c>
    </row>
    <row r="58" spans="1:10">
      <c r="A58" s="1">
        <v>45551</v>
      </c>
      <c r="B58" s="1">
        <v>45551</v>
      </c>
      <c r="C58">
        <v>4.2688911911727496</v>
      </c>
      <c r="D58">
        <v>4.5688911911727494</v>
      </c>
      <c r="E58">
        <v>522.15811750142007</v>
      </c>
      <c r="F58">
        <v>35.952669033673828</v>
      </c>
      <c r="G58">
        <v>0.37</v>
      </c>
      <c r="H58">
        <v>0.53297173482974158</v>
      </c>
      <c r="I58">
        <v>0.69098341574581035</v>
      </c>
      <c r="J58">
        <v>20.643892518677607</v>
      </c>
    </row>
    <row r="59" spans="1:10">
      <c r="A59" s="1">
        <v>45552</v>
      </c>
      <c r="B59" s="1">
        <v>45552</v>
      </c>
      <c r="C59">
        <v>4.264647725977424</v>
      </c>
      <c r="D59">
        <v>4.5646477259774239</v>
      </c>
      <c r="E59">
        <v>524.06444026441181</v>
      </c>
      <c r="F59">
        <v>36.71332693692765</v>
      </c>
      <c r="G59">
        <v>0.36</v>
      </c>
      <c r="H59">
        <v>0.61027344177825682</v>
      </c>
      <c r="I59">
        <v>0.69004265083480243</v>
      </c>
      <c r="J59">
        <v>20.643930626859515</v>
      </c>
    </row>
    <row r="60" spans="1:10">
      <c r="A60" s="1">
        <v>45553</v>
      </c>
      <c r="B60" s="1">
        <v>45553</v>
      </c>
      <c r="C60">
        <v>4.2677754400774148</v>
      </c>
      <c r="D60">
        <v>4.5677754400774147</v>
      </c>
      <c r="E60">
        <v>522.85558700307206</v>
      </c>
      <c r="F60">
        <v>40.871298859996351</v>
      </c>
      <c r="G60">
        <v>0.35</v>
      </c>
      <c r="H60">
        <v>0.63115326533821481</v>
      </c>
      <c r="I60">
        <v>0.69498291426170045</v>
      </c>
      <c r="J60">
        <v>20.644138610431735</v>
      </c>
    </row>
    <row r="61" spans="1:10">
      <c r="A61" s="1">
        <v>45554</v>
      </c>
      <c r="B61" s="1">
        <v>45554</v>
      </c>
      <c r="C61">
        <v>4.273741118820543</v>
      </c>
      <c r="D61">
        <v>4.5737411188205428</v>
      </c>
      <c r="E61">
        <v>521.61732812575838</v>
      </c>
      <c r="F61">
        <v>38.624136825545293</v>
      </c>
      <c r="G61">
        <v>0.36</v>
      </c>
      <c r="H61">
        <v>0.56560662490868685</v>
      </c>
      <c r="I61">
        <v>0.69716684960583175</v>
      </c>
      <c r="J61">
        <v>20.644003153731042</v>
      </c>
    </row>
    <row r="62" spans="1:10">
      <c r="A62" s="1">
        <v>45555</v>
      </c>
      <c r="B62" s="1">
        <v>45555</v>
      </c>
      <c r="C62">
        <v>4.2678705171851865</v>
      </c>
      <c r="D62">
        <v>4.5678705171851863</v>
      </c>
      <c r="E62">
        <v>523.08450110020726</v>
      </c>
      <c r="F62">
        <v>37.642189771669443</v>
      </c>
      <c r="G62">
        <v>0.37</v>
      </c>
      <c r="H62">
        <v>0.61620364466717892</v>
      </c>
      <c r="I62">
        <v>0.68586537082380494</v>
      </c>
      <c r="J62">
        <v>20.644009638854197</v>
      </c>
    </row>
    <row r="63" spans="1:10">
      <c r="A63" s="1">
        <v>45558</v>
      </c>
      <c r="B63" s="1">
        <v>45558</v>
      </c>
      <c r="C63">
        <v>4.2784809000888231</v>
      </c>
      <c r="D63">
        <v>4.5784809000888229</v>
      </c>
      <c r="E63">
        <v>521.25428840619236</v>
      </c>
      <c r="F63">
        <v>37.578064240665604</v>
      </c>
      <c r="G63">
        <v>0.36</v>
      </c>
      <c r="H63">
        <v>0.5552755144994439</v>
      </c>
      <c r="I63">
        <v>0.70740837577147631</v>
      </c>
      <c r="J63">
        <v>20.643870038489517</v>
      </c>
    </row>
    <row r="64" spans="1:10">
      <c r="A64" s="1">
        <v>45559</v>
      </c>
      <c r="B64" s="1">
        <v>45559</v>
      </c>
      <c r="C64">
        <v>4.271442678821213</v>
      </c>
      <c r="D64">
        <v>4.5714426788212128</v>
      </c>
      <c r="E64">
        <v>526.20520880867343</v>
      </c>
      <c r="F64">
        <v>41.076585409852264</v>
      </c>
      <c r="G64">
        <v>0.35</v>
      </c>
      <c r="H64">
        <v>0.51039572663624</v>
      </c>
      <c r="I64">
        <v>0.69756720777371128</v>
      </c>
      <c r="J64">
        <v>20.643922229463314</v>
      </c>
    </row>
    <row r="65" spans="1:10">
      <c r="A65" s="1">
        <v>45560</v>
      </c>
      <c r="B65" s="1">
        <v>45560</v>
      </c>
      <c r="C65">
        <v>4.2747570806575075</v>
      </c>
      <c r="D65">
        <v>4.5747570806575073</v>
      </c>
      <c r="E65">
        <v>523.70735317105152</v>
      </c>
      <c r="F65">
        <v>39.156882348825938</v>
      </c>
      <c r="G65">
        <v>0.37</v>
      </c>
      <c r="H65">
        <v>0.55034017123704482</v>
      </c>
      <c r="I65">
        <v>0.69364529219246407</v>
      </c>
      <c r="J65">
        <v>20.644068414850278</v>
      </c>
    </row>
    <row r="66" spans="1:10">
      <c r="A66" s="1">
        <v>45561</v>
      </c>
      <c r="B66" s="1">
        <v>45561</v>
      </c>
      <c r="C66">
        <v>4.2680552051001399</v>
      </c>
      <c r="D66">
        <v>4.5680552051001397</v>
      </c>
      <c r="E66">
        <v>525.67794700102741</v>
      </c>
      <c r="F66">
        <v>38.506248095369273</v>
      </c>
      <c r="G66">
        <v>0.38</v>
      </c>
      <c r="H66">
        <v>0.53460526995169977</v>
      </c>
      <c r="I66">
        <v>0.69694323337199537</v>
      </c>
      <c r="J66">
        <v>20.644055076078025</v>
      </c>
    </row>
    <row r="67" spans="1:10">
      <c r="A67" s="1">
        <v>45562</v>
      </c>
      <c r="B67" s="1">
        <v>45562</v>
      </c>
      <c r="C67">
        <v>4.2675499068010989</v>
      </c>
      <c r="D67">
        <v>4.5675499068010987</v>
      </c>
      <c r="E67">
        <v>523.73723758741812</v>
      </c>
      <c r="F67">
        <v>41.048914534890031</v>
      </c>
      <c r="G67">
        <v>0.39</v>
      </c>
      <c r="H67">
        <v>0.60782751994198414</v>
      </c>
      <c r="I67">
        <v>0.69847186332167588</v>
      </c>
      <c r="J67">
        <v>20.643987379215933</v>
      </c>
    </row>
    <row r="68" spans="1:10">
      <c r="A68" s="1">
        <v>45565</v>
      </c>
      <c r="B68" s="1">
        <v>45565</v>
      </c>
      <c r="C68">
        <v>4.2737448595184908</v>
      </c>
      <c r="D68">
        <v>4.5737448595184906</v>
      </c>
      <c r="E68">
        <v>524.15058145676528</v>
      </c>
      <c r="F68">
        <v>40.190107503835705</v>
      </c>
      <c r="G68">
        <v>0.41</v>
      </c>
      <c r="H68">
        <v>0.62215986636357035</v>
      </c>
      <c r="I68">
        <v>0.70343973434290863</v>
      </c>
      <c r="J68">
        <v>20.643996631982095</v>
      </c>
    </row>
    <row r="69" spans="1:10">
      <c r="A69" s="1">
        <v>45566</v>
      </c>
      <c r="B69" s="1">
        <v>45566</v>
      </c>
      <c r="C69">
        <v>4.2724493406549833</v>
      </c>
      <c r="D69">
        <v>4.5724493406549831</v>
      </c>
      <c r="E69">
        <v>521.48429124777101</v>
      </c>
      <c r="F69">
        <v>37.642793540385426</v>
      </c>
      <c r="G69">
        <v>0.4</v>
      </c>
      <c r="H69">
        <v>0.61099577652354853</v>
      </c>
      <c r="I69">
        <v>0.69861301288960953</v>
      </c>
      <c r="J69">
        <v>20.644030681102613</v>
      </c>
    </row>
    <row r="70" spans="1:10">
      <c r="A70" s="1">
        <v>45567</v>
      </c>
      <c r="B70" s="1">
        <v>45567</v>
      </c>
      <c r="C70">
        <v>4.2663290463152146</v>
      </c>
      <c r="D70">
        <v>4.5663290463152144</v>
      </c>
      <c r="E70">
        <v>523.73622978310232</v>
      </c>
      <c r="F70">
        <v>39.801205337959942</v>
      </c>
      <c r="G70">
        <v>0.4</v>
      </c>
      <c r="H70">
        <v>0.55958505864387487</v>
      </c>
      <c r="I70">
        <v>0.70248640971172105</v>
      </c>
      <c r="J70">
        <v>20.64403563179734</v>
      </c>
    </row>
    <row r="71" spans="1:10">
      <c r="A71" s="1">
        <v>45568</v>
      </c>
      <c r="B71" s="1">
        <v>45568</v>
      </c>
      <c r="C71">
        <v>4.2685759588525034</v>
      </c>
      <c r="D71">
        <v>4.5685759588525032</v>
      </c>
      <c r="E71">
        <v>525.34018492684913</v>
      </c>
      <c r="F71">
        <v>40.10403684684708</v>
      </c>
      <c r="G71">
        <v>0.4</v>
      </c>
      <c r="H71">
        <v>0.67391139891887741</v>
      </c>
      <c r="I71">
        <v>0.69653120473691121</v>
      </c>
      <c r="J71">
        <v>20.643935563352965</v>
      </c>
    </row>
    <row r="72" spans="1:10">
      <c r="A72" s="1">
        <v>45569</v>
      </c>
      <c r="B72" s="1">
        <v>45569</v>
      </c>
      <c r="C72">
        <v>4.2669718008011479</v>
      </c>
      <c r="D72">
        <v>4.5669718008011477</v>
      </c>
      <c r="E72">
        <v>524.01212154597238</v>
      </c>
      <c r="F72">
        <v>40.681437238657821</v>
      </c>
      <c r="G72">
        <v>0.42</v>
      </c>
      <c r="H72">
        <v>0.6051241302538467</v>
      </c>
      <c r="I72">
        <v>0.69293542552925136</v>
      </c>
      <c r="J72">
        <v>20.644016396232924</v>
      </c>
    </row>
    <row r="73" spans="1:10">
      <c r="A73" s="1">
        <v>45572</v>
      </c>
      <c r="B73" s="1">
        <v>45572</v>
      </c>
      <c r="C73">
        <v>4.2736277470094235</v>
      </c>
      <c r="D73">
        <v>4.5736277470094233</v>
      </c>
      <c r="E73">
        <v>523.03944646237517</v>
      </c>
      <c r="F73">
        <v>40.451407912892272</v>
      </c>
      <c r="G73">
        <v>0.43</v>
      </c>
      <c r="H73">
        <v>0.51944587186987801</v>
      </c>
      <c r="I73">
        <v>0.70126955754397446</v>
      </c>
      <c r="J73">
        <v>20.644039858381547</v>
      </c>
    </row>
    <row r="74" spans="1:10">
      <c r="A74" s="1">
        <v>45573</v>
      </c>
      <c r="B74" s="1">
        <v>45573</v>
      </c>
      <c r="C74">
        <v>4.2687139747134788</v>
      </c>
      <c r="D74">
        <v>4.5687139747134786</v>
      </c>
      <c r="E74">
        <v>520.78089743474618</v>
      </c>
      <c r="F74">
        <v>35.847037306941431</v>
      </c>
      <c r="G74">
        <v>0.39</v>
      </c>
      <c r="H74">
        <v>0.67543018289876156</v>
      </c>
      <c r="I74">
        <v>0.69142702710463211</v>
      </c>
      <c r="J74">
        <v>20.643920234427814</v>
      </c>
    </row>
    <row r="75" spans="1:10">
      <c r="A75" s="1">
        <v>45574</v>
      </c>
      <c r="B75" s="1">
        <v>45574</v>
      </c>
      <c r="C75">
        <v>4.2730315727696162</v>
      </c>
      <c r="D75">
        <v>4.573031572769616</v>
      </c>
      <c r="E75">
        <v>521.65040621568028</v>
      </c>
      <c r="F75">
        <v>35.167108353312457</v>
      </c>
      <c r="G75">
        <v>0.37</v>
      </c>
      <c r="H75">
        <v>0.64999595279382283</v>
      </c>
      <c r="I75">
        <v>0.70010919898893231</v>
      </c>
      <c r="J75">
        <v>20.643945716985304</v>
      </c>
    </row>
    <row r="76" spans="1:10">
      <c r="A76" s="1">
        <v>45575</v>
      </c>
      <c r="B76" s="1">
        <v>45575</v>
      </c>
      <c r="C76">
        <v>4.2748175249825078</v>
      </c>
      <c r="D76">
        <v>4.5748175249825076</v>
      </c>
      <c r="E76">
        <v>522.48276815376255</v>
      </c>
      <c r="F76">
        <v>38.849298133862334</v>
      </c>
      <c r="G76">
        <v>0.36</v>
      </c>
      <c r="H76">
        <v>0.63998011465235793</v>
      </c>
      <c r="I76">
        <v>0.70175349580687674</v>
      </c>
      <c r="J76">
        <v>20.644060339350531</v>
      </c>
    </row>
    <row r="77" spans="1:10">
      <c r="A77" s="1">
        <v>45576</v>
      </c>
      <c r="B77" s="1">
        <v>45576</v>
      </c>
      <c r="C77">
        <v>4.2651472364752987</v>
      </c>
      <c r="D77">
        <v>4.5651472364752985</v>
      </c>
      <c r="E77">
        <v>520.89588504040739</v>
      </c>
      <c r="F77">
        <v>40.829967992289859</v>
      </c>
      <c r="G77">
        <v>0.36</v>
      </c>
      <c r="H77">
        <v>0.60791259256356567</v>
      </c>
      <c r="I77">
        <v>0.69112726528112556</v>
      </c>
      <c r="J77">
        <v>20.644022196267933</v>
      </c>
    </row>
    <row r="78" spans="1:10">
      <c r="A78" s="1">
        <v>45579</v>
      </c>
      <c r="B78" s="1">
        <v>45579</v>
      </c>
      <c r="C78">
        <v>4.2776490862314134</v>
      </c>
      <c r="D78">
        <v>4.5776490862314132</v>
      </c>
      <c r="E78">
        <v>525.93597347749255</v>
      </c>
      <c r="F78">
        <v>40.742954633723755</v>
      </c>
      <c r="G78">
        <v>0.36</v>
      </c>
      <c r="H78">
        <v>0.54991936255238483</v>
      </c>
      <c r="I78">
        <v>0.7080712186707564</v>
      </c>
      <c r="J78">
        <v>20.643951727837354</v>
      </c>
    </row>
    <row r="79" spans="1:10">
      <c r="A79" s="1">
        <v>45580</v>
      </c>
      <c r="B79" s="1">
        <v>45580</v>
      </c>
      <c r="C79">
        <v>4.2669766918930874</v>
      </c>
      <c r="D79">
        <v>4.5669766918930872</v>
      </c>
      <c r="E79">
        <v>522.2239429524509</v>
      </c>
      <c r="F79">
        <v>36.673729324734978</v>
      </c>
      <c r="G79">
        <v>0.36</v>
      </c>
      <c r="H79">
        <v>0.47665687275352947</v>
      </c>
      <c r="I79">
        <v>0.70447147050066672</v>
      </c>
      <c r="J79">
        <v>20.644024812796889</v>
      </c>
    </row>
    <row r="80" spans="1:10">
      <c r="A80" s="1">
        <v>45581</v>
      </c>
      <c r="B80" s="1">
        <v>45581</v>
      </c>
      <c r="C80">
        <v>4.2682065674773515</v>
      </c>
      <c r="D80">
        <v>4.5682065674773513</v>
      </c>
      <c r="E80">
        <v>523.52002485107846</v>
      </c>
      <c r="F80">
        <v>41.011450857868603</v>
      </c>
      <c r="G80">
        <v>0.34</v>
      </c>
      <c r="H80">
        <v>0.58667661610405586</v>
      </c>
      <c r="I80">
        <v>0.69187662680879114</v>
      </c>
      <c r="J80">
        <v>20.644063208953629</v>
      </c>
    </row>
    <row r="81" spans="1:10">
      <c r="A81" s="1">
        <v>45582</v>
      </c>
      <c r="B81" s="1">
        <v>45582</v>
      </c>
      <c r="C81">
        <v>4.2623481089147051</v>
      </c>
      <c r="D81">
        <v>4.5623481089147049</v>
      </c>
      <c r="E81">
        <v>522.67863205164974</v>
      </c>
      <c r="F81">
        <v>39.231698459259377</v>
      </c>
      <c r="G81">
        <v>0.34</v>
      </c>
      <c r="H81">
        <v>0.66380090245039802</v>
      </c>
      <c r="I81">
        <v>0.69925295165901302</v>
      </c>
      <c r="J81">
        <v>20.644027093819993</v>
      </c>
    </row>
    <row r="82" spans="1:10">
      <c r="A82" s="1">
        <v>45583</v>
      </c>
      <c r="B82" s="1">
        <v>45583</v>
      </c>
      <c r="C82">
        <v>4.26255816327504</v>
      </c>
      <c r="D82">
        <v>4.5625581632750398</v>
      </c>
      <c r="E82">
        <v>521.32948499339545</v>
      </c>
      <c r="F82">
        <v>34.173103629512582</v>
      </c>
      <c r="G82">
        <v>0.37</v>
      </c>
      <c r="H82">
        <v>0.59608480123968466</v>
      </c>
      <c r="I82">
        <v>0.70247156825493295</v>
      </c>
      <c r="J82">
        <v>20.644021091737432</v>
      </c>
    </row>
    <row r="83" spans="1:10">
      <c r="A83" s="1">
        <v>45586</v>
      </c>
      <c r="B83" s="1">
        <v>45586</v>
      </c>
      <c r="C83">
        <v>4.2714606705818072</v>
      </c>
      <c r="D83">
        <v>4.5714606705818071</v>
      </c>
      <c r="E83">
        <v>523.36036671364388</v>
      </c>
      <c r="F83">
        <v>35.639322231381158</v>
      </c>
      <c r="G83">
        <v>0.4</v>
      </c>
      <c r="H83">
        <v>0.52836508683389183</v>
      </c>
      <c r="I83">
        <v>0.71210329520976379</v>
      </c>
      <c r="J83">
        <v>20.643936070240521</v>
      </c>
    </row>
    <row r="84" spans="1:10">
      <c r="A84" s="1">
        <v>45587</v>
      </c>
      <c r="B84" s="1">
        <v>45587</v>
      </c>
      <c r="C84">
        <v>4.2718656698616879</v>
      </c>
      <c r="D84">
        <v>4.5718656698616877</v>
      </c>
      <c r="E84">
        <v>525.47498033619411</v>
      </c>
      <c r="F84">
        <v>40.331045093462407</v>
      </c>
      <c r="G84">
        <v>0.39</v>
      </c>
      <c r="H84">
        <v>0.58261107422782876</v>
      </c>
      <c r="I84">
        <v>0.68828924966107241</v>
      </c>
      <c r="J84">
        <v>20.644054236826033</v>
      </c>
    </row>
    <row r="85" spans="1:10">
      <c r="A85" s="1">
        <v>45588</v>
      </c>
      <c r="B85" s="1">
        <v>45588</v>
      </c>
      <c r="C85">
        <v>4.2670495820777079</v>
      </c>
      <c r="D85">
        <v>4.5670495820777077</v>
      </c>
      <c r="E85">
        <v>520.21590295737406</v>
      </c>
      <c r="F85">
        <v>37.622926369600471</v>
      </c>
      <c r="G85">
        <v>0.37</v>
      </c>
      <c r="H85">
        <v>0.66143064984337052</v>
      </c>
      <c r="I85">
        <v>0.68969341697409214</v>
      </c>
      <c r="J85">
        <v>20.644002219115652</v>
      </c>
    </row>
    <row r="86" spans="1:10">
      <c r="A86" s="1">
        <v>45589</v>
      </c>
      <c r="B86" s="1">
        <v>45589</v>
      </c>
      <c r="C86">
        <v>4.2675592480440248</v>
      </c>
      <c r="D86">
        <v>4.5675592480440246</v>
      </c>
      <c r="E86">
        <v>522.29017643570694</v>
      </c>
      <c r="F86">
        <v>38.725236458315706</v>
      </c>
      <c r="G86">
        <v>0.38</v>
      </c>
      <c r="H86">
        <v>0.57594262099555649</v>
      </c>
      <c r="I86">
        <v>0.70669975335673285</v>
      </c>
      <c r="J86">
        <v>20.64402167727533</v>
      </c>
    </row>
    <row r="87" spans="1:10">
      <c r="A87" s="1">
        <v>45590</v>
      </c>
      <c r="B87" s="1">
        <v>45590</v>
      </c>
      <c r="C87">
        <v>4.280929108569028</v>
      </c>
      <c r="D87">
        <v>4.5809291085690278</v>
      </c>
      <c r="E87">
        <v>521.53763729080617</v>
      </c>
      <c r="F87">
        <v>41.287693514467342</v>
      </c>
      <c r="G87">
        <v>0.39</v>
      </c>
      <c r="H87">
        <v>0.6402388002359426</v>
      </c>
      <c r="I87">
        <v>0.69673770830371828</v>
      </c>
      <c r="J87">
        <v>20.643995738911247</v>
      </c>
    </row>
    <row r="88" spans="1:10">
      <c r="A88" s="1">
        <v>45593</v>
      </c>
      <c r="B88" s="1">
        <v>45593</v>
      </c>
      <c r="C88">
        <v>4.268811755218537</v>
      </c>
      <c r="D88">
        <v>4.5688117552185368</v>
      </c>
      <c r="E88">
        <v>521.75952422059436</v>
      </c>
      <c r="F88">
        <v>40.053404199661507</v>
      </c>
      <c r="G88">
        <v>0.37</v>
      </c>
      <c r="H88">
        <v>0.55755600820474271</v>
      </c>
      <c r="I88">
        <v>0.69935089834588082</v>
      </c>
      <c r="J88">
        <v>20.643949719756218</v>
      </c>
    </row>
    <row r="89" spans="1:10">
      <c r="A89" s="1">
        <v>45594</v>
      </c>
      <c r="B89" s="1">
        <v>45594</v>
      </c>
      <c r="C89">
        <v>4.2699421025832152</v>
      </c>
      <c r="D89">
        <v>4.569942102583215</v>
      </c>
      <c r="E89">
        <v>526.96875265761537</v>
      </c>
      <c r="F89">
        <v>38.054365694868075</v>
      </c>
      <c r="G89">
        <v>0.37</v>
      </c>
      <c r="H89">
        <v>0.5296431139926091</v>
      </c>
      <c r="I89">
        <v>0.70731939228230034</v>
      </c>
      <c r="J89">
        <v>20.643997654707199</v>
      </c>
    </row>
    <row r="90" spans="1:10">
      <c r="A90" s="1">
        <v>45595</v>
      </c>
      <c r="B90" s="1">
        <v>45595</v>
      </c>
      <c r="C90">
        <v>4.2697802014349788</v>
      </c>
      <c r="D90">
        <v>4.5697802014349787</v>
      </c>
      <c r="E90">
        <v>524.25974874087331</v>
      </c>
      <c r="F90">
        <v>40.874245944671543</v>
      </c>
      <c r="G90">
        <v>0.36</v>
      </c>
      <c r="H90">
        <v>0.65180119868468733</v>
      </c>
      <c r="I90">
        <v>0.69838247578545187</v>
      </c>
      <c r="J90">
        <v>20.643972408045023</v>
      </c>
    </row>
    <row r="91" spans="1:10">
      <c r="A91" s="1">
        <v>45596</v>
      </c>
      <c r="B91" s="1">
        <v>45596</v>
      </c>
      <c r="C91">
        <v>4.2630218126097663</v>
      </c>
      <c r="D91">
        <v>4.5630218126097661</v>
      </c>
      <c r="E91">
        <v>522.90941476239561</v>
      </c>
      <c r="F91">
        <v>40.052019932884129</v>
      </c>
      <c r="G91">
        <v>0.35</v>
      </c>
      <c r="H91">
        <v>0.66406742696669729</v>
      </c>
      <c r="I91">
        <v>0.69385416917675158</v>
      </c>
      <c r="J91">
        <v>20.644065041016521</v>
      </c>
    </row>
    <row r="92" spans="1:10">
      <c r="A92" s="1">
        <v>45597</v>
      </c>
      <c r="B92" s="1">
        <v>45597</v>
      </c>
      <c r="C92">
        <v>4.2680630499093111</v>
      </c>
      <c r="D92">
        <v>4.5680630499093109</v>
      </c>
      <c r="E92">
        <v>522.8339385603291</v>
      </c>
      <c r="F92">
        <v>37.615186545000306</v>
      </c>
      <c r="G92">
        <v>0.38</v>
      </c>
      <c r="H92">
        <v>0.58214580941108962</v>
      </c>
      <c r="I92">
        <v>0.70361506497635973</v>
      </c>
      <c r="J92">
        <v>20.644009259765774</v>
      </c>
    </row>
    <row r="93" spans="1:10">
      <c r="A93" s="1">
        <v>45600</v>
      </c>
      <c r="B93" s="1">
        <v>45600</v>
      </c>
      <c r="C93">
        <v>4.2674604544939223</v>
      </c>
      <c r="D93">
        <v>4.5674604544939221</v>
      </c>
      <c r="E93">
        <v>522.08446789866775</v>
      </c>
      <c r="F93">
        <v>39.112148494293749</v>
      </c>
      <c r="G93">
        <v>0.42</v>
      </c>
      <c r="H93">
        <v>0.63388152341848347</v>
      </c>
      <c r="I93">
        <v>0.68866006410501202</v>
      </c>
      <c r="J93">
        <v>20.643930374524921</v>
      </c>
    </row>
    <row r="94" spans="1:10">
      <c r="A94" s="1">
        <v>45601</v>
      </c>
      <c r="B94" s="1">
        <v>45601</v>
      </c>
      <c r="C94">
        <v>4.2680550544087117</v>
      </c>
      <c r="D94">
        <v>4.5680550544087115</v>
      </c>
      <c r="E94">
        <v>521.28978144168366</v>
      </c>
      <c r="F94">
        <v>38.845244214688975</v>
      </c>
      <c r="G94">
        <v>0.41</v>
      </c>
      <c r="H94">
        <v>0.74355797308146088</v>
      </c>
      <c r="I94">
        <v>0.69409975024397874</v>
      </c>
      <c r="J94">
        <v>20.643966220986957</v>
      </c>
    </row>
    <row r="95" spans="1:10">
      <c r="A95" s="1">
        <v>45602</v>
      </c>
      <c r="B95" s="1">
        <v>45602</v>
      </c>
      <c r="C95">
        <v>4.2709597659456682</v>
      </c>
      <c r="D95">
        <v>4.570959765945668</v>
      </c>
      <c r="E95">
        <v>520.39287077811753</v>
      </c>
      <c r="F95">
        <v>34.256592278303451</v>
      </c>
      <c r="G95">
        <v>0.42</v>
      </c>
      <c r="H95">
        <v>0.56573711611397126</v>
      </c>
      <c r="I95">
        <v>0.69597323291741053</v>
      </c>
      <c r="J95">
        <v>20.643969671539654</v>
      </c>
    </row>
    <row r="96" spans="1:10">
      <c r="A96" s="1">
        <v>45603</v>
      </c>
      <c r="B96" s="1">
        <v>45603</v>
      </c>
      <c r="C96">
        <v>4.2703071816817832</v>
      </c>
      <c r="D96">
        <v>4.5703071816817831</v>
      </c>
      <c r="E96">
        <v>521.45280033661254</v>
      </c>
      <c r="F96">
        <v>37.853019053041564</v>
      </c>
      <c r="G96">
        <v>0.4</v>
      </c>
      <c r="H96">
        <v>0.60768665035917158</v>
      </c>
      <c r="I96">
        <v>0.69589370820819296</v>
      </c>
      <c r="J96">
        <v>20.644037007726315</v>
      </c>
    </row>
    <row r="97" spans="1:10">
      <c r="A97" s="1">
        <v>45604</v>
      </c>
      <c r="B97" s="1">
        <v>45604</v>
      </c>
      <c r="C97">
        <v>4.2674886878644172</v>
      </c>
      <c r="D97">
        <v>4.567488687864417</v>
      </c>
      <c r="E97">
        <v>525.17899490181185</v>
      </c>
      <c r="F97">
        <v>38.108639553585071</v>
      </c>
      <c r="G97">
        <v>0.4</v>
      </c>
      <c r="H97">
        <v>0.63008428395122651</v>
      </c>
      <c r="I97">
        <v>0.70886672811070983</v>
      </c>
      <c r="J97">
        <v>20.644041371549513</v>
      </c>
    </row>
    <row r="98" spans="1:10">
      <c r="A98" s="1">
        <v>45607</v>
      </c>
      <c r="B98" s="1">
        <v>45607</v>
      </c>
      <c r="C98">
        <v>4.2696031052357784</v>
      </c>
      <c r="D98">
        <v>4.5696031052357782</v>
      </c>
      <c r="E98">
        <v>522.09226973855061</v>
      </c>
      <c r="F98">
        <v>36.349820159151378</v>
      </c>
      <c r="G98">
        <v>0.36</v>
      </c>
      <c r="H98">
        <v>0.5722204294415506</v>
      </c>
      <c r="I98">
        <v>0.70910547538998936</v>
      </c>
      <c r="J98">
        <v>20.643901732135252</v>
      </c>
    </row>
    <row r="99" spans="1:10">
      <c r="A99" s="1">
        <v>45608</v>
      </c>
      <c r="B99" s="1">
        <v>45608</v>
      </c>
      <c r="C99">
        <v>4.2742314151799059</v>
      </c>
      <c r="D99">
        <v>4.5742314151799057</v>
      </c>
      <c r="E99">
        <v>522.19679416442375</v>
      </c>
      <c r="F99">
        <v>42.491132569922286</v>
      </c>
      <c r="G99">
        <v>0.35</v>
      </c>
      <c r="H99">
        <v>0.56517107468345273</v>
      </c>
      <c r="I99">
        <v>0.70601611743711268</v>
      </c>
      <c r="J99">
        <v>20.643967280868043</v>
      </c>
    </row>
    <row r="100" spans="1:10">
      <c r="A100" s="1">
        <v>45609</v>
      </c>
      <c r="B100" s="1">
        <v>45609</v>
      </c>
      <c r="C100">
        <v>4.2657104703205828</v>
      </c>
      <c r="D100">
        <v>4.5657104703205826</v>
      </c>
      <c r="E100">
        <v>524.29985326465112</v>
      </c>
      <c r="F100">
        <v>37.877433597978559</v>
      </c>
      <c r="G100">
        <v>0.36</v>
      </c>
      <c r="H100">
        <v>0.63753110932599932</v>
      </c>
      <c r="I100">
        <v>0.70352592860115315</v>
      </c>
      <c r="J100">
        <v>20.643958789029327</v>
      </c>
    </row>
    <row r="101" spans="1:10">
      <c r="A101" s="1">
        <v>45610</v>
      </c>
      <c r="B101" s="1">
        <v>45610</v>
      </c>
      <c r="C101">
        <v>4.2706829387365337</v>
      </c>
      <c r="D101">
        <v>4.5706829387365335</v>
      </c>
      <c r="E101">
        <v>525.41539983883536</v>
      </c>
      <c r="F101">
        <v>39.217832920561357</v>
      </c>
      <c r="G101">
        <v>0.36</v>
      </c>
      <c r="H101">
        <v>0.52793498680939543</v>
      </c>
      <c r="I101">
        <v>0.70803470166472038</v>
      </c>
      <c r="J101">
        <v>20.644021762454592</v>
      </c>
    </row>
    <row r="102" spans="1:10">
      <c r="A102" s="1">
        <v>45611</v>
      </c>
      <c r="B102" s="1">
        <v>45611</v>
      </c>
      <c r="C102">
        <v>4.2636221385689046</v>
      </c>
      <c r="D102">
        <v>4.5636221385689044</v>
      </c>
      <c r="E102">
        <v>521.28099113062137</v>
      </c>
      <c r="F102">
        <v>38.189835399805681</v>
      </c>
      <c r="G102">
        <v>0.36</v>
      </c>
      <c r="H102">
        <v>0.55622565908673316</v>
      </c>
      <c r="I102">
        <v>0.69665502110675548</v>
      </c>
      <c r="J102">
        <v>20.644066716143293</v>
      </c>
    </row>
    <row r="103" spans="1:10">
      <c r="A103" s="1">
        <v>45614</v>
      </c>
      <c r="B103" s="1">
        <v>45614</v>
      </c>
      <c r="C103">
        <v>4.2657049142429466</v>
      </c>
      <c r="D103">
        <v>4.5657049142429464</v>
      </c>
      <c r="E103">
        <v>521.80388524598777</v>
      </c>
      <c r="F103">
        <v>40.518475222776019</v>
      </c>
      <c r="G103">
        <v>0.37</v>
      </c>
      <c r="H103">
        <v>0.59749572550192243</v>
      </c>
      <c r="I103">
        <v>0.69634003901737052</v>
      </c>
      <c r="J103">
        <v>20.643932089984553</v>
      </c>
    </row>
    <row r="104" spans="1:10">
      <c r="A104" s="1">
        <v>45615</v>
      </c>
      <c r="B104" s="1">
        <v>45615</v>
      </c>
      <c r="C104">
        <v>4.2797445601337873</v>
      </c>
      <c r="D104">
        <v>4.5797445601337872</v>
      </c>
      <c r="E104">
        <v>522.39255772106083</v>
      </c>
      <c r="F104">
        <v>36.325281636166466</v>
      </c>
      <c r="G104">
        <v>0.38</v>
      </c>
      <c r="H104">
        <v>0.56958829262581301</v>
      </c>
      <c r="I104">
        <v>0.70817134468747012</v>
      </c>
      <c r="J104">
        <v>20.643920766689195</v>
      </c>
    </row>
    <row r="105" spans="1:10">
      <c r="A105" s="1">
        <v>45616</v>
      </c>
      <c r="B105" s="1">
        <v>45616</v>
      </c>
      <c r="C105">
        <v>4.2645392710719872</v>
      </c>
      <c r="D105">
        <v>4.564539271071987</v>
      </c>
      <c r="E105">
        <v>525.05469508964529</v>
      </c>
      <c r="F105">
        <v>37.681135070819252</v>
      </c>
      <c r="G105">
        <v>0.37</v>
      </c>
      <c r="H105">
        <v>0.4799904661059059</v>
      </c>
      <c r="I105">
        <v>0.69027404156346395</v>
      </c>
      <c r="J105">
        <v>20.643930394018639</v>
      </c>
    </row>
    <row r="106" spans="1:10">
      <c r="A106" s="1">
        <v>45617</v>
      </c>
      <c r="B106" s="1">
        <v>45617</v>
      </c>
      <c r="C106">
        <v>4.2748556106434945</v>
      </c>
      <c r="D106">
        <v>4.5748556106434943</v>
      </c>
      <c r="E106">
        <v>521.62004555104909</v>
      </c>
      <c r="F106">
        <v>36.592951524851159</v>
      </c>
      <c r="G106">
        <v>0.36</v>
      </c>
      <c r="H106">
        <v>0.48805835308918155</v>
      </c>
      <c r="I106">
        <v>0.71335039238810505</v>
      </c>
      <c r="J106">
        <v>20.644092716094722</v>
      </c>
    </row>
    <row r="107" spans="1:10">
      <c r="A107" s="1">
        <v>45618</v>
      </c>
      <c r="B107" s="1">
        <v>45618</v>
      </c>
      <c r="C107">
        <v>4.271187288893767</v>
      </c>
      <c r="D107">
        <v>4.5711872888937668</v>
      </c>
      <c r="E107">
        <v>521.90621135045524</v>
      </c>
      <c r="F107">
        <v>39.508227843590312</v>
      </c>
      <c r="G107">
        <v>0.36</v>
      </c>
      <c r="H107">
        <v>0.61680121382900521</v>
      </c>
      <c r="I107">
        <v>0.69510470553080461</v>
      </c>
      <c r="J107">
        <v>20.643992300317976</v>
      </c>
    </row>
    <row r="108" spans="1:10">
      <c r="A108" s="1">
        <v>45621</v>
      </c>
      <c r="B108" s="1">
        <v>45621</v>
      </c>
      <c r="C108">
        <v>4.2686001206127564</v>
      </c>
      <c r="D108">
        <v>4.5686001206127562</v>
      </c>
      <c r="E108">
        <v>520.1967503016815</v>
      </c>
      <c r="F108">
        <v>37.239814681946697</v>
      </c>
      <c r="G108">
        <v>0.36</v>
      </c>
      <c r="H108">
        <v>0.70320966943849006</v>
      </c>
      <c r="I108">
        <v>0.70280137114119812</v>
      </c>
      <c r="J108">
        <v>20.644025659666635</v>
      </c>
    </row>
    <row r="109" spans="1:10">
      <c r="A109" s="1">
        <v>45622</v>
      </c>
      <c r="B109" s="1">
        <v>45622</v>
      </c>
      <c r="C109">
        <v>4.2690958504078322</v>
      </c>
      <c r="D109">
        <v>4.5690958504078321</v>
      </c>
      <c r="E109">
        <v>526.49115688828817</v>
      </c>
      <c r="F109">
        <v>39.746146283121483</v>
      </c>
      <c r="G109">
        <v>0.35</v>
      </c>
      <c r="H109">
        <v>0.56801380551910641</v>
      </c>
      <c r="I109">
        <v>0.70298713878494568</v>
      </c>
      <c r="J109">
        <v>20.64396364734738</v>
      </c>
    </row>
    <row r="110" spans="1:10">
      <c r="A110" s="1">
        <v>45623</v>
      </c>
      <c r="B110" s="1">
        <v>45623</v>
      </c>
      <c r="C110">
        <v>4.2652248033459639</v>
      </c>
      <c r="D110">
        <v>4.5652248033459637</v>
      </c>
      <c r="E110">
        <v>523.91616491160278</v>
      </c>
      <c r="F110">
        <v>35.1482389171709</v>
      </c>
      <c r="G110">
        <v>0.38</v>
      </c>
      <c r="H110">
        <v>0.66833306800738057</v>
      </c>
      <c r="I110">
        <v>0.70310851904117389</v>
      </c>
      <c r="J110">
        <v>20.644021619338158</v>
      </c>
    </row>
    <row r="111" spans="1:10">
      <c r="A111" s="1">
        <v>45624</v>
      </c>
      <c r="B111" s="1">
        <v>45624</v>
      </c>
      <c r="C111">
        <v>4.2660743626143258</v>
      </c>
      <c r="D111">
        <v>4.5660743626143256</v>
      </c>
      <c r="E111">
        <v>519.83477727019647</v>
      </c>
      <c r="F111">
        <v>35.023257169214027</v>
      </c>
      <c r="G111">
        <v>0.38</v>
      </c>
      <c r="H111">
        <v>0.57578037597089338</v>
      </c>
      <c r="I111">
        <v>0.7013657779793192</v>
      </c>
      <c r="J111">
        <v>20.643967222474309</v>
      </c>
    </row>
    <row r="112" spans="1:10">
      <c r="A112" s="1">
        <v>45625</v>
      </c>
      <c r="B112" s="1">
        <v>45625</v>
      </c>
      <c r="C112">
        <v>4.2695152363839934</v>
      </c>
      <c r="D112">
        <v>4.5695152363839933</v>
      </c>
      <c r="E112">
        <v>524.14959558184523</v>
      </c>
      <c r="F112">
        <v>37.459517409840458</v>
      </c>
      <c r="G112">
        <v>0.38</v>
      </c>
      <c r="H112">
        <v>0.56667898039326314</v>
      </c>
      <c r="I112">
        <v>0.70294845169853848</v>
      </c>
      <c r="J112">
        <v>20.643965398619127</v>
      </c>
    </row>
    <row r="113" spans="1:10">
      <c r="A113" s="1">
        <v>45628</v>
      </c>
      <c r="B113" s="1">
        <v>45628</v>
      </c>
      <c r="C113">
        <v>4.2743581106142212</v>
      </c>
      <c r="D113">
        <v>4.574358110614221</v>
      </c>
      <c r="E113">
        <v>524.23196489642498</v>
      </c>
      <c r="F113">
        <v>36.690748769064498</v>
      </c>
      <c r="G113">
        <v>0.37</v>
      </c>
      <c r="H113">
        <v>0.53356494880833971</v>
      </c>
      <c r="I113">
        <v>0.69912128497240367</v>
      </c>
      <c r="J113">
        <v>20.643959598012987</v>
      </c>
    </row>
    <row r="114" spans="1:10">
      <c r="A114" s="1">
        <v>45629</v>
      </c>
      <c r="B114" s="1">
        <v>45629</v>
      </c>
      <c r="C114">
        <v>4.2806052750867476</v>
      </c>
      <c r="D114">
        <v>4.5806052750867474</v>
      </c>
      <c r="E114">
        <v>524.11162128613182</v>
      </c>
      <c r="F114">
        <v>40.146892107563716</v>
      </c>
      <c r="G114">
        <v>0.36</v>
      </c>
      <c r="H114">
        <v>0.56037909596865809</v>
      </c>
      <c r="I114">
        <v>0.70019244267622249</v>
      </c>
      <c r="J114">
        <v>20.643909810344237</v>
      </c>
    </row>
    <row r="115" spans="1:10">
      <c r="A115" s="1">
        <v>45630</v>
      </c>
      <c r="B115" s="1">
        <v>45630</v>
      </c>
      <c r="C115">
        <v>4.2679035436261161</v>
      </c>
      <c r="D115">
        <v>4.5679035436261159</v>
      </c>
      <c r="E115">
        <v>522.44628796070185</v>
      </c>
      <c r="F115">
        <v>36.619191076732513</v>
      </c>
      <c r="G115">
        <v>0.36</v>
      </c>
      <c r="H115">
        <v>0.47179446845293616</v>
      </c>
      <c r="I115">
        <v>0.70844113716011259</v>
      </c>
      <c r="J115">
        <v>20.644009040157584</v>
      </c>
    </row>
    <row r="116" spans="1:10">
      <c r="A116" s="1">
        <v>45631</v>
      </c>
      <c r="B116" s="1">
        <v>45631</v>
      </c>
      <c r="C116">
        <v>4.2653785570160423</v>
      </c>
      <c r="D116">
        <v>4.5653785570160421</v>
      </c>
      <c r="E116">
        <v>519.09877269565789</v>
      </c>
      <c r="F116">
        <v>37.676700025158198</v>
      </c>
      <c r="G116">
        <v>0.36</v>
      </c>
      <c r="H116">
        <v>0.58557180189014824</v>
      </c>
      <c r="I116">
        <v>0.69954661423013487</v>
      </c>
      <c r="J116">
        <v>20.643994503594438</v>
      </c>
    </row>
    <row r="117" spans="1:10">
      <c r="A117" s="1">
        <v>45632</v>
      </c>
      <c r="B117" s="1">
        <v>45632</v>
      </c>
      <c r="C117">
        <v>4.2683484983766151</v>
      </c>
      <c r="D117">
        <v>4.5683484983766149</v>
      </c>
      <c r="E117">
        <v>523.02160761590926</v>
      </c>
      <c r="F117">
        <v>37.858644612565087</v>
      </c>
      <c r="G117">
        <v>0.35</v>
      </c>
      <c r="H117">
        <v>0.59747040765710435</v>
      </c>
      <c r="I117">
        <v>0.69755532030446254</v>
      </c>
      <c r="J117">
        <v>20.644044638340468</v>
      </c>
    </row>
    <row r="118" spans="1:10">
      <c r="A118" s="1">
        <v>45635</v>
      </c>
      <c r="B118" s="1">
        <v>45635</v>
      </c>
      <c r="C118">
        <v>4.2784413212711216</v>
      </c>
      <c r="D118">
        <v>4.5784413212711215</v>
      </c>
      <c r="E118">
        <v>523.18270702097823</v>
      </c>
      <c r="F118">
        <v>37.302931398484915</v>
      </c>
      <c r="G118">
        <v>0.35</v>
      </c>
      <c r="H118">
        <v>0.55328729764105888</v>
      </c>
      <c r="I118">
        <v>0.70083769050493849</v>
      </c>
      <c r="J118">
        <v>20.644033861162569</v>
      </c>
    </row>
    <row r="119" spans="1:10">
      <c r="A119" s="1">
        <v>45636</v>
      </c>
      <c r="B119" s="1">
        <v>45636</v>
      </c>
      <c r="C119">
        <v>4.2707866063231341</v>
      </c>
      <c r="D119">
        <v>4.5707866063231339</v>
      </c>
      <c r="E119">
        <v>521.93780247822326</v>
      </c>
      <c r="F119">
        <v>38.59909079758571</v>
      </c>
      <c r="G119">
        <v>0.35</v>
      </c>
      <c r="H119">
        <v>0.59678121694850617</v>
      </c>
      <c r="I119">
        <v>0.70249816553732991</v>
      </c>
      <c r="J119">
        <v>20.643985851334978</v>
      </c>
    </row>
    <row r="120" spans="1:10">
      <c r="A120" s="1">
        <v>45637</v>
      </c>
      <c r="B120" s="1">
        <v>45637</v>
      </c>
      <c r="C120">
        <v>4.2743110013789849</v>
      </c>
      <c r="D120">
        <v>4.5743110013789847</v>
      </c>
      <c r="E120">
        <v>526.39593058755588</v>
      </c>
      <c r="F120">
        <v>41.271419081241078</v>
      </c>
      <c r="G120">
        <v>0.36</v>
      </c>
      <c r="H120">
        <v>0.69343811758317075</v>
      </c>
      <c r="I120">
        <v>0.70143243132908029</v>
      </c>
      <c r="J120">
        <v>20.643956705839866</v>
      </c>
    </row>
    <row r="121" spans="1:10">
      <c r="A121" s="1">
        <v>45638</v>
      </c>
      <c r="B121" s="1">
        <v>45638</v>
      </c>
      <c r="C121">
        <v>4.2707366204627331</v>
      </c>
      <c r="D121">
        <v>4.5707366204627329</v>
      </c>
      <c r="E121">
        <v>526.68263784012288</v>
      </c>
      <c r="F121">
        <v>35.548894772535618</v>
      </c>
      <c r="G121">
        <v>0.37</v>
      </c>
      <c r="H121">
        <v>0.60311977446281284</v>
      </c>
      <c r="I121">
        <v>0.69800945832223504</v>
      </c>
      <c r="J121">
        <v>20.644012486245817</v>
      </c>
    </row>
    <row r="122" spans="1:10">
      <c r="A122" s="1">
        <v>45639</v>
      </c>
      <c r="B122" s="1">
        <v>45639</v>
      </c>
      <c r="C122">
        <v>4.2693871490819157</v>
      </c>
      <c r="D122">
        <v>4.5693871490819156</v>
      </c>
      <c r="E122">
        <v>521.65182017666052</v>
      </c>
      <c r="F122">
        <v>38.427265043070079</v>
      </c>
      <c r="G122">
        <v>0.37</v>
      </c>
      <c r="H122">
        <v>0.55570167819563854</v>
      </c>
      <c r="I122">
        <v>0.70587439387303741</v>
      </c>
      <c r="J122">
        <v>20.643981839429824</v>
      </c>
    </row>
    <row r="123" spans="1:10">
      <c r="A123" s="1">
        <v>45642</v>
      </c>
      <c r="B123" s="1">
        <v>45642</v>
      </c>
      <c r="C123">
        <v>4.2661650421927195</v>
      </c>
      <c r="D123">
        <v>4.5661650421927193</v>
      </c>
      <c r="E123">
        <v>521.78846073333671</v>
      </c>
      <c r="F123">
        <v>40.237074590321015</v>
      </c>
      <c r="G123">
        <v>0.37</v>
      </c>
      <c r="H123">
        <v>0.62402021054310453</v>
      </c>
      <c r="I123">
        <v>0.70122539735941247</v>
      </c>
      <c r="J123">
        <v>20.643936384060318</v>
      </c>
    </row>
    <row r="124" spans="1:10">
      <c r="A124" s="1">
        <v>45643</v>
      </c>
      <c r="B124" s="1">
        <v>45643</v>
      </c>
      <c r="C124">
        <v>4.2694708773569827</v>
      </c>
      <c r="D124">
        <v>4.5694708773569825</v>
      </c>
      <c r="E124">
        <v>520.86540834987773</v>
      </c>
      <c r="F124">
        <v>38.448690462919707</v>
      </c>
      <c r="G124">
        <v>0.38</v>
      </c>
      <c r="H124">
        <v>0.62721686240636254</v>
      </c>
      <c r="I124">
        <v>0.70029431363887618</v>
      </c>
      <c r="J124">
        <v>20.644035839456709</v>
      </c>
    </row>
    <row r="125" spans="1:10">
      <c r="A125" s="1">
        <v>45644</v>
      </c>
      <c r="B125" s="1">
        <v>45644</v>
      </c>
      <c r="C125">
        <v>4.2692077938600477</v>
      </c>
      <c r="D125">
        <v>4.5692077938600475</v>
      </c>
      <c r="E125">
        <v>521.12923237691177</v>
      </c>
      <c r="F125">
        <v>36.419309090376053</v>
      </c>
      <c r="G125">
        <v>0.38</v>
      </c>
      <c r="H125">
        <v>0.6446867547186298</v>
      </c>
      <c r="I125">
        <v>0.7015166156821212</v>
      </c>
      <c r="J125">
        <v>20.64409297000109</v>
      </c>
    </row>
    <row r="126" spans="1:10">
      <c r="A126" s="1">
        <v>45645</v>
      </c>
      <c r="B126" s="1">
        <v>45645</v>
      </c>
      <c r="C126">
        <v>4.2743486455256443</v>
      </c>
      <c r="D126">
        <v>4.5743486455256441</v>
      </c>
      <c r="E126">
        <v>518.15079073052095</v>
      </c>
      <c r="F126">
        <v>38.024981128383985</v>
      </c>
      <c r="G126">
        <v>0.37</v>
      </c>
      <c r="H126">
        <v>0.63899697464014726</v>
      </c>
      <c r="I126">
        <v>0.70405440360934879</v>
      </c>
      <c r="J126">
        <v>20.64404142036982</v>
      </c>
    </row>
    <row r="127" spans="1:10">
      <c r="A127" s="1">
        <v>45646</v>
      </c>
      <c r="B127" s="1">
        <v>45646</v>
      </c>
      <c r="C127">
        <v>4.2736327741272184</v>
      </c>
      <c r="D127">
        <v>4.5736327741272182</v>
      </c>
      <c r="E127">
        <v>522.66345031351352</v>
      </c>
      <c r="F127">
        <v>39.938682437053032</v>
      </c>
      <c r="G127">
        <v>0.37</v>
      </c>
      <c r="H127">
        <v>0.57054962573231982</v>
      </c>
      <c r="I127">
        <v>0.69932464186215682</v>
      </c>
      <c r="J127">
        <v>20.644053678486749</v>
      </c>
    </row>
    <row r="128" spans="1:10">
      <c r="A128" s="1">
        <v>45649</v>
      </c>
      <c r="B128" s="1">
        <v>45649</v>
      </c>
      <c r="C128">
        <v>4.2680091041560733</v>
      </c>
      <c r="D128">
        <v>4.5680091041560731</v>
      </c>
      <c r="E128">
        <v>524.84764329405755</v>
      </c>
      <c r="F128">
        <v>38.508732974342657</v>
      </c>
      <c r="G128">
        <v>0.38</v>
      </c>
      <c r="H128">
        <v>0.62885928673900948</v>
      </c>
      <c r="I128">
        <v>0.71454539830068087</v>
      </c>
      <c r="J128">
        <v>20.644065108838205</v>
      </c>
    </row>
    <row r="129" spans="1:10">
      <c r="A129" s="1">
        <v>45650</v>
      </c>
      <c r="B129" s="1">
        <v>45650</v>
      </c>
      <c r="C129">
        <v>4.2682174480960864</v>
      </c>
      <c r="D129">
        <v>4.5682174480960862</v>
      </c>
      <c r="E129">
        <v>524.40729265562618</v>
      </c>
      <c r="F129">
        <v>37.800996324488146</v>
      </c>
      <c r="G129">
        <v>0.39</v>
      </c>
      <c r="H129">
        <v>0.50452626609039108</v>
      </c>
      <c r="I129">
        <v>0.70554138967799707</v>
      </c>
      <c r="J129">
        <v>20.644046351425075</v>
      </c>
    </row>
    <row r="130" spans="1:10">
      <c r="A130" s="1">
        <v>45651</v>
      </c>
      <c r="B130" s="1">
        <v>45651</v>
      </c>
      <c r="C130">
        <v>4.2651735731746152</v>
      </c>
      <c r="D130">
        <v>4.565173573174615</v>
      </c>
      <c r="E130">
        <v>520.19810349354225</v>
      </c>
      <c r="F130">
        <v>36.52127329356815</v>
      </c>
      <c r="G130">
        <v>0.39</v>
      </c>
      <c r="H130">
        <v>0.56831385074041763</v>
      </c>
      <c r="I130">
        <v>0.70317118484927021</v>
      </c>
      <c r="J130">
        <v>20.643877631634915</v>
      </c>
    </row>
    <row r="131" spans="1:10">
      <c r="A131" s="1">
        <v>45652</v>
      </c>
      <c r="B131" s="1">
        <v>45652</v>
      </c>
      <c r="C131">
        <v>4.2706880936450116</v>
      </c>
      <c r="D131">
        <v>4.5706880936450114</v>
      </c>
      <c r="E131">
        <v>520.55120407152856</v>
      </c>
      <c r="F131">
        <v>39.40309978290415</v>
      </c>
      <c r="G131">
        <v>0.38</v>
      </c>
      <c r="H131">
        <v>0.55358698969159004</v>
      </c>
      <c r="I131">
        <v>0.69879411895683718</v>
      </c>
      <c r="J131">
        <v>20.643994233655199</v>
      </c>
    </row>
    <row r="132" spans="1:10">
      <c r="A132" s="1">
        <v>45653</v>
      </c>
      <c r="B132" s="1">
        <v>45653</v>
      </c>
      <c r="C132">
        <v>4.2783142118316908</v>
      </c>
      <c r="D132">
        <v>4.5783142118316906</v>
      </c>
      <c r="E132">
        <v>521.52286780527982</v>
      </c>
      <c r="F132">
        <v>40.866505759867337</v>
      </c>
      <c r="G132">
        <v>0.38</v>
      </c>
      <c r="H132">
        <v>0.6080764448183078</v>
      </c>
      <c r="I132">
        <v>0.69542994116454837</v>
      </c>
      <c r="J132">
        <v>20.643967342419934</v>
      </c>
    </row>
    <row r="133" spans="1:10">
      <c r="A133" s="1">
        <v>45656</v>
      </c>
      <c r="B133" s="1">
        <v>45656</v>
      </c>
      <c r="C133">
        <v>4.2638270298953058</v>
      </c>
      <c r="D133">
        <v>4.5638270298953056</v>
      </c>
      <c r="E133">
        <v>524.01855682716723</v>
      </c>
      <c r="F133">
        <v>40.056264353140826</v>
      </c>
      <c r="G133">
        <v>0.42</v>
      </c>
      <c r="H133">
        <v>0.53926102556066191</v>
      </c>
      <c r="I133">
        <v>0.7013492581760401</v>
      </c>
      <c r="J133">
        <v>20.644012710093904</v>
      </c>
    </row>
    <row r="134" spans="1:10">
      <c r="A134" s="1">
        <v>45657</v>
      </c>
      <c r="B134" s="1">
        <v>45657</v>
      </c>
      <c r="C134">
        <v>4.2739305336558937</v>
      </c>
      <c r="D134">
        <v>4.5739305336558935</v>
      </c>
      <c r="E134">
        <v>524.08457741395364</v>
      </c>
      <c r="F134">
        <v>39.230602871281924</v>
      </c>
      <c r="G134">
        <v>0.42</v>
      </c>
      <c r="H134">
        <v>0.57769404195639917</v>
      </c>
      <c r="I134">
        <v>0.70011007232322597</v>
      </c>
      <c r="J134">
        <v>20.643896998929048</v>
      </c>
    </row>
    <row r="135" spans="1:10">
      <c r="A135" s="1">
        <v>45658</v>
      </c>
      <c r="B135" s="1">
        <v>45658</v>
      </c>
      <c r="C135">
        <v>4.2729502363372429</v>
      </c>
      <c r="D135">
        <v>4.5729502363372427</v>
      </c>
      <c r="E135">
        <v>523.86625004328334</v>
      </c>
      <c r="F135">
        <v>35.78884813527231</v>
      </c>
      <c r="G135">
        <v>0.43</v>
      </c>
      <c r="H135">
        <v>0.63151574588359261</v>
      </c>
      <c r="I135">
        <v>0.71002704753510226</v>
      </c>
      <c r="J135">
        <v>20.643971753801011</v>
      </c>
    </row>
    <row r="136" spans="1:10">
      <c r="A136" s="1">
        <v>45659</v>
      </c>
      <c r="B136" s="1">
        <v>45659</v>
      </c>
      <c r="C136">
        <v>4.2790512388299335</v>
      </c>
      <c r="D136">
        <v>4.5790512388299334</v>
      </c>
      <c r="E136">
        <v>522.96567945975482</v>
      </c>
      <c r="F136">
        <v>39.884877731058396</v>
      </c>
      <c r="G136">
        <v>0.42</v>
      </c>
      <c r="H136">
        <v>0.63206439402259595</v>
      </c>
      <c r="I136">
        <v>0.70142644777288232</v>
      </c>
      <c r="J136">
        <v>20.643955089613961</v>
      </c>
    </row>
    <row r="137" spans="1:10">
      <c r="A137" s="1">
        <v>45660</v>
      </c>
      <c r="B137" s="1">
        <v>45660</v>
      </c>
      <c r="C137">
        <v>4.2621225979573296</v>
      </c>
      <c r="D137">
        <v>4.5621225979573294</v>
      </c>
      <c r="E137">
        <v>520.46230278938287</v>
      </c>
      <c r="F137">
        <v>37.586863675624251</v>
      </c>
      <c r="G137">
        <v>0.43</v>
      </c>
      <c r="H137">
        <v>0.56107401448897587</v>
      </c>
      <c r="I137">
        <v>0.69137661799262229</v>
      </c>
      <c r="J137">
        <v>20.643960092795584</v>
      </c>
    </row>
    <row r="138" spans="1:10">
      <c r="A138" s="1">
        <v>45663</v>
      </c>
      <c r="B138" s="1">
        <v>45663</v>
      </c>
      <c r="C138">
        <v>4.2707573930023397</v>
      </c>
      <c r="D138">
        <v>4.5707573930023395</v>
      </c>
      <c r="E138">
        <v>524.82433392443022</v>
      </c>
      <c r="F138">
        <v>42.174990877408128</v>
      </c>
      <c r="G138">
        <v>0.38</v>
      </c>
      <c r="H138">
        <v>0.57546800970452971</v>
      </c>
      <c r="I138">
        <v>0.70253139705430823</v>
      </c>
      <c r="J138">
        <v>20.644037681970559</v>
      </c>
    </row>
    <row r="139" spans="1:10">
      <c r="A139" s="1">
        <v>45664</v>
      </c>
      <c r="B139" s="1">
        <v>45664</v>
      </c>
      <c r="C139">
        <v>4.2678761615234153</v>
      </c>
      <c r="D139">
        <v>4.5678761615234151</v>
      </c>
      <c r="E139">
        <v>521.37936080735619</v>
      </c>
      <c r="F139">
        <v>39.336292654132862</v>
      </c>
      <c r="G139">
        <v>0.37</v>
      </c>
      <c r="H139">
        <v>0.63231618668468004</v>
      </c>
      <c r="I139">
        <v>0.70145019679309628</v>
      </c>
      <c r="J139">
        <v>20.644019222576876</v>
      </c>
    </row>
    <row r="140" spans="1:10">
      <c r="A140" s="1">
        <v>45665</v>
      </c>
      <c r="B140" s="1">
        <v>45665</v>
      </c>
      <c r="C140">
        <v>4.2683737669032711</v>
      </c>
      <c r="D140">
        <v>4.5683737669032709</v>
      </c>
      <c r="E140">
        <v>520.70057240949791</v>
      </c>
      <c r="F140">
        <v>39.624263608637314</v>
      </c>
      <c r="G140">
        <v>0.38</v>
      </c>
      <c r="H140">
        <v>0.64573003850288291</v>
      </c>
      <c r="I140">
        <v>0.70014204007646819</v>
      </c>
      <c r="J140">
        <v>20.64400303984829</v>
      </c>
    </row>
    <row r="141" spans="1:10">
      <c r="A141" s="1">
        <v>45666</v>
      </c>
      <c r="B141" s="1">
        <v>45666</v>
      </c>
      <c r="C141">
        <v>4.2726659881879838</v>
      </c>
      <c r="D141">
        <v>4.5726659881879836</v>
      </c>
      <c r="E141">
        <v>520.56119762462652</v>
      </c>
      <c r="F141">
        <v>36.644967472681735</v>
      </c>
      <c r="G141">
        <v>0.38</v>
      </c>
      <c r="H141">
        <v>0.60444891926861799</v>
      </c>
      <c r="I141">
        <v>0.69954323249555339</v>
      </c>
      <c r="J141">
        <v>20.644045349314649</v>
      </c>
    </row>
    <row r="142" spans="1:10">
      <c r="A142" s="1">
        <v>45667</v>
      </c>
      <c r="B142" s="1">
        <v>45667</v>
      </c>
      <c r="C142">
        <v>4.2629884446250665</v>
      </c>
      <c r="D142">
        <v>4.5629884446250664</v>
      </c>
      <c r="E142">
        <v>524.95571710855529</v>
      </c>
      <c r="F142">
        <v>38.578860272020535</v>
      </c>
      <c r="G142">
        <v>0.37</v>
      </c>
      <c r="H142">
        <v>0.58308934102721532</v>
      </c>
      <c r="I142">
        <v>0.70158932480804992</v>
      </c>
      <c r="J142">
        <v>20.644023080235783</v>
      </c>
    </row>
    <row r="143" spans="1:10">
      <c r="A143" s="1">
        <v>45670</v>
      </c>
      <c r="B143" s="1">
        <v>45670</v>
      </c>
      <c r="C143">
        <v>4.2669173238057523</v>
      </c>
      <c r="D143">
        <v>4.5669173238057521</v>
      </c>
      <c r="E143">
        <v>521.49794065867695</v>
      </c>
      <c r="F143">
        <v>37.661755673273873</v>
      </c>
      <c r="G143">
        <v>0.37</v>
      </c>
      <c r="H143">
        <v>0.6325250394471067</v>
      </c>
      <c r="I143">
        <v>0.70516794626544033</v>
      </c>
      <c r="J143">
        <v>20.64401855281028</v>
      </c>
    </row>
    <row r="144" spans="1:10">
      <c r="A144" s="1">
        <v>45671</v>
      </c>
      <c r="B144" s="1">
        <v>45671</v>
      </c>
      <c r="C144">
        <v>4.2634501890310963</v>
      </c>
      <c r="D144">
        <v>4.5634501890310961</v>
      </c>
      <c r="E144">
        <v>524.45390938947196</v>
      </c>
      <c r="F144">
        <v>39.559510474418815</v>
      </c>
      <c r="G144">
        <v>0.37</v>
      </c>
      <c r="H144">
        <v>0.63299317613709505</v>
      </c>
      <c r="I144">
        <v>0.69279426002967637</v>
      </c>
      <c r="J144">
        <v>20.643960782510579</v>
      </c>
    </row>
    <row r="145" spans="1:10">
      <c r="A145" s="1">
        <v>45672</v>
      </c>
      <c r="B145" s="1">
        <v>45672</v>
      </c>
      <c r="C145">
        <v>4.2684652055004735</v>
      </c>
      <c r="D145">
        <v>4.5684652055004733</v>
      </c>
      <c r="E145">
        <v>524.4646704287336</v>
      </c>
      <c r="F145">
        <v>35.023321013707893</v>
      </c>
      <c r="G145">
        <v>0.38</v>
      </c>
      <c r="H145">
        <v>0.61779792074369444</v>
      </c>
      <c r="I145">
        <v>0.70260649762584682</v>
      </c>
      <c r="J145">
        <v>20.644037943858766</v>
      </c>
    </row>
    <row r="146" spans="1:10">
      <c r="A146" s="1">
        <v>45673</v>
      </c>
      <c r="B146" s="1">
        <v>45673</v>
      </c>
      <c r="C146">
        <v>4.2706076619300282</v>
      </c>
      <c r="D146">
        <v>4.570607661930028</v>
      </c>
      <c r="E146">
        <v>525.9155447869806</v>
      </c>
      <c r="F146">
        <v>36.679769006030739</v>
      </c>
      <c r="G146">
        <v>0.38</v>
      </c>
      <c r="H146">
        <v>0.61120073620815685</v>
      </c>
      <c r="I146">
        <v>0.70878281081881711</v>
      </c>
      <c r="J146">
        <v>20.64399277670714</v>
      </c>
    </row>
    <row r="147" spans="1:10">
      <c r="A147" s="1">
        <v>45674</v>
      </c>
      <c r="B147" s="1">
        <v>45674</v>
      </c>
      <c r="C147">
        <v>4.2616906400595793</v>
      </c>
      <c r="D147">
        <v>4.5616906400595791</v>
      </c>
      <c r="E147">
        <v>523.06610036809786</v>
      </c>
      <c r="F147">
        <v>38.394891800654712</v>
      </c>
      <c r="G147">
        <v>0.38</v>
      </c>
      <c r="H147">
        <v>0.60288678548429164</v>
      </c>
      <c r="I147">
        <v>0.69966966459086266</v>
      </c>
      <c r="J147">
        <v>20.643995465197374</v>
      </c>
    </row>
    <row r="148" spans="1:10">
      <c r="A148" s="1">
        <v>45677</v>
      </c>
      <c r="B148" s="1">
        <v>45677</v>
      </c>
      <c r="C148">
        <v>4.2630096138121116</v>
      </c>
      <c r="D148">
        <v>4.5630096138121115</v>
      </c>
      <c r="E148">
        <v>522.36504338774876</v>
      </c>
      <c r="F148">
        <v>39.66953271720238</v>
      </c>
      <c r="G148">
        <v>0.4</v>
      </c>
      <c r="H148">
        <v>0.70590958137286819</v>
      </c>
      <c r="I148">
        <v>0.6884627432204049</v>
      </c>
      <c r="J148">
        <v>20.644070024337818</v>
      </c>
    </row>
    <row r="149" spans="1:10">
      <c r="A149" s="1">
        <v>45678</v>
      </c>
      <c r="B149" s="1">
        <v>45678</v>
      </c>
      <c r="C149">
        <v>4.2831218099934363</v>
      </c>
      <c r="D149">
        <v>4.5831218099934361</v>
      </c>
      <c r="E149">
        <v>525.06524949710115</v>
      </c>
      <c r="F149">
        <v>39.265814607785792</v>
      </c>
      <c r="G149">
        <v>0.41</v>
      </c>
      <c r="H149">
        <v>0.55864442233587575</v>
      </c>
      <c r="I149">
        <v>0.69785333560656682</v>
      </c>
      <c r="J149">
        <v>20.644042552645455</v>
      </c>
    </row>
    <row r="150" spans="1:10">
      <c r="A150" s="1">
        <v>45679</v>
      </c>
      <c r="B150" s="1">
        <v>45679</v>
      </c>
      <c r="C150">
        <v>4.2654675755878912</v>
      </c>
      <c r="D150">
        <v>4.5654675755878911</v>
      </c>
      <c r="E150">
        <v>524.29697422786523</v>
      </c>
      <c r="F150">
        <v>35.193889131801193</v>
      </c>
      <c r="G150">
        <v>0.4</v>
      </c>
      <c r="H150">
        <v>0.58976675386414223</v>
      </c>
      <c r="I150">
        <v>0.70292529571988471</v>
      </c>
      <c r="J150">
        <v>20.643934211587506</v>
      </c>
    </row>
    <row r="151" spans="1:10">
      <c r="A151" s="1">
        <v>45680</v>
      </c>
      <c r="B151" s="1">
        <v>45680</v>
      </c>
      <c r="C151">
        <v>4.2598555620673562</v>
      </c>
      <c r="D151">
        <v>4.559855562067356</v>
      </c>
      <c r="E151">
        <v>526.45156567689276</v>
      </c>
      <c r="F151">
        <v>37.183653279079671</v>
      </c>
      <c r="G151">
        <v>0.43</v>
      </c>
      <c r="H151">
        <v>0.57327325840411991</v>
      </c>
      <c r="I151">
        <v>0.70301138634330829</v>
      </c>
      <c r="J151">
        <v>20.64404633826015</v>
      </c>
    </row>
    <row r="152" spans="1:10">
      <c r="A152" s="1">
        <v>45681</v>
      </c>
      <c r="B152" s="1">
        <v>45681</v>
      </c>
      <c r="C152">
        <v>4.2689577431604357</v>
      </c>
      <c r="D152">
        <v>4.5689577431604356</v>
      </c>
      <c r="E152">
        <v>523.94584337096899</v>
      </c>
      <c r="F152">
        <v>37.578035467797584</v>
      </c>
      <c r="G152">
        <v>0.47</v>
      </c>
      <c r="H152">
        <v>0.60637623854856593</v>
      </c>
      <c r="I152">
        <v>0.70324795257005901</v>
      </c>
      <c r="J152">
        <v>20.644083084986015</v>
      </c>
    </row>
    <row r="153" spans="1:10">
      <c r="A153" s="1">
        <v>45684</v>
      </c>
      <c r="B153" s="1">
        <v>45684</v>
      </c>
      <c r="C153">
        <v>4.2720101666637476</v>
      </c>
      <c r="D153">
        <v>4.5720101666637474</v>
      </c>
      <c r="E153">
        <v>523.38721407920423</v>
      </c>
      <c r="F153">
        <v>36.702880927446365</v>
      </c>
      <c r="G153">
        <v>0.45</v>
      </c>
      <c r="H153">
        <v>0.67289801588716203</v>
      </c>
      <c r="I153">
        <v>0.69926469493449162</v>
      </c>
      <c r="J153">
        <v>20.644031004256938</v>
      </c>
    </row>
    <row r="154" spans="1:10">
      <c r="A154" s="1">
        <v>45685</v>
      </c>
      <c r="B154" s="1">
        <v>45685</v>
      </c>
      <c r="C154">
        <v>4.2695212530382483</v>
      </c>
      <c r="D154">
        <v>4.5695212530382481</v>
      </c>
      <c r="E154">
        <v>524.21365044852098</v>
      </c>
      <c r="F154">
        <v>37.107910988322082</v>
      </c>
      <c r="G154">
        <v>0.46</v>
      </c>
      <c r="H154">
        <v>0.60872989726494298</v>
      </c>
      <c r="I154">
        <v>0.70382350974715413</v>
      </c>
      <c r="J154">
        <v>20.64399127001478</v>
      </c>
    </row>
    <row r="155" spans="1:10">
      <c r="A155" s="1">
        <v>45686</v>
      </c>
      <c r="B155" s="1">
        <v>45686</v>
      </c>
      <c r="C155">
        <v>4.2736908517436438</v>
      </c>
      <c r="D155">
        <v>4.5736908517436436</v>
      </c>
      <c r="E155">
        <v>527.99850111173612</v>
      </c>
      <c r="F155">
        <v>36.746581876585317</v>
      </c>
      <c r="G155">
        <v>0.45</v>
      </c>
      <c r="H155">
        <v>0.68692143305944309</v>
      </c>
      <c r="I155">
        <v>0.70621861820079768</v>
      </c>
      <c r="J155">
        <v>20.644000078542561</v>
      </c>
    </row>
    <row r="156" spans="1:10">
      <c r="A156" s="1">
        <v>45687</v>
      </c>
      <c r="B156" s="1">
        <v>45687</v>
      </c>
      <c r="C156">
        <v>4.2652374666084283</v>
      </c>
      <c r="D156">
        <v>4.5652374666084281</v>
      </c>
      <c r="E156">
        <v>524.96092511904124</v>
      </c>
      <c r="F156">
        <v>38.412275788079192</v>
      </c>
      <c r="G156">
        <v>0.44</v>
      </c>
      <c r="H156">
        <v>0.64068803001797381</v>
      </c>
      <c r="I156">
        <v>0.70138192982489544</v>
      </c>
      <c r="J156">
        <v>20.644073513154122</v>
      </c>
    </row>
    <row r="157" spans="1:10">
      <c r="A157" s="1">
        <v>45688</v>
      </c>
      <c r="B157" s="1">
        <v>45688</v>
      </c>
      <c r="C157">
        <v>4.2735565001791516</v>
      </c>
      <c r="D157">
        <v>4.5735565001791514</v>
      </c>
      <c r="E157">
        <v>522.42474022815895</v>
      </c>
      <c r="F157">
        <v>35.942773939735609</v>
      </c>
      <c r="G157">
        <v>0.4</v>
      </c>
      <c r="H157">
        <v>0.67485523005085757</v>
      </c>
      <c r="I157">
        <v>0.69792555618246532</v>
      </c>
      <c r="J157">
        <v>20.644049988255446</v>
      </c>
    </row>
    <row r="158" spans="1:10">
      <c r="A158" s="1">
        <v>45691</v>
      </c>
      <c r="B158" s="1">
        <v>45691</v>
      </c>
      <c r="C158">
        <v>4.2686798155006844</v>
      </c>
      <c r="D158">
        <v>4.5686798155006842</v>
      </c>
      <c r="E158">
        <v>522.50617241383134</v>
      </c>
      <c r="F158">
        <v>36.506292976882264</v>
      </c>
      <c r="G158">
        <v>0.39</v>
      </c>
      <c r="H158">
        <v>0.65249632948359138</v>
      </c>
      <c r="I158">
        <v>0.70437171011202337</v>
      </c>
      <c r="J158">
        <v>20.644049882061324</v>
      </c>
    </row>
    <row r="159" spans="1:10">
      <c r="A159" s="1">
        <v>45692</v>
      </c>
      <c r="B159" s="1">
        <v>45692</v>
      </c>
      <c r="C159">
        <v>4.2753274291138892</v>
      </c>
      <c r="D159">
        <v>4.575327429113889</v>
      </c>
      <c r="E159">
        <v>523.83103271300399</v>
      </c>
      <c r="F159">
        <v>38.260420693580016</v>
      </c>
      <c r="G159">
        <v>0.38</v>
      </c>
      <c r="H159">
        <v>0.58312000402672837</v>
      </c>
      <c r="I159">
        <v>0.69652964768346959</v>
      </c>
      <c r="J159">
        <v>20.644113981340709</v>
      </c>
    </row>
    <row r="160" spans="1:10">
      <c r="A160" s="1">
        <v>45693</v>
      </c>
      <c r="B160" s="1">
        <v>45693</v>
      </c>
      <c r="C160">
        <v>4.2654449736570941</v>
      </c>
      <c r="D160">
        <v>4.5654449736570939</v>
      </c>
      <c r="E160">
        <v>521.76741643085427</v>
      </c>
      <c r="F160">
        <v>39.884040633546796</v>
      </c>
      <c r="G160">
        <v>0.38</v>
      </c>
      <c r="H160">
        <v>0.58578950411162201</v>
      </c>
      <c r="I160">
        <v>0.69704703005103896</v>
      </c>
      <c r="J160">
        <v>20.644089617617151</v>
      </c>
    </row>
    <row r="161" spans="1:10">
      <c r="A161" s="1">
        <v>45694</v>
      </c>
      <c r="B161" s="1">
        <v>45694</v>
      </c>
      <c r="C161">
        <v>4.2652153302626656</v>
      </c>
      <c r="D161">
        <v>4.5652153302626655</v>
      </c>
      <c r="E161">
        <v>520.97989346156226</v>
      </c>
      <c r="F161">
        <v>39.829245529061559</v>
      </c>
      <c r="G161">
        <v>0.38</v>
      </c>
      <c r="H161">
        <v>0.58201223902651766</v>
      </c>
      <c r="I161">
        <v>0.69701599829762961</v>
      </c>
      <c r="J161">
        <v>20.644066717147506</v>
      </c>
    </row>
    <row r="162" spans="1:10">
      <c r="A162" s="1">
        <v>45695</v>
      </c>
      <c r="B162" s="1">
        <v>45695</v>
      </c>
      <c r="C162">
        <v>4.2683308200211432</v>
      </c>
      <c r="D162">
        <v>4.568330820021143</v>
      </c>
      <c r="E162">
        <v>522.54877020022502</v>
      </c>
      <c r="F162">
        <v>38.580959769281108</v>
      </c>
      <c r="G162">
        <v>0.37</v>
      </c>
      <c r="H162">
        <v>0.61115192432036058</v>
      </c>
      <c r="I162">
        <v>0.69422209758427567</v>
      </c>
      <c r="J162">
        <v>20.64400037489871</v>
      </c>
    </row>
    <row r="163" spans="1:10">
      <c r="A163" s="1">
        <v>45698</v>
      </c>
      <c r="B163" s="1">
        <v>45698</v>
      </c>
      <c r="C163">
        <v>4.2661371879603287</v>
      </c>
      <c r="D163">
        <v>4.5661371879603285</v>
      </c>
      <c r="E163">
        <v>520.14983205002397</v>
      </c>
      <c r="F163">
        <v>36.918427607626946</v>
      </c>
      <c r="G163">
        <v>0.4</v>
      </c>
      <c r="H163">
        <v>0.63046346458137104</v>
      </c>
      <c r="I163">
        <v>0.70401031660563174</v>
      </c>
      <c r="J163">
        <v>20.643942275694329</v>
      </c>
    </row>
    <row r="164" spans="1:10">
      <c r="A164" s="1">
        <v>45699</v>
      </c>
      <c r="B164" s="1">
        <v>45699</v>
      </c>
      <c r="C164">
        <v>4.2686451377714167</v>
      </c>
      <c r="D164">
        <v>4.5686451377714166</v>
      </c>
      <c r="E164">
        <v>522.35641011277835</v>
      </c>
      <c r="F164">
        <v>35.643903609148069</v>
      </c>
      <c r="G164">
        <v>0.4</v>
      </c>
      <c r="H164">
        <v>0.60963500675817262</v>
      </c>
      <c r="I164">
        <v>0.69805611799871825</v>
      </c>
      <c r="J164">
        <v>20.644040351235336</v>
      </c>
    </row>
    <row r="165" spans="1:10">
      <c r="A165" s="1">
        <v>45700</v>
      </c>
      <c r="B165" s="1">
        <v>45700</v>
      </c>
      <c r="C165">
        <v>4.2701781889080248</v>
      </c>
      <c r="D165">
        <v>4.5701781889080246</v>
      </c>
      <c r="E165">
        <v>524.65903313861668</v>
      </c>
      <c r="F165">
        <v>39.829802683924363</v>
      </c>
      <c r="G165">
        <v>0.4</v>
      </c>
      <c r="H165">
        <v>0.64187906085450586</v>
      </c>
      <c r="I165">
        <v>0.69772880894337119</v>
      </c>
      <c r="J165">
        <v>20.643956683754478</v>
      </c>
    </row>
    <row r="166" spans="1:10">
      <c r="A166" s="1">
        <v>45701</v>
      </c>
      <c r="B166" s="1">
        <v>45701</v>
      </c>
      <c r="C166">
        <v>4.2729425991545877</v>
      </c>
      <c r="D166">
        <v>4.5729425991545876</v>
      </c>
      <c r="E166">
        <v>522.88245746908319</v>
      </c>
      <c r="F166">
        <v>37.456347189316496</v>
      </c>
      <c r="G166">
        <v>0.4</v>
      </c>
      <c r="H166">
        <v>0.57189154170584555</v>
      </c>
      <c r="I166">
        <v>0.70152500573800036</v>
      </c>
      <c r="J166">
        <v>20.64403779322183</v>
      </c>
    </row>
    <row r="167" spans="1:10">
      <c r="A167" s="1">
        <v>45702</v>
      </c>
      <c r="B167" s="1">
        <v>45702</v>
      </c>
      <c r="C167">
        <v>4.2709247939870041</v>
      </c>
      <c r="D167">
        <v>4.5709247939870039</v>
      </c>
      <c r="E167">
        <v>523.01058844510771</v>
      </c>
      <c r="F167">
        <v>42.197316525834772</v>
      </c>
      <c r="G167">
        <v>0.41</v>
      </c>
      <c r="H167">
        <v>0.58606120683906393</v>
      </c>
      <c r="I167">
        <v>0.69820337062139393</v>
      </c>
      <c r="J167">
        <v>20.644042275078043</v>
      </c>
    </row>
    <row r="168" spans="1:10">
      <c r="A168" s="1">
        <v>45705</v>
      </c>
      <c r="B168" s="1">
        <v>45705</v>
      </c>
      <c r="C168">
        <v>4.2750945431964169</v>
      </c>
      <c r="D168">
        <v>4.5750945431964167</v>
      </c>
      <c r="E168">
        <v>522.72993690842736</v>
      </c>
      <c r="F168">
        <v>37.65111129868837</v>
      </c>
      <c r="G168">
        <v>0.37</v>
      </c>
      <c r="H168">
        <v>0.5957132428336096</v>
      </c>
      <c r="I168">
        <v>0.70215317940158739</v>
      </c>
      <c r="J168">
        <v>20.643962955537681</v>
      </c>
    </row>
    <row r="169" spans="1:10">
      <c r="A169" s="1">
        <v>45706</v>
      </c>
      <c r="B169" s="1">
        <v>45706</v>
      </c>
      <c r="C169">
        <v>4.2743018512831537</v>
      </c>
      <c r="D169">
        <v>4.5743018512831535</v>
      </c>
      <c r="E169">
        <v>517.83651909426783</v>
      </c>
      <c r="F169">
        <v>39.627840589556129</v>
      </c>
      <c r="G169">
        <v>0.36</v>
      </c>
      <c r="H169">
        <v>0.61377267869572549</v>
      </c>
      <c r="I169">
        <v>0.69266061446886695</v>
      </c>
      <c r="J169">
        <v>20.644059356378929</v>
      </c>
    </row>
    <row r="170" spans="1:10">
      <c r="A170" s="1">
        <v>45707</v>
      </c>
      <c r="B170" s="1">
        <v>45707</v>
      </c>
      <c r="C170">
        <v>4.2749511627284775</v>
      </c>
      <c r="D170">
        <v>4.5749511627284773</v>
      </c>
      <c r="E170">
        <v>525.73209776268095</v>
      </c>
      <c r="F170">
        <v>43.361256602718115</v>
      </c>
      <c r="G170">
        <v>0.34</v>
      </c>
      <c r="H170">
        <v>0.6487953498890604</v>
      </c>
      <c r="I170">
        <v>0.70036972980329804</v>
      </c>
      <c r="J170">
        <v>20.644019144532095</v>
      </c>
    </row>
    <row r="171" spans="1:10">
      <c r="A171" s="1">
        <v>45708</v>
      </c>
      <c r="B171" s="1">
        <v>45708</v>
      </c>
      <c r="C171">
        <v>4.2614007401500702</v>
      </c>
      <c r="D171">
        <v>4.56140074015007</v>
      </c>
      <c r="E171">
        <v>523.6461272769875</v>
      </c>
      <c r="F171">
        <v>37.311306901897218</v>
      </c>
      <c r="G171">
        <v>0.33</v>
      </c>
      <c r="H171">
        <v>0.60738323249194415</v>
      </c>
      <c r="I171">
        <v>0.70000924527453834</v>
      </c>
      <c r="J171">
        <v>20.644027087500575</v>
      </c>
    </row>
    <row r="172" spans="1:10">
      <c r="A172" s="1">
        <v>45709</v>
      </c>
      <c r="B172" s="1">
        <v>45709</v>
      </c>
      <c r="C172">
        <v>4.273370986947131</v>
      </c>
      <c r="D172">
        <v>4.5733709869471308</v>
      </c>
      <c r="E172">
        <v>521.55464997171157</v>
      </c>
      <c r="F172">
        <v>37.909911058844685</v>
      </c>
      <c r="G172">
        <v>0.34</v>
      </c>
      <c r="H172">
        <v>0.65958587239988131</v>
      </c>
      <c r="I172">
        <v>0.69988707952423379</v>
      </c>
      <c r="J172">
        <v>20.643964103880936</v>
      </c>
    </row>
    <row r="173" spans="1:10">
      <c r="A173" s="1">
        <v>45712</v>
      </c>
      <c r="B173" s="1">
        <v>45712</v>
      </c>
      <c r="C173">
        <v>4.2690005265914399</v>
      </c>
      <c r="D173">
        <v>4.5690005265914397</v>
      </c>
      <c r="E173">
        <v>523.50007388650488</v>
      </c>
      <c r="F173">
        <v>36.005265554345748</v>
      </c>
      <c r="G173">
        <v>0.34</v>
      </c>
      <c r="H173">
        <v>0.58467027258306903</v>
      </c>
      <c r="I173">
        <v>0.70325864900374191</v>
      </c>
      <c r="J173">
        <v>20.643939018549244</v>
      </c>
    </row>
    <row r="174" spans="1:10">
      <c r="A174" s="1">
        <v>45713</v>
      </c>
      <c r="B174" s="1">
        <v>45713</v>
      </c>
      <c r="C174">
        <v>4.2626762367539452</v>
      </c>
      <c r="D174">
        <v>4.5626762367539451</v>
      </c>
      <c r="E174">
        <v>524.30594496455046</v>
      </c>
      <c r="F174">
        <v>35.986783872828816</v>
      </c>
      <c r="G174">
        <v>0.33</v>
      </c>
      <c r="H174">
        <v>0.58191460070976431</v>
      </c>
      <c r="I174">
        <v>0.69903817457533279</v>
      </c>
      <c r="J174">
        <v>20.643893241583967</v>
      </c>
    </row>
    <row r="175" spans="1:10">
      <c r="A175" s="1">
        <v>45714</v>
      </c>
      <c r="B175" s="1">
        <v>45714</v>
      </c>
      <c r="C175">
        <v>4.264240905882283</v>
      </c>
      <c r="D175">
        <v>4.5642409058822828</v>
      </c>
      <c r="E175">
        <v>519.47901648494496</v>
      </c>
      <c r="F175">
        <v>34.197800336460624</v>
      </c>
      <c r="G175">
        <v>0.31</v>
      </c>
      <c r="H175">
        <v>0.56815407565405573</v>
      </c>
      <c r="I175">
        <v>0.69526734838943494</v>
      </c>
      <c r="J175">
        <v>20.644019725805837</v>
      </c>
    </row>
    <row r="176" spans="1:10">
      <c r="A176" s="1">
        <v>45715</v>
      </c>
      <c r="B176" s="1">
        <v>45715</v>
      </c>
      <c r="C176">
        <v>4.2613438397356971</v>
      </c>
      <c r="D176">
        <v>4.5613438397356969</v>
      </c>
      <c r="E176">
        <v>522.17475505332493</v>
      </c>
      <c r="F176">
        <v>36.733701929380636</v>
      </c>
      <c r="G176">
        <v>0.32</v>
      </c>
      <c r="H176">
        <v>0.68992946860329873</v>
      </c>
      <c r="I176">
        <v>0.70785983772504379</v>
      </c>
      <c r="J176">
        <v>20.643958265949763</v>
      </c>
    </row>
    <row r="177" spans="1:11">
      <c r="A177" s="1">
        <v>45716</v>
      </c>
      <c r="B177" s="1">
        <v>45716</v>
      </c>
      <c r="C177">
        <v>4.2783131973331354</v>
      </c>
      <c r="D177">
        <v>4.5783131973331352</v>
      </c>
      <c r="E177">
        <v>519.31181622931285</v>
      </c>
      <c r="F177">
        <v>37.103281191503442</v>
      </c>
      <c r="G177">
        <v>0.32</v>
      </c>
      <c r="H177">
        <v>0.50710312212695852</v>
      </c>
      <c r="I177">
        <v>0.70926204783730473</v>
      </c>
      <c r="J177">
        <v>20.644024192813301</v>
      </c>
    </row>
    <row r="178" spans="1:11">
      <c r="A178" s="1">
        <v>45719</v>
      </c>
      <c r="B178" s="1">
        <v>45719</v>
      </c>
      <c r="C178">
        <v>4.2752133815665898</v>
      </c>
      <c r="D178">
        <v>4.5752133815665896</v>
      </c>
      <c r="E178">
        <v>522.21812675650835</v>
      </c>
      <c r="F178">
        <v>33.613887001263812</v>
      </c>
      <c r="G178">
        <v>0.31</v>
      </c>
      <c r="H178">
        <v>0.60481326803198643</v>
      </c>
      <c r="I178">
        <v>0.69741880165775405</v>
      </c>
      <c r="J178">
        <v>20.643991559766086</v>
      </c>
    </row>
    <row r="179" spans="1:11">
      <c r="A179" s="1">
        <v>45720</v>
      </c>
      <c r="B179" s="1">
        <v>45720</v>
      </c>
      <c r="C179">
        <v>4.2749491573405987</v>
      </c>
      <c r="D179">
        <v>4.5749491573405985</v>
      </c>
      <c r="E179">
        <v>522.43110385895056</v>
      </c>
      <c r="F179">
        <v>38.346311860868497</v>
      </c>
      <c r="G179">
        <v>0.3</v>
      </c>
      <c r="H179">
        <v>0.63960448254378555</v>
      </c>
      <c r="I179">
        <v>0.70501673027792877</v>
      </c>
      <c r="J179">
        <v>20.644036279235319</v>
      </c>
    </row>
    <row r="180" spans="1:11">
      <c r="A180" s="1">
        <v>45721</v>
      </c>
      <c r="B180" s="1">
        <v>45721</v>
      </c>
      <c r="C180">
        <v>4.2758492107026349</v>
      </c>
      <c r="D180">
        <v>4.5758492107026347</v>
      </c>
      <c r="E180">
        <v>522.93565410377255</v>
      </c>
      <c r="F180">
        <v>40.531227983629798</v>
      </c>
      <c r="G180">
        <v>0.3</v>
      </c>
      <c r="H180">
        <v>0.5786433858972605</v>
      </c>
      <c r="I180">
        <v>0.70480439881366075</v>
      </c>
      <c r="J180">
        <v>20.643957304970641</v>
      </c>
    </row>
    <row r="181" spans="1:11">
      <c r="A181" s="1">
        <v>45722</v>
      </c>
      <c r="B181" s="1">
        <v>45722</v>
      </c>
      <c r="C181">
        <v>4.2669670232413859</v>
      </c>
      <c r="D181">
        <v>4.5669670232413857</v>
      </c>
      <c r="E181">
        <v>520.21657066204807</v>
      </c>
      <c r="F181">
        <v>38.502623328837871</v>
      </c>
      <c r="G181">
        <v>0.3</v>
      </c>
      <c r="H181">
        <v>0.55485117104875115</v>
      </c>
      <c r="I181">
        <v>0.70634429811069765</v>
      </c>
      <c r="J181">
        <v>20.644071729945736</v>
      </c>
    </row>
    <row r="182" spans="1:11">
      <c r="A182" s="1">
        <v>45723</v>
      </c>
      <c r="B182" s="1">
        <v>45723</v>
      </c>
      <c r="C182">
        <v>4.2716494026989427</v>
      </c>
      <c r="D182">
        <v>4.5716494026989425</v>
      </c>
      <c r="E182">
        <v>523.8564569140035</v>
      </c>
      <c r="F182">
        <v>36.2242643616188</v>
      </c>
      <c r="G182">
        <v>0.33</v>
      </c>
      <c r="H182">
        <v>0.58993057679338501</v>
      </c>
      <c r="I182">
        <v>0.69626158066671284</v>
      </c>
      <c r="J182">
        <v>20.643972918057912</v>
      </c>
    </row>
    <row r="183" spans="1:11">
      <c r="A183" s="1">
        <v>45726</v>
      </c>
      <c r="B183" s="1">
        <v>45726</v>
      </c>
      <c r="C183">
        <v>4.2700235743649415</v>
      </c>
      <c r="D183">
        <v>4.5700235743649413</v>
      </c>
      <c r="E183">
        <v>525.70009468101978</v>
      </c>
      <c r="F183">
        <v>34.780610886981705</v>
      </c>
      <c r="G183">
        <v>0.32</v>
      </c>
      <c r="H183">
        <v>0.60658391185776628</v>
      </c>
      <c r="I183">
        <v>0.69313788559942624</v>
      </c>
      <c r="J183">
        <v>20.643986874549743</v>
      </c>
    </row>
    <row r="184" spans="1:11">
      <c r="A184" s="1">
        <v>45727</v>
      </c>
      <c r="B184" s="1">
        <v>45727</v>
      </c>
      <c r="C184">
        <v>4.2707893263159171</v>
      </c>
      <c r="D184">
        <v>4.5707893263159169</v>
      </c>
      <c r="E184">
        <v>522.26538645597486</v>
      </c>
      <c r="F184">
        <v>41.585620539728183</v>
      </c>
      <c r="G184">
        <v>0.32</v>
      </c>
      <c r="H184">
        <v>0.56167149709600406</v>
      </c>
      <c r="I184">
        <v>0.70670201315292158</v>
      </c>
      <c r="J184">
        <v>20.643958519049736</v>
      </c>
    </row>
    <row r="185" spans="1:11">
      <c r="A185" s="1">
        <v>45728</v>
      </c>
      <c r="B185" s="1">
        <v>45728</v>
      </c>
      <c r="C185">
        <v>4.2737127874531735</v>
      </c>
      <c r="D185">
        <v>4.5737127874531733</v>
      </c>
      <c r="E185">
        <v>523.31473692130294</v>
      </c>
      <c r="F185">
        <v>35.61639330786273</v>
      </c>
      <c r="G185">
        <v>0.35</v>
      </c>
      <c r="H185">
        <v>0.6336838379045957</v>
      </c>
      <c r="I185">
        <v>0.69659502342983792</v>
      </c>
      <c r="J185">
        <v>20.64399235595732</v>
      </c>
    </row>
    <row r="186" spans="1:11">
      <c r="A186" s="1">
        <v>45729</v>
      </c>
      <c r="B186" s="1">
        <v>45729</v>
      </c>
      <c r="C186">
        <v>4.2636425589406937</v>
      </c>
      <c r="D186">
        <v>4.5636425589406935</v>
      </c>
      <c r="E186">
        <v>520.70565340011331</v>
      </c>
      <c r="F186">
        <v>37.74860475733832</v>
      </c>
      <c r="G186">
        <v>0.34</v>
      </c>
      <c r="H186">
        <v>0.63149412494344836</v>
      </c>
      <c r="I186">
        <v>0.70482763858206854</v>
      </c>
      <c r="J186">
        <v>20.643963092917662</v>
      </c>
    </row>
    <row r="187" spans="1:11">
      <c r="A187" s="1">
        <v>45730</v>
      </c>
      <c r="B187" s="1">
        <v>45730</v>
      </c>
      <c r="C187">
        <v>4.2693831049952111</v>
      </c>
      <c r="D187">
        <v>4.5693831049952109</v>
      </c>
      <c r="E187">
        <v>521.413685278196</v>
      </c>
      <c r="F187">
        <v>39.428223153789602</v>
      </c>
      <c r="G187">
        <v>0.34</v>
      </c>
      <c r="H187">
        <v>0.59979654104302693</v>
      </c>
      <c r="I187">
        <v>0.70245355136828158</v>
      </c>
      <c r="J187">
        <v>20.643989210591101</v>
      </c>
    </row>
    <row r="188" spans="1:11" s="15" customFormat="1">
      <c r="A188" s="14">
        <v>45733</v>
      </c>
      <c r="B188" s="14">
        <v>45733</v>
      </c>
      <c r="C188" s="15">
        <v>4.2653184504674275</v>
      </c>
      <c r="D188" s="15">
        <v>4.5694676668290235</v>
      </c>
      <c r="E188" s="15">
        <v>521.66335662633458</v>
      </c>
      <c r="F188" s="15">
        <v>36.788676583152267</v>
      </c>
      <c r="G188" s="15">
        <v>0.32999930961490187</v>
      </c>
      <c r="H188" s="15">
        <v>0.43157288087281531</v>
      </c>
      <c r="I188" s="16">
        <v>0.70088628827800514</v>
      </c>
      <c r="J188">
        <v>20.644006531118904</v>
      </c>
      <c r="K188" s="16"/>
    </row>
    <row r="189" spans="1:11">
      <c r="A189" s="1">
        <v>45734</v>
      </c>
      <c r="B189" s="1">
        <v>45734</v>
      </c>
      <c r="C189">
        <v>4.2674352048032249</v>
      </c>
      <c r="D189">
        <v>4.572278423827739</v>
      </c>
      <c r="E189">
        <v>519.6038692317137</v>
      </c>
      <c r="F189">
        <v>37.179453045289605</v>
      </c>
      <c r="G189">
        <v>0.34192722949482457</v>
      </c>
      <c r="H189">
        <v>0.66292371985730114</v>
      </c>
      <c r="I189" s="13">
        <v>0.70231786352277659</v>
      </c>
      <c r="J189">
        <v>20.644023156184314</v>
      </c>
    </row>
    <row r="190" spans="1:11">
      <c r="A190" s="1">
        <v>45735</v>
      </c>
      <c r="B190" s="1">
        <v>45735</v>
      </c>
      <c r="C190">
        <v>4.2662713794562039</v>
      </c>
      <c r="D190">
        <v>4.5654443961510189</v>
      </c>
      <c r="E190">
        <v>522.47536498208126</v>
      </c>
      <c r="F190">
        <v>38.912529309305555</v>
      </c>
      <c r="G190">
        <v>0.34562635376040413</v>
      </c>
      <c r="H190">
        <v>0.50838654595699295</v>
      </c>
      <c r="I190" s="13">
        <v>0.69270909090634969</v>
      </c>
      <c r="J190">
        <v>20.64401980172466</v>
      </c>
    </row>
    <row r="191" spans="1:11">
      <c r="A191" s="1">
        <v>45736</v>
      </c>
      <c r="B191" s="1">
        <v>45736</v>
      </c>
      <c r="C191">
        <v>4.2705239805716202</v>
      </c>
      <c r="D191">
        <v>4.5769883137685055</v>
      </c>
      <c r="E191">
        <v>522.58611055917345</v>
      </c>
      <c r="F191">
        <v>39.514015476447284</v>
      </c>
      <c r="G191">
        <v>0.22857621464816075</v>
      </c>
      <c r="H191">
        <v>0.57103235024587606</v>
      </c>
      <c r="I191" s="13">
        <v>0.69588885829972991</v>
      </c>
      <c r="J191">
        <v>20.644058666861628</v>
      </c>
    </row>
    <row r="192" spans="1:11">
      <c r="A192" s="1">
        <v>45737</v>
      </c>
      <c r="B192" s="1">
        <v>45737</v>
      </c>
      <c r="C192">
        <v>4.260103420275847</v>
      </c>
      <c r="D192">
        <v>4.5694471413289506</v>
      </c>
      <c r="E192">
        <v>519.20488540172448</v>
      </c>
      <c r="F192">
        <v>38.410664876675419</v>
      </c>
      <c r="G192">
        <v>0.36453389607098635</v>
      </c>
      <c r="H192">
        <v>0.55946806251558412</v>
      </c>
      <c r="I192" s="13">
        <v>0.71396938554415534</v>
      </c>
      <c r="J192">
        <v>20.643956387099713</v>
      </c>
    </row>
    <row r="193" spans="1:10">
      <c r="A193" s="1">
        <v>45740</v>
      </c>
      <c r="B193" s="1">
        <v>45740</v>
      </c>
      <c r="C193">
        <v>4.2645674823219855</v>
      </c>
      <c r="D193">
        <v>4.5713291736731687</v>
      </c>
      <c r="E193">
        <v>522.47112582625562</v>
      </c>
      <c r="F193">
        <v>36.160978471508294</v>
      </c>
      <c r="G193">
        <v>0.32945639848990044</v>
      </c>
      <c r="H193">
        <v>0.58843680822345446</v>
      </c>
      <c r="I193" s="13">
        <v>0.69846672404362242</v>
      </c>
      <c r="J193">
        <v>20.644060753178124</v>
      </c>
    </row>
    <row r="194" spans="1:10">
      <c r="A194" s="1">
        <v>45741</v>
      </c>
      <c r="B194" s="1">
        <v>45741</v>
      </c>
      <c r="C194">
        <v>4.2709066802721312</v>
      </c>
      <c r="D194">
        <v>4.5731716034881904</v>
      </c>
      <c r="E194">
        <v>520.55265042493011</v>
      </c>
      <c r="F194">
        <v>38.926970373150702</v>
      </c>
      <c r="G194">
        <v>0.32413503514276659</v>
      </c>
      <c r="H194">
        <v>0.55630344749677796</v>
      </c>
      <c r="I194" s="13">
        <v>0.69976781092534956</v>
      </c>
      <c r="J194">
        <v>20.643919272177911</v>
      </c>
    </row>
    <row r="195" spans="1:10">
      <c r="A195" s="1">
        <v>45742</v>
      </c>
      <c r="B195" s="1">
        <v>45742</v>
      </c>
      <c r="C195">
        <v>4.2650386667122584</v>
      </c>
      <c r="D195">
        <v>4.5689246519490334</v>
      </c>
      <c r="E195">
        <v>520.97434950845854</v>
      </c>
      <c r="F195">
        <v>42.135222683160499</v>
      </c>
      <c r="G195">
        <v>0.31860546410645152</v>
      </c>
      <c r="H195">
        <v>0.60832136568549822</v>
      </c>
      <c r="I195" s="13">
        <v>0.7137924130083485</v>
      </c>
      <c r="J195">
        <v>20.644030907355468</v>
      </c>
    </row>
    <row r="196" spans="1:10">
      <c r="A196" s="1">
        <v>45743</v>
      </c>
      <c r="B196" s="1">
        <v>45743</v>
      </c>
      <c r="C196">
        <v>4.265174275325565</v>
      </c>
      <c r="D196">
        <v>4.5690003096520817</v>
      </c>
      <c r="E196">
        <v>522.22383890520416</v>
      </c>
      <c r="F196">
        <v>39.499950888085536</v>
      </c>
      <c r="G196">
        <v>0.31363145920531627</v>
      </c>
      <c r="H196">
        <v>0.58198829730337731</v>
      </c>
      <c r="I196" s="13">
        <v>0.70190304239279577</v>
      </c>
      <c r="J196">
        <v>20.643986998262871</v>
      </c>
    </row>
    <row r="197" spans="1:10">
      <c r="A197" s="1">
        <v>45744</v>
      </c>
      <c r="B197" s="1">
        <v>45744</v>
      </c>
      <c r="C197">
        <v>4.2633059158039313</v>
      </c>
      <c r="D197">
        <v>4.5701921522792315</v>
      </c>
      <c r="E197">
        <v>522.26817419865097</v>
      </c>
      <c r="F197">
        <v>39.230106236215022</v>
      </c>
      <c r="G197">
        <v>0.3817517345975075</v>
      </c>
      <c r="H197">
        <v>0.60195799218057189</v>
      </c>
      <c r="I197" s="13">
        <v>0.7047031068125823</v>
      </c>
      <c r="J197">
        <v>20.644045443978701</v>
      </c>
    </row>
    <row r="198" spans="1:10">
      <c r="A198" s="1">
        <v>45747</v>
      </c>
      <c r="B198" s="1">
        <v>45747</v>
      </c>
      <c r="C198">
        <v>4.2743137830593811</v>
      </c>
      <c r="D198">
        <v>4.5704656065910862</v>
      </c>
      <c r="E198">
        <v>520.41585784357051</v>
      </c>
      <c r="F198">
        <v>37.672144883307126</v>
      </c>
      <c r="G198">
        <v>0.40592628505479528</v>
      </c>
      <c r="H198">
        <v>0.51641147919064556</v>
      </c>
      <c r="I198" s="13">
        <v>0.69118004363865493</v>
      </c>
      <c r="J198">
        <v>20.644005592961285</v>
      </c>
    </row>
    <row r="199" spans="1:10">
      <c r="A199" s="1">
        <v>45748</v>
      </c>
      <c r="B199" s="1">
        <v>45748</v>
      </c>
      <c r="C199">
        <v>4.2614152758326798</v>
      </c>
      <c r="D199">
        <v>4.5728091667448263</v>
      </c>
      <c r="E199">
        <v>520.39557784709632</v>
      </c>
      <c r="F199">
        <v>37.273830308702372</v>
      </c>
      <c r="G199">
        <v>0.35998083595242825</v>
      </c>
      <c r="H199">
        <v>0.63600456587374699</v>
      </c>
      <c r="I199" s="13">
        <v>0.70525911251257645</v>
      </c>
      <c r="J199">
        <v>20.644073903897425</v>
      </c>
    </row>
    <row r="200" spans="1:10">
      <c r="A200" s="1">
        <v>45749</v>
      </c>
      <c r="B200" s="1">
        <v>45749</v>
      </c>
      <c r="C200">
        <v>4.2705688702311271</v>
      </c>
      <c r="D200">
        <v>4.5647952287066191</v>
      </c>
      <c r="E200">
        <v>522.9725016859835</v>
      </c>
      <c r="F200">
        <v>40.57910926138279</v>
      </c>
      <c r="G200">
        <v>0.33936760274964545</v>
      </c>
      <c r="H200">
        <v>0.67472476646703017</v>
      </c>
      <c r="I200" s="13">
        <v>0.71035911926035067</v>
      </c>
      <c r="J200">
        <v>20.64393014459117</v>
      </c>
    </row>
    <row r="201" spans="1:10">
      <c r="A201" s="1">
        <v>45750</v>
      </c>
      <c r="B201" s="1">
        <v>45750</v>
      </c>
      <c r="C201">
        <v>4.2755987019966089</v>
      </c>
      <c r="D201">
        <v>4.5697749582535154</v>
      </c>
      <c r="E201">
        <v>518.00527875778641</v>
      </c>
      <c r="F201">
        <v>43.851217201868145</v>
      </c>
      <c r="G201">
        <v>0.31627583701827838</v>
      </c>
      <c r="H201">
        <v>0.56710234153798378</v>
      </c>
      <c r="I201" s="13">
        <v>0.70117820165993539</v>
      </c>
      <c r="J201">
        <v>20.644023558379804</v>
      </c>
    </row>
    <row r="202" spans="1:10">
      <c r="A202" s="1">
        <v>45751</v>
      </c>
      <c r="B202" s="1">
        <v>45751</v>
      </c>
      <c r="C202">
        <v>4.2669556782389826</v>
      </c>
      <c r="D202">
        <v>4.570397659037595</v>
      </c>
      <c r="E202">
        <v>521.92028545489893</v>
      </c>
      <c r="F202">
        <v>37.455625606481412</v>
      </c>
      <c r="G202">
        <v>0.2875463957680886</v>
      </c>
      <c r="H202">
        <v>0.62399953347238069</v>
      </c>
      <c r="I202" s="13">
        <v>0.70682535374183986</v>
      </c>
      <c r="J202">
        <v>20.644019950456755</v>
      </c>
    </row>
    <row r="203" spans="1:10">
      <c r="A203" s="1">
        <v>45754</v>
      </c>
      <c r="B203" s="1">
        <v>45754</v>
      </c>
      <c r="C203">
        <v>4.2725710824742356</v>
      </c>
      <c r="D203">
        <v>4.5663481396140808</v>
      </c>
      <c r="E203">
        <v>520.5894088697172</v>
      </c>
      <c r="F203">
        <v>42.343124436103757</v>
      </c>
      <c r="G203">
        <v>0.33049847474126282</v>
      </c>
      <c r="H203">
        <v>0.63676174933383589</v>
      </c>
      <c r="I203" s="13">
        <v>0.7039896752416327</v>
      </c>
      <c r="J203">
        <v>20.643981450224615</v>
      </c>
    </row>
    <row r="204" spans="1:10">
      <c r="A204" s="1">
        <v>45755</v>
      </c>
      <c r="B204" s="1">
        <v>45755</v>
      </c>
      <c r="C204">
        <v>4.2657488380706203</v>
      </c>
      <c r="D204">
        <v>4.5692996869166613</v>
      </c>
      <c r="E204">
        <v>519.90094887880718</v>
      </c>
      <c r="F204">
        <v>39.080311188484039</v>
      </c>
      <c r="G204">
        <v>0.29129874505095682</v>
      </c>
      <c r="H204">
        <v>0.58082883163081422</v>
      </c>
      <c r="I204" s="13">
        <v>0.71857460886941915</v>
      </c>
      <c r="J204">
        <v>20.643971306282719</v>
      </c>
    </row>
    <row r="205" spans="1:10">
      <c r="A205" s="1">
        <v>45756</v>
      </c>
      <c r="B205" s="1">
        <v>45756</v>
      </c>
      <c r="C205">
        <v>4.2757096327323163</v>
      </c>
      <c r="D205">
        <v>4.5696914044939971</v>
      </c>
      <c r="E205">
        <v>519.95654334860626</v>
      </c>
      <c r="F205">
        <v>40.980438811190929</v>
      </c>
      <c r="G205">
        <v>0.33486816243860223</v>
      </c>
      <c r="H205">
        <v>0.72853514988591916</v>
      </c>
      <c r="I205" s="13">
        <v>0.708212886914239</v>
      </c>
      <c r="J205">
        <v>20.643936442014795</v>
      </c>
    </row>
    <row r="206" spans="1:10">
      <c r="A206" s="1">
        <v>45757</v>
      </c>
      <c r="B206" s="1">
        <v>45757</v>
      </c>
      <c r="C206">
        <v>4.2723956853135432</v>
      </c>
      <c r="D206">
        <v>4.5666382785923156</v>
      </c>
      <c r="E206">
        <v>517.84315289754886</v>
      </c>
      <c r="F206">
        <v>39.098899805357966</v>
      </c>
      <c r="G206">
        <v>0.40070212054150994</v>
      </c>
      <c r="H206">
        <v>0.59785865964761098</v>
      </c>
      <c r="I206" s="13">
        <v>0.70541948679489919</v>
      </c>
      <c r="J206">
        <v>20.644081103067158</v>
      </c>
    </row>
    <row r="207" spans="1:10">
      <c r="A207" s="1">
        <v>45758</v>
      </c>
      <c r="B207" s="1">
        <v>45758</v>
      </c>
      <c r="C207">
        <v>4.273568362227639</v>
      </c>
      <c r="D207">
        <v>4.5768770566555359</v>
      </c>
      <c r="E207">
        <v>521.00084169816171</v>
      </c>
      <c r="F207">
        <v>35.669878262774311</v>
      </c>
      <c r="G207">
        <v>0.33170804931894365</v>
      </c>
      <c r="H207">
        <v>0.54417332991811174</v>
      </c>
      <c r="I207" s="13">
        <v>0.70176137687550577</v>
      </c>
      <c r="J207">
        <v>20.644090961173035</v>
      </c>
    </row>
    <row r="208" spans="1:10">
      <c r="A208" s="1">
        <v>45761</v>
      </c>
      <c r="B208" s="1">
        <v>45761</v>
      </c>
      <c r="C208">
        <v>4.26717546999022</v>
      </c>
      <c r="D208">
        <v>4.5773218624140188</v>
      </c>
      <c r="E208">
        <v>523.27661059875618</v>
      </c>
      <c r="F208">
        <v>37.951814442289759</v>
      </c>
      <c r="G208">
        <v>0.40770555465619301</v>
      </c>
      <c r="H208">
        <v>0.66390009648585646</v>
      </c>
      <c r="I208" s="13">
        <v>0.691710366139073</v>
      </c>
      <c r="J208">
        <v>20.644002881265823</v>
      </c>
    </row>
    <row r="209" spans="1:10">
      <c r="A209" s="1">
        <v>45762</v>
      </c>
      <c r="B209" s="1">
        <v>45762</v>
      </c>
      <c r="C209">
        <v>4.2635871342620089</v>
      </c>
      <c r="D209">
        <v>4.5732670392971073</v>
      </c>
      <c r="E209">
        <v>519.1019941119315</v>
      </c>
      <c r="F209">
        <v>41.672692791357818</v>
      </c>
      <c r="G209">
        <v>0.31729927550209264</v>
      </c>
      <c r="H209">
        <v>0.60847040034934019</v>
      </c>
      <c r="I209" s="13">
        <v>0.69173507895209208</v>
      </c>
      <c r="J209">
        <v>20.643999012969765</v>
      </c>
    </row>
    <row r="210" spans="1:10">
      <c r="A210" s="1">
        <v>45763</v>
      </c>
      <c r="B210" s="1">
        <v>45763</v>
      </c>
      <c r="C210">
        <v>4.2677180657609455</v>
      </c>
      <c r="D210">
        <v>4.5691098990437364</v>
      </c>
      <c r="E210">
        <v>519.79213011874265</v>
      </c>
      <c r="F210">
        <v>40.257779805410571</v>
      </c>
      <c r="G210">
        <v>0.34934615060428686</v>
      </c>
      <c r="H210">
        <v>0.54161958928363174</v>
      </c>
      <c r="I210" s="13">
        <v>0.70205105156408665</v>
      </c>
      <c r="J210">
        <v>20.643949062206513</v>
      </c>
    </row>
    <row r="211" spans="1:10">
      <c r="A211" s="1">
        <v>45764</v>
      </c>
      <c r="B211" s="1">
        <v>45764</v>
      </c>
      <c r="C211">
        <v>4.2640587624646917</v>
      </c>
      <c r="D211">
        <v>4.56889428571957</v>
      </c>
      <c r="E211">
        <v>519.04213303766642</v>
      </c>
      <c r="F211">
        <v>40.233589083071443</v>
      </c>
      <c r="G211">
        <v>0.37143792921996138</v>
      </c>
      <c r="H211">
        <v>0.55276642496293615</v>
      </c>
      <c r="I211" s="13">
        <v>0.6997752377071107</v>
      </c>
      <c r="J211">
        <v>20.643990050773031</v>
      </c>
    </row>
    <row r="212" spans="1:10">
      <c r="A212" s="1">
        <v>45765</v>
      </c>
      <c r="B212" s="1">
        <v>45765</v>
      </c>
      <c r="C212">
        <v>4.2683428719586525</v>
      </c>
      <c r="D212">
        <v>4.5730388955926511</v>
      </c>
      <c r="E212">
        <v>521.2438653522762</v>
      </c>
      <c r="F212">
        <v>39.402654572025611</v>
      </c>
      <c r="G212">
        <v>0.37417007941730895</v>
      </c>
      <c r="H212">
        <v>0.59957987676367541</v>
      </c>
      <c r="I212" s="13">
        <v>0.70720131777387385</v>
      </c>
      <c r="J212">
        <v>20.644091608983818</v>
      </c>
    </row>
    <row r="213" spans="1:10">
      <c r="A213" s="1">
        <v>45768</v>
      </c>
      <c r="B213" s="1">
        <v>45768</v>
      </c>
      <c r="C213">
        <v>4.2672874453541301</v>
      </c>
      <c r="D213">
        <v>4.5634481132665075</v>
      </c>
      <c r="E213">
        <v>519.99069557974747</v>
      </c>
      <c r="F213">
        <v>36.781724701447374</v>
      </c>
      <c r="G213">
        <v>0.36009765977357572</v>
      </c>
      <c r="H213">
        <v>0.56285131109355879</v>
      </c>
      <c r="I213" s="13">
        <v>0.70439695062650864</v>
      </c>
      <c r="J213">
        <v>20.643972181152648</v>
      </c>
    </row>
    <row r="214" spans="1:10">
      <c r="A214" s="1">
        <v>45769</v>
      </c>
      <c r="B214" s="1">
        <v>45769</v>
      </c>
      <c r="C214">
        <v>4.2643500730698722</v>
      </c>
      <c r="D214">
        <v>4.5695869537883604</v>
      </c>
      <c r="E214">
        <v>518.98677147448143</v>
      </c>
      <c r="F214">
        <v>38.783904800033028</v>
      </c>
      <c r="G214">
        <v>0.30156582654047209</v>
      </c>
      <c r="H214">
        <v>0.52271443796852812</v>
      </c>
      <c r="I214" s="13">
        <v>0.70088254218667279</v>
      </c>
      <c r="J214">
        <v>20.643942880008623</v>
      </c>
    </row>
    <row r="215" spans="1:10">
      <c r="A215" s="1">
        <v>45770</v>
      </c>
      <c r="B215" s="1">
        <v>45770</v>
      </c>
      <c r="C215">
        <v>4.2710118505959409</v>
      </c>
      <c r="D215">
        <v>4.56838436847152</v>
      </c>
      <c r="E215">
        <v>520.57703395003273</v>
      </c>
      <c r="F215">
        <v>37.040182037063772</v>
      </c>
      <c r="G215">
        <v>0.34640732953539649</v>
      </c>
      <c r="H215">
        <v>0.64285292939327321</v>
      </c>
      <c r="I215" s="13">
        <v>0.69831787607621554</v>
      </c>
      <c r="J215">
        <v>20.644027107376463</v>
      </c>
    </row>
    <row r="216" spans="1:10">
      <c r="A216" s="1">
        <v>45771</v>
      </c>
      <c r="B216" s="1">
        <v>45771</v>
      </c>
      <c r="C216">
        <v>4.2685858041873992</v>
      </c>
      <c r="D216">
        <v>4.5769301337069717</v>
      </c>
      <c r="E216">
        <v>524.98264055185996</v>
      </c>
      <c r="F216">
        <v>41.007438467643283</v>
      </c>
      <c r="G216">
        <v>0.44781711895947446</v>
      </c>
      <c r="H216">
        <v>0.51696703628188234</v>
      </c>
      <c r="I216" s="13">
        <v>0.70468500036009751</v>
      </c>
      <c r="J216">
        <v>20.64406403366457</v>
      </c>
    </row>
    <row r="217" spans="1:10">
      <c r="A217" s="1">
        <v>45772</v>
      </c>
      <c r="B217" s="1">
        <v>45772</v>
      </c>
      <c r="C217">
        <v>4.273132118315103</v>
      </c>
      <c r="D217">
        <v>4.5758363297246625</v>
      </c>
      <c r="E217">
        <v>519.76152644961701</v>
      </c>
      <c r="F217">
        <v>35.919388340784103</v>
      </c>
      <c r="G217">
        <v>0.36109425687469665</v>
      </c>
      <c r="H217">
        <v>0.62334767301192906</v>
      </c>
      <c r="I217" s="13">
        <v>0.69738239999691165</v>
      </c>
      <c r="J217">
        <v>20.644105189824888</v>
      </c>
    </row>
    <row r="218" spans="1:10">
      <c r="A218" s="1">
        <v>45775</v>
      </c>
      <c r="B218" s="1">
        <v>45775</v>
      </c>
      <c r="C218">
        <v>4.2651311158421654</v>
      </c>
      <c r="D218">
        <v>4.5696620460854129</v>
      </c>
      <c r="E218">
        <v>519.25847661918226</v>
      </c>
      <c r="F218">
        <v>39.893904010214833</v>
      </c>
      <c r="G218">
        <v>0.32814451034385778</v>
      </c>
      <c r="H218">
        <v>0.53507823357919271</v>
      </c>
      <c r="I218" s="13">
        <v>0.69474866139558911</v>
      </c>
      <c r="J218">
        <v>20.644041079474327</v>
      </c>
    </row>
    <row r="219" spans="1:10">
      <c r="A219" s="1">
        <v>45776</v>
      </c>
      <c r="B219" s="1">
        <v>45776</v>
      </c>
      <c r="C219">
        <v>4.2631520100172811</v>
      </c>
      <c r="D219">
        <v>4.5710359198156256</v>
      </c>
      <c r="E219">
        <v>520.24181025291227</v>
      </c>
      <c r="F219">
        <v>37.531649267574821</v>
      </c>
      <c r="G219">
        <v>0.37368889631931329</v>
      </c>
      <c r="H219">
        <v>0.52994851339625615</v>
      </c>
      <c r="I219" s="13">
        <v>0.70345538471341773</v>
      </c>
      <c r="J219">
        <v>20.644021603528699</v>
      </c>
    </row>
    <row r="220" spans="1:10">
      <c r="A220" s="1">
        <v>45777</v>
      </c>
      <c r="B220" s="1">
        <v>45777</v>
      </c>
      <c r="C220">
        <v>4.2744488372071405</v>
      </c>
      <c r="D220">
        <v>4.571008535696552</v>
      </c>
      <c r="E220">
        <v>524.36354533128838</v>
      </c>
      <c r="F220">
        <v>36.176039156038556</v>
      </c>
      <c r="G220">
        <v>0.34325332065993802</v>
      </c>
      <c r="H220">
        <v>0.53402577536805462</v>
      </c>
      <c r="I220" s="13">
        <v>0.70549204118930509</v>
      </c>
      <c r="J220">
        <v>20.644094707316711</v>
      </c>
    </row>
    <row r="221" spans="1:10">
      <c r="A221" s="1">
        <v>45778</v>
      </c>
      <c r="B221" s="1">
        <v>45778</v>
      </c>
      <c r="C221">
        <v>4.2722876307779565</v>
      </c>
      <c r="D221">
        <v>4.5688528162118356</v>
      </c>
      <c r="E221">
        <v>520.22345527950222</v>
      </c>
      <c r="F221">
        <v>40.044049970523119</v>
      </c>
      <c r="G221">
        <v>0.34668626216812037</v>
      </c>
      <c r="H221">
        <v>0.5432605142759247</v>
      </c>
      <c r="I221" s="13">
        <v>0.69326844437840929</v>
      </c>
      <c r="J221">
        <v>20.643934105967922</v>
      </c>
    </row>
    <row r="222" spans="1:10">
      <c r="A222" s="1">
        <v>45779</v>
      </c>
      <c r="B222" s="1">
        <v>45779</v>
      </c>
      <c r="C222">
        <v>4.2649058460585643</v>
      </c>
      <c r="D222">
        <v>4.5714492939617175</v>
      </c>
      <c r="E222">
        <v>520.22203215919649</v>
      </c>
      <c r="F222">
        <v>38.773851084829055</v>
      </c>
      <c r="G222">
        <v>0.31222636994924552</v>
      </c>
      <c r="H222">
        <v>0.67307144555155285</v>
      </c>
      <c r="I222" s="13">
        <v>0.69259353273027091</v>
      </c>
      <c r="J222">
        <v>20.64402184029305</v>
      </c>
    </row>
    <row r="223" spans="1:10">
      <c r="A223" s="1">
        <v>45782</v>
      </c>
      <c r="B223" s="1">
        <v>45782</v>
      </c>
      <c r="C223">
        <v>4.2728291611647062</v>
      </c>
      <c r="D223">
        <v>4.5675165776620119</v>
      </c>
      <c r="E223">
        <v>522.33047289395211</v>
      </c>
      <c r="F223">
        <v>39.558560361477248</v>
      </c>
      <c r="G223">
        <v>0.36557603269503541</v>
      </c>
      <c r="H223">
        <v>0.619368781606775</v>
      </c>
      <c r="I223" s="13">
        <v>0.6968626126193278</v>
      </c>
      <c r="J223">
        <v>20.643937853299843</v>
      </c>
    </row>
    <row r="224" spans="1:10">
      <c r="A224" s="1">
        <v>45783</v>
      </c>
      <c r="B224" s="1">
        <v>45783</v>
      </c>
      <c r="C224">
        <v>4.2660311419936328</v>
      </c>
      <c r="D224">
        <v>4.5683884920324394</v>
      </c>
      <c r="E224">
        <v>522.23041122399275</v>
      </c>
      <c r="F224">
        <v>39.385812210782802</v>
      </c>
      <c r="G224">
        <v>0.30322695565060387</v>
      </c>
      <c r="H224">
        <v>0.58919508185756975</v>
      </c>
      <c r="I224" s="13">
        <v>0.70126078140775372</v>
      </c>
      <c r="J224">
        <v>20.643998287565076</v>
      </c>
    </row>
    <row r="225" spans="1:10">
      <c r="A225" s="1">
        <v>45784</v>
      </c>
      <c r="B225" s="1">
        <v>45784</v>
      </c>
      <c r="C225">
        <v>4.271008584621919</v>
      </c>
      <c r="D225">
        <v>4.5695720767793659</v>
      </c>
      <c r="E225">
        <v>524.34735490686467</v>
      </c>
      <c r="F225">
        <v>38.089167352215462</v>
      </c>
      <c r="G225">
        <v>0.43115353733438044</v>
      </c>
      <c r="H225">
        <v>0.55941225006739947</v>
      </c>
      <c r="I225" s="13">
        <v>0.7076982409275584</v>
      </c>
      <c r="J225">
        <v>20.643979126074768</v>
      </c>
    </row>
    <row r="226" spans="1:10">
      <c r="A226" s="1">
        <v>45785</v>
      </c>
      <c r="B226" s="1">
        <v>45785</v>
      </c>
      <c r="C226">
        <v>4.2772188869151151</v>
      </c>
      <c r="D226">
        <v>4.5645128285173975</v>
      </c>
      <c r="E226">
        <v>520.0039799225159</v>
      </c>
      <c r="F226">
        <v>42.557678052500663</v>
      </c>
      <c r="G226">
        <v>0.27329872004100908</v>
      </c>
      <c r="H226">
        <v>0.62116823653291864</v>
      </c>
      <c r="I226" s="13">
        <v>0.7083876354341252</v>
      </c>
      <c r="J226">
        <v>20.643954125071435</v>
      </c>
    </row>
    <row r="227" spans="1:10">
      <c r="A227" s="1">
        <v>45786</v>
      </c>
      <c r="B227" s="1">
        <v>45786</v>
      </c>
      <c r="C227">
        <v>4.2771173485302096</v>
      </c>
      <c r="D227">
        <v>4.5635436730573389</v>
      </c>
      <c r="E227">
        <v>516.17740556405931</v>
      </c>
      <c r="F227">
        <v>43.210591674002835</v>
      </c>
      <c r="G227">
        <v>0.33757285642397494</v>
      </c>
      <c r="H227">
        <v>0.71462805550581576</v>
      </c>
      <c r="I227" s="13">
        <v>0.69892773393687757</v>
      </c>
      <c r="J227">
        <v>20.64395214393074</v>
      </c>
    </row>
    <row r="228" spans="1:10">
      <c r="A228" s="1">
        <v>45789</v>
      </c>
      <c r="B228" s="1">
        <v>45789</v>
      </c>
      <c r="C228">
        <v>4.2658144967955511</v>
      </c>
      <c r="D228">
        <v>4.5747205923405092</v>
      </c>
      <c r="E228">
        <v>517.02581127812323</v>
      </c>
      <c r="F228">
        <v>40.506788506273182</v>
      </c>
      <c r="G228">
        <v>0.3251232882544301</v>
      </c>
      <c r="H228">
        <v>0.71066016553039368</v>
      </c>
      <c r="I228" s="13">
        <v>0.70245003797948047</v>
      </c>
      <c r="J228">
        <v>20.643979847800438</v>
      </c>
    </row>
    <row r="229" spans="1:10">
      <c r="A229" s="1">
        <v>45790</v>
      </c>
      <c r="B229" s="1">
        <v>45790</v>
      </c>
      <c r="C229">
        <v>4.2698108784408779</v>
      </c>
      <c r="D229">
        <v>4.5676948022756445</v>
      </c>
      <c r="E229">
        <v>517.08807566437349</v>
      </c>
      <c r="F229">
        <v>37.735710438504327</v>
      </c>
      <c r="G229">
        <v>0.40056952516513233</v>
      </c>
      <c r="H229">
        <v>0.55609276895784121</v>
      </c>
      <c r="I229" s="13">
        <v>0.70292556180714649</v>
      </c>
      <c r="J229">
        <v>20.643896344782497</v>
      </c>
    </row>
    <row r="230" spans="1:10">
      <c r="A230" s="1">
        <v>45791</v>
      </c>
      <c r="B230" s="1">
        <v>45791</v>
      </c>
      <c r="C230">
        <v>4.2695171570387922</v>
      </c>
      <c r="D230">
        <v>4.5727990779051604</v>
      </c>
      <c r="E230">
        <v>524.34508297088473</v>
      </c>
      <c r="F230">
        <v>39.676773257945989</v>
      </c>
      <c r="G230">
        <v>0.41151691131971224</v>
      </c>
      <c r="H230">
        <v>0.56340371789215649</v>
      </c>
      <c r="I230" s="13">
        <v>0.70014033643402529</v>
      </c>
      <c r="J230">
        <v>20.644045153002029</v>
      </c>
    </row>
    <row r="231" spans="1:10">
      <c r="A231" s="1">
        <v>45792</v>
      </c>
      <c r="B231" s="1">
        <v>45792</v>
      </c>
      <c r="C231">
        <v>4.2655704656464755</v>
      </c>
      <c r="D231">
        <v>4.567916582309155</v>
      </c>
      <c r="E231">
        <v>517.79658468973264</v>
      </c>
      <c r="F231">
        <v>35.821449118182933</v>
      </c>
      <c r="G231">
        <v>0.32848046430679301</v>
      </c>
      <c r="H231">
        <v>0.5664082638304716</v>
      </c>
      <c r="I231" s="13">
        <v>0.70054254218866463</v>
      </c>
      <c r="J231">
        <v>20.644026009489071</v>
      </c>
    </row>
    <row r="232" spans="1:10">
      <c r="A232" s="1">
        <v>45793</v>
      </c>
      <c r="B232" s="1">
        <v>45793</v>
      </c>
      <c r="C232">
        <v>4.2658092797785256</v>
      </c>
      <c r="D232">
        <v>4.5651146969510323</v>
      </c>
      <c r="E232">
        <v>524.38317474849282</v>
      </c>
      <c r="F232">
        <v>39.981894920128397</v>
      </c>
      <c r="G232">
        <v>0.32899139214332385</v>
      </c>
      <c r="H232">
        <v>0.56532692020354547</v>
      </c>
      <c r="I232" s="13">
        <v>0.70099192569230417</v>
      </c>
      <c r="J232">
        <v>20.644001692848359</v>
      </c>
    </row>
    <row r="233" spans="1:10">
      <c r="A233" s="1">
        <v>45796</v>
      </c>
      <c r="B233" s="1">
        <v>45796</v>
      </c>
      <c r="C233">
        <v>4.267909953484347</v>
      </c>
      <c r="D233">
        <v>4.5716322794397035</v>
      </c>
      <c r="E233">
        <v>522.4883347291792</v>
      </c>
      <c r="F233">
        <v>40.722321216549886</v>
      </c>
      <c r="G233">
        <v>0.37241309360536246</v>
      </c>
      <c r="H233">
        <v>0.63651141349753215</v>
      </c>
      <c r="I233" s="13">
        <v>0.70613504676800476</v>
      </c>
      <c r="J233">
        <v>20.644044571786843</v>
      </c>
    </row>
    <row r="234" spans="1:10">
      <c r="A234" s="1">
        <v>45797</v>
      </c>
      <c r="B234" s="1">
        <v>45797</v>
      </c>
      <c r="C234">
        <v>4.2691610331323382</v>
      </c>
      <c r="D234">
        <v>4.5729910757946488</v>
      </c>
      <c r="E234">
        <v>521.52001062856675</v>
      </c>
      <c r="F234">
        <v>41.844101454272916</v>
      </c>
      <c r="G234">
        <v>0.23786615290068058</v>
      </c>
      <c r="H234">
        <v>0.63341846343594421</v>
      </c>
      <c r="I234" s="13">
        <v>0.69840701584097242</v>
      </c>
      <c r="J234">
        <v>20.644015075895112</v>
      </c>
    </row>
    <row r="235" spans="1:10">
      <c r="A235" s="1">
        <v>45798</v>
      </c>
      <c r="B235" s="1">
        <v>45798</v>
      </c>
      <c r="C235">
        <v>4.2633510769190712</v>
      </c>
      <c r="D235">
        <v>4.5689311917300888</v>
      </c>
      <c r="E235">
        <v>520.26654810801972</v>
      </c>
      <c r="F235">
        <v>40.926436743997677</v>
      </c>
      <c r="G235">
        <v>0.33297658091716414</v>
      </c>
      <c r="H235">
        <v>0.51337323511712973</v>
      </c>
      <c r="I235" s="13">
        <v>0.70924115798016207</v>
      </c>
      <c r="J235">
        <v>20.644042182376619</v>
      </c>
    </row>
    <row r="236" spans="1:10">
      <c r="A236" s="1">
        <v>45799</v>
      </c>
      <c r="B236" s="1">
        <v>45799</v>
      </c>
      <c r="C236">
        <v>4.2756255549890465</v>
      </c>
      <c r="D236">
        <v>4.5760828746320961</v>
      </c>
      <c r="E236">
        <v>521.01786380406941</v>
      </c>
      <c r="F236">
        <v>39.450200950834407</v>
      </c>
      <c r="G236">
        <v>0.33545333365602559</v>
      </c>
      <c r="H236">
        <v>0.56023823070422429</v>
      </c>
      <c r="I236" s="13">
        <v>0.70171060129997376</v>
      </c>
      <c r="J236">
        <v>20.644103503672738</v>
      </c>
    </row>
    <row r="237" spans="1:10">
      <c r="A237" s="1">
        <v>45800</v>
      </c>
      <c r="B237" s="1">
        <v>45800</v>
      </c>
      <c r="C237">
        <v>4.2599725068780829</v>
      </c>
      <c r="D237">
        <v>4.5755341187947449</v>
      </c>
      <c r="E237">
        <v>519.88482972527436</v>
      </c>
      <c r="F237">
        <v>41.3207428742773</v>
      </c>
      <c r="G237">
        <v>0.3880671550042169</v>
      </c>
      <c r="H237">
        <v>0.54519317266977563</v>
      </c>
      <c r="I237" s="13">
        <v>0.70094931876508093</v>
      </c>
      <c r="J237">
        <v>20.643985780200389</v>
      </c>
    </row>
    <row r="238" spans="1:10">
      <c r="A238" s="1">
        <v>45803</v>
      </c>
      <c r="B238" s="1">
        <v>45803</v>
      </c>
      <c r="C238">
        <v>4.2678040845968361</v>
      </c>
      <c r="D238">
        <v>4.562875610342207</v>
      </c>
      <c r="E238">
        <v>523.54568626803086</v>
      </c>
      <c r="F238">
        <v>37.639356372696341</v>
      </c>
      <c r="G238">
        <v>0.3039295106865883</v>
      </c>
      <c r="H238">
        <v>0.71427586269907617</v>
      </c>
      <c r="I238" s="13">
        <v>0.70255380851374294</v>
      </c>
      <c r="J238">
        <v>20.644052594902345</v>
      </c>
    </row>
    <row r="239" spans="1:10">
      <c r="A239" s="1">
        <v>45804</v>
      </c>
      <c r="B239" s="1">
        <v>45804</v>
      </c>
      <c r="C239">
        <v>4.2747562277540965</v>
      </c>
      <c r="D239">
        <v>4.5675667862222156</v>
      </c>
      <c r="E239">
        <v>521.2428673231276</v>
      </c>
      <c r="F239">
        <v>40.935717192134952</v>
      </c>
      <c r="G239">
        <v>0.29724535973536864</v>
      </c>
      <c r="H239">
        <v>0.63057698206890489</v>
      </c>
      <c r="I239" s="13">
        <v>0.71300194651683313</v>
      </c>
      <c r="J239">
        <v>20.644014808083288</v>
      </c>
    </row>
    <row r="240" spans="1:10">
      <c r="A240" s="1">
        <v>45805</v>
      </c>
      <c r="B240" s="1">
        <v>45805</v>
      </c>
      <c r="C240">
        <v>4.2631243297444437</v>
      </c>
      <c r="D240">
        <v>4.5692154389975279</v>
      </c>
      <c r="E240">
        <v>518.51675979731203</v>
      </c>
      <c r="F240">
        <v>41.562210976391491</v>
      </c>
      <c r="G240">
        <v>0.30025419925430141</v>
      </c>
      <c r="H240">
        <v>0.61930069937563259</v>
      </c>
      <c r="I240" s="13">
        <v>0.70402800110792285</v>
      </c>
      <c r="J240">
        <v>20.643993572238028</v>
      </c>
    </row>
    <row r="241" spans="1:10">
      <c r="A241" s="1">
        <v>45806</v>
      </c>
      <c r="B241" s="1">
        <v>45806</v>
      </c>
      <c r="C241">
        <v>4.2717990648098239</v>
      </c>
      <c r="D241">
        <v>4.5698484897333085</v>
      </c>
      <c r="E241">
        <v>521.16336622125004</v>
      </c>
      <c r="F241">
        <v>37.288232133374798</v>
      </c>
      <c r="G241">
        <v>0.43033612761513268</v>
      </c>
      <c r="H241">
        <v>0.55130380703840709</v>
      </c>
      <c r="I241" s="13">
        <v>0.71228077293906034</v>
      </c>
      <c r="J241">
        <v>20.643976283872945</v>
      </c>
    </row>
    <row r="242" spans="1:10">
      <c r="A242" s="1">
        <v>45807</v>
      </c>
      <c r="B242" s="1">
        <v>45807</v>
      </c>
      <c r="C242">
        <v>4.2704933527230882</v>
      </c>
      <c r="D242">
        <v>4.5613708219090947</v>
      </c>
      <c r="E242">
        <v>519.70471947766328</v>
      </c>
      <c r="F242">
        <v>39.46815274371734</v>
      </c>
      <c r="G242">
        <v>0.33039782107276888</v>
      </c>
      <c r="H242">
        <v>0.60877696755750854</v>
      </c>
      <c r="I242" s="13">
        <v>0.69236547849858499</v>
      </c>
      <c r="J242">
        <v>20.643921817136551</v>
      </c>
    </row>
    <row r="243" spans="1:10">
      <c r="A243" s="1">
        <v>45810</v>
      </c>
      <c r="B243" s="1">
        <v>45810</v>
      </c>
      <c r="C243">
        <v>4.27109009693514</v>
      </c>
      <c r="D243">
        <v>4.5723969210336204</v>
      </c>
      <c r="E243">
        <v>521.41621541785685</v>
      </c>
      <c r="F243">
        <v>37.995963111145265</v>
      </c>
      <c r="G243">
        <v>0.33584716512965151</v>
      </c>
      <c r="H243">
        <v>0.74490865712583354</v>
      </c>
      <c r="I243" s="13">
        <v>0.69710322906355537</v>
      </c>
      <c r="J243">
        <v>20.644038857321554</v>
      </c>
    </row>
    <row r="244" spans="1:10">
      <c r="A244" s="1">
        <v>45811</v>
      </c>
      <c r="B244" s="1">
        <v>45811</v>
      </c>
      <c r="C244">
        <v>4.2703758451395837</v>
      </c>
      <c r="D244">
        <v>4.5626847347313753</v>
      </c>
      <c r="E244">
        <v>518.70849203065177</v>
      </c>
      <c r="F244">
        <v>42.502933645586495</v>
      </c>
      <c r="G244">
        <v>0.38371920812562549</v>
      </c>
      <c r="H244">
        <v>0.63160281204935564</v>
      </c>
      <c r="I244" s="13">
        <v>0.69306227200732851</v>
      </c>
      <c r="J244">
        <v>20.64413698492864</v>
      </c>
    </row>
    <row r="245" spans="1:10">
      <c r="A245" s="1">
        <v>45812</v>
      </c>
      <c r="B245" s="1">
        <v>45812</v>
      </c>
      <c r="C245">
        <v>4.268330881035225</v>
      </c>
      <c r="D245">
        <v>4.5713658392535166</v>
      </c>
      <c r="E245">
        <v>523.68784639607452</v>
      </c>
      <c r="F245">
        <v>40.960349842680898</v>
      </c>
      <c r="G245">
        <v>0.34004605042347869</v>
      </c>
      <c r="H245">
        <v>0.60482699062334766</v>
      </c>
      <c r="I245" s="13">
        <v>0.71156071635390505</v>
      </c>
      <c r="J245">
        <v>20.643970050226457</v>
      </c>
    </row>
    <row r="246" spans="1:10">
      <c r="A246" s="1">
        <v>45813</v>
      </c>
      <c r="B246" s="1">
        <v>45813</v>
      </c>
      <c r="C246">
        <v>4.2677143643826021</v>
      </c>
      <c r="D246">
        <v>4.561952101870359</v>
      </c>
      <c r="E246">
        <v>521.1455090839994</v>
      </c>
      <c r="F246">
        <v>40.190562709291015</v>
      </c>
      <c r="G246">
        <v>0.34721928992339512</v>
      </c>
      <c r="H246">
        <v>0.63033200493245656</v>
      </c>
      <c r="I246" s="13">
        <v>0.70141377580827069</v>
      </c>
      <c r="J246">
        <v>20.644030061480422</v>
      </c>
    </row>
    <row r="247" spans="1:10">
      <c r="A247" s="1">
        <v>45814</v>
      </c>
      <c r="B247" s="1">
        <v>45814</v>
      </c>
      <c r="C247">
        <v>4.2657725384267184</v>
      </c>
      <c r="D247">
        <v>4.5674627814150854</v>
      </c>
      <c r="E247">
        <v>518.76380940184026</v>
      </c>
      <c r="F247">
        <v>39.551106693914065</v>
      </c>
      <c r="G247">
        <v>0.34062992053712382</v>
      </c>
      <c r="H247">
        <v>0.53343627950334005</v>
      </c>
      <c r="I247" s="13">
        <v>0.70130541085154141</v>
      </c>
      <c r="J247">
        <v>20.644018123068491</v>
      </c>
    </row>
    <row r="248" spans="1:10">
      <c r="A248" s="1">
        <v>45817</v>
      </c>
      <c r="B248" s="1">
        <v>45817</v>
      </c>
      <c r="C248">
        <v>4.27372289736011</v>
      </c>
      <c r="D248">
        <v>4.5704505638044068</v>
      </c>
      <c r="E248">
        <v>518.97307200881949</v>
      </c>
      <c r="F248">
        <v>37.563342582756512</v>
      </c>
      <c r="G248">
        <v>0.32020924793468686</v>
      </c>
      <c r="H248">
        <v>0.60298279511889963</v>
      </c>
      <c r="I248" s="13">
        <v>0.71106095025184013</v>
      </c>
      <c r="J248">
        <v>20.644048590287991</v>
      </c>
    </row>
    <row r="249" spans="1:10">
      <c r="A249" s="1">
        <v>45818</v>
      </c>
      <c r="B249" s="1">
        <v>45818</v>
      </c>
      <c r="C249">
        <v>4.2701679506813388</v>
      </c>
      <c r="D249">
        <v>4.572218069184439</v>
      </c>
      <c r="E249">
        <v>520.23322780911349</v>
      </c>
      <c r="F249">
        <v>39.584806114897958</v>
      </c>
      <c r="G249">
        <v>0.2882349463719398</v>
      </c>
      <c r="H249">
        <v>0.62515609935418492</v>
      </c>
      <c r="I249" s="13">
        <v>0.70224568459786096</v>
      </c>
      <c r="J249">
        <v>20.643954774843603</v>
      </c>
    </row>
    <row r="250" spans="1:10">
      <c r="A250" s="1">
        <v>45819</v>
      </c>
      <c r="B250" s="1">
        <v>45819</v>
      </c>
      <c r="C250">
        <v>4.2682194959048418</v>
      </c>
      <c r="D250">
        <v>4.5743834408745938</v>
      </c>
      <c r="E250">
        <v>517.17469611028957</v>
      </c>
      <c r="F250">
        <v>40.732808208243057</v>
      </c>
      <c r="G250">
        <v>0.31434483710350319</v>
      </c>
      <c r="H250">
        <v>0.58919051756508201</v>
      </c>
      <c r="I250" s="13">
        <v>0.69119315275574222</v>
      </c>
      <c r="J250">
        <v>20.643944658449001</v>
      </c>
    </row>
    <row r="251" spans="1:10">
      <c r="A251" s="1">
        <v>45820</v>
      </c>
      <c r="B251" s="1">
        <v>45820</v>
      </c>
      <c r="C251">
        <v>4.2718714154532913</v>
      </c>
      <c r="D251">
        <v>4.5650057622793998</v>
      </c>
      <c r="E251">
        <v>519.65053876971751</v>
      </c>
      <c r="F251">
        <v>38.027323137726427</v>
      </c>
      <c r="G251">
        <v>0.42933774336728014</v>
      </c>
      <c r="H251">
        <v>0.61849107454625984</v>
      </c>
      <c r="I251" s="13">
        <v>0.71074553361536763</v>
      </c>
      <c r="J251">
        <v>20.643989529929197</v>
      </c>
    </row>
    <row r="252" spans="1:10">
      <c r="A252" s="1">
        <v>45821</v>
      </c>
      <c r="B252" s="1">
        <v>45821</v>
      </c>
      <c r="C252">
        <v>4.2704308216809919</v>
      </c>
      <c r="D252">
        <v>4.5676107892561655</v>
      </c>
      <c r="E252">
        <v>518.99841319387986</v>
      </c>
      <c r="F252">
        <v>41.168082186377006</v>
      </c>
      <c r="G252">
        <v>0.37496330875378547</v>
      </c>
      <c r="H252">
        <v>0.63231329159548799</v>
      </c>
      <c r="I252" s="13">
        <v>0.70271095240972481</v>
      </c>
      <c r="J252">
        <v>20.644024291325927</v>
      </c>
    </row>
    <row r="253" spans="1:10">
      <c r="A253" s="1">
        <v>45824</v>
      </c>
      <c r="B253" s="1">
        <v>45824</v>
      </c>
      <c r="C253">
        <v>4.2663704976610655</v>
      </c>
      <c r="D253">
        <v>4.5663381004363242</v>
      </c>
      <c r="E253">
        <v>517.63903403193115</v>
      </c>
      <c r="F253">
        <v>38.403634612233411</v>
      </c>
      <c r="G253">
        <v>0.35138462125039216</v>
      </c>
      <c r="H253">
        <v>0.6533375675153078</v>
      </c>
      <c r="I253" s="13">
        <v>0.70350330280725459</v>
      </c>
      <c r="J253">
        <v>20.643971991186444</v>
      </c>
    </row>
    <row r="254" spans="1:10">
      <c r="A254" s="1">
        <v>45825</v>
      </c>
      <c r="B254" s="1">
        <v>45825</v>
      </c>
      <c r="C254">
        <v>4.2720860197248722</v>
      </c>
      <c r="D254">
        <v>4.5584858584710206</v>
      </c>
      <c r="E254">
        <v>521.2699990737367</v>
      </c>
      <c r="F254">
        <v>41.050700994210054</v>
      </c>
      <c r="G254">
        <v>0.32556632885064851</v>
      </c>
      <c r="H254">
        <v>0.59327144588679326</v>
      </c>
      <c r="I254" s="13">
        <v>0.68932753093964994</v>
      </c>
      <c r="J254">
        <v>20.643991800534501</v>
      </c>
    </row>
    <row r="255" spans="1:10">
      <c r="A255" s="1">
        <v>45826</v>
      </c>
      <c r="B255" s="1">
        <v>45826</v>
      </c>
      <c r="C255">
        <v>4.2746622754308516</v>
      </c>
      <c r="D255">
        <v>4.5657341404783072</v>
      </c>
      <c r="E255">
        <v>517.54250721749531</v>
      </c>
      <c r="F255">
        <v>43.471016281971451</v>
      </c>
      <c r="G255">
        <v>0.29613875864166206</v>
      </c>
      <c r="H255">
        <v>0.50419343464167943</v>
      </c>
      <c r="I255" s="13">
        <v>0.71000398617192217</v>
      </c>
      <c r="J255">
        <v>20.64400133732866</v>
      </c>
    </row>
    <row r="256" spans="1:10">
      <c r="A256" s="1">
        <v>45827</v>
      </c>
      <c r="B256" s="1">
        <v>45827</v>
      </c>
      <c r="C256">
        <v>4.2666570655152078</v>
      </c>
      <c r="D256">
        <v>4.5616394639083424</v>
      </c>
      <c r="E256">
        <v>522.15271714227003</v>
      </c>
      <c r="F256">
        <v>37.332223013641915</v>
      </c>
      <c r="G256">
        <v>0.34984004448693978</v>
      </c>
      <c r="H256">
        <v>0.57507568188325542</v>
      </c>
      <c r="I256" s="13">
        <v>0.70047730556527255</v>
      </c>
      <c r="J256">
        <v>20.644097151191776</v>
      </c>
    </row>
    <row r="257" spans="1:10">
      <c r="A257" s="1">
        <v>45828</v>
      </c>
      <c r="B257" s="1">
        <v>45828</v>
      </c>
      <c r="C257">
        <v>4.2658497472839194</v>
      </c>
      <c r="D257">
        <v>4.5699953621881146</v>
      </c>
      <c r="E257">
        <v>517.35469825482051</v>
      </c>
      <c r="F257">
        <v>41.958283829086767</v>
      </c>
      <c r="G257">
        <v>0.33745074601574315</v>
      </c>
      <c r="H257">
        <v>0.70007282352701905</v>
      </c>
      <c r="I257" s="13">
        <v>0.70960472107592498</v>
      </c>
      <c r="J257">
        <v>20.644030414302811</v>
      </c>
    </row>
    <row r="258" spans="1:10">
      <c r="A258" s="1">
        <v>45831</v>
      </c>
      <c r="B258" s="1">
        <v>45831</v>
      </c>
      <c r="C258">
        <v>4.2738942205933839</v>
      </c>
      <c r="D258">
        <v>4.5688942905517118</v>
      </c>
      <c r="E258">
        <v>521.86289343637213</v>
      </c>
      <c r="F258">
        <v>37.836871177524856</v>
      </c>
      <c r="G258">
        <v>0.360997856248293</v>
      </c>
      <c r="H258">
        <v>0.53960993451012629</v>
      </c>
      <c r="I258" s="13">
        <v>0.70655641294964844</v>
      </c>
      <c r="J258">
        <v>20.64404248622759</v>
      </c>
    </row>
    <row r="259" spans="1:10">
      <c r="A259" s="1">
        <v>45832</v>
      </c>
      <c r="B259" s="1">
        <v>45832</v>
      </c>
      <c r="C259">
        <v>4.2720529396334781</v>
      </c>
      <c r="D259">
        <v>4.5649824926207634</v>
      </c>
      <c r="E259">
        <v>521.95363356873929</v>
      </c>
      <c r="F259">
        <v>41.652045224598133</v>
      </c>
      <c r="G259">
        <v>0.49756926385952815</v>
      </c>
      <c r="H259">
        <v>0.59342953141320609</v>
      </c>
      <c r="I259" s="13">
        <v>0.69963079771558512</v>
      </c>
      <c r="J259">
        <v>20.64398658750045</v>
      </c>
    </row>
    <row r="260" spans="1:10">
      <c r="A260" s="1">
        <v>45833</v>
      </c>
      <c r="B260" s="1">
        <v>45833</v>
      </c>
      <c r="C260">
        <v>4.275736042568556</v>
      </c>
      <c r="D260">
        <v>4.5709123795051791</v>
      </c>
      <c r="E260">
        <v>519.06353689441266</v>
      </c>
      <c r="F260">
        <v>42.148085112426173</v>
      </c>
      <c r="G260">
        <v>0.3771248370937122</v>
      </c>
      <c r="H260">
        <v>0.59230042929955051</v>
      </c>
      <c r="I260" s="13">
        <v>0.6959706516164833</v>
      </c>
      <c r="J260">
        <v>20.643999934932477</v>
      </c>
    </row>
    <row r="261" spans="1:10">
      <c r="A261" s="1">
        <v>45834</v>
      </c>
      <c r="B261" s="1">
        <v>45834</v>
      </c>
      <c r="C261">
        <v>4.2710399827175163</v>
      </c>
      <c r="D261">
        <v>4.564199765846098</v>
      </c>
      <c r="E261">
        <v>521.1770030286217</v>
      </c>
      <c r="F261">
        <v>39.68334112223495</v>
      </c>
      <c r="G261">
        <v>0.47980585128239905</v>
      </c>
      <c r="H261">
        <v>0.6333103031083307</v>
      </c>
      <c r="I261" s="13">
        <v>0.70472200927632644</v>
      </c>
      <c r="J261">
        <v>20.64401950838235</v>
      </c>
    </row>
    <row r="262" spans="1:10">
      <c r="A262" s="1">
        <v>45835</v>
      </c>
      <c r="B262" s="1">
        <v>45835</v>
      </c>
      <c r="C262">
        <v>4.2712069782298245</v>
      </c>
      <c r="D262">
        <v>4.5716680468525075</v>
      </c>
      <c r="E262">
        <v>521.85043522624255</v>
      </c>
      <c r="F262">
        <v>40.823039413202039</v>
      </c>
      <c r="G262">
        <v>0.35692064698278664</v>
      </c>
      <c r="H262">
        <v>0.58703664122126509</v>
      </c>
      <c r="I262" s="13">
        <v>0.69280125859219643</v>
      </c>
      <c r="J262">
        <v>20.644007208145943</v>
      </c>
    </row>
    <row r="263" spans="1:10">
      <c r="A263" s="1">
        <v>45838</v>
      </c>
      <c r="B263" s="1">
        <v>45838</v>
      </c>
      <c r="C263">
        <v>4.2660029426908439</v>
      </c>
      <c r="D263">
        <v>4.5702641894488396</v>
      </c>
      <c r="E263">
        <v>519.28942580272758</v>
      </c>
      <c r="F263">
        <v>41.554980710459162</v>
      </c>
      <c r="G263">
        <v>0.24184790745715706</v>
      </c>
      <c r="H263">
        <v>0.57001071111992629</v>
      </c>
      <c r="I263" s="13">
        <v>0.7082136004516506</v>
      </c>
      <c r="J263">
        <v>20.644057560977341</v>
      </c>
    </row>
  </sheetData>
  <mergeCells count="3">
    <mergeCell ref="C1:F1"/>
    <mergeCell ref="K1:R1"/>
    <mergeCell ref="K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FD41C-20D1-45B8-9F5A-4479BA7BEE78}">
  <dimension ref="A1:J263"/>
  <sheetViews>
    <sheetView workbookViewId="0">
      <pane ySplit="2" topLeftCell="A3" activePane="bottomLeft" state="frozen"/>
      <selection pane="bottomLeft" activeCell="G1" sqref="G1:J2"/>
    </sheetView>
  </sheetViews>
  <sheetFormatPr defaultColWidth="14.36328125" defaultRowHeight="14.5"/>
  <cols>
    <col min="2" max="2" width="10.453125" style="1" customWidth="1"/>
    <col min="3" max="4" width="18.81640625" customWidth="1"/>
    <col min="5" max="5" width="15.7265625" customWidth="1"/>
    <col min="7" max="8" width="10.54296875" customWidth="1"/>
    <col min="9" max="9" width="17.453125" customWidth="1"/>
    <col min="10" max="10" width="18.7265625" customWidth="1"/>
  </cols>
  <sheetData>
    <row r="1" spans="1:10">
      <c r="C1" s="18" t="s">
        <v>63</v>
      </c>
      <c r="D1" s="18"/>
      <c r="E1" s="18"/>
      <c r="F1" s="18"/>
      <c r="G1" t="s">
        <v>64</v>
      </c>
      <c r="H1" t="s">
        <v>65</v>
      </c>
      <c r="I1" t="s">
        <v>66</v>
      </c>
      <c r="J1" t="s">
        <v>64</v>
      </c>
    </row>
    <row r="2" spans="1:10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</row>
    <row r="3" spans="1:10">
      <c r="A3" s="1">
        <v>45474</v>
      </c>
      <c r="B3" s="1" cm="1">
        <f t="array" ref="B3">_xlfn._xlws.FILTER(A3, WEEKDAY(A3, 2) &lt;= 5)</f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0.1693000030517578</v>
      </c>
      <c r="J3">
        <v>20.644002405101538</v>
      </c>
    </row>
    <row r="4" spans="1:10">
      <c r="A4" s="1">
        <v>45475</v>
      </c>
      <c r="B4" s="1" cm="1">
        <f t="array" ref="B4">_xlfn._xlws.FILTER(A4, WEEKDAY(A4, 2) &lt;= 5)</f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0.66683918678009313</v>
      </c>
      <c r="I4">
        <v>0.17030000686645511</v>
      </c>
      <c r="J4">
        <v>20.644055932511211</v>
      </c>
    </row>
    <row r="5" spans="1:10">
      <c r="A5" s="1">
        <v>45476</v>
      </c>
      <c r="B5" s="1" cm="1">
        <f t="array" ref="B5">_xlfn._xlws.FILTER(A5, WEEKDAY(A5, 2) &lt;= 5)</f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0.57386830467479677</v>
      </c>
      <c r="I5">
        <v>0.17120000839233401</v>
      </c>
      <c r="J5">
        <v>20.644002092841365</v>
      </c>
    </row>
    <row r="6" spans="1:10">
      <c r="A6" s="1">
        <v>45477</v>
      </c>
      <c r="B6" s="1" cm="1">
        <f t="array" ref="B6">_xlfn._xlws.FILTER(A6, WEEKDAY(A6, 2) &lt;= 5)</f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0.55415584496385106</v>
      </c>
      <c r="I6">
        <v>0.17989999771118159</v>
      </c>
      <c r="J6">
        <v>20.643982266387258</v>
      </c>
    </row>
    <row r="7" spans="1:10">
      <c r="A7" s="1">
        <v>45478</v>
      </c>
      <c r="B7" s="1" cm="1">
        <f t="array" ref="B7">_xlfn._xlws.FILTER(A7, WEEKDAY(A7, 2) &lt;= 5)</f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</v>
      </c>
      <c r="H7">
        <v>0.70278174603160293</v>
      </c>
      <c r="I7">
        <v>0.16870000839233401</v>
      </c>
      <c r="J7">
        <v>20.643926472272973</v>
      </c>
    </row>
    <row r="8" spans="1:10">
      <c r="A8" s="1">
        <v>45481</v>
      </c>
      <c r="B8" s="1" cm="1">
        <f t="array" ref="B8">_xlfn._xlws.FILTER(A8, WEEKDAY(A8, 2) &lt;= 5)</f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0.52</v>
      </c>
      <c r="H8">
        <v>0.69285183625186297</v>
      </c>
      <c r="I8">
        <v>0.17209999084472699</v>
      </c>
      <c r="J8">
        <v>20.643945132120972</v>
      </c>
    </row>
    <row r="9" spans="1:10">
      <c r="A9" s="1">
        <v>45482</v>
      </c>
      <c r="B9" s="1" cm="1">
        <f t="array" ref="B9">_xlfn._xlws.FILTER(A9, WEEKDAY(A9, 2) &lt;= 5)</f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0.52</v>
      </c>
      <c r="H9">
        <v>0.621093074066142</v>
      </c>
      <c r="I9">
        <v>0.18530000686645509</v>
      </c>
      <c r="J9">
        <v>20.64401889379312</v>
      </c>
    </row>
    <row r="10" spans="1:10">
      <c r="A10" s="1">
        <v>45483</v>
      </c>
      <c r="B10" s="1" cm="1">
        <f t="array" ref="B10">_xlfn._xlws.FILTER(A10, WEEKDAY(A10, 2) &lt;= 5)</f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0.62999664878446027</v>
      </c>
      <c r="I10">
        <v>0.2003000068664551</v>
      </c>
      <c r="J10">
        <v>20.644012196529484</v>
      </c>
    </row>
    <row r="11" spans="1:10">
      <c r="A11" s="1">
        <v>45484</v>
      </c>
      <c r="B11" s="1" cm="1">
        <f t="array" ref="B11">_xlfn._xlws.FILTER(A11, WEEKDAY(A11, 2) &lt;= 5)</f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0.6105303019955014</v>
      </c>
      <c r="I11">
        <v>0.1913999938964844</v>
      </c>
      <c r="J11">
        <v>20.643939509216022</v>
      </c>
    </row>
    <row r="12" spans="1:10">
      <c r="A12" s="1">
        <v>45485</v>
      </c>
      <c r="B12" s="1" cm="1">
        <f t="array" ref="B12">_xlfn._xlws.FILTER(A12, WEEKDAY(A12, 2) &lt;= 5)</f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0.62792873634441904</v>
      </c>
      <c r="I12">
        <v>0.1795000076293945</v>
      </c>
      <c r="J12">
        <v>20.644027472674146</v>
      </c>
    </row>
    <row r="13" spans="1:10">
      <c r="A13" s="1">
        <v>45488</v>
      </c>
      <c r="B13" s="1" cm="1">
        <f t="array" ref="B13">_xlfn._xlws.FILTER(A13, WEEKDAY(A13, 2) &lt;= 5)</f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0.48</v>
      </c>
      <c r="H13">
        <v>0.68700411403614692</v>
      </c>
      <c r="I13">
        <v>0.15649999618530269</v>
      </c>
      <c r="J13">
        <v>20.643980331871433</v>
      </c>
    </row>
    <row r="14" spans="1:10">
      <c r="A14" s="1">
        <v>45489</v>
      </c>
      <c r="B14" s="1" cm="1">
        <f t="array" ref="B14">_xlfn._xlws.FILTER(A14, WEEKDAY(A14, 2) &lt;= 5)</f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</v>
      </c>
      <c r="H14">
        <v>0.54610545978927516</v>
      </c>
      <c r="I14">
        <v>0.1460000038146973</v>
      </c>
      <c r="J14">
        <v>20.643987235494897</v>
      </c>
    </row>
    <row r="15" spans="1:10">
      <c r="A15" s="1">
        <v>45490</v>
      </c>
      <c r="B15" s="1" cm="1">
        <f t="array" ref="B15">_xlfn._xlws.FILTER(A15, WEEKDAY(A15, 2) &lt;= 5)</f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</v>
      </c>
      <c r="H15">
        <v>0.56237300256745582</v>
      </c>
      <c r="I15">
        <v>0.1472999954223633</v>
      </c>
      <c r="J15">
        <v>20.643925140761738</v>
      </c>
    </row>
    <row r="16" spans="1:10">
      <c r="A16" s="1">
        <v>45491</v>
      </c>
      <c r="B16" s="1" cm="1">
        <f t="array" ref="B16">_xlfn._xlws.FILTER(A16, WEEKDAY(A16, 2) &lt;= 5)</f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0.49</v>
      </c>
      <c r="H16">
        <v>0.61849848957673326</v>
      </c>
      <c r="I16">
        <v>0.13960000038146969</v>
      </c>
      <c r="J16">
        <v>20.643960070016337</v>
      </c>
    </row>
    <row r="17" spans="1:10">
      <c r="A17" s="1">
        <v>45492</v>
      </c>
      <c r="B17" s="1" cm="1">
        <f t="array" ref="B17">_xlfn._xlws.FILTER(A17, WEEKDAY(A17, 2) &lt;= 5)</f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</v>
      </c>
      <c r="H17">
        <v>0.5490880808649935</v>
      </c>
      <c r="I17">
        <v>0.139399995803833</v>
      </c>
      <c r="J17">
        <v>20.644061050711525</v>
      </c>
    </row>
    <row r="18" spans="1:10">
      <c r="A18" s="1">
        <v>45495</v>
      </c>
      <c r="B18" s="1" cm="1">
        <f t="array" ref="B18">_xlfn._xlws.FILTER(A18, WEEKDAY(A18, 2) &lt;= 5)</f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</v>
      </c>
      <c r="H18">
        <v>0.5723193563041219</v>
      </c>
      <c r="I18">
        <v>0.1501000022888184</v>
      </c>
      <c r="J18">
        <v>20.643974973777926</v>
      </c>
    </row>
    <row r="19" spans="1:10">
      <c r="A19" s="1">
        <v>45496</v>
      </c>
      <c r="B19" s="1" cm="1">
        <f t="array" ref="B19">_xlfn._xlws.FILTER(A19, WEEKDAY(A19, 2) &lt;= 5)</f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</v>
      </c>
      <c r="H19">
        <v>0.64795072415992583</v>
      </c>
      <c r="I19">
        <v>0.1460999965667725</v>
      </c>
      <c r="J19">
        <v>20.643966957203748</v>
      </c>
    </row>
    <row r="20" spans="1:10">
      <c r="A20" s="1">
        <v>45497</v>
      </c>
      <c r="B20" s="1" cm="1">
        <f t="array" ref="B20">_xlfn._xlws.FILTER(A20, WEEKDAY(A20, 2) &lt;= 5)</f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</v>
      </c>
      <c r="H20">
        <v>0.64830968054183546</v>
      </c>
      <c r="I20">
        <v>0.13880000114440921</v>
      </c>
      <c r="J20">
        <v>20.643958383788931</v>
      </c>
    </row>
    <row r="21" spans="1:10">
      <c r="A21" s="1">
        <v>45498</v>
      </c>
      <c r="B21" s="1" cm="1">
        <f t="array" ref="B21">_xlfn._xlws.FILTER(A21, WEEKDAY(A21, 2) &lt;= 5)</f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0.58562395283447943</v>
      </c>
      <c r="I21">
        <v>0.14499999999999999</v>
      </c>
      <c r="J21">
        <v>20.643984767912734</v>
      </c>
    </row>
    <row r="22" spans="1:10">
      <c r="A22" s="1">
        <v>45499</v>
      </c>
      <c r="B22" s="1" cm="1">
        <f t="array" ref="B22">_xlfn._xlws.FILTER(A22, WEEKDAY(A22, 2) &lt;= 5)</f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</v>
      </c>
      <c r="H22">
        <v>0.63961398005752579</v>
      </c>
      <c r="I22">
        <v>0.1353999996185303</v>
      </c>
      <c r="J22">
        <v>20.644021591394285</v>
      </c>
    </row>
    <row r="23" spans="1:10">
      <c r="A23" s="1">
        <v>45502</v>
      </c>
      <c r="B23" s="1" cm="1">
        <f t="array" ref="B23">_xlfn._xlws.FILTER(A23, WEEKDAY(A23, 2) &lt;= 5)</f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0.47</v>
      </c>
      <c r="H23">
        <v>0.52112815268353818</v>
      </c>
      <c r="I23">
        <v>0.1290999984741211</v>
      </c>
      <c r="J23">
        <v>20.64400439459623</v>
      </c>
    </row>
    <row r="24" spans="1:10">
      <c r="A24" s="1">
        <v>45503</v>
      </c>
      <c r="B24" s="1" cm="1">
        <f t="array" ref="B24">_xlfn._xlws.FILTER(A24, WEEKDAY(A24, 2) &lt;= 5)</f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0.47</v>
      </c>
      <c r="H24">
        <v>0.56916153528158875</v>
      </c>
      <c r="I24">
        <v>0.13439999580383299</v>
      </c>
      <c r="J24">
        <v>20.644098978622232</v>
      </c>
    </row>
    <row r="25" spans="1:10">
      <c r="A25" s="1">
        <v>45504</v>
      </c>
      <c r="B25" s="1" cm="1">
        <f t="array" ref="B25">_xlfn._xlws.FILTER(A25, WEEKDAY(A25, 2) &lt;= 5)</f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0.47</v>
      </c>
      <c r="H25">
        <v>0.58837664267330225</v>
      </c>
      <c r="I25">
        <v>0.14249999999999999</v>
      </c>
      <c r="J25">
        <v>20.64399471591425</v>
      </c>
    </row>
    <row r="26" spans="1:10">
      <c r="A26" s="1">
        <v>45505</v>
      </c>
      <c r="B26" s="1" cm="1">
        <f t="array" ref="B26">_xlfn._xlws.FILTER(A26, WEEKDAY(A26, 2) &lt;= 5)</f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0.48</v>
      </c>
      <c r="H26">
        <v>0.63541026699596581</v>
      </c>
      <c r="I26">
        <v>0.13739999771118161</v>
      </c>
      <c r="J26">
        <v>20.643974944062759</v>
      </c>
    </row>
    <row r="27" spans="1:10">
      <c r="A27" s="1">
        <v>45506</v>
      </c>
      <c r="B27" s="1" cm="1">
        <f t="array" ref="B27">_xlfn._xlws.FILTER(A27, WEEKDAY(A27, 2) &lt;= 5)</f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0.48</v>
      </c>
      <c r="H27">
        <v>0.70391436543514851</v>
      </c>
      <c r="I27">
        <v>0.13430000305175779</v>
      </c>
      <c r="J27">
        <v>20.643958813857552</v>
      </c>
    </row>
    <row r="28" spans="1:10">
      <c r="A28" s="1">
        <v>45509</v>
      </c>
      <c r="B28" s="1" cm="1">
        <f t="array" ref="B28">_xlfn._xlws.FILTER(A28, WEEKDAY(A28, 2) &lt;= 5)</f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0.47</v>
      </c>
      <c r="H28">
        <v>0.51855134902046418</v>
      </c>
      <c r="I28">
        <v>0.1356999969482422</v>
      </c>
      <c r="J28">
        <v>20.644004629902287</v>
      </c>
    </row>
    <row r="29" spans="1:10">
      <c r="A29" s="1">
        <v>45510</v>
      </c>
      <c r="B29" s="1" cm="1">
        <f t="array" ref="B29">_xlfn._xlws.FILTER(A29, WEEKDAY(A29, 2) &lt;= 5)</f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0.48</v>
      </c>
      <c r="H29">
        <v>0.61345519090253953</v>
      </c>
      <c r="I29">
        <v>0.1418000030517578</v>
      </c>
      <c r="J29">
        <v>20.643953722484884</v>
      </c>
    </row>
    <row r="30" spans="1:10">
      <c r="A30" s="1">
        <v>45511</v>
      </c>
      <c r="B30" s="1" cm="1">
        <f t="array" ref="B30">_xlfn._xlws.FILTER(A30, WEEKDAY(A30, 2) &lt;= 5)</f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0.48</v>
      </c>
      <c r="H30">
        <v>0.51267059103647528</v>
      </c>
      <c r="I30">
        <v>0.15439999580383301</v>
      </c>
      <c r="J30">
        <v>20.643923547864421</v>
      </c>
    </row>
    <row r="31" spans="1:10">
      <c r="A31" s="1">
        <v>45512</v>
      </c>
      <c r="B31" s="1" cm="1">
        <f t="array" ref="B31">_xlfn._xlws.FILTER(A31, WEEKDAY(A31, 2) &lt;= 5)</f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0.47</v>
      </c>
      <c r="H31">
        <v>0.60845553352886794</v>
      </c>
      <c r="I31">
        <v>0.14829999923706061</v>
      </c>
      <c r="J31">
        <v>20.644065153141494</v>
      </c>
    </row>
    <row r="32" spans="1:10">
      <c r="A32" s="1">
        <v>45513</v>
      </c>
      <c r="B32" s="1" cm="1">
        <f t="array" ref="B32">_xlfn._xlws.FILTER(A32, WEEKDAY(A32, 2) &lt;= 5)</f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0.47</v>
      </c>
      <c r="H32">
        <v>0.54511387598976946</v>
      </c>
      <c r="I32">
        <v>0.15069999694824221</v>
      </c>
      <c r="J32">
        <v>20.643938111692691</v>
      </c>
    </row>
    <row r="33" spans="1:10">
      <c r="A33" s="1">
        <v>45516</v>
      </c>
      <c r="B33" s="1" cm="1">
        <f t="array" ref="B33">_xlfn._xlws.FILTER(A33, WEEKDAY(A33, 2) &lt;= 5)</f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0.45</v>
      </c>
      <c r="H33">
        <v>0.55684118011393369</v>
      </c>
      <c r="I33">
        <v>0.13609999656677249</v>
      </c>
      <c r="J33">
        <v>20.643960459494348</v>
      </c>
    </row>
    <row r="34" spans="1:10">
      <c r="A34" s="1">
        <v>45517</v>
      </c>
      <c r="B34" s="1" cm="1">
        <f t="array" ref="B34">_xlfn._xlws.FILTER(A34, WEEKDAY(A34, 2) &lt;= 5)</f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0.45</v>
      </c>
      <c r="H34">
        <v>0.62349789337206762</v>
      </c>
      <c r="I34">
        <v>0.13340000152587889</v>
      </c>
      <c r="J34">
        <v>20.644009432863569</v>
      </c>
    </row>
    <row r="35" spans="1:10">
      <c r="A35" s="1">
        <v>45518</v>
      </c>
      <c r="B35" s="1" cm="1">
        <f t="array" ref="B35">_xlfn._xlws.FILTER(A35, WEEKDAY(A35, 2) &lt;= 5)</f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0.47</v>
      </c>
      <c r="H35">
        <v>0.54459865420828146</v>
      </c>
      <c r="I35">
        <v>0.13479999542236329</v>
      </c>
      <c r="J35">
        <v>20.643977175900346</v>
      </c>
    </row>
    <row r="36" spans="1:10">
      <c r="A36" s="1">
        <v>45519</v>
      </c>
      <c r="B36" s="1" cm="1">
        <f t="array" ref="B36">_xlfn._xlws.FILTER(A36, WEEKDAY(A36, 2) &lt;= 5)</f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0.47</v>
      </c>
      <c r="H36">
        <v>0.55110036484791536</v>
      </c>
      <c r="I36">
        <v>0.13300000190734859</v>
      </c>
      <c r="J36">
        <v>20.644023647719457</v>
      </c>
    </row>
    <row r="37" spans="1:10">
      <c r="A37" s="1">
        <v>45520</v>
      </c>
      <c r="B37" s="1" cm="1">
        <f t="array" ref="B37">_xlfn._xlws.FILTER(A37, WEEKDAY(A37, 2) &lt;= 5)</f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0.47</v>
      </c>
      <c r="H37">
        <v>0.55915909506694206</v>
      </c>
      <c r="I37">
        <v>0.13760000228881841</v>
      </c>
      <c r="J37">
        <v>20.643960288178491</v>
      </c>
    </row>
    <row r="38" spans="1:10">
      <c r="A38" s="1">
        <v>45523</v>
      </c>
      <c r="B38" s="1" cm="1">
        <f t="array" ref="B38">_xlfn._xlws.FILTER(A38, WEEKDAY(A38, 2) &lt;= 5)</f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0.48</v>
      </c>
      <c r="H38">
        <v>0.67889574065689384</v>
      </c>
      <c r="I38">
        <v>0.13909999847412111</v>
      </c>
      <c r="J38">
        <v>20.643983878904908</v>
      </c>
    </row>
    <row r="39" spans="1:10">
      <c r="A39" s="1">
        <v>45524</v>
      </c>
      <c r="B39" s="1" cm="1">
        <f t="array" ref="B39">_xlfn._xlws.FILTER(A39, WEEKDAY(A39, 2) &lt;= 5)</f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0.47</v>
      </c>
      <c r="H39">
        <v>0.6321300856211518</v>
      </c>
      <c r="I39">
        <v>0.13859999656677249</v>
      </c>
      <c r="J39">
        <v>20.644024687181929</v>
      </c>
    </row>
    <row r="40" spans="1:10">
      <c r="A40" s="1">
        <v>45525</v>
      </c>
      <c r="B40" s="1" cm="1">
        <f t="array" ref="B40">_xlfn._xlws.FILTER(A40, WEEKDAY(A40, 2) &lt;= 5)</f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0.48</v>
      </c>
      <c r="H40">
        <v>0.64850117488960368</v>
      </c>
      <c r="I40">
        <v>0.13189999580383299</v>
      </c>
      <c r="J40">
        <v>20.643952830167898</v>
      </c>
    </row>
    <row r="41" spans="1:10">
      <c r="A41" s="1">
        <v>45526</v>
      </c>
      <c r="B41" s="1" cm="1">
        <f t="array" ref="B41">_xlfn._xlws.FILTER(A41, WEEKDAY(A41, 2) &lt;= 5)</f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0.48</v>
      </c>
      <c r="H41">
        <v>0.64653763471706904</v>
      </c>
      <c r="I41">
        <v>0.14409999847412111</v>
      </c>
      <c r="J41">
        <v>20.644030589644824</v>
      </c>
    </row>
    <row r="42" spans="1:10">
      <c r="A42" s="1">
        <v>45527</v>
      </c>
      <c r="B42" s="1" cm="1">
        <f t="array" ref="B42">_xlfn._xlws.FILTER(A42, WEEKDAY(A42, 2) &lt;= 5)</f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0.46</v>
      </c>
      <c r="H42">
        <v>0.59888175114452324</v>
      </c>
      <c r="I42">
        <v>0.13329999923706051</v>
      </c>
      <c r="J42">
        <v>20.644049722260917</v>
      </c>
    </row>
    <row r="43" spans="1:10">
      <c r="A43" s="1">
        <v>45530</v>
      </c>
      <c r="B43" s="1" cm="1">
        <f t="array" ref="B43">_xlfn._xlws.FILTER(A43, WEEKDAY(A43, 2) &lt;= 5)</f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0.49</v>
      </c>
      <c r="H43">
        <v>0.55461566734699941</v>
      </c>
      <c r="I43">
        <v>0.16090000152587891</v>
      </c>
      <c r="J43">
        <v>20.643962837275957</v>
      </c>
    </row>
    <row r="44" spans="1:10">
      <c r="A44" s="1">
        <v>45531</v>
      </c>
      <c r="B44" s="1" cm="1">
        <f t="array" ref="B44">_xlfn._xlws.FILTER(A44, WEEKDAY(A44, 2) &lt;= 5)</f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0.49</v>
      </c>
      <c r="H44">
        <v>0.59072812469350178</v>
      </c>
      <c r="I44">
        <v>0.15920000076293939</v>
      </c>
      <c r="J44">
        <v>20.644016868439728</v>
      </c>
    </row>
    <row r="45" spans="1:10">
      <c r="A45" s="1">
        <v>45532</v>
      </c>
      <c r="B45" s="1" cm="1">
        <f t="array" ref="B45">_xlfn._xlws.FILTER(A45, WEEKDAY(A45, 2) &lt;= 5)</f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</v>
      </c>
      <c r="H45">
        <v>0.56711515849707372</v>
      </c>
      <c r="I45">
        <v>0.17100000381469729</v>
      </c>
      <c r="J45">
        <v>20.644029156304089</v>
      </c>
    </row>
    <row r="46" spans="1:10">
      <c r="A46" s="1">
        <v>45533</v>
      </c>
      <c r="B46" s="1" cm="1">
        <f t="array" ref="B46">_xlfn._xlws.FILTER(A46, WEEKDAY(A46, 2) &lt;= 5)</f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0.47</v>
      </c>
      <c r="H46">
        <v>0.57358676878670511</v>
      </c>
      <c r="I46">
        <v>0.15770000457763669</v>
      </c>
      <c r="J46">
        <v>20.644022762574693</v>
      </c>
    </row>
    <row r="47" spans="1:10">
      <c r="A47" s="1">
        <v>45534</v>
      </c>
      <c r="B47" s="1" cm="1">
        <f t="array" ref="B47">_xlfn._xlws.FILTER(A47, WEEKDAY(A47, 2) &lt;= 5)</f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0.48</v>
      </c>
      <c r="H47">
        <v>0.61997431410093384</v>
      </c>
      <c r="I47">
        <v>0.1598999977111816</v>
      </c>
      <c r="J47">
        <v>20.643970254902648</v>
      </c>
    </row>
    <row r="48" spans="1:10">
      <c r="A48" s="1">
        <v>45537</v>
      </c>
      <c r="B48" s="1" cm="1">
        <f t="array" ref="B48">_xlfn._xlws.FILTER(A48, WEEKDAY(A48, 2) &lt;= 5)</f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0.49</v>
      </c>
      <c r="H48">
        <v>0.61042914720553454</v>
      </c>
      <c r="I48">
        <v>0.1484000015258789</v>
      </c>
      <c r="J48">
        <v>20.644041198476572</v>
      </c>
    </row>
    <row r="49" spans="1:10">
      <c r="A49" s="1">
        <v>45538</v>
      </c>
      <c r="B49" s="1" cm="1">
        <f t="array" ref="B49">_xlfn._xlws.FILTER(A49, WEEKDAY(A49, 2) &lt;= 5)</f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0.46</v>
      </c>
      <c r="H49">
        <v>0.45604114211023883</v>
      </c>
      <c r="I49">
        <v>0.14819999694824221</v>
      </c>
      <c r="J49">
        <v>20.643920819269681</v>
      </c>
    </row>
    <row r="50" spans="1:10">
      <c r="A50" s="1">
        <v>45539</v>
      </c>
      <c r="B50" s="1" cm="1">
        <f t="array" ref="B50">_xlfn._xlws.FILTER(A50, WEEKDAY(A50, 2) &lt;= 5)</f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0.46</v>
      </c>
      <c r="H50">
        <v>0.53293281627236999</v>
      </c>
      <c r="I50">
        <v>0.1645999908447266</v>
      </c>
      <c r="J50">
        <v>20.643931413604037</v>
      </c>
    </row>
    <row r="51" spans="1:10">
      <c r="A51" s="1">
        <v>45540</v>
      </c>
      <c r="B51" s="1" cm="1">
        <f t="array" ref="B51">_xlfn._xlws.FILTER(A51, WEEKDAY(A51, 2) &lt;= 5)</f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0.46</v>
      </c>
      <c r="H51">
        <v>0.6381689915146882</v>
      </c>
      <c r="I51">
        <v>0.1678000068664551</v>
      </c>
      <c r="J51">
        <v>20.643958511403273</v>
      </c>
    </row>
    <row r="52" spans="1:10">
      <c r="A52" s="1">
        <v>45541</v>
      </c>
      <c r="B52" s="1" cm="1">
        <f t="array" ref="B52">_xlfn._xlws.FILTER(A52, WEEKDAY(A52, 2) &lt;= 5)</f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0.46</v>
      </c>
      <c r="H52">
        <v>0.5789415043404289</v>
      </c>
      <c r="I52">
        <v>0.17889999389648439</v>
      </c>
      <c r="J52">
        <v>20.643956773830702</v>
      </c>
    </row>
    <row r="53" spans="1:10">
      <c r="A53" s="1">
        <v>45544</v>
      </c>
      <c r="B53" s="1" cm="1">
        <f t="array" ref="B53">_xlfn._xlws.FILTER(A53, WEEKDAY(A53, 2) &lt;= 5)</f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0.43</v>
      </c>
      <c r="H53">
        <v>0.53350915839382751</v>
      </c>
      <c r="I53">
        <v>0.16969999313354489</v>
      </c>
      <c r="J53">
        <v>20.644061795338153</v>
      </c>
    </row>
    <row r="54" spans="1:10">
      <c r="A54" s="1">
        <v>45545</v>
      </c>
      <c r="B54" s="1" cm="1">
        <f t="array" ref="B54">_xlfn._xlws.FILTER(A54, WEEKDAY(A54, 2) &lt;= 5)</f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0.42</v>
      </c>
      <c r="H54">
        <v>0.69293003099488715</v>
      </c>
      <c r="I54">
        <v>0.15979999542236331</v>
      </c>
      <c r="J54">
        <v>20.643975380410904</v>
      </c>
    </row>
    <row r="55" spans="1:10">
      <c r="A55" s="1">
        <v>45546</v>
      </c>
      <c r="B55" s="1" cm="1">
        <f t="array" ref="B55">_xlfn._xlws.FILTER(A55, WEEKDAY(A55, 2) &lt;= 5)</f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0.41</v>
      </c>
      <c r="H55">
        <v>0.64453953161662647</v>
      </c>
      <c r="I55">
        <v>0.17200000762939449</v>
      </c>
      <c r="J55">
        <v>20.644061232333751</v>
      </c>
    </row>
    <row r="56" spans="1:10">
      <c r="A56" s="1">
        <v>45547</v>
      </c>
      <c r="B56" s="1" cm="1">
        <f t="array" ref="B56">_xlfn._xlws.FILTER(A56, WEEKDAY(A56, 2) &lt;= 5)</f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0.4</v>
      </c>
      <c r="H56">
        <v>0.65161212068925534</v>
      </c>
      <c r="I56">
        <v>0.15680000305175781</v>
      </c>
      <c r="J56">
        <v>20.644047843041641</v>
      </c>
    </row>
    <row r="57" spans="1:10">
      <c r="A57" s="1">
        <v>45548</v>
      </c>
      <c r="B57" s="1" cm="1">
        <f t="array" ref="B57">_xlfn._xlws.FILTER(A57, WEEKDAY(A57, 2) &lt;= 5)</f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0.38</v>
      </c>
      <c r="H57">
        <v>0.54065308879491747</v>
      </c>
      <c r="I57">
        <v>0.15079999923706061</v>
      </c>
      <c r="J57">
        <v>20.643946000867729</v>
      </c>
    </row>
    <row r="58" spans="1:10">
      <c r="A58" s="1">
        <v>45551</v>
      </c>
      <c r="B58" s="1" cm="1">
        <f t="array" ref="B58">_xlfn._xlws.FILTER(A58, WEEKDAY(A58, 2) &lt;= 5)</f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0.37</v>
      </c>
      <c r="H58">
        <v>0.53297173482974158</v>
      </c>
      <c r="I58">
        <v>0.1356999969482422</v>
      </c>
      <c r="J58">
        <v>20.643892518677607</v>
      </c>
    </row>
    <row r="59" spans="1:10">
      <c r="A59" s="1">
        <v>45552</v>
      </c>
      <c r="B59" s="1" cm="1">
        <f t="array" ref="B59">_xlfn._xlws.FILTER(A59, WEEKDAY(A59, 2) &lt;= 5)</f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0.36</v>
      </c>
      <c r="H59">
        <v>0.61027344177825682</v>
      </c>
      <c r="I59">
        <v>0.13090000152587891</v>
      </c>
      <c r="J59">
        <v>20.643930626859515</v>
      </c>
    </row>
    <row r="60" spans="1:10">
      <c r="A60" s="1">
        <v>45553</v>
      </c>
      <c r="B60" s="1" cm="1">
        <f t="array" ref="B60">_xlfn._xlws.FILTER(A60, WEEKDAY(A60, 2) &lt;= 5)</f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0.35</v>
      </c>
      <c r="H60">
        <v>0.63115326533821481</v>
      </c>
      <c r="I60">
        <v>0.14010000228881839</v>
      </c>
      <c r="J60">
        <v>20.644138610431735</v>
      </c>
    </row>
    <row r="61" spans="1:10">
      <c r="A61" s="1">
        <v>45554</v>
      </c>
      <c r="B61" s="1" cm="1">
        <f t="array" ref="B61">_xlfn._xlws.FILTER(A61, WEEKDAY(A61, 2) &lt;= 5)</f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0.36</v>
      </c>
      <c r="H61">
        <v>0.56560662490868685</v>
      </c>
      <c r="I61">
        <v>0.1444999980926514</v>
      </c>
      <c r="J61">
        <v>20.644003153731042</v>
      </c>
    </row>
    <row r="62" spans="1:10">
      <c r="A62" s="1">
        <v>45555</v>
      </c>
      <c r="B62" s="1" cm="1">
        <f t="array" ref="B62">_xlfn._xlws.FILTER(A62, WEEKDAY(A62, 2) &lt;= 5)</f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0.37</v>
      </c>
      <c r="H62">
        <v>0.61620364466717892</v>
      </c>
      <c r="I62">
        <v>0.14399999618530271</v>
      </c>
      <c r="J62">
        <v>20.644009638854197</v>
      </c>
    </row>
    <row r="63" spans="1:10">
      <c r="A63" s="1">
        <v>45558</v>
      </c>
      <c r="B63" s="1" cm="1">
        <f t="array" ref="B63">_xlfn._xlws.FILTER(A63, WEEKDAY(A63, 2) &lt;= 5)</f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0.36</v>
      </c>
      <c r="H63">
        <v>0.5552755144994439</v>
      </c>
      <c r="I63">
        <v>0.1422999954223633</v>
      </c>
      <c r="J63">
        <v>20.643870038489517</v>
      </c>
    </row>
    <row r="64" spans="1:10">
      <c r="A64" s="1">
        <v>45559</v>
      </c>
      <c r="B64" s="1" cm="1">
        <f t="array" ref="B64">_xlfn._xlws.FILTER(A64, WEEKDAY(A64, 2) &lt;= 5)</f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0.35</v>
      </c>
      <c r="H64">
        <v>0.51039572663624</v>
      </c>
      <c r="I64">
        <v>0.13479999542236329</v>
      </c>
      <c r="J64">
        <v>20.643922229463314</v>
      </c>
    </row>
    <row r="65" spans="1:10">
      <c r="A65" s="1">
        <v>45560</v>
      </c>
      <c r="B65" s="1" cm="1">
        <f t="array" ref="B65">_xlfn._xlws.FILTER(A65, WEEKDAY(A65, 2) &lt;= 5)</f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0.37</v>
      </c>
      <c r="H65">
        <v>0.55034017123704482</v>
      </c>
      <c r="I65">
        <v>0.12819999694824219</v>
      </c>
      <c r="J65">
        <v>20.644068414850278</v>
      </c>
    </row>
    <row r="66" spans="1:10">
      <c r="A66" s="1">
        <v>45561</v>
      </c>
      <c r="B66" s="1" cm="1">
        <f t="array" ref="B66">_xlfn._xlws.FILTER(A66, WEEKDAY(A66, 2) &lt;= 5)</f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0.38</v>
      </c>
      <c r="H66">
        <v>0.53460526995169977</v>
      </c>
      <c r="I66">
        <v>0.13789999961853031</v>
      </c>
      <c r="J66">
        <v>20.644055076078025</v>
      </c>
    </row>
    <row r="67" spans="1:10">
      <c r="A67" s="1">
        <v>45562</v>
      </c>
      <c r="B67" s="1" cm="1">
        <f t="array" ref="B67">_xlfn._xlws.FILTER(A67, WEEKDAY(A67, 2) &lt;= 5)</f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0.39</v>
      </c>
      <c r="H67">
        <v>0.60782751994198414</v>
      </c>
      <c r="I67">
        <v>0.14000000000000001</v>
      </c>
      <c r="J67">
        <v>20.643987379215933</v>
      </c>
    </row>
    <row r="68" spans="1:10">
      <c r="A68" s="1">
        <v>45565</v>
      </c>
      <c r="B68" s="1" cm="1">
        <f t="array" ref="B68">_xlfn._xlws.FILTER(A68, WEEKDAY(A68, 2) &lt;= 5)</f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0.41</v>
      </c>
      <c r="H68">
        <v>0.62215986636357035</v>
      </c>
      <c r="I68">
        <v>0.1754000091552734</v>
      </c>
      <c r="J68">
        <v>20.643996631982095</v>
      </c>
    </row>
    <row r="69" spans="1:10">
      <c r="A69" s="1">
        <v>45566</v>
      </c>
      <c r="B69" s="1" cm="1">
        <f t="array" ref="B69">_xlfn._xlws.FILTER(A69, WEEKDAY(A69, 2) &lt;= 5)</f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0.4</v>
      </c>
      <c r="H69">
        <v>0.61099577652354853</v>
      </c>
      <c r="I69">
        <v>0.17200000762939449</v>
      </c>
      <c r="J69">
        <v>20.644030681102613</v>
      </c>
    </row>
    <row r="70" spans="1:10">
      <c r="A70" s="1">
        <v>45567</v>
      </c>
      <c r="B70" s="1" cm="1">
        <f t="array" ref="B70">_xlfn._xlws.FILTER(A70, WEEKDAY(A70, 2) &lt;= 5)</f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0.4</v>
      </c>
      <c r="H70">
        <v>0.55958505864387487</v>
      </c>
      <c r="I70">
        <v>0.1689999961853027</v>
      </c>
      <c r="J70">
        <v>20.64403563179734</v>
      </c>
    </row>
    <row r="71" spans="1:10">
      <c r="A71" s="1">
        <v>45568</v>
      </c>
      <c r="B71" s="1" cm="1">
        <f t="array" ref="B71">_xlfn._xlws.FILTER(A71, WEEKDAY(A71, 2) &lt;= 5)</f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0.4</v>
      </c>
      <c r="H71">
        <v>0.67391139891887741</v>
      </c>
      <c r="I71">
        <v>0.18940000534057619</v>
      </c>
      <c r="J71">
        <v>20.643935563352965</v>
      </c>
    </row>
    <row r="72" spans="1:10">
      <c r="A72" s="1">
        <v>45569</v>
      </c>
      <c r="B72" s="1" cm="1">
        <f t="array" ref="B72">_xlfn._xlws.FILTER(A72, WEEKDAY(A72, 2) &lt;= 5)</f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0.42</v>
      </c>
      <c r="H72">
        <v>0.6051241302538467</v>
      </c>
      <c r="I72">
        <v>0.1821999931335449</v>
      </c>
      <c r="J72">
        <v>20.644016396232924</v>
      </c>
    </row>
    <row r="73" spans="1:10">
      <c r="A73" s="1">
        <v>45572</v>
      </c>
      <c r="B73" s="1" cm="1">
        <f t="array" ref="B73">_xlfn._xlws.FILTER(A73, WEEKDAY(A73, 2) &lt;= 5)</f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0.43</v>
      </c>
      <c r="H73">
        <v>0.51944587186987801</v>
      </c>
      <c r="I73">
        <v>0.17610000610351559</v>
      </c>
      <c r="J73">
        <v>20.644039858381547</v>
      </c>
    </row>
    <row r="74" spans="1:10">
      <c r="A74" s="1">
        <v>45573</v>
      </c>
      <c r="B74" s="1" cm="1">
        <f t="array" ref="B74">_xlfn._xlws.FILTER(A74, WEEKDAY(A74, 2) &lt;= 5)</f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0.39</v>
      </c>
      <c r="H74">
        <v>0.67543018289876156</v>
      </c>
      <c r="I74">
        <v>0.1978000068664551</v>
      </c>
      <c r="J74">
        <v>20.643920234427814</v>
      </c>
    </row>
    <row r="75" spans="1:10">
      <c r="A75" s="1">
        <v>45574</v>
      </c>
      <c r="B75" s="1" cm="1">
        <f t="array" ref="B75">_xlfn._xlws.FILTER(A75, WEEKDAY(A75, 2) &lt;= 5)</f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0.37</v>
      </c>
      <c r="H75">
        <v>0.64999595279382283</v>
      </c>
      <c r="I75">
        <v>0.18579999923706059</v>
      </c>
      <c r="J75">
        <v>20.643945716985304</v>
      </c>
    </row>
    <row r="76" spans="1:10">
      <c r="A76" s="1">
        <v>45575</v>
      </c>
      <c r="B76" s="1" cm="1">
        <f t="array" ref="B76">_xlfn._xlws.FILTER(A76, WEEKDAY(A76, 2) &lt;= 5)</f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0.36</v>
      </c>
      <c r="H76">
        <v>0.63998011465235793</v>
      </c>
      <c r="I76">
        <v>0.18489999771118171</v>
      </c>
      <c r="J76">
        <v>20.644060339350531</v>
      </c>
    </row>
    <row r="77" spans="1:10">
      <c r="A77" s="1">
        <v>45576</v>
      </c>
      <c r="B77" s="1" cm="1">
        <f t="array" ref="B77">_xlfn._xlws.FILTER(A77, WEEKDAY(A77, 2) &lt;= 5)</f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0.36</v>
      </c>
      <c r="H77">
        <v>0.60791259256356567</v>
      </c>
      <c r="I77">
        <v>0.17450000762939449</v>
      </c>
      <c r="J77">
        <v>20.644022196267933</v>
      </c>
    </row>
    <row r="78" spans="1:10">
      <c r="A78" s="1">
        <v>45579</v>
      </c>
      <c r="B78" s="1" cm="1">
        <f t="array" ref="B78">_xlfn._xlws.FILTER(A78, WEEKDAY(A78, 2) &lt;= 5)</f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0.36</v>
      </c>
      <c r="H78">
        <v>0.54991936255238483</v>
      </c>
      <c r="I78">
        <v>0.16090000152587891</v>
      </c>
      <c r="J78">
        <v>20.643951727837354</v>
      </c>
    </row>
    <row r="79" spans="1:10">
      <c r="A79" s="1">
        <v>45580</v>
      </c>
      <c r="B79" s="1" cm="1">
        <f t="array" ref="B79">_xlfn._xlws.FILTER(A79, WEEKDAY(A79, 2) &lt;= 5)</f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0.36</v>
      </c>
      <c r="H79">
        <v>0.47665687275352947</v>
      </c>
      <c r="I79">
        <v>0.1669000053405762</v>
      </c>
      <c r="J79">
        <v>20.644024812796889</v>
      </c>
    </row>
    <row r="80" spans="1:10">
      <c r="A80" s="1">
        <v>45581</v>
      </c>
      <c r="B80" s="1" cm="1">
        <f t="array" ref="B80">_xlfn._xlws.FILTER(A80, WEEKDAY(A80, 2) &lt;= 5)</f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0.34</v>
      </c>
      <c r="H80">
        <v>0.58667661610405586</v>
      </c>
      <c r="I80">
        <v>0.19319999694824219</v>
      </c>
      <c r="J80">
        <v>20.644063208953629</v>
      </c>
    </row>
    <row r="81" spans="1:10">
      <c r="A81" s="1">
        <v>45582</v>
      </c>
      <c r="B81" s="1" cm="1">
        <f t="array" ref="B81">_xlfn._xlws.FILTER(A81, WEEKDAY(A81, 2) &lt;= 5)</f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0.34</v>
      </c>
      <c r="H81">
        <v>0.66380090245039802</v>
      </c>
      <c r="I81">
        <v>0.1720999908447266</v>
      </c>
      <c r="J81">
        <v>20.644027093819993</v>
      </c>
    </row>
    <row r="82" spans="1:10">
      <c r="A82" s="1">
        <v>45583</v>
      </c>
      <c r="B82" s="1" cm="1">
        <f t="array" ref="B82">_xlfn._xlws.FILTER(A82, WEEKDAY(A82, 2) &lt;= 5)</f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0.37</v>
      </c>
      <c r="H82">
        <v>0.59608480123968466</v>
      </c>
      <c r="I82">
        <v>0.17879999160766599</v>
      </c>
      <c r="J82">
        <v>20.644021091737432</v>
      </c>
    </row>
    <row r="83" spans="1:10">
      <c r="A83" s="1">
        <v>45586</v>
      </c>
      <c r="B83" s="1" cm="1">
        <f t="array" ref="B83">_xlfn._xlws.FILTER(A83, WEEKDAY(A83, 2) &lt;= 5)</f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0.4</v>
      </c>
      <c r="H83">
        <v>0.52836508683389183</v>
      </c>
      <c r="I83">
        <v>0.21709999084472659</v>
      </c>
      <c r="J83">
        <v>20.643936070240521</v>
      </c>
    </row>
    <row r="84" spans="1:10">
      <c r="A84" s="1">
        <v>45587</v>
      </c>
      <c r="B84" s="1" cm="1">
        <f t="array" ref="B84">_xlfn._xlws.FILTER(A84, WEEKDAY(A84, 2) &lt;= 5)</f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0.39</v>
      </c>
      <c r="H84">
        <v>0.58261107422782876</v>
      </c>
      <c r="I84">
        <v>0.20370000839233399</v>
      </c>
      <c r="J84">
        <v>20.644054236826033</v>
      </c>
    </row>
    <row r="85" spans="1:10">
      <c r="A85" s="1">
        <v>45588</v>
      </c>
      <c r="B85" s="1" cm="1">
        <f t="array" ref="B85">_xlfn._xlws.FILTER(A85, WEEKDAY(A85, 2) &lt;= 5)</f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0.37</v>
      </c>
      <c r="H85">
        <v>0.66143064984337052</v>
      </c>
      <c r="I85">
        <v>0.18969999313354491</v>
      </c>
      <c r="J85">
        <v>20.644002219115652</v>
      </c>
    </row>
    <row r="86" spans="1:10">
      <c r="A86" s="1">
        <v>45589</v>
      </c>
      <c r="B86" s="1" cm="1">
        <f t="array" ref="B86">_xlfn._xlws.FILTER(A86, WEEKDAY(A86, 2) &lt;= 5)</f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0.38</v>
      </c>
      <c r="H86">
        <v>0.57594262099555649</v>
      </c>
      <c r="I86">
        <v>0.2019000053405762</v>
      </c>
      <c r="J86">
        <v>20.64402167727533</v>
      </c>
    </row>
    <row r="87" spans="1:10">
      <c r="A87" s="1">
        <v>45590</v>
      </c>
      <c r="B87" s="1" cm="1">
        <f t="array" ref="B87">_xlfn._xlws.FILTER(A87, WEEKDAY(A87, 2) &lt;= 5)</f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0.39</v>
      </c>
      <c r="H87">
        <v>0.6402388002359426</v>
      </c>
      <c r="I87">
        <v>0.2068000030517578</v>
      </c>
      <c r="J87">
        <v>20.643995738911247</v>
      </c>
    </row>
    <row r="88" spans="1:10">
      <c r="A88" s="1">
        <v>45593</v>
      </c>
      <c r="B88" s="1" cm="1">
        <f t="array" ref="B88">_xlfn._xlws.FILTER(A88, WEEKDAY(A88, 2) &lt;= 5)</f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0.37</v>
      </c>
      <c r="H88">
        <v>0.55755600820474271</v>
      </c>
      <c r="I88">
        <v>0.1813999938964844</v>
      </c>
      <c r="J88">
        <v>20.643949719756218</v>
      </c>
    </row>
    <row r="89" spans="1:10">
      <c r="A89" s="1">
        <v>45594</v>
      </c>
      <c r="B89" s="1" cm="1">
        <f t="array" ref="B89">_xlfn._xlws.FILTER(A89, WEEKDAY(A89, 2) &lt;= 5)</f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0.37</v>
      </c>
      <c r="H89">
        <v>0.5296431139926091</v>
      </c>
      <c r="I89">
        <v>0.16870000839233401</v>
      </c>
      <c r="J89">
        <v>20.643997654707199</v>
      </c>
    </row>
    <row r="90" spans="1:10">
      <c r="A90" s="1">
        <v>45595</v>
      </c>
      <c r="B90" s="1" cm="1">
        <f t="array" ref="B90">_xlfn._xlws.FILTER(A90, WEEKDAY(A90, 2) &lt;= 5)</f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0.36</v>
      </c>
      <c r="H90">
        <v>0.65180119868468733</v>
      </c>
      <c r="I90">
        <v>0.15659999847412109</v>
      </c>
      <c r="J90">
        <v>20.643972408045023</v>
      </c>
    </row>
    <row r="91" spans="1:10">
      <c r="A91" s="1">
        <v>45596</v>
      </c>
      <c r="B91" s="1" cm="1">
        <f t="array" ref="B91">_xlfn._xlws.FILTER(A91, WEEKDAY(A91, 2) &lt;= 5)</f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0.35</v>
      </c>
      <c r="H91">
        <v>0.66406742696669729</v>
      </c>
      <c r="I91">
        <v>0.14909999847412109</v>
      </c>
      <c r="J91">
        <v>20.644065041016521</v>
      </c>
    </row>
    <row r="92" spans="1:10">
      <c r="A92" s="1">
        <v>45597</v>
      </c>
      <c r="B92" s="1" cm="1">
        <f t="array" ref="B92">_xlfn._xlws.FILTER(A92, WEEKDAY(A92, 2) &lt;= 5)</f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0.38</v>
      </c>
      <c r="H92">
        <v>0.58214580941108962</v>
      </c>
      <c r="I92">
        <v>0.14890000343322751</v>
      </c>
      <c r="J92">
        <v>20.644009259765774</v>
      </c>
    </row>
    <row r="93" spans="1:10">
      <c r="A93" s="1">
        <v>45600</v>
      </c>
      <c r="B93" s="1" cm="1">
        <f t="array" ref="B93">_xlfn._xlws.FILTER(A93, WEEKDAY(A93, 2) &lt;= 5)</f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0.42</v>
      </c>
      <c r="H93">
        <v>0.63388152341848347</v>
      </c>
      <c r="I93">
        <v>0.15289999961853029</v>
      </c>
      <c r="J93">
        <v>20.643930374524921</v>
      </c>
    </row>
    <row r="94" spans="1:10">
      <c r="A94" s="1">
        <v>45601</v>
      </c>
      <c r="B94" s="1" cm="1">
        <f t="array" ref="B94">_xlfn._xlws.FILTER(A94, WEEKDAY(A94, 2) &lt;= 5)</f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0.41</v>
      </c>
      <c r="H94">
        <v>0.74355797308146088</v>
      </c>
      <c r="I94">
        <v>0.14170000076293951</v>
      </c>
      <c r="J94">
        <v>20.643966220986957</v>
      </c>
    </row>
    <row r="95" spans="1:10">
      <c r="A95" s="1">
        <v>45602</v>
      </c>
      <c r="B95" s="1" cm="1">
        <f t="array" ref="B95">_xlfn._xlws.FILTER(A95, WEEKDAY(A95, 2) &lt;= 5)</f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0.42</v>
      </c>
      <c r="H95">
        <v>0.56573711611397126</v>
      </c>
      <c r="I95">
        <v>0.14760000228881839</v>
      </c>
      <c r="J95">
        <v>20.643969671539654</v>
      </c>
    </row>
    <row r="96" spans="1:10">
      <c r="A96" s="1">
        <v>45603</v>
      </c>
      <c r="B96" s="1" cm="1">
        <f t="array" ref="B96">_xlfn._xlws.FILTER(A96, WEEKDAY(A96, 2) &lt;= 5)</f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0.4</v>
      </c>
      <c r="H96">
        <v>0.60768665035917158</v>
      </c>
      <c r="I96">
        <v>0.14159999847412111</v>
      </c>
      <c r="J96">
        <v>20.644037007726315</v>
      </c>
    </row>
    <row r="97" spans="1:10">
      <c r="A97" s="1">
        <v>45604</v>
      </c>
      <c r="B97" s="1" cm="1">
        <f t="array" ref="B97">_xlfn._xlws.FILTER(A97, WEEKDAY(A97, 2) &lt;= 5)</f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0.4</v>
      </c>
      <c r="H97">
        <v>0.63008428395122651</v>
      </c>
      <c r="I97">
        <v>0.1418000030517578</v>
      </c>
      <c r="J97">
        <v>20.644041371549513</v>
      </c>
    </row>
    <row r="98" spans="1:10">
      <c r="A98" s="1">
        <v>45607</v>
      </c>
      <c r="B98" s="1" cm="1">
        <f t="array" ref="B98">_xlfn._xlws.FILTER(A98, WEEKDAY(A98, 2) &lt;= 5)</f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0.36</v>
      </c>
      <c r="H98">
        <v>0.5722204294415506</v>
      </c>
      <c r="I98">
        <v>0.1340999984741211</v>
      </c>
      <c r="J98">
        <v>20.643901732135252</v>
      </c>
    </row>
    <row r="99" spans="1:10">
      <c r="A99" s="1">
        <v>45608</v>
      </c>
      <c r="B99" s="1" cm="1">
        <f t="array" ref="B99">_xlfn._xlws.FILTER(A99, WEEKDAY(A99, 2) &lt;= 5)</f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0.35</v>
      </c>
      <c r="H99">
        <v>0.56517107468345273</v>
      </c>
      <c r="I99">
        <v>0.13350000381469729</v>
      </c>
      <c r="J99">
        <v>20.643967280868043</v>
      </c>
    </row>
    <row r="100" spans="1:10">
      <c r="A100" s="1">
        <v>45609</v>
      </c>
      <c r="B100" s="1" cm="1">
        <f t="array" ref="B100">_xlfn._xlws.FILTER(A100, WEEKDAY(A100, 2) &lt;= 5)</f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0.36</v>
      </c>
      <c r="H100">
        <v>0.63753110932599932</v>
      </c>
      <c r="I100">
        <v>0.12850000381469731</v>
      </c>
      <c r="J100">
        <v>20.643958789029327</v>
      </c>
    </row>
    <row r="101" spans="1:10">
      <c r="A101" s="1">
        <v>45610</v>
      </c>
      <c r="B101" s="1" cm="1">
        <f t="array" ref="B101">_xlfn._xlws.FILTER(A101, WEEKDAY(A101, 2) &lt;= 5)</f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0.36</v>
      </c>
      <c r="H101">
        <v>0.52793498680939543</v>
      </c>
      <c r="I101">
        <v>0.12460000038146971</v>
      </c>
      <c r="J101">
        <v>20.644021762454592</v>
      </c>
    </row>
    <row r="102" spans="1:10">
      <c r="A102" s="1">
        <v>45611</v>
      </c>
      <c r="B102" s="1" cm="1">
        <f t="array" ref="B102">_xlfn._xlws.FILTER(A102, WEEKDAY(A102, 2) &lt;= 5)</f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0.36</v>
      </c>
      <c r="H102">
        <v>0.55622565908673316</v>
      </c>
      <c r="I102">
        <v>0.12689999580383299</v>
      </c>
      <c r="J102">
        <v>20.644066716143293</v>
      </c>
    </row>
    <row r="103" spans="1:10">
      <c r="A103" s="1">
        <v>45614</v>
      </c>
      <c r="B103" s="1" cm="1">
        <f t="array" ref="B103">_xlfn._xlws.FILTER(A103, WEEKDAY(A103, 2) &lt;= 5)</f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0.37</v>
      </c>
      <c r="H103">
        <v>0.59749572550192243</v>
      </c>
      <c r="I103">
        <v>0.12920000076293939</v>
      </c>
      <c r="J103">
        <v>20.643932089984553</v>
      </c>
    </row>
    <row r="104" spans="1:10">
      <c r="A104" s="1">
        <v>45615</v>
      </c>
      <c r="B104" s="1" cm="1">
        <f t="array" ref="B104">_xlfn._xlws.FILTER(A104, WEEKDAY(A104, 2) &lt;= 5)</f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0.38</v>
      </c>
      <c r="H104">
        <v>0.56958829262581301</v>
      </c>
      <c r="I104">
        <v>0.1263000011444092</v>
      </c>
      <c r="J104">
        <v>20.643920766689195</v>
      </c>
    </row>
    <row r="105" spans="1:10">
      <c r="A105" s="1">
        <v>45616</v>
      </c>
      <c r="B105" s="1" cm="1">
        <f t="array" ref="B105">_xlfn._xlws.FILTER(A105, WEEKDAY(A105, 2) &lt;= 5)</f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0.37</v>
      </c>
      <c r="H105">
        <v>0.4799904661059059</v>
      </c>
      <c r="I105">
        <v>0.13079999923706051</v>
      </c>
      <c r="J105">
        <v>20.643930394018639</v>
      </c>
    </row>
    <row r="106" spans="1:10">
      <c r="A106" s="1">
        <v>45617</v>
      </c>
      <c r="B106" s="1" cm="1">
        <f t="array" ref="B106">_xlfn._xlws.FILTER(A106, WEEKDAY(A106, 2) &lt;= 5)</f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0.36</v>
      </c>
      <c r="H106">
        <v>0.48805835308918155</v>
      </c>
      <c r="I106">
        <v>0.12850000381469731</v>
      </c>
      <c r="J106">
        <v>20.644092716094722</v>
      </c>
    </row>
    <row r="107" spans="1:10">
      <c r="A107" s="1">
        <v>45618</v>
      </c>
      <c r="B107" s="1" cm="1">
        <f t="array" ref="B107">_xlfn._xlws.FILTER(A107, WEEKDAY(A107, 2) &lt;= 5)</f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0.36</v>
      </c>
      <c r="H107">
        <v>0.61680121382900521</v>
      </c>
      <c r="I107">
        <v>0.12970000267028811</v>
      </c>
      <c r="J107">
        <v>20.643992300317976</v>
      </c>
    </row>
    <row r="108" spans="1:10">
      <c r="A108" s="1">
        <v>45621</v>
      </c>
      <c r="B108" s="1" cm="1">
        <f t="array" ref="B108">_xlfn._xlws.FILTER(A108, WEEKDAY(A108, 2) &lt;= 5)</f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0.36</v>
      </c>
      <c r="H108">
        <v>0.70320966943849006</v>
      </c>
      <c r="I108">
        <v>0.1263000011444092</v>
      </c>
      <c r="J108">
        <v>20.644025659666635</v>
      </c>
    </row>
    <row r="109" spans="1:10">
      <c r="A109" s="1">
        <v>45622</v>
      </c>
      <c r="B109" s="1" cm="1">
        <f t="array" ref="B109">_xlfn._xlws.FILTER(A109, WEEKDAY(A109, 2) &lt;= 5)</f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0.35</v>
      </c>
      <c r="H109">
        <v>0.56801380551910641</v>
      </c>
      <c r="I109">
        <v>0.1206999969482422</v>
      </c>
      <c r="J109">
        <v>20.64396364734738</v>
      </c>
    </row>
    <row r="110" spans="1:10">
      <c r="A110" s="1">
        <v>45623</v>
      </c>
      <c r="B110" s="1" cm="1">
        <f t="array" ref="B110">_xlfn._xlws.FILTER(A110, WEEKDAY(A110, 2) &lt;= 5)</f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0.38</v>
      </c>
      <c r="H110">
        <v>0.66833306800738057</v>
      </c>
      <c r="I110">
        <v>0.121899995803833</v>
      </c>
      <c r="J110">
        <v>20.644021619338158</v>
      </c>
    </row>
    <row r="111" spans="1:10">
      <c r="A111" s="1">
        <v>45624</v>
      </c>
      <c r="B111" s="1" cm="1">
        <f t="array" ref="B111">_xlfn._xlws.FILTER(A111, WEEKDAY(A111, 2) &lt;= 5)</f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0.38</v>
      </c>
      <c r="H111">
        <v>0.57578037597089338</v>
      </c>
      <c r="I111">
        <v>0.12479999542236329</v>
      </c>
      <c r="J111">
        <v>20.643967222474309</v>
      </c>
    </row>
    <row r="112" spans="1:10">
      <c r="A112" s="1">
        <v>45625</v>
      </c>
      <c r="B112" s="1" cm="1">
        <f t="array" ref="B112">_xlfn._xlws.FILTER(A112, WEEKDAY(A112, 2) &lt;= 5)</f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0.38</v>
      </c>
      <c r="H112">
        <v>0.56667898039326314</v>
      </c>
      <c r="I112">
        <v>0.1227999973297119</v>
      </c>
      <c r="J112">
        <v>20.643965398619127</v>
      </c>
    </row>
    <row r="113" spans="1:10">
      <c r="A113" s="1">
        <v>45628</v>
      </c>
      <c r="B113" s="1" cm="1">
        <f t="array" ref="B113">_xlfn._xlws.FILTER(A113, WEEKDAY(A113, 2) &lt;= 5)</f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0.37</v>
      </c>
      <c r="H113">
        <v>0.53356494880833971</v>
      </c>
      <c r="I113">
        <v>0.13670000076293939</v>
      </c>
      <c r="J113">
        <v>20.643959598012987</v>
      </c>
    </row>
    <row r="114" spans="1:10">
      <c r="A114" s="1">
        <v>45629</v>
      </c>
      <c r="B114" s="1" cm="1">
        <f t="array" ref="B114">_xlfn._xlws.FILTER(A114, WEEKDAY(A114, 2) &lt;= 5)</f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0.36</v>
      </c>
      <c r="H114">
        <v>0.56037909596865809</v>
      </c>
      <c r="I114">
        <v>0.1364999961853027</v>
      </c>
      <c r="J114">
        <v>20.643909810344237</v>
      </c>
    </row>
    <row r="115" spans="1:10">
      <c r="A115" s="1">
        <v>45630</v>
      </c>
      <c r="B115" s="1" cm="1">
        <f t="array" ref="B115">_xlfn._xlws.FILTER(A115, WEEKDAY(A115, 2) &lt;= 5)</f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0.36</v>
      </c>
      <c r="H115">
        <v>0.47179446845293616</v>
      </c>
      <c r="I115">
        <v>0.1302999973297119</v>
      </c>
      <c r="J115">
        <v>20.644009040157584</v>
      </c>
    </row>
    <row r="116" spans="1:10">
      <c r="A116" s="1">
        <v>45631</v>
      </c>
      <c r="B116" s="1" cm="1">
        <f t="array" ref="B116">_xlfn._xlws.FILTER(A116, WEEKDAY(A116, 2) &lt;= 5)</f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0.36</v>
      </c>
      <c r="H116">
        <v>0.58557180189014824</v>
      </c>
      <c r="I116">
        <v>0.1298999977111816</v>
      </c>
      <c r="J116">
        <v>20.643994503594438</v>
      </c>
    </row>
    <row r="117" spans="1:10">
      <c r="A117" s="1">
        <v>45632</v>
      </c>
      <c r="B117" s="1" cm="1">
        <f t="array" ref="B117">_xlfn._xlws.FILTER(A117, WEEKDAY(A117, 2) &lt;= 5)</f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0.35</v>
      </c>
      <c r="H117">
        <v>0.59747040765710435</v>
      </c>
      <c r="I117">
        <v>0.1243000030517578</v>
      </c>
      <c r="J117">
        <v>20.644044638340468</v>
      </c>
    </row>
    <row r="118" spans="1:10">
      <c r="A118" s="1">
        <v>45635</v>
      </c>
      <c r="B118" s="1" cm="1">
        <f t="array" ref="B118">_xlfn._xlws.FILTER(A118, WEEKDAY(A118, 2) &lt;= 5)</f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0.35</v>
      </c>
      <c r="H118">
        <v>0.55328729764105888</v>
      </c>
      <c r="I118">
        <v>0.13199999809265139</v>
      </c>
      <c r="J118">
        <v>20.644033861162569</v>
      </c>
    </row>
    <row r="119" spans="1:10">
      <c r="A119" s="1">
        <v>45636</v>
      </c>
      <c r="B119" s="1" cm="1">
        <f t="array" ref="B119">_xlfn._xlws.FILTER(A119, WEEKDAY(A119, 2) &lt;= 5)</f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0.35</v>
      </c>
      <c r="H119">
        <v>0.59678121694850617</v>
      </c>
      <c r="I119">
        <v>0.14039999961853031</v>
      </c>
      <c r="J119">
        <v>20.643985851334978</v>
      </c>
    </row>
    <row r="120" spans="1:10">
      <c r="A120" s="1">
        <v>45637</v>
      </c>
      <c r="B120" s="1" cm="1">
        <f t="array" ref="B120">_xlfn._xlws.FILTER(A120, WEEKDAY(A120, 2) &lt;= 5)</f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0.36</v>
      </c>
      <c r="H120">
        <v>0.69343811758317075</v>
      </c>
      <c r="I120">
        <v>0.14130000114440919</v>
      </c>
      <c r="J120">
        <v>20.643956705839866</v>
      </c>
    </row>
    <row r="121" spans="1:10">
      <c r="A121" s="1">
        <v>45638</v>
      </c>
      <c r="B121" s="1" cm="1">
        <f t="array" ref="B121">_xlfn._xlws.FILTER(A121, WEEKDAY(A121, 2) &lt;= 5)</f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0.37</v>
      </c>
      <c r="H121">
        <v>0.60311977446281284</v>
      </c>
      <c r="I121">
        <v>0.13350000381469729</v>
      </c>
      <c r="J121">
        <v>20.644012486245817</v>
      </c>
    </row>
    <row r="122" spans="1:10">
      <c r="A122" s="1">
        <v>45639</v>
      </c>
      <c r="B122" s="1" cm="1">
        <f t="array" ref="B122">_xlfn._xlws.FILTER(A122, WEEKDAY(A122, 2) &lt;= 5)</f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0.37</v>
      </c>
      <c r="H122">
        <v>0.55570167819563854</v>
      </c>
      <c r="I122">
        <v>0.13079999923706051</v>
      </c>
      <c r="J122">
        <v>20.643981839429824</v>
      </c>
    </row>
    <row r="123" spans="1:10">
      <c r="A123" s="1">
        <v>45642</v>
      </c>
      <c r="B123" s="1" cm="1">
        <f t="array" ref="B123">_xlfn._xlws.FILTER(A123, WEEKDAY(A123, 2) &lt;= 5)</f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0.37</v>
      </c>
      <c r="H123">
        <v>0.62402021054310453</v>
      </c>
      <c r="I123">
        <v>0.124399995803833</v>
      </c>
      <c r="J123">
        <v>20.643936384060318</v>
      </c>
    </row>
    <row r="124" spans="1:10">
      <c r="A124" s="1">
        <v>45643</v>
      </c>
      <c r="B124" s="1" cm="1">
        <f t="array" ref="B124">_xlfn._xlws.FILTER(A124, WEEKDAY(A124, 2) &lt;= 5)</f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0.38</v>
      </c>
      <c r="H124">
        <v>0.62721686240636254</v>
      </c>
      <c r="I124">
        <v>0.12699999809265139</v>
      </c>
      <c r="J124">
        <v>20.644035839456709</v>
      </c>
    </row>
    <row r="125" spans="1:10">
      <c r="A125" s="1">
        <v>45644</v>
      </c>
      <c r="B125" s="1" cm="1">
        <f t="array" ref="B125">_xlfn._xlws.FILTER(A125, WEEKDAY(A125, 2) &lt;= 5)</f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0.38</v>
      </c>
      <c r="H125">
        <v>0.6446867547186298</v>
      </c>
      <c r="I125">
        <v>0.13840000152587889</v>
      </c>
      <c r="J125">
        <v>20.64409297000109</v>
      </c>
    </row>
    <row r="126" spans="1:10">
      <c r="A126" s="1">
        <v>45645</v>
      </c>
      <c r="B126" s="1" cm="1">
        <f t="array" ref="B126">_xlfn._xlws.FILTER(A126, WEEKDAY(A126, 2) &lt;= 5)</f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0.37</v>
      </c>
      <c r="H126">
        <v>0.63899697464014726</v>
      </c>
      <c r="I126">
        <v>0.14789999961853029</v>
      </c>
      <c r="J126">
        <v>20.64404142036982</v>
      </c>
    </row>
    <row r="127" spans="1:10">
      <c r="A127" s="1">
        <v>45646</v>
      </c>
      <c r="B127" s="1" cm="1">
        <f t="array" ref="B127">_xlfn._xlws.FILTER(A127, WEEKDAY(A127, 2) &lt;= 5)</f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0.37</v>
      </c>
      <c r="H127">
        <v>0.57054962573231982</v>
      </c>
      <c r="I127">
        <v>0.14130000114440919</v>
      </c>
      <c r="J127">
        <v>20.644053678486749</v>
      </c>
    </row>
    <row r="128" spans="1:10">
      <c r="A128" s="1">
        <v>45649</v>
      </c>
      <c r="B128" s="1" cm="1">
        <f t="array" ref="B128">_xlfn._xlws.FILTER(A128, WEEKDAY(A128, 2) &lt;= 5)</f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0.38</v>
      </c>
      <c r="H128">
        <v>0.62885928673900948</v>
      </c>
      <c r="I128">
        <v>0.12550000190734861</v>
      </c>
      <c r="J128">
        <v>20.644065108838205</v>
      </c>
    </row>
    <row r="129" spans="1:10">
      <c r="A129" s="1">
        <v>45650</v>
      </c>
      <c r="B129" s="1" cm="1">
        <f t="array" ref="B129">_xlfn._xlws.FILTER(A129, WEEKDAY(A129, 2) &lt;= 5)</f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0.39</v>
      </c>
      <c r="H129">
        <v>0.50452626609039108</v>
      </c>
      <c r="I129">
        <v>0.13140000343322761</v>
      </c>
      <c r="J129">
        <v>20.644046351425075</v>
      </c>
    </row>
    <row r="130" spans="1:10">
      <c r="A130" s="1">
        <v>45651</v>
      </c>
      <c r="B130" s="1" cm="1">
        <f t="array" ref="B130">_xlfn._xlws.FILTER(A130, WEEKDAY(A130, 2) &lt;= 5)</f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0.39</v>
      </c>
      <c r="H130">
        <v>0.56831385074041763</v>
      </c>
      <c r="I130">
        <v>0.1344999980926514</v>
      </c>
      <c r="J130">
        <v>20.643877631634915</v>
      </c>
    </row>
    <row r="131" spans="1:10">
      <c r="A131" s="1">
        <v>45652</v>
      </c>
      <c r="B131" s="1" cm="1">
        <f t="array" ref="B131">_xlfn._xlws.FILTER(A131, WEEKDAY(A131, 2) &lt;= 5)</f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0.38</v>
      </c>
      <c r="H131">
        <v>0.55358698969159004</v>
      </c>
      <c r="I131">
        <v>0.13260000228881841</v>
      </c>
      <c r="J131">
        <v>20.643994233655199</v>
      </c>
    </row>
    <row r="132" spans="1:10">
      <c r="A132" s="1">
        <v>45653</v>
      </c>
      <c r="B132" s="1" cm="1">
        <f t="array" ref="B132">_xlfn._xlws.FILTER(A132, WEEKDAY(A132, 2) &lt;= 5)</f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0.38</v>
      </c>
      <c r="H132">
        <v>0.6080764448183078</v>
      </c>
      <c r="I132">
        <v>0.13600000381469729</v>
      </c>
      <c r="J132">
        <v>20.643967342419934</v>
      </c>
    </row>
    <row r="133" spans="1:10">
      <c r="A133" s="1">
        <v>45656</v>
      </c>
      <c r="B133" s="1" cm="1">
        <f t="array" ref="B133">_xlfn._xlws.FILTER(A133, WEEKDAY(A133, 2) &lt;= 5)</f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0.42</v>
      </c>
      <c r="H133">
        <v>0.53926102556066191</v>
      </c>
      <c r="I133">
        <v>0.13880000114440921</v>
      </c>
      <c r="J133">
        <v>20.644012710093904</v>
      </c>
    </row>
    <row r="134" spans="1:10">
      <c r="A134" s="1">
        <v>45657</v>
      </c>
      <c r="B134" s="1" cm="1">
        <f t="array" ref="B134">_xlfn._xlws.FILTER(A134, WEEKDAY(A134, 2) &lt;= 5)</f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0.42</v>
      </c>
      <c r="H134">
        <v>0.57769404195639917</v>
      </c>
      <c r="I134">
        <v>0.13850000381469729</v>
      </c>
      <c r="J134">
        <v>20.643896998929048</v>
      </c>
    </row>
    <row r="135" spans="1:10">
      <c r="A135" s="1">
        <v>45658</v>
      </c>
      <c r="B135" s="1" cm="1">
        <f t="array" ref="B135">_xlfn._xlws.FILTER(A135, WEEKDAY(A135, 2) &lt;= 5)</f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0.43</v>
      </c>
      <c r="H135">
        <v>0.63151574588359261</v>
      </c>
      <c r="I135">
        <v>0.13670000076293939</v>
      </c>
      <c r="J135">
        <v>20.643971753801011</v>
      </c>
    </row>
    <row r="136" spans="1:10">
      <c r="A136" s="1">
        <v>45659</v>
      </c>
      <c r="B136" s="1" cm="1">
        <f t="array" ref="B136">_xlfn._xlws.FILTER(A136, WEEKDAY(A136, 2) &lt;= 5)</f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0.42</v>
      </c>
      <c r="H136">
        <v>0.63206439402259595</v>
      </c>
      <c r="I136">
        <v>0.13060000419616699</v>
      </c>
      <c r="J136">
        <v>20.643955089613961</v>
      </c>
    </row>
    <row r="137" spans="1:10">
      <c r="A137" s="1">
        <v>45660</v>
      </c>
      <c r="B137" s="1" cm="1">
        <f t="array" ref="B137">_xlfn._xlws.FILTER(A137, WEEKDAY(A137, 2) &lt;= 5)</f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0.43</v>
      </c>
      <c r="H137">
        <v>0.56107401448897587</v>
      </c>
      <c r="I137">
        <v>0.12829999923706051</v>
      </c>
      <c r="J137">
        <v>20.643960092795584</v>
      </c>
    </row>
    <row r="138" spans="1:10">
      <c r="A138" s="1">
        <v>45663</v>
      </c>
      <c r="B138" s="1" cm="1">
        <f t="array" ref="B138">_xlfn._xlws.FILTER(A138, WEEKDAY(A138, 2) &lt;= 5)</f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0.38</v>
      </c>
      <c r="H138">
        <v>0.57546800970452971</v>
      </c>
      <c r="I138">
        <v>0.1393000030517578</v>
      </c>
      <c r="J138">
        <v>20.644037681970559</v>
      </c>
    </row>
    <row r="139" spans="1:10">
      <c r="A139" s="1">
        <v>45664</v>
      </c>
      <c r="B139" s="1" cm="1">
        <f t="array" ref="B139">_xlfn._xlws.FILTER(A139, WEEKDAY(A139, 2) &lt;= 5)</f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0.37</v>
      </c>
      <c r="H139">
        <v>0.63231618668468004</v>
      </c>
      <c r="I139">
        <v>0.15850000381469731</v>
      </c>
      <c r="J139">
        <v>20.644019222576876</v>
      </c>
    </row>
    <row r="140" spans="1:10">
      <c r="A140" s="1">
        <v>45665</v>
      </c>
      <c r="B140" s="1" cm="1">
        <f t="array" ref="B140">_xlfn._xlws.FILTER(A140, WEEKDAY(A140, 2) &lt;= 5)</f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0.38</v>
      </c>
      <c r="H140">
        <v>0.64573003850288291</v>
      </c>
      <c r="I140">
        <v>0.14380000114440919</v>
      </c>
      <c r="J140">
        <v>20.64400303984829</v>
      </c>
    </row>
    <row r="141" spans="1:10">
      <c r="A141" s="1">
        <v>45666</v>
      </c>
      <c r="B141" s="1" cm="1">
        <f t="array" ref="B141">_xlfn._xlws.FILTER(A141, WEEKDAY(A141, 2) &lt;= 5)</f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0.38</v>
      </c>
      <c r="H141">
        <v>0.60444891926861799</v>
      </c>
      <c r="I141">
        <v>0.14010000228881839</v>
      </c>
      <c r="J141">
        <v>20.644045349314649</v>
      </c>
    </row>
    <row r="142" spans="1:10">
      <c r="A142" s="1">
        <v>45667</v>
      </c>
      <c r="B142" s="1" cm="1">
        <f t="array" ref="B142">_xlfn._xlws.FILTER(A142, WEEKDAY(A142, 2) &lt;= 5)</f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0.37</v>
      </c>
      <c r="H142">
        <v>0.58308934102721532</v>
      </c>
      <c r="I142">
        <v>0.14239999771118159</v>
      </c>
      <c r="J142">
        <v>20.644023080235783</v>
      </c>
    </row>
    <row r="143" spans="1:10">
      <c r="A143" s="1">
        <v>45670</v>
      </c>
      <c r="B143" s="1" cm="1">
        <f t="array" ref="B143">_xlfn._xlws.FILTER(A143, WEEKDAY(A143, 2) &lt;= 5)</f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0.37</v>
      </c>
      <c r="H143">
        <v>0.6325250394471067</v>
      </c>
      <c r="I143">
        <v>0.14539999961853031</v>
      </c>
      <c r="J143">
        <v>20.64401855281028</v>
      </c>
    </row>
    <row r="144" spans="1:10">
      <c r="A144" s="1">
        <v>45671</v>
      </c>
      <c r="B144" s="1" cm="1">
        <f t="array" ref="B144">_xlfn._xlws.FILTER(A144, WEEKDAY(A144, 2) &lt;= 5)</f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0.37</v>
      </c>
      <c r="H144">
        <v>0.63299317613709505</v>
      </c>
      <c r="I144">
        <v>0.13750000000000001</v>
      </c>
      <c r="J144">
        <v>20.643960782510579</v>
      </c>
    </row>
    <row r="145" spans="1:10">
      <c r="A145" s="1">
        <v>45672</v>
      </c>
      <c r="B145" s="1" cm="1">
        <f t="array" ref="B145">_xlfn._xlws.FILTER(A145, WEEKDAY(A145, 2) &lt;= 5)</f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0.38</v>
      </c>
      <c r="H145">
        <v>0.61779792074369444</v>
      </c>
      <c r="I145">
        <v>0.13739999771118161</v>
      </c>
      <c r="J145">
        <v>20.644037943858766</v>
      </c>
    </row>
    <row r="146" spans="1:10">
      <c r="A146" s="1">
        <v>45673</v>
      </c>
      <c r="B146" s="1" cm="1">
        <f t="array" ref="B146">_xlfn._xlws.FILTER(A146, WEEKDAY(A146, 2) &lt;= 5)</f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0.38</v>
      </c>
      <c r="H146">
        <v>0.61120073620815685</v>
      </c>
      <c r="I146">
        <v>0.13430000305175779</v>
      </c>
      <c r="J146">
        <v>20.64399277670714</v>
      </c>
    </row>
    <row r="147" spans="1:10">
      <c r="A147" s="1">
        <v>45674</v>
      </c>
      <c r="B147" s="1" cm="1">
        <f t="array" ref="B147">_xlfn._xlws.FILTER(A147, WEEKDAY(A147, 2) &lt;= 5)</f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0.38</v>
      </c>
      <c r="H147">
        <v>0.60288678548429164</v>
      </c>
      <c r="I147">
        <v>0.13840000152587889</v>
      </c>
      <c r="J147">
        <v>20.643995465197374</v>
      </c>
    </row>
    <row r="148" spans="1:10">
      <c r="A148" s="1">
        <v>45677</v>
      </c>
      <c r="B148" s="1" cm="1">
        <f t="array" ref="B148">_xlfn._xlws.FILTER(A148, WEEKDAY(A148, 2) &lt;= 5)</f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0.4</v>
      </c>
      <c r="H148">
        <v>0.70590958137286819</v>
      </c>
      <c r="I148">
        <v>0.13489999771118161</v>
      </c>
      <c r="J148">
        <v>20.644070024337818</v>
      </c>
    </row>
    <row r="149" spans="1:10">
      <c r="A149" s="1">
        <v>45678</v>
      </c>
      <c r="B149" s="1" cm="1">
        <f t="array" ref="B149">_xlfn._xlws.FILTER(A149, WEEKDAY(A149, 2) &lt;= 5)</f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0.41</v>
      </c>
      <c r="H149">
        <v>0.55864442233587575</v>
      </c>
      <c r="I149">
        <v>0.1446000003814697</v>
      </c>
      <c r="J149">
        <v>20.644042552645455</v>
      </c>
    </row>
    <row r="150" spans="1:10">
      <c r="A150" s="1">
        <v>45679</v>
      </c>
      <c r="B150" s="1" cm="1">
        <f t="array" ref="B150">_xlfn._xlws.FILTER(A150, WEEKDAY(A150, 2) &lt;= 5)</f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0.4</v>
      </c>
      <c r="H150">
        <v>0.58976675386414223</v>
      </c>
      <c r="I150">
        <v>0.14499999999999999</v>
      </c>
      <c r="J150">
        <v>20.643934211587506</v>
      </c>
    </row>
    <row r="151" spans="1:10">
      <c r="A151" s="1">
        <v>45680</v>
      </c>
      <c r="B151" s="1" cm="1">
        <f t="array" ref="B151">_xlfn._xlws.FILTER(A151, WEEKDAY(A151, 2) &lt;= 5)</f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0.43</v>
      </c>
      <c r="H151">
        <v>0.57327325840411991</v>
      </c>
      <c r="I151">
        <v>0.144399995803833</v>
      </c>
      <c r="J151">
        <v>20.64404633826015</v>
      </c>
    </row>
    <row r="152" spans="1:10">
      <c r="A152" s="1">
        <v>45681</v>
      </c>
      <c r="B152" s="1" cm="1">
        <f t="array" ref="B152">_xlfn._xlws.FILTER(A152, WEEKDAY(A152, 2) &lt;= 5)</f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0.47</v>
      </c>
      <c r="H152">
        <v>0.60637623854856593</v>
      </c>
      <c r="I152">
        <v>0.14739999771118159</v>
      </c>
      <c r="J152">
        <v>20.644083084986015</v>
      </c>
    </row>
    <row r="153" spans="1:10">
      <c r="A153" s="1">
        <v>45684</v>
      </c>
      <c r="B153" s="1" cm="1">
        <f t="array" ref="B153">_xlfn._xlws.FILTER(A153, WEEKDAY(A153, 2) &lt;= 5)</f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0.45</v>
      </c>
      <c r="H153">
        <v>0.67289801588716203</v>
      </c>
      <c r="I153">
        <v>0.13750000000000001</v>
      </c>
      <c r="J153">
        <v>20.644031004256938</v>
      </c>
    </row>
    <row r="154" spans="1:10">
      <c r="A154" s="1">
        <v>45685</v>
      </c>
      <c r="B154" s="1" cm="1">
        <f t="array" ref="B154">_xlfn._xlws.FILTER(A154, WEEKDAY(A154, 2) &lt;= 5)</f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0.46</v>
      </c>
      <c r="H154">
        <v>0.60872989726494298</v>
      </c>
      <c r="I154">
        <v>0.14399999618530271</v>
      </c>
      <c r="J154">
        <v>20.64399127001478</v>
      </c>
    </row>
    <row r="155" spans="1:10">
      <c r="A155" s="1">
        <v>45686</v>
      </c>
      <c r="B155" s="1" cm="1">
        <f t="array" ref="B155">_xlfn._xlws.FILTER(A155, WEEKDAY(A155, 2) &lt;= 5)</f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0.45</v>
      </c>
      <c r="H155">
        <v>0.68692143305944309</v>
      </c>
      <c r="I155">
        <v>0.14409999847412111</v>
      </c>
      <c r="J155">
        <v>20.644000078542561</v>
      </c>
    </row>
    <row r="156" spans="1:10">
      <c r="A156" s="1">
        <v>45687</v>
      </c>
      <c r="B156" s="1" cm="1">
        <f t="array" ref="B156">_xlfn._xlws.FILTER(A156, WEEKDAY(A156, 2) &lt;= 5)</f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0.44</v>
      </c>
      <c r="H156">
        <v>0.64068803001797381</v>
      </c>
      <c r="I156">
        <v>0.14329999923706049</v>
      </c>
      <c r="J156">
        <v>20.644073513154122</v>
      </c>
    </row>
    <row r="157" spans="1:10">
      <c r="A157" s="1">
        <v>45688</v>
      </c>
      <c r="B157" s="1" cm="1">
        <f t="array" ref="B157">_xlfn._xlws.FILTER(A157, WEEKDAY(A157, 2) &lt;= 5)</f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0.4</v>
      </c>
      <c r="H157">
        <v>0.67485523005085757</v>
      </c>
      <c r="I157">
        <v>0.1381999969482422</v>
      </c>
      <c r="J157">
        <v>20.644049988255446</v>
      </c>
    </row>
    <row r="158" spans="1:10">
      <c r="A158" s="1">
        <v>45691</v>
      </c>
      <c r="B158" s="1" cm="1">
        <f t="array" ref="B158">_xlfn._xlws.FILTER(A158, WEEKDAY(A158, 2) &lt;= 5)</f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0.39</v>
      </c>
      <c r="H158">
        <v>0.65249632948359138</v>
      </c>
      <c r="I158">
        <v>0.13060000419616699</v>
      </c>
      <c r="J158">
        <v>20.644049882061324</v>
      </c>
    </row>
    <row r="159" spans="1:10">
      <c r="A159" s="1">
        <v>45692</v>
      </c>
      <c r="B159" s="1" cm="1">
        <f t="array" ref="B159">_xlfn._xlws.FILTER(A159, WEEKDAY(A159, 2) &lt;= 5)</f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0.38</v>
      </c>
      <c r="H159">
        <v>0.58312000402672837</v>
      </c>
      <c r="I159">
        <v>0.13189999580383299</v>
      </c>
      <c r="J159">
        <v>20.644113981340709</v>
      </c>
    </row>
    <row r="160" spans="1:10">
      <c r="A160" s="1">
        <v>45693</v>
      </c>
      <c r="B160" s="1" cm="1">
        <f t="array" ref="B160">_xlfn._xlws.FILTER(A160, WEEKDAY(A160, 2) &lt;= 5)</f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0.38</v>
      </c>
      <c r="H160">
        <v>0.58578950411162201</v>
      </c>
      <c r="I160">
        <v>0.13239999771118161</v>
      </c>
      <c r="J160">
        <v>20.644089617617151</v>
      </c>
    </row>
    <row r="161" spans="1:10">
      <c r="A161" s="1">
        <v>45694</v>
      </c>
      <c r="B161" s="1" cm="1">
        <f t="array" ref="B161">_xlfn._xlws.FILTER(A161, WEEKDAY(A161, 2) &lt;= 5)</f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0.38</v>
      </c>
      <c r="H161">
        <v>0.58201223902651766</v>
      </c>
      <c r="I161">
        <v>0.1277999973297119</v>
      </c>
      <c r="J161">
        <v>20.644066717147506</v>
      </c>
    </row>
    <row r="162" spans="1:10">
      <c r="A162" s="1">
        <v>45695</v>
      </c>
      <c r="B162" s="1" cm="1">
        <f t="array" ref="B162">_xlfn._xlws.FILTER(A162, WEEKDAY(A162, 2) &lt;= 5)</f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0.37</v>
      </c>
      <c r="H162">
        <v>0.61115192432036058</v>
      </c>
      <c r="I162">
        <v>0.13010000228881841</v>
      </c>
      <c r="J162">
        <v>20.64400037489871</v>
      </c>
    </row>
    <row r="163" spans="1:10">
      <c r="A163" s="1">
        <v>45698</v>
      </c>
      <c r="B163" s="1" cm="1">
        <f t="array" ref="B163">_xlfn._xlws.FILTER(A163, WEEKDAY(A163, 2) &lt;= 5)</f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0.4</v>
      </c>
      <c r="H163">
        <v>0.63046346458137104</v>
      </c>
      <c r="I163">
        <v>0.14329999923706049</v>
      </c>
      <c r="J163">
        <v>20.643942275694329</v>
      </c>
    </row>
    <row r="164" spans="1:10">
      <c r="A164" s="1">
        <v>45699</v>
      </c>
      <c r="B164" s="1" cm="1">
        <f t="array" ref="B164">_xlfn._xlws.FILTER(A164, WEEKDAY(A164, 2) &lt;= 5)</f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0.4</v>
      </c>
      <c r="H164">
        <v>0.60963500675817262</v>
      </c>
      <c r="I164">
        <v>0.16350000381469729</v>
      </c>
      <c r="J164">
        <v>20.644040351235336</v>
      </c>
    </row>
    <row r="165" spans="1:10">
      <c r="A165" s="1">
        <v>45700</v>
      </c>
      <c r="B165" s="1" cm="1">
        <f t="array" ref="B165">_xlfn._xlws.FILTER(A165, WEEKDAY(A165, 2) &lt;= 5)</f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0.4</v>
      </c>
      <c r="H165">
        <v>0.64187906085450586</v>
      </c>
      <c r="I165">
        <v>0.1603000068664551</v>
      </c>
      <c r="J165">
        <v>20.643956683754478</v>
      </c>
    </row>
    <row r="166" spans="1:10">
      <c r="A166" s="1">
        <v>45701</v>
      </c>
      <c r="B166" s="1" cm="1">
        <f t="array" ref="B166">_xlfn._xlws.FILTER(A166, WEEKDAY(A166, 2) &lt;= 5)</f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0.4</v>
      </c>
      <c r="H166">
        <v>0.57189154170584555</v>
      </c>
      <c r="I166">
        <v>0.15189999580383301</v>
      </c>
      <c r="J166">
        <v>20.64403779322183</v>
      </c>
    </row>
    <row r="167" spans="1:10">
      <c r="A167" s="1">
        <v>45702</v>
      </c>
      <c r="B167" s="1" cm="1">
        <f t="array" ref="B167">_xlfn._xlws.FILTER(A167, WEEKDAY(A167, 2) &lt;= 5)</f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0.41</v>
      </c>
      <c r="H167">
        <v>0.58606120683906393</v>
      </c>
      <c r="I167">
        <v>0.1497999954223633</v>
      </c>
      <c r="J167">
        <v>20.644042275078043</v>
      </c>
    </row>
    <row r="168" spans="1:10">
      <c r="A168" s="1">
        <v>45705</v>
      </c>
      <c r="B168" s="1" cm="1">
        <f t="array" ref="B168">_xlfn._xlws.FILTER(A168, WEEKDAY(A168, 2) &lt;= 5)</f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0.37</v>
      </c>
      <c r="H168">
        <v>0.5957132428336096</v>
      </c>
      <c r="I168">
        <v>0.1730999946594238</v>
      </c>
      <c r="J168">
        <v>20.643962955537681</v>
      </c>
    </row>
    <row r="169" spans="1:10">
      <c r="A169" s="1">
        <v>45706</v>
      </c>
      <c r="B169" s="1" cm="1">
        <f t="array" ref="B169">_xlfn._xlws.FILTER(A169, WEEKDAY(A169, 2) &lt;= 5)</f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0.36</v>
      </c>
      <c r="H169">
        <v>0.61377267869572549</v>
      </c>
      <c r="I169">
        <v>0.19229999542236331</v>
      </c>
      <c r="J169">
        <v>20.644059356378929</v>
      </c>
    </row>
    <row r="170" spans="1:10">
      <c r="A170" s="1">
        <v>45707</v>
      </c>
      <c r="B170" s="1" cm="1">
        <f t="array" ref="B170">_xlfn._xlws.FILTER(A170, WEEKDAY(A170, 2) &lt;= 5)</f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0.34</v>
      </c>
      <c r="H170">
        <v>0.6487953498890604</v>
      </c>
      <c r="I170">
        <v>0.18399999618530269</v>
      </c>
      <c r="J170">
        <v>20.644019144532095</v>
      </c>
    </row>
    <row r="171" spans="1:10">
      <c r="A171" s="1">
        <v>45708</v>
      </c>
      <c r="B171" s="1" cm="1">
        <f t="array" ref="B171">_xlfn._xlws.FILTER(A171, WEEKDAY(A171, 2) &lt;= 5)</f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0.33</v>
      </c>
      <c r="H171">
        <v>0.60738323249194415</v>
      </c>
      <c r="I171">
        <v>0.18209999084472661</v>
      </c>
      <c r="J171">
        <v>20.644027087500575</v>
      </c>
    </row>
    <row r="172" spans="1:10">
      <c r="A172" s="1">
        <v>45709</v>
      </c>
      <c r="B172" s="1" cm="1">
        <f t="array" ref="B172">_xlfn._xlws.FILTER(A172, WEEKDAY(A172, 2) &lt;= 5)</f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0.34</v>
      </c>
      <c r="H172">
        <v>0.65958587239988131</v>
      </c>
      <c r="I172">
        <v>0.18</v>
      </c>
      <c r="J172">
        <v>20.643964103880936</v>
      </c>
    </row>
    <row r="173" spans="1:10">
      <c r="A173" s="1">
        <v>45712</v>
      </c>
      <c r="B173" s="1" cm="1">
        <f t="array" ref="B173">_xlfn._xlws.FILTER(A173, WEEKDAY(A173, 2) &lt;= 5)</f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0.34</v>
      </c>
      <c r="H173">
        <v>0.58467027258306903</v>
      </c>
      <c r="I173">
        <v>0.15689999580383299</v>
      </c>
      <c r="J173">
        <v>20.643939018549244</v>
      </c>
    </row>
    <row r="174" spans="1:10">
      <c r="A174" s="1">
        <v>45713</v>
      </c>
      <c r="B174" s="1" cm="1">
        <f t="array" ref="B174">_xlfn._xlws.FILTER(A174, WEEKDAY(A174, 2) &lt;= 5)</f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0.33</v>
      </c>
      <c r="H174">
        <v>0.58191460070976431</v>
      </c>
      <c r="I174">
        <v>0.15970000267028811</v>
      </c>
      <c r="J174">
        <v>20.643893241583967</v>
      </c>
    </row>
    <row r="175" spans="1:10">
      <c r="A175" s="1">
        <v>45714</v>
      </c>
      <c r="B175" s="1" cm="1">
        <f t="array" ref="B175">_xlfn._xlws.FILTER(A175, WEEKDAY(A175, 2) &lt;= 5)</f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0.31</v>
      </c>
      <c r="H175">
        <v>0.56815407565405573</v>
      </c>
      <c r="I175">
        <v>0.1536999988555908</v>
      </c>
      <c r="J175">
        <v>20.644019725805837</v>
      </c>
    </row>
    <row r="176" spans="1:10">
      <c r="A176" s="1">
        <v>45715</v>
      </c>
      <c r="B176" s="1" cm="1">
        <f t="array" ref="B176">_xlfn._xlws.FILTER(A176, WEEKDAY(A176, 2) &lt;= 5)</f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0.32</v>
      </c>
      <c r="H176">
        <v>0.68992946860329873</v>
      </c>
      <c r="I176">
        <v>0.15029999732971189</v>
      </c>
      <c r="J176">
        <v>20.643958265949763</v>
      </c>
    </row>
    <row r="177" spans="1:10">
      <c r="A177" s="1">
        <v>45716</v>
      </c>
      <c r="B177" s="1" cm="1">
        <f t="array" ref="B177">_xlfn._xlws.FILTER(A177, WEEKDAY(A177, 2) &lt;= 5)</f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0.32</v>
      </c>
      <c r="H177">
        <v>0.50710312212695852</v>
      </c>
      <c r="I177">
        <v>0.14670000076293949</v>
      </c>
      <c r="J177">
        <v>20.644024192813301</v>
      </c>
    </row>
    <row r="178" spans="1:10">
      <c r="A178" s="1">
        <v>45719</v>
      </c>
      <c r="B178" s="1" cm="1">
        <f t="array" ref="B178">_xlfn._xlws.FILTER(A178, WEEKDAY(A178, 2) &lt;= 5)</f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0.31</v>
      </c>
      <c r="H178">
        <v>0.60481326803198643</v>
      </c>
      <c r="I178">
        <v>0.1468000030517578</v>
      </c>
      <c r="J178">
        <v>20.643991559766086</v>
      </c>
    </row>
    <row r="179" spans="1:10">
      <c r="A179" s="1">
        <v>45720</v>
      </c>
      <c r="B179" s="1" cm="1">
        <f t="array" ref="B179">_xlfn._xlws.FILTER(A179, WEEKDAY(A179, 2) &lt;= 5)</f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0.3</v>
      </c>
      <c r="H179">
        <v>0.63960448254378555</v>
      </c>
      <c r="I179">
        <v>0.13489999771118161</v>
      </c>
      <c r="J179">
        <v>20.644036279235319</v>
      </c>
    </row>
    <row r="180" spans="1:10">
      <c r="A180" s="1">
        <v>45721</v>
      </c>
      <c r="B180" s="1" cm="1">
        <f t="array" ref="B180">_xlfn._xlws.FILTER(A180, WEEKDAY(A180, 2) &lt;= 5)</f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0.3</v>
      </c>
      <c r="H180">
        <v>0.5786433858972605</v>
      </c>
      <c r="I180">
        <v>0.13489999771118161</v>
      </c>
      <c r="J180">
        <v>20.643957304970641</v>
      </c>
    </row>
    <row r="181" spans="1:10">
      <c r="A181" s="1">
        <v>45722</v>
      </c>
      <c r="B181" s="1" cm="1">
        <f t="array" ref="B181">_xlfn._xlws.FILTER(A181, WEEKDAY(A181, 2) &lt;= 5)</f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0.3</v>
      </c>
      <c r="H181">
        <v>0.55485117104875115</v>
      </c>
      <c r="I181">
        <v>0.13229999542236329</v>
      </c>
      <c r="J181">
        <v>20.644071729945736</v>
      </c>
    </row>
    <row r="182" spans="1:10">
      <c r="A182" s="1">
        <v>45723</v>
      </c>
      <c r="B182" s="1" cm="1">
        <f t="array" ref="B182">_xlfn._xlws.FILTER(A182, WEEKDAY(A182, 2) &lt;= 5)</f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0.33</v>
      </c>
      <c r="H182">
        <v>0.58993057679338501</v>
      </c>
      <c r="I182">
        <v>0.13</v>
      </c>
      <c r="J182">
        <v>20.643972918057912</v>
      </c>
    </row>
    <row r="183" spans="1:10">
      <c r="A183" s="1">
        <v>45726</v>
      </c>
      <c r="B183" s="1" cm="1">
        <f t="array" ref="B183">_xlfn._xlws.FILTER(A183, WEEKDAY(A183, 2) &lt;= 5)</f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0.32</v>
      </c>
      <c r="H183">
        <v>0.60658391185776628</v>
      </c>
      <c r="I183">
        <v>0.13600000381469729</v>
      </c>
      <c r="J183">
        <v>20.643986874549743</v>
      </c>
    </row>
    <row r="184" spans="1:10">
      <c r="A184" s="1">
        <v>45727</v>
      </c>
      <c r="B184" s="1" cm="1">
        <f t="array" ref="B184">_xlfn._xlws.FILTER(A184, WEEKDAY(A184, 2) &lt;= 5)</f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0.32</v>
      </c>
      <c r="H184">
        <v>0.56167149709600406</v>
      </c>
      <c r="I184">
        <v>0.13420000076293939</v>
      </c>
      <c r="J184">
        <v>20.643958519049736</v>
      </c>
    </row>
    <row r="185" spans="1:10">
      <c r="A185" s="1">
        <v>45728</v>
      </c>
      <c r="B185" s="1" cm="1">
        <f t="array" ref="B185">_xlfn._xlws.FILTER(A185, WEEKDAY(A185, 2) &lt;= 5)</f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0.35</v>
      </c>
      <c r="H185">
        <v>0.6336838379045957</v>
      </c>
      <c r="I185">
        <v>0.1244999980926514</v>
      </c>
      <c r="J185">
        <v>20.64399235595732</v>
      </c>
    </row>
    <row r="186" spans="1:10">
      <c r="A186" s="1">
        <v>45729</v>
      </c>
      <c r="B186" s="1" cm="1">
        <f t="array" ref="B186">_xlfn._xlws.FILTER(A186, WEEKDAY(A186, 2) &lt;= 5)</f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0.34</v>
      </c>
      <c r="H186">
        <v>0.63149412494344836</v>
      </c>
      <c r="I186">
        <v>0.12420000076293949</v>
      </c>
      <c r="J186">
        <v>20.643963092917662</v>
      </c>
    </row>
    <row r="187" spans="1:10">
      <c r="A187" s="1">
        <v>45730</v>
      </c>
      <c r="B187" s="1" cm="1">
        <f t="array" ref="B187">_xlfn._xlws.FILTER(A187, WEEKDAY(A187, 2) &lt;= 5)</f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0.34</v>
      </c>
      <c r="H187">
        <v>0.59979654104302693</v>
      </c>
      <c r="I187">
        <v>0.11989999771118159</v>
      </c>
      <c r="J187">
        <v>20.643989210591101</v>
      </c>
    </row>
    <row r="188" spans="1:10">
      <c r="A188" s="14">
        <v>45733</v>
      </c>
      <c r="B188" s="14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 s="15">
        <v>0.32999930961490187</v>
      </c>
      <c r="H188" s="15">
        <v>0.43157288087281531</v>
      </c>
      <c r="I188" s="16">
        <v>0.70088628827800514</v>
      </c>
      <c r="J188">
        <v>20.644006531118904</v>
      </c>
    </row>
    <row r="189" spans="1:10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0.34192722949482457</v>
      </c>
      <c r="H189">
        <v>0.66292371985730114</v>
      </c>
      <c r="I189" s="13">
        <v>0.70231786352277659</v>
      </c>
      <c r="J189">
        <v>20.644023156184314</v>
      </c>
    </row>
    <row r="190" spans="1:10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0.34562635376040413</v>
      </c>
      <c r="H190">
        <v>0.50838654595699295</v>
      </c>
      <c r="I190" s="13">
        <v>0.69270909090634969</v>
      </c>
      <c r="J190">
        <v>20.64401980172466</v>
      </c>
    </row>
    <row r="191" spans="1:10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0.22857621464816075</v>
      </c>
      <c r="H191">
        <v>0.57103235024587606</v>
      </c>
      <c r="I191" s="13">
        <v>0.69588885829972991</v>
      </c>
      <c r="J191">
        <v>20.644058666861628</v>
      </c>
    </row>
    <row r="192" spans="1:10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0.36453389607098635</v>
      </c>
      <c r="H192">
        <v>0.55946806251558412</v>
      </c>
      <c r="I192" s="13">
        <v>0.71396938554415534</v>
      </c>
      <c r="J192">
        <v>20.643956387099713</v>
      </c>
    </row>
    <row r="193" spans="1:10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0.32945639848990044</v>
      </c>
      <c r="H193">
        <v>0.58843680822345446</v>
      </c>
      <c r="I193" s="13">
        <v>0.69846672404362242</v>
      </c>
      <c r="J193">
        <v>20.644060753178124</v>
      </c>
    </row>
    <row r="194" spans="1:10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0.32413503514276659</v>
      </c>
      <c r="H194">
        <v>0.55630344749677796</v>
      </c>
      <c r="I194" s="13">
        <v>0.69976781092534956</v>
      </c>
      <c r="J194">
        <v>20.643919272177911</v>
      </c>
    </row>
    <row r="195" spans="1:10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0.31860546410645152</v>
      </c>
      <c r="H195">
        <v>0.60832136568549822</v>
      </c>
      <c r="I195" s="13">
        <v>0.7137924130083485</v>
      </c>
      <c r="J195">
        <v>20.644030907355468</v>
      </c>
    </row>
    <row r="196" spans="1:10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0.31363145920531627</v>
      </c>
      <c r="H196">
        <v>0.58198829730337731</v>
      </c>
      <c r="I196" s="13">
        <v>0.70190304239279577</v>
      </c>
      <c r="J196">
        <v>20.643986998262871</v>
      </c>
    </row>
    <row r="197" spans="1:10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0.3817517345975075</v>
      </c>
      <c r="H197">
        <v>0.60195799218057189</v>
      </c>
      <c r="I197" s="13">
        <v>0.7047031068125823</v>
      </c>
      <c r="J197">
        <v>20.644045443978701</v>
      </c>
    </row>
    <row r="198" spans="1:10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0.40592628505479528</v>
      </c>
      <c r="H198">
        <v>0.51641147919064556</v>
      </c>
      <c r="I198" s="13">
        <v>0.69118004363865493</v>
      </c>
      <c r="J198">
        <v>20.644005592961285</v>
      </c>
    </row>
    <row r="199" spans="1:10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0.35998083595242825</v>
      </c>
      <c r="H199">
        <v>0.63600456587374699</v>
      </c>
      <c r="I199" s="13">
        <v>0.70525911251257645</v>
      </c>
      <c r="J199">
        <v>20.644073903897425</v>
      </c>
    </row>
    <row r="200" spans="1:10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0.33936760274964545</v>
      </c>
      <c r="H200">
        <v>0.67472476646703017</v>
      </c>
      <c r="I200" s="13">
        <v>0.71035911926035067</v>
      </c>
      <c r="J200">
        <v>20.64393014459117</v>
      </c>
    </row>
    <row r="201" spans="1:10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0.31627583701827838</v>
      </c>
      <c r="H201">
        <v>0.56710234153798378</v>
      </c>
      <c r="I201" s="13">
        <v>0.70117820165993539</v>
      </c>
      <c r="J201">
        <v>20.644023558379804</v>
      </c>
    </row>
    <row r="202" spans="1:10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0.2875463957680886</v>
      </c>
      <c r="H202">
        <v>0.62399953347238069</v>
      </c>
      <c r="I202" s="13">
        <v>0.70682535374183986</v>
      </c>
      <c r="J202">
        <v>20.644019950456755</v>
      </c>
    </row>
    <row r="203" spans="1:10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0.33049847474126282</v>
      </c>
      <c r="H203">
        <v>0.63676174933383589</v>
      </c>
      <c r="I203" s="13">
        <v>0.7039896752416327</v>
      </c>
      <c r="J203">
        <v>20.643981450224615</v>
      </c>
    </row>
    <row r="204" spans="1:10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0.29129874505095682</v>
      </c>
      <c r="H204">
        <v>0.58082883163081422</v>
      </c>
      <c r="I204" s="13">
        <v>0.71857460886941915</v>
      </c>
      <c r="J204">
        <v>20.643971306282719</v>
      </c>
    </row>
    <row r="205" spans="1:10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0.33486816243860223</v>
      </c>
      <c r="H205">
        <v>0.72853514988591916</v>
      </c>
      <c r="I205" s="13">
        <v>0.708212886914239</v>
      </c>
      <c r="J205">
        <v>20.643936442014795</v>
      </c>
    </row>
    <row r="206" spans="1:10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0.40070212054150994</v>
      </c>
      <c r="H206">
        <v>0.59785865964761098</v>
      </c>
      <c r="I206" s="13">
        <v>0.70541948679489919</v>
      </c>
      <c r="J206">
        <v>20.644081103067158</v>
      </c>
    </row>
    <row r="207" spans="1:10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0.33170804931894365</v>
      </c>
      <c r="H207">
        <v>0.54417332991811174</v>
      </c>
      <c r="I207" s="13">
        <v>0.70176137687550577</v>
      </c>
      <c r="J207">
        <v>20.644090961173035</v>
      </c>
    </row>
    <row r="208" spans="1:10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0.40770555465619301</v>
      </c>
      <c r="H208">
        <v>0.66390009648585646</v>
      </c>
      <c r="I208" s="13">
        <v>0.691710366139073</v>
      </c>
      <c r="J208">
        <v>20.644002881265823</v>
      </c>
    </row>
    <row r="209" spans="1:10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0.31729927550209264</v>
      </c>
      <c r="H209">
        <v>0.60847040034934019</v>
      </c>
      <c r="I209" s="13">
        <v>0.69173507895209208</v>
      </c>
      <c r="J209">
        <v>20.643999012969765</v>
      </c>
    </row>
    <row r="210" spans="1:10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0.34934615060428686</v>
      </c>
      <c r="H210">
        <v>0.54161958928363174</v>
      </c>
      <c r="I210" s="13">
        <v>0.70205105156408665</v>
      </c>
      <c r="J210">
        <v>20.643949062206513</v>
      </c>
    </row>
    <row r="211" spans="1:10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0.37143792921996138</v>
      </c>
      <c r="H211">
        <v>0.55276642496293615</v>
      </c>
      <c r="I211" s="13">
        <v>0.6997752377071107</v>
      </c>
      <c r="J211">
        <v>20.643990050773031</v>
      </c>
    </row>
    <row r="212" spans="1:10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0.37417007941730895</v>
      </c>
      <c r="H212">
        <v>0.59957987676367541</v>
      </c>
      <c r="I212" s="13">
        <v>0.70720131777387385</v>
      </c>
      <c r="J212">
        <v>20.644091608983818</v>
      </c>
    </row>
    <row r="213" spans="1:10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0.36009765977357572</v>
      </c>
      <c r="H213">
        <v>0.56285131109355879</v>
      </c>
      <c r="I213" s="13">
        <v>0.70439695062650864</v>
      </c>
      <c r="J213">
        <v>20.643972181152648</v>
      </c>
    </row>
    <row r="214" spans="1:10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0.30156582654047209</v>
      </c>
      <c r="H214">
        <v>0.52271443796852812</v>
      </c>
      <c r="I214" s="13">
        <v>0.70088254218667279</v>
      </c>
      <c r="J214">
        <v>20.643942880008623</v>
      </c>
    </row>
    <row r="215" spans="1:10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0.34640732953539649</v>
      </c>
      <c r="H215">
        <v>0.64285292939327321</v>
      </c>
      <c r="I215" s="13">
        <v>0.69831787607621554</v>
      </c>
      <c r="J215">
        <v>20.644027107376463</v>
      </c>
    </row>
    <row r="216" spans="1:10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0.44781711895947446</v>
      </c>
      <c r="H216">
        <v>0.51696703628188234</v>
      </c>
      <c r="I216" s="13">
        <v>0.70468500036009751</v>
      </c>
      <c r="J216">
        <v>20.64406403366457</v>
      </c>
    </row>
    <row r="217" spans="1:10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0.36109425687469665</v>
      </c>
      <c r="H217">
        <v>0.62334767301192906</v>
      </c>
      <c r="I217" s="13">
        <v>0.69738239999691165</v>
      </c>
      <c r="J217">
        <v>20.644105189824888</v>
      </c>
    </row>
    <row r="218" spans="1:10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0.32814451034385778</v>
      </c>
      <c r="H218">
        <v>0.53507823357919271</v>
      </c>
      <c r="I218" s="13">
        <v>0.69474866139558911</v>
      </c>
      <c r="J218">
        <v>20.644041079474327</v>
      </c>
    </row>
    <row r="219" spans="1:10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0.37368889631931329</v>
      </c>
      <c r="H219">
        <v>0.52994851339625615</v>
      </c>
      <c r="I219" s="13">
        <v>0.70345538471341773</v>
      </c>
      <c r="J219">
        <v>20.644021603528699</v>
      </c>
    </row>
    <row r="220" spans="1:10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0.34325332065993802</v>
      </c>
      <c r="H220">
        <v>0.53402577536805462</v>
      </c>
      <c r="I220" s="13">
        <v>0.70549204118930509</v>
      </c>
      <c r="J220">
        <v>20.644094707316711</v>
      </c>
    </row>
    <row r="221" spans="1:10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0.34668626216812037</v>
      </c>
      <c r="H221">
        <v>0.5432605142759247</v>
      </c>
      <c r="I221" s="13">
        <v>0.69326844437840929</v>
      </c>
      <c r="J221">
        <v>20.643934105967922</v>
      </c>
    </row>
    <row r="222" spans="1:10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0.31222636994924552</v>
      </c>
      <c r="H222">
        <v>0.67307144555155285</v>
      </c>
      <c r="I222" s="13">
        <v>0.69259353273027091</v>
      </c>
      <c r="J222">
        <v>20.64402184029305</v>
      </c>
    </row>
    <row r="223" spans="1:10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0.36557603269503541</v>
      </c>
      <c r="H223">
        <v>0.619368781606775</v>
      </c>
      <c r="I223" s="13">
        <v>0.6968626126193278</v>
      </c>
      <c r="J223">
        <v>20.643937853299843</v>
      </c>
    </row>
    <row r="224" spans="1:10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0.30322695565060387</v>
      </c>
      <c r="H224">
        <v>0.58919508185756975</v>
      </c>
      <c r="I224" s="13">
        <v>0.70126078140775372</v>
      </c>
      <c r="J224">
        <v>20.643998287565076</v>
      </c>
    </row>
    <row r="225" spans="1:10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0.43115353733438044</v>
      </c>
      <c r="H225">
        <v>0.55941225006739947</v>
      </c>
      <c r="I225" s="13">
        <v>0.7076982409275584</v>
      </c>
      <c r="J225">
        <v>20.643979126074768</v>
      </c>
    </row>
    <row r="226" spans="1:10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0.27329872004100908</v>
      </c>
      <c r="H226">
        <v>0.62116823653291864</v>
      </c>
      <c r="I226" s="13">
        <v>0.7083876354341252</v>
      </c>
      <c r="J226">
        <v>20.643954125071435</v>
      </c>
    </row>
    <row r="227" spans="1:10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0.33757285642397494</v>
      </c>
      <c r="H227">
        <v>0.71462805550581576</v>
      </c>
      <c r="I227" s="13">
        <v>0.69892773393687757</v>
      </c>
      <c r="J227">
        <v>20.64395214393074</v>
      </c>
    </row>
    <row r="228" spans="1:10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0.3251232882544301</v>
      </c>
      <c r="H228">
        <v>0.71066016553039368</v>
      </c>
      <c r="I228" s="13">
        <v>0.70245003797948047</v>
      </c>
      <c r="J228">
        <v>20.643979847800438</v>
      </c>
    </row>
    <row r="229" spans="1:10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0.40056952516513233</v>
      </c>
      <c r="H229">
        <v>0.55609276895784121</v>
      </c>
      <c r="I229" s="13">
        <v>0.70292556180714649</v>
      </c>
      <c r="J229">
        <v>20.643896344782497</v>
      </c>
    </row>
    <row r="230" spans="1:10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0.41151691131971224</v>
      </c>
      <c r="H230">
        <v>0.56340371789215649</v>
      </c>
      <c r="I230" s="13">
        <v>0.70014033643402529</v>
      </c>
      <c r="J230">
        <v>20.644045153002029</v>
      </c>
    </row>
    <row r="231" spans="1:10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0.32848046430679301</v>
      </c>
      <c r="H231">
        <v>0.5664082638304716</v>
      </c>
      <c r="I231" s="13">
        <v>0.70054254218866463</v>
      </c>
      <c r="J231">
        <v>20.644026009489071</v>
      </c>
    </row>
    <row r="232" spans="1:10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0.32899139214332385</v>
      </c>
      <c r="H232">
        <v>0.56532692020354547</v>
      </c>
      <c r="I232" s="13">
        <v>0.70099192569230417</v>
      </c>
      <c r="J232">
        <v>20.644001692848359</v>
      </c>
    </row>
    <row r="233" spans="1:10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0.37241309360536246</v>
      </c>
      <c r="H233">
        <v>0.63651141349753215</v>
      </c>
      <c r="I233" s="13">
        <v>0.70613504676800476</v>
      </c>
      <c r="J233">
        <v>20.644044571786843</v>
      </c>
    </row>
    <row r="234" spans="1:10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0.23786615290068058</v>
      </c>
      <c r="H234">
        <v>0.63341846343594421</v>
      </c>
      <c r="I234" s="13">
        <v>0.69840701584097242</v>
      </c>
      <c r="J234">
        <v>20.644015075895112</v>
      </c>
    </row>
    <row r="235" spans="1:10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0.33297658091716414</v>
      </c>
      <c r="H235">
        <v>0.51337323511712973</v>
      </c>
      <c r="I235" s="13">
        <v>0.70924115798016207</v>
      </c>
      <c r="J235">
        <v>20.644042182376619</v>
      </c>
    </row>
    <row r="236" spans="1:10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0.33545333365602559</v>
      </c>
      <c r="H236">
        <v>0.56023823070422429</v>
      </c>
      <c r="I236" s="13">
        <v>0.70171060129997376</v>
      </c>
      <c r="J236">
        <v>20.644103503672738</v>
      </c>
    </row>
    <row r="237" spans="1:10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0.3880671550042169</v>
      </c>
      <c r="H237">
        <v>0.54519317266977563</v>
      </c>
      <c r="I237" s="13">
        <v>0.70094931876508093</v>
      </c>
      <c r="J237">
        <v>20.643985780200389</v>
      </c>
    </row>
    <row r="238" spans="1:10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0.3039295106865883</v>
      </c>
      <c r="H238">
        <v>0.71427586269907617</v>
      </c>
      <c r="I238" s="13">
        <v>0.70255380851374294</v>
      </c>
      <c r="J238">
        <v>20.644052594902345</v>
      </c>
    </row>
    <row r="239" spans="1:10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0.29724535973536864</v>
      </c>
      <c r="H239">
        <v>0.63057698206890489</v>
      </c>
      <c r="I239" s="13">
        <v>0.71300194651683313</v>
      </c>
      <c r="J239">
        <v>20.644014808083288</v>
      </c>
    </row>
    <row r="240" spans="1:10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0.30025419925430141</v>
      </c>
      <c r="H240">
        <v>0.61930069937563259</v>
      </c>
      <c r="I240" s="13">
        <v>0.70402800110792285</v>
      </c>
      <c r="J240">
        <v>20.643993572238028</v>
      </c>
    </row>
    <row r="241" spans="1:10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0.43033612761513268</v>
      </c>
      <c r="H241">
        <v>0.55130380703840709</v>
      </c>
      <c r="I241" s="13">
        <v>0.71228077293906034</v>
      </c>
      <c r="J241">
        <v>20.643976283872945</v>
      </c>
    </row>
    <row r="242" spans="1:10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0.33039782107276888</v>
      </c>
      <c r="H242">
        <v>0.60877696755750854</v>
      </c>
      <c r="I242" s="13">
        <v>0.69236547849858499</v>
      </c>
      <c r="J242">
        <v>20.643921817136551</v>
      </c>
    </row>
    <row r="243" spans="1:10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0.33584716512965151</v>
      </c>
      <c r="H243">
        <v>0.74490865712583354</v>
      </c>
      <c r="I243" s="13">
        <v>0.69710322906355537</v>
      </c>
      <c r="J243">
        <v>20.644038857321554</v>
      </c>
    </row>
    <row r="244" spans="1:10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0.38371920812562549</v>
      </c>
      <c r="H244">
        <v>0.63160281204935564</v>
      </c>
      <c r="I244" s="13">
        <v>0.69306227200732851</v>
      </c>
      <c r="J244">
        <v>20.64413698492864</v>
      </c>
    </row>
    <row r="245" spans="1:10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0.34004605042347869</v>
      </c>
      <c r="H245">
        <v>0.60482699062334766</v>
      </c>
      <c r="I245" s="13">
        <v>0.71156071635390505</v>
      </c>
      <c r="J245">
        <v>20.643970050226457</v>
      </c>
    </row>
    <row r="246" spans="1:10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0.34721928992339512</v>
      </c>
      <c r="H246">
        <v>0.63033200493245656</v>
      </c>
      <c r="I246" s="13">
        <v>0.70141377580827069</v>
      </c>
      <c r="J246">
        <v>20.644030061480422</v>
      </c>
    </row>
    <row r="247" spans="1:10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0.34062992053712382</v>
      </c>
      <c r="H247">
        <v>0.53343627950334005</v>
      </c>
      <c r="I247" s="13">
        <v>0.70130541085154141</v>
      </c>
      <c r="J247">
        <v>20.644018123068491</v>
      </c>
    </row>
    <row r="248" spans="1:10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0.32020924793468686</v>
      </c>
      <c r="H248">
        <v>0.60298279511889963</v>
      </c>
      <c r="I248" s="13">
        <v>0.71106095025184013</v>
      </c>
      <c r="J248">
        <v>20.644048590287991</v>
      </c>
    </row>
    <row r="249" spans="1:10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0.2882349463719398</v>
      </c>
      <c r="H249">
        <v>0.62515609935418492</v>
      </c>
      <c r="I249" s="13">
        <v>0.70224568459786096</v>
      </c>
      <c r="J249">
        <v>20.643954774843603</v>
      </c>
    </row>
    <row r="250" spans="1:10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0.31434483710350319</v>
      </c>
      <c r="H250">
        <v>0.58919051756508201</v>
      </c>
      <c r="I250" s="13">
        <v>0.69119315275574222</v>
      </c>
      <c r="J250">
        <v>20.643944658449001</v>
      </c>
    </row>
    <row r="251" spans="1:10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0.42933774336728014</v>
      </c>
      <c r="H251">
        <v>0.61849107454625984</v>
      </c>
      <c r="I251" s="13">
        <v>0.71074553361536763</v>
      </c>
      <c r="J251">
        <v>20.643989529929197</v>
      </c>
    </row>
    <row r="252" spans="1:10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0.37496330875378547</v>
      </c>
      <c r="H252">
        <v>0.63231329159548799</v>
      </c>
      <c r="I252" s="13">
        <v>0.70271095240972481</v>
      </c>
      <c r="J252">
        <v>20.644024291325927</v>
      </c>
    </row>
    <row r="253" spans="1:10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0.35138462125039216</v>
      </c>
      <c r="H253">
        <v>0.6533375675153078</v>
      </c>
      <c r="I253" s="13">
        <v>0.70350330280725459</v>
      </c>
      <c r="J253">
        <v>20.643971991186444</v>
      </c>
    </row>
    <row r="254" spans="1:10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0.32556632885064851</v>
      </c>
      <c r="H254">
        <v>0.59327144588679326</v>
      </c>
      <c r="I254" s="13">
        <v>0.68932753093964994</v>
      </c>
      <c r="J254">
        <v>20.643991800534501</v>
      </c>
    </row>
    <row r="255" spans="1:10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0.29613875864166206</v>
      </c>
      <c r="H255">
        <v>0.50419343464167943</v>
      </c>
      <c r="I255" s="13">
        <v>0.71000398617192217</v>
      </c>
      <c r="J255">
        <v>20.64400133732866</v>
      </c>
    </row>
    <row r="256" spans="1:10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0.34984004448693978</v>
      </c>
      <c r="H256">
        <v>0.57507568188325542</v>
      </c>
      <c r="I256" s="13">
        <v>0.70047730556527255</v>
      </c>
      <c r="J256">
        <v>20.644097151191776</v>
      </c>
    </row>
    <row r="257" spans="1:10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0.33745074601574315</v>
      </c>
      <c r="H257">
        <v>0.70007282352701905</v>
      </c>
      <c r="I257" s="13">
        <v>0.70960472107592498</v>
      </c>
      <c r="J257">
        <v>20.644030414302811</v>
      </c>
    </row>
    <row r="258" spans="1:10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0.360997856248293</v>
      </c>
      <c r="H258">
        <v>0.53960993451012629</v>
      </c>
      <c r="I258" s="13">
        <v>0.70655641294964844</v>
      </c>
      <c r="J258">
        <v>20.64404248622759</v>
      </c>
    </row>
    <row r="259" spans="1:10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0.49756926385952815</v>
      </c>
      <c r="H259">
        <v>0.59342953141320609</v>
      </c>
      <c r="I259" s="13">
        <v>0.69963079771558512</v>
      </c>
      <c r="J259">
        <v>20.64398658750045</v>
      </c>
    </row>
    <row r="260" spans="1:10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0.3771248370937122</v>
      </c>
      <c r="H260">
        <v>0.59230042929955051</v>
      </c>
      <c r="I260" s="13">
        <v>0.6959706516164833</v>
      </c>
      <c r="J260">
        <v>20.643999934932477</v>
      </c>
    </row>
    <row r="261" spans="1:10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0.47980585128239905</v>
      </c>
      <c r="H261">
        <v>0.6333103031083307</v>
      </c>
      <c r="I261" s="13">
        <v>0.70472200927632644</v>
      </c>
      <c r="J261">
        <v>20.64401950838235</v>
      </c>
    </row>
    <row r="262" spans="1:10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0.35692064698278664</v>
      </c>
      <c r="H262">
        <v>0.58703664122126509</v>
      </c>
      <c r="I262" s="13">
        <v>0.69280125859219643</v>
      </c>
      <c r="J262">
        <v>20.644007208145943</v>
      </c>
    </row>
    <row r="263" spans="1:10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0.24184790745715706</v>
      </c>
      <c r="H263">
        <v>0.57001071111992629</v>
      </c>
      <c r="I263" s="13">
        <v>0.7082136004516506</v>
      </c>
      <c r="J263">
        <v>20.644057560977341</v>
      </c>
    </row>
  </sheetData>
  <mergeCells count="1">
    <mergeCell ref="C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2353C-12BB-468E-842F-67C4B32A3C8A}">
  <dimension ref="A1:J263"/>
  <sheetViews>
    <sheetView workbookViewId="0">
      <pane ySplit="2" topLeftCell="A3" activePane="bottomLeft" state="frozen"/>
      <selection pane="bottomLeft" activeCell="I13" sqref="I13"/>
    </sheetView>
  </sheetViews>
  <sheetFormatPr defaultColWidth="14.36328125" defaultRowHeight="14.5"/>
  <cols>
    <col min="2" max="2" width="10.453125" style="1" customWidth="1"/>
    <col min="3" max="4" width="18.81640625" customWidth="1"/>
    <col min="5" max="5" width="15.7265625" customWidth="1"/>
    <col min="7" max="8" width="10.54296875" customWidth="1"/>
    <col min="9" max="9" width="17.453125" customWidth="1"/>
    <col min="10" max="10" width="18.7265625" customWidth="1"/>
  </cols>
  <sheetData>
    <row r="1" spans="1:10">
      <c r="C1" s="18" t="s">
        <v>63</v>
      </c>
      <c r="D1" s="18"/>
      <c r="E1" s="18"/>
      <c r="F1" s="18"/>
      <c r="G1" t="s">
        <v>64</v>
      </c>
      <c r="H1" t="s">
        <v>65</v>
      </c>
      <c r="I1" t="s">
        <v>66</v>
      </c>
      <c r="J1" t="s">
        <v>64</v>
      </c>
    </row>
    <row r="2" spans="1:10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</row>
    <row r="3" spans="1:10">
      <c r="A3" s="1">
        <v>45474</v>
      </c>
      <c r="B3" s="1" cm="1">
        <f t="array" ref="B3">_xlfn._xlws.FILTER(A3, WEEKDAY(A3, 2) &lt;= 5)</f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0.1693000030517578</v>
      </c>
      <c r="J3">
        <v>20.644550337304253</v>
      </c>
    </row>
    <row r="4" spans="1:10">
      <c r="A4" s="1">
        <v>45475</v>
      </c>
      <c r="B4" s="1" cm="1">
        <f t="array" ref="B4">_xlfn._xlws.FILTER(A4, WEEKDAY(A4, 2) &lt;= 5)</f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0.66683918678009313</v>
      </c>
      <c r="I4">
        <v>0.17030000686645511</v>
      </c>
      <c r="J4">
        <v>20.644550337304253</v>
      </c>
    </row>
    <row r="5" spans="1:10">
      <c r="A5" s="1">
        <v>45476</v>
      </c>
      <c r="B5" s="1" cm="1">
        <f t="array" ref="B5">_xlfn._xlws.FILTER(A5, WEEKDAY(A5, 2) &lt;= 5)</f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0.57386830467479677</v>
      </c>
      <c r="I5">
        <v>0.17120000839233401</v>
      </c>
      <c r="J5">
        <v>20.644550337304253</v>
      </c>
    </row>
    <row r="6" spans="1:10">
      <c r="A6" s="1">
        <v>45477</v>
      </c>
      <c r="B6" s="1" cm="1">
        <f t="array" ref="B6">_xlfn._xlws.FILTER(A6, WEEKDAY(A6, 2) &lt;= 5)</f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0.55415584496385106</v>
      </c>
      <c r="I6">
        <v>0.17989999771118159</v>
      </c>
      <c r="J6">
        <v>20.644550337304253</v>
      </c>
    </row>
    <row r="7" spans="1:10">
      <c r="A7" s="1">
        <v>45478</v>
      </c>
      <c r="B7" s="1" cm="1">
        <f t="array" ref="B7">_xlfn._xlws.FILTER(A7, WEEKDAY(A7, 2) &lt;= 5)</f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0.51</v>
      </c>
      <c r="H7">
        <v>0.70278174603160293</v>
      </c>
      <c r="I7">
        <v>0.16870000839233401</v>
      </c>
      <c r="J7">
        <v>20.644550337304253</v>
      </c>
    </row>
    <row r="8" spans="1:10">
      <c r="A8" s="1">
        <v>45481</v>
      </c>
      <c r="B8" s="1" cm="1">
        <f t="array" ref="B8">_xlfn._xlws.FILTER(A8, WEEKDAY(A8, 2) &lt;= 5)</f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0.51</v>
      </c>
      <c r="H8">
        <v>0.69285183625186297</v>
      </c>
      <c r="I8">
        <v>0.17209999084472699</v>
      </c>
      <c r="J8">
        <v>20.644550337304253</v>
      </c>
    </row>
    <row r="9" spans="1:10">
      <c r="A9" s="1">
        <v>45482</v>
      </c>
      <c r="B9" s="1" cm="1">
        <f t="array" ref="B9">_xlfn._xlws.FILTER(A9, WEEKDAY(A9, 2) &lt;= 5)</f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0.51</v>
      </c>
      <c r="H9">
        <v>0.621093074066142</v>
      </c>
      <c r="I9">
        <v>0.18530000686645509</v>
      </c>
      <c r="J9">
        <v>20.644550337304253</v>
      </c>
    </row>
    <row r="10" spans="1:10">
      <c r="A10" s="1">
        <v>45483</v>
      </c>
      <c r="B10" s="1" cm="1">
        <f t="array" ref="B10">_xlfn._xlws.FILTER(A10, WEEKDAY(A10, 2) &lt;= 5)</f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0.62999664878446027</v>
      </c>
      <c r="I10">
        <v>0.2003000068664551</v>
      </c>
      <c r="J10">
        <v>20.644550337304253</v>
      </c>
    </row>
    <row r="11" spans="1:10">
      <c r="A11" s="1">
        <v>45484</v>
      </c>
      <c r="B11" s="1" cm="1">
        <f t="array" ref="B11">_xlfn._xlws.FILTER(A11, WEEKDAY(A11, 2) &lt;= 5)</f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0.6105303019955014</v>
      </c>
      <c r="I11">
        <v>0.1913999938964844</v>
      </c>
      <c r="J11">
        <v>20.644550337304253</v>
      </c>
    </row>
    <row r="12" spans="1:10">
      <c r="A12" s="1">
        <v>45485</v>
      </c>
      <c r="B12" s="1" cm="1">
        <f t="array" ref="B12">_xlfn._xlws.FILTER(A12, WEEKDAY(A12, 2) &lt;= 5)</f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0.62792873634441904</v>
      </c>
      <c r="I12">
        <v>0.1795000076293945</v>
      </c>
      <c r="J12">
        <v>20.644550337304253</v>
      </c>
    </row>
    <row r="13" spans="1:10">
      <c r="A13" s="1">
        <v>45488</v>
      </c>
      <c r="B13" s="1" cm="1">
        <f t="array" ref="B13">_xlfn._xlws.FILTER(A13, WEEKDAY(A13, 2) &lt;= 5)</f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0.51</v>
      </c>
      <c r="H13">
        <v>0.68700411403614692</v>
      </c>
      <c r="I13">
        <v>0.15649999618530269</v>
      </c>
      <c r="J13">
        <v>20.644550337304253</v>
      </c>
    </row>
    <row r="14" spans="1:10">
      <c r="A14" s="1">
        <v>45489</v>
      </c>
      <c r="B14" s="1" cm="1">
        <f t="array" ref="B14">_xlfn._xlws.FILTER(A14, WEEKDAY(A14, 2) &lt;= 5)</f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0.51</v>
      </c>
      <c r="H14">
        <v>0.54610545978927516</v>
      </c>
      <c r="I14">
        <v>0.1460000038146973</v>
      </c>
      <c r="J14">
        <v>20.644550337304253</v>
      </c>
    </row>
    <row r="15" spans="1:10">
      <c r="A15" s="1">
        <v>45490</v>
      </c>
      <c r="B15" s="1" cm="1">
        <f t="array" ref="B15">_xlfn._xlws.FILTER(A15, WEEKDAY(A15, 2) &lt;= 5)</f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0.51</v>
      </c>
      <c r="H15">
        <v>0.56237300256745582</v>
      </c>
      <c r="I15">
        <v>0.1472999954223633</v>
      </c>
      <c r="J15">
        <v>20.644550337304253</v>
      </c>
    </row>
    <row r="16" spans="1:10">
      <c r="A16" s="1">
        <v>45491</v>
      </c>
      <c r="B16" s="1" cm="1">
        <f t="array" ref="B16">_xlfn._xlws.FILTER(A16, WEEKDAY(A16, 2) &lt;= 5)</f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0.51</v>
      </c>
      <c r="H16">
        <v>0.61849848957673326</v>
      </c>
      <c r="I16">
        <v>0.13960000038146969</v>
      </c>
      <c r="J16">
        <v>20.644550337304253</v>
      </c>
    </row>
    <row r="17" spans="1:10">
      <c r="A17" s="1">
        <v>45492</v>
      </c>
      <c r="B17" s="1" cm="1">
        <f t="array" ref="B17">_xlfn._xlws.FILTER(A17, WEEKDAY(A17, 2) &lt;= 5)</f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0.51</v>
      </c>
      <c r="H17">
        <v>0.5490880808649935</v>
      </c>
      <c r="I17">
        <v>0.139399995803833</v>
      </c>
      <c r="J17">
        <v>20.644550337304253</v>
      </c>
    </row>
    <row r="18" spans="1:10">
      <c r="A18" s="1">
        <v>45495</v>
      </c>
      <c r="B18" s="1" cm="1">
        <f t="array" ref="B18">_xlfn._xlws.FILTER(A18, WEEKDAY(A18, 2) &lt;= 5)</f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0.51</v>
      </c>
      <c r="H18">
        <v>0.5723193563041219</v>
      </c>
      <c r="I18">
        <v>0.1501000022888184</v>
      </c>
      <c r="J18">
        <v>20.644550337304253</v>
      </c>
    </row>
    <row r="19" spans="1:10">
      <c r="A19" s="1">
        <v>45496</v>
      </c>
      <c r="B19" s="1" cm="1">
        <f t="array" ref="B19">_xlfn._xlws.FILTER(A19, WEEKDAY(A19, 2) &lt;= 5)</f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0.51</v>
      </c>
      <c r="H19">
        <v>0.64795072415992583</v>
      </c>
      <c r="I19">
        <v>0.1460999965667725</v>
      </c>
      <c r="J19">
        <v>20.644550337304253</v>
      </c>
    </row>
    <row r="20" spans="1:10">
      <c r="A20" s="1">
        <v>45497</v>
      </c>
      <c r="B20" s="1" cm="1">
        <f t="array" ref="B20">_xlfn._xlws.FILTER(A20, WEEKDAY(A20, 2) &lt;= 5)</f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0.51</v>
      </c>
      <c r="H20">
        <v>0.64830968054183546</v>
      </c>
      <c r="I20">
        <v>0.13880000114440921</v>
      </c>
      <c r="J20">
        <v>20.644550337304253</v>
      </c>
    </row>
    <row r="21" spans="1:10">
      <c r="A21" s="1">
        <v>45498</v>
      </c>
      <c r="B21" s="1" cm="1">
        <f t="array" ref="B21">_xlfn._xlws.FILTER(A21, WEEKDAY(A21, 2) &lt;= 5)</f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0.58562395283447943</v>
      </c>
      <c r="I21">
        <v>0.14499999999999999</v>
      </c>
      <c r="J21">
        <v>20.644550337304253</v>
      </c>
    </row>
    <row r="22" spans="1:10">
      <c r="A22" s="1">
        <v>45499</v>
      </c>
      <c r="B22" s="1" cm="1">
        <f t="array" ref="B22">_xlfn._xlws.FILTER(A22, WEEKDAY(A22, 2) &lt;= 5)</f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0.51</v>
      </c>
      <c r="H22">
        <v>0.63961398005752579</v>
      </c>
      <c r="I22">
        <v>0.1353999996185303</v>
      </c>
      <c r="J22">
        <v>20.644550337304253</v>
      </c>
    </row>
    <row r="23" spans="1:10">
      <c r="A23" s="1">
        <v>45502</v>
      </c>
      <c r="B23" s="1" cm="1">
        <f t="array" ref="B23">_xlfn._xlws.FILTER(A23, WEEKDAY(A23, 2) &lt;= 5)</f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0.51</v>
      </c>
      <c r="H23">
        <v>0.52112815268353818</v>
      </c>
      <c r="I23">
        <v>0.1290999984741211</v>
      </c>
      <c r="J23">
        <v>20.644550337304253</v>
      </c>
    </row>
    <row r="24" spans="1:10">
      <c r="A24" s="1">
        <v>45503</v>
      </c>
      <c r="B24" s="1" cm="1">
        <f t="array" ref="B24">_xlfn._xlws.FILTER(A24, WEEKDAY(A24, 2) &lt;= 5)</f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0.51</v>
      </c>
      <c r="H24">
        <v>0.56916153528158875</v>
      </c>
      <c r="I24">
        <v>0.13439999580383299</v>
      </c>
      <c r="J24">
        <v>20.644550337304253</v>
      </c>
    </row>
    <row r="25" spans="1:10">
      <c r="A25" s="1">
        <v>45504</v>
      </c>
      <c r="B25" s="1" cm="1">
        <f t="array" ref="B25">_xlfn._xlws.FILTER(A25, WEEKDAY(A25, 2) &lt;= 5)</f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0.51</v>
      </c>
      <c r="H25">
        <v>0.58837664267330225</v>
      </c>
      <c r="I25">
        <v>0.14249999999999999</v>
      </c>
      <c r="J25">
        <v>20.644550337304253</v>
      </c>
    </row>
    <row r="26" spans="1:10">
      <c r="A26" s="1">
        <v>45505</v>
      </c>
      <c r="B26" s="1" cm="1">
        <f t="array" ref="B26">_xlfn._xlws.FILTER(A26, WEEKDAY(A26, 2) &lt;= 5)</f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0.51</v>
      </c>
      <c r="H26">
        <v>0.63541026699596581</v>
      </c>
      <c r="I26">
        <v>0.13739999771118161</v>
      </c>
      <c r="J26">
        <v>20.644550337304253</v>
      </c>
    </row>
    <row r="27" spans="1:10">
      <c r="A27" s="1">
        <v>45506</v>
      </c>
      <c r="B27" s="1" cm="1">
        <f t="array" ref="B27">_xlfn._xlws.FILTER(A27, WEEKDAY(A27, 2) &lt;= 5)</f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0.51</v>
      </c>
      <c r="H27">
        <v>0.70391436543514851</v>
      </c>
      <c r="I27">
        <v>0.13430000305175779</v>
      </c>
      <c r="J27">
        <v>20.644550337304253</v>
      </c>
    </row>
    <row r="28" spans="1:10">
      <c r="A28" s="1">
        <v>45509</v>
      </c>
      <c r="B28" s="1" cm="1">
        <f t="array" ref="B28">_xlfn._xlws.FILTER(A28, WEEKDAY(A28, 2) &lt;= 5)</f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0.51</v>
      </c>
      <c r="H28">
        <v>0.51855134902046418</v>
      </c>
      <c r="I28">
        <v>0.1356999969482422</v>
      </c>
      <c r="J28">
        <v>20.644550337304253</v>
      </c>
    </row>
    <row r="29" spans="1:10">
      <c r="A29" s="1">
        <v>45510</v>
      </c>
      <c r="B29" s="1" cm="1">
        <f t="array" ref="B29">_xlfn._xlws.FILTER(A29, WEEKDAY(A29, 2) &lt;= 5)</f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0.51</v>
      </c>
      <c r="H29">
        <v>0.61345519090253953</v>
      </c>
      <c r="I29">
        <v>0.1418000030517578</v>
      </c>
      <c r="J29">
        <v>20.644550337304253</v>
      </c>
    </row>
    <row r="30" spans="1:10">
      <c r="A30" s="1">
        <v>45511</v>
      </c>
      <c r="B30" s="1" cm="1">
        <f t="array" ref="B30">_xlfn._xlws.FILTER(A30, WEEKDAY(A30, 2) &lt;= 5)</f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0.51</v>
      </c>
      <c r="H30">
        <v>0.51267059103647528</v>
      </c>
      <c r="I30">
        <v>0.15439999580383301</v>
      </c>
      <c r="J30">
        <v>20.644550337304253</v>
      </c>
    </row>
    <row r="31" spans="1:10">
      <c r="A31" s="1">
        <v>45512</v>
      </c>
      <c r="B31" s="1" cm="1">
        <f t="array" ref="B31">_xlfn._xlws.FILTER(A31, WEEKDAY(A31, 2) &lt;= 5)</f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0.51</v>
      </c>
      <c r="H31">
        <v>0.60845553352886794</v>
      </c>
      <c r="I31">
        <v>0.14829999923706061</v>
      </c>
      <c r="J31">
        <v>20.644550337304253</v>
      </c>
    </row>
    <row r="32" spans="1:10">
      <c r="A32" s="1">
        <v>45513</v>
      </c>
      <c r="B32" s="1" cm="1">
        <f t="array" ref="B32">_xlfn._xlws.FILTER(A32, WEEKDAY(A32, 2) &lt;= 5)</f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0.51</v>
      </c>
      <c r="H32">
        <v>0.54511387598976946</v>
      </c>
      <c r="I32">
        <v>0.15069999694824221</v>
      </c>
      <c r="J32">
        <v>20.644550337304253</v>
      </c>
    </row>
    <row r="33" spans="1:10">
      <c r="A33" s="1">
        <v>45516</v>
      </c>
      <c r="B33" s="1" cm="1">
        <f t="array" ref="B33">_xlfn._xlws.FILTER(A33, WEEKDAY(A33, 2) &lt;= 5)</f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0.51</v>
      </c>
      <c r="H33">
        <v>0.55684118011393369</v>
      </c>
      <c r="I33">
        <v>0.13609999656677249</v>
      </c>
      <c r="J33">
        <v>20.644550337304253</v>
      </c>
    </row>
    <row r="34" spans="1:10">
      <c r="A34" s="1">
        <v>45517</v>
      </c>
      <c r="B34" s="1" cm="1">
        <f t="array" ref="B34">_xlfn._xlws.FILTER(A34, WEEKDAY(A34, 2) &lt;= 5)</f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0.51</v>
      </c>
      <c r="H34">
        <v>0.62349789337206762</v>
      </c>
      <c r="I34">
        <v>0.13340000152587889</v>
      </c>
      <c r="J34">
        <v>20.644550337304253</v>
      </c>
    </row>
    <row r="35" spans="1:10">
      <c r="A35" s="1">
        <v>45518</v>
      </c>
      <c r="B35" s="1" cm="1">
        <f t="array" ref="B35">_xlfn._xlws.FILTER(A35, WEEKDAY(A35, 2) &lt;= 5)</f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0.51</v>
      </c>
      <c r="H35">
        <v>0.54459865420828146</v>
      </c>
      <c r="I35">
        <v>0.13479999542236329</v>
      </c>
      <c r="J35">
        <v>20.644550337304253</v>
      </c>
    </row>
    <row r="36" spans="1:10">
      <c r="A36" s="1">
        <v>45519</v>
      </c>
      <c r="B36" s="1" cm="1">
        <f t="array" ref="B36">_xlfn._xlws.FILTER(A36, WEEKDAY(A36, 2) &lt;= 5)</f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0.51</v>
      </c>
      <c r="H36">
        <v>0.55110036484791536</v>
      </c>
      <c r="I36">
        <v>0.13300000190734859</v>
      </c>
      <c r="J36">
        <v>20.644550337304253</v>
      </c>
    </row>
    <row r="37" spans="1:10">
      <c r="A37" s="1">
        <v>45520</v>
      </c>
      <c r="B37" s="1" cm="1">
        <f t="array" ref="B37">_xlfn._xlws.FILTER(A37, WEEKDAY(A37, 2) &lt;= 5)</f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0.51</v>
      </c>
      <c r="H37">
        <v>0.55915909506694206</v>
      </c>
      <c r="I37">
        <v>0.13760000228881841</v>
      </c>
      <c r="J37">
        <v>20.644550337304253</v>
      </c>
    </row>
    <row r="38" spans="1:10">
      <c r="A38" s="1">
        <v>45523</v>
      </c>
      <c r="B38" s="1" cm="1">
        <f t="array" ref="B38">_xlfn._xlws.FILTER(A38, WEEKDAY(A38, 2) &lt;= 5)</f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0.51</v>
      </c>
      <c r="H38">
        <v>0.67889574065689384</v>
      </c>
      <c r="I38">
        <v>0.13909999847412111</v>
      </c>
      <c r="J38">
        <v>20.644550337304253</v>
      </c>
    </row>
    <row r="39" spans="1:10">
      <c r="A39" s="1">
        <v>45524</v>
      </c>
      <c r="B39" s="1" cm="1">
        <f t="array" ref="B39">_xlfn._xlws.FILTER(A39, WEEKDAY(A39, 2) &lt;= 5)</f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0.51</v>
      </c>
      <c r="H39">
        <v>0.6321300856211518</v>
      </c>
      <c r="I39">
        <v>0.13859999656677249</v>
      </c>
      <c r="J39">
        <v>20.644550337304253</v>
      </c>
    </row>
    <row r="40" spans="1:10">
      <c r="A40" s="1">
        <v>45525</v>
      </c>
      <c r="B40" s="1" cm="1">
        <f t="array" ref="B40">_xlfn._xlws.FILTER(A40, WEEKDAY(A40, 2) &lt;= 5)</f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0.51</v>
      </c>
      <c r="H40">
        <v>0.64850117488960368</v>
      </c>
      <c r="I40">
        <v>0.13189999580383299</v>
      </c>
      <c r="J40">
        <v>20.644550337304253</v>
      </c>
    </row>
    <row r="41" spans="1:10">
      <c r="A41" s="1">
        <v>45526</v>
      </c>
      <c r="B41" s="1" cm="1">
        <f t="array" ref="B41">_xlfn._xlws.FILTER(A41, WEEKDAY(A41, 2) &lt;= 5)</f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0.51</v>
      </c>
      <c r="H41">
        <v>0.64653763471706904</v>
      </c>
      <c r="I41">
        <v>0.14409999847412111</v>
      </c>
      <c r="J41">
        <v>20.644550337304253</v>
      </c>
    </row>
    <row r="42" spans="1:10">
      <c r="A42" s="1">
        <v>45527</v>
      </c>
      <c r="B42" s="1" cm="1">
        <f t="array" ref="B42">_xlfn._xlws.FILTER(A42, WEEKDAY(A42, 2) &lt;= 5)</f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0.51</v>
      </c>
      <c r="H42">
        <v>0.59888175114452324</v>
      </c>
      <c r="I42">
        <v>0.13329999923706051</v>
      </c>
      <c r="J42">
        <v>20.644550337304253</v>
      </c>
    </row>
    <row r="43" spans="1:10">
      <c r="A43" s="1">
        <v>45530</v>
      </c>
      <c r="B43" s="1" cm="1">
        <f t="array" ref="B43">_xlfn._xlws.FILTER(A43, WEEKDAY(A43, 2) &lt;= 5)</f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0.51</v>
      </c>
      <c r="H43">
        <v>0.55461566734699941</v>
      </c>
      <c r="I43">
        <v>0.16090000152587891</v>
      </c>
      <c r="J43">
        <v>20.644550337304253</v>
      </c>
    </row>
    <row r="44" spans="1:10">
      <c r="A44" s="1">
        <v>45531</v>
      </c>
      <c r="B44" s="1" cm="1">
        <f t="array" ref="B44">_xlfn._xlws.FILTER(A44, WEEKDAY(A44, 2) &lt;= 5)</f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0.51</v>
      </c>
      <c r="H44">
        <v>0.59072812469350178</v>
      </c>
      <c r="I44">
        <v>0.15920000076293939</v>
      </c>
      <c r="J44">
        <v>20.644550337304253</v>
      </c>
    </row>
    <row r="45" spans="1:10">
      <c r="A45" s="1">
        <v>45532</v>
      </c>
      <c r="B45" s="1" cm="1">
        <f t="array" ref="B45">_xlfn._xlws.FILTER(A45, WEEKDAY(A45, 2) &lt;= 5)</f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0.51</v>
      </c>
      <c r="H45">
        <v>0.56711515849707372</v>
      </c>
      <c r="I45">
        <v>0.17100000381469729</v>
      </c>
      <c r="J45">
        <v>20.644550337304253</v>
      </c>
    </row>
    <row r="46" spans="1:10">
      <c r="A46" s="1">
        <v>45533</v>
      </c>
      <c r="B46" s="1" cm="1">
        <f t="array" ref="B46">_xlfn._xlws.FILTER(A46, WEEKDAY(A46, 2) &lt;= 5)</f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0.51</v>
      </c>
      <c r="H46">
        <v>0.57358676878670511</v>
      </c>
      <c r="I46">
        <v>0.15770000457763669</v>
      </c>
      <c r="J46">
        <v>20.644550337304253</v>
      </c>
    </row>
    <row r="47" spans="1:10">
      <c r="A47" s="1">
        <v>45534</v>
      </c>
      <c r="B47" s="1" cm="1">
        <f t="array" ref="B47">_xlfn._xlws.FILTER(A47, WEEKDAY(A47, 2) &lt;= 5)</f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0.51</v>
      </c>
      <c r="H47">
        <v>0.61997431410093384</v>
      </c>
      <c r="I47">
        <v>0.1598999977111816</v>
      </c>
      <c r="J47">
        <v>20.644550337304253</v>
      </c>
    </row>
    <row r="48" spans="1:10">
      <c r="A48" s="1">
        <v>45537</v>
      </c>
      <c r="B48" s="1" cm="1">
        <f t="array" ref="B48">_xlfn._xlws.FILTER(A48, WEEKDAY(A48, 2) &lt;= 5)</f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0.51</v>
      </c>
      <c r="H48">
        <v>0.61042914720553454</v>
      </c>
      <c r="I48">
        <v>0.1484000015258789</v>
      </c>
      <c r="J48">
        <v>20.644550337304253</v>
      </c>
    </row>
    <row r="49" spans="1:10">
      <c r="A49" s="1">
        <v>45538</v>
      </c>
      <c r="B49" s="1" cm="1">
        <f t="array" ref="B49">_xlfn._xlws.FILTER(A49, WEEKDAY(A49, 2) &lt;= 5)</f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0.51</v>
      </c>
      <c r="H49">
        <v>0.45604114211023883</v>
      </c>
      <c r="I49">
        <v>0.14819999694824221</v>
      </c>
      <c r="J49">
        <v>20.644550337304253</v>
      </c>
    </row>
    <row r="50" spans="1:10">
      <c r="A50" s="1">
        <v>45539</v>
      </c>
      <c r="B50" s="1" cm="1">
        <f t="array" ref="B50">_xlfn._xlws.FILTER(A50, WEEKDAY(A50, 2) &lt;= 5)</f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0.51</v>
      </c>
      <c r="H50">
        <v>0.53293281627236999</v>
      </c>
      <c r="I50">
        <v>0.1645999908447266</v>
      </c>
      <c r="J50">
        <v>20.644550337304253</v>
      </c>
    </row>
    <row r="51" spans="1:10">
      <c r="A51" s="1">
        <v>45540</v>
      </c>
      <c r="B51" s="1" cm="1">
        <f t="array" ref="B51">_xlfn._xlws.FILTER(A51, WEEKDAY(A51, 2) &lt;= 5)</f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0.51</v>
      </c>
      <c r="H51">
        <v>0.6381689915146882</v>
      </c>
      <c r="I51">
        <v>0.1678000068664551</v>
      </c>
      <c r="J51">
        <v>20.644550337304253</v>
      </c>
    </row>
    <row r="52" spans="1:10">
      <c r="A52" s="1">
        <v>45541</v>
      </c>
      <c r="B52" s="1" cm="1">
        <f t="array" ref="B52">_xlfn._xlws.FILTER(A52, WEEKDAY(A52, 2) &lt;= 5)</f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0.51</v>
      </c>
      <c r="H52">
        <v>0.5789415043404289</v>
      </c>
      <c r="I52">
        <v>0.17889999389648439</v>
      </c>
      <c r="J52">
        <v>20.644550337304253</v>
      </c>
    </row>
    <row r="53" spans="1:10">
      <c r="A53" s="1">
        <v>45544</v>
      </c>
      <c r="B53" s="1" cm="1">
        <f t="array" ref="B53">_xlfn._xlws.FILTER(A53, WEEKDAY(A53, 2) &lt;= 5)</f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0.51</v>
      </c>
      <c r="H53">
        <v>0.53350915839382751</v>
      </c>
      <c r="I53">
        <v>0.16969999313354489</v>
      </c>
      <c r="J53">
        <v>20.644550337304253</v>
      </c>
    </row>
    <row r="54" spans="1:10">
      <c r="A54" s="1">
        <v>45545</v>
      </c>
      <c r="B54" s="1" cm="1">
        <f t="array" ref="B54">_xlfn._xlws.FILTER(A54, WEEKDAY(A54, 2) &lt;= 5)</f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0.51</v>
      </c>
      <c r="H54">
        <v>0.69293003099488715</v>
      </c>
      <c r="I54">
        <v>0.15979999542236331</v>
      </c>
      <c r="J54">
        <v>20.644550337304253</v>
      </c>
    </row>
    <row r="55" spans="1:10">
      <c r="A55" s="1">
        <v>45546</v>
      </c>
      <c r="B55" s="1" cm="1">
        <f t="array" ref="B55">_xlfn._xlws.FILTER(A55, WEEKDAY(A55, 2) &lt;= 5)</f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0.51</v>
      </c>
      <c r="H55">
        <v>0.64453953161662647</v>
      </c>
      <c r="I55">
        <v>0.17200000762939449</v>
      </c>
      <c r="J55">
        <v>20.644550337304253</v>
      </c>
    </row>
    <row r="56" spans="1:10">
      <c r="A56" s="1">
        <v>45547</v>
      </c>
      <c r="B56" s="1" cm="1">
        <f t="array" ref="B56">_xlfn._xlws.FILTER(A56, WEEKDAY(A56, 2) &lt;= 5)</f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0.51</v>
      </c>
      <c r="H56">
        <v>0.65161212068925534</v>
      </c>
      <c r="I56">
        <v>0.15680000305175781</v>
      </c>
      <c r="J56">
        <v>20.644550337304253</v>
      </c>
    </row>
    <row r="57" spans="1:10">
      <c r="A57" s="1">
        <v>45548</v>
      </c>
      <c r="B57" s="1" cm="1">
        <f t="array" ref="B57">_xlfn._xlws.FILTER(A57, WEEKDAY(A57, 2) &lt;= 5)</f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0.51</v>
      </c>
      <c r="H57">
        <v>0.54065308879491747</v>
      </c>
      <c r="I57">
        <v>0.15079999923706061</v>
      </c>
      <c r="J57">
        <v>20.644550337304253</v>
      </c>
    </row>
    <row r="58" spans="1:10">
      <c r="A58" s="1">
        <v>45551</v>
      </c>
      <c r="B58" s="1" cm="1">
        <f t="array" ref="B58">_xlfn._xlws.FILTER(A58, WEEKDAY(A58, 2) &lt;= 5)</f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0.51</v>
      </c>
      <c r="H58">
        <v>0.53297173482974158</v>
      </c>
      <c r="I58">
        <v>0.1356999969482422</v>
      </c>
      <c r="J58">
        <v>20.644550337304253</v>
      </c>
    </row>
    <row r="59" spans="1:10">
      <c r="A59" s="1">
        <v>45552</v>
      </c>
      <c r="B59" s="1" cm="1">
        <f t="array" ref="B59">_xlfn._xlws.FILTER(A59, WEEKDAY(A59, 2) &lt;= 5)</f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0.51</v>
      </c>
      <c r="H59">
        <v>0.61027344177825682</v>
      </c>
      <c r="I59">
        <v>0.13090000152587891</v>
      </c>
      <c r="J59">
        <v>20.644550337304253</v>
      </c>
    </row>
    <row r="60" spans="1:10">
      <c r="A60" s="1">
        <v>45553</v>
      </c>
      <c r="B60" s="1" cm="1">
        <f t="array" ref="B60">_xlfn._xlws.FILTER(A60, WEEKDAY(A60, 2) &lt;= 5)</f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0.51</v>
      </c>
      <c r="H60">
        <v>0.63115326533821481</v>
      </c>
      <c r="I60">
        <v>0.14010000228881839</v>
      </c>
      <c r="J60">
        <v>20.644550337304253</v>
      </c>
    </row>
    <row r="61" spans="1:10">
      <c r="A61" s="1">
        <v>45554</v>
      </c>
      <c r="B61" s="1" cm="1">
        <f t="array" ref="B61">_xlfn._xlws.FILTER(A61, WEEKDAY(A61, 2) &lt;= 5)</f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0.51</v>
      </c>
      <c r="H61">
        <v>0.56560662490868685</v>
      </c>
      <c r="I61">
        <v>0.1444999980926514</v>
      </c>
      <c r="J61">
        <v>20.644550337304253</v>
      </c>
    </row>
    <row r="62" spans="1:10">
      <c r="A62" s="1">
        <v>45555</v>
      </c>
      <c r="B62" s="1" cm="1">
        <f t="array" ref="B62">_xlfn._xlws.FILTER(A62, WEEKDAY(A62, 2) &lt;= 5)</f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0.51</v>
      </c>
      <c r="H62">
        <v>0.61620364466717892</v>
      </c>
      <c r="I62">
        <v>0.14399999618530271</v>
      </c>
      <c r="J62">
        <v>20.644550337304253</v>
      </c>
    </row>
    <row r="63" spans="1:10">
      <c r="A63" s="1">
        <v>45558</v>
      </c>
      <c r="B63" s="1" cm="1">
        <f t="array" ref="B63">_xlfn._xlws.FILTER(A63, WEEKDAY(A63, 2) &lt;= 5)</f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0.51</v>
      </c>
      <c r="H63">
        <v>0.5552755144994439</v>
      </c>
      <c r="I63">
        <v>0.1422999954223633</v>
      </c>
      <c r="J63">
        <v>20.644550337304253</v>
      </c>
    </row>
    <row r="64" spans="1:10">
      <c r="A64" s="1">
        <v>45559</v>
      </c>
      <c r="B64" s="1" cm="1">
        <f t="array" ref="B64">_xlfn._xlws.FILTER(A64, WEEKDAY(A64, 2) &lt;= 5)</f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0.51</v>
      </c>
      <c r="H64">
        <v>0.51039572663624</v>
      </c>
      <c r="I64">
        <v>0.13479999542236329</v>
      </c>
      <c r="J64">
        <v>20.644550337304253</v>
      </c>
    </row>
    <row r="65" spans="1:10">
      <c r="A65" s="1">
        <v>45560</v>
      </c>
      <c r="B65" s="1" cm="1">
        <f t="array" ref="B65">_xlfn._xlws.FILTER(A65, WEEKDAY(A65, 2) &lt;= 5)</f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0.51</v>
      </c>
      <c r="H65">
        <v>0.55034017123704482</v>
      </c>
      <c r="I65">
        <v>0.12819999694824219</v>
      </c>
      <c r="J65">
        <v>20.644550337304253</v>
      </c>
    </row>
    <row r="66" spans="1:10">
      <c r="A66" s="1">
        <v>45561</v>
      </c>
      <c r="B66" s="1" cm="1">
        <f t="array" ref="B66">_xlfn._xlws.FILTER(A66, WEEKDAY(A66, 2) &lt;= 5)</f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0.51</v>
      </c>
      <c r="H66">
        <v>0.53460526995169977</v>
      </c>
      <c r="I66">
        <v>0.13789999961853031</v>
      </c>
      <c r="J66">
        <v>20.644550337304253</v>
      </c>
    </row>
    <row r="67" spans="1:10">
      <c r="A67" s="1">
        <v>45562</v>
      </c>
      <c r="B67" s="1" cm="1">
        <f t="array" ref="B67">_xlfn._xlws.FILTER(A67, WEEKDAY(A67, 2) &lt;= 5)</f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0.51</v>
      </c>
      <c r="H67">
        <v>0.60782751994198414</v>
      </c>
      <c r="I67">
        <v>0.14000000000000001</v>
      </c>
      <c r="J67">
        <v>20.644550337304253</v>
      </c>
    </row>
    <row r="68" spans="1:10">
      <c r="A68" s="1">
        <v>45565</v>
      </c>
      <c r="B68" s="1" cm="1">
        <f t="array" ref="B68">_xlfn._xlws.FILTER(A68, WEEKDAY(A68, 2) &lt;= 5)</f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0.51</v>
      </c>
      <c r="H68">
        <v>0.62215986636357035</v>
      </c>
      <c r="I68">
        <v>0.1754000091552734</v>
      </c>
      <c r="J68">
        <v>20.644550337304253</v>
      </c>
    </row>
    <row r="69" spans="1:10">
      <c r="A69" s="1">
        <v>45566</v>
      </c>
      <c r="B69" s="1" cm="1">
        <f t="array" ref="B69">_xlfn._xlws.FILTER(A69, WEEKDAY(A69, 2) &lt;= 5)</f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0.51</v>
      </c>
      <c r="H69">
        <v>0.61099577652354853</v>
      </c>
      <c r="I69">
        <v>0.17200000762939449</v>
      </c>
      <c r="J69">
        <v>20.644550337304253</v>
      </c>
    </row>
    <row r="70" spans="1:10">
      <c r="A70" s="1">
        <v>45567</v>
      </c>
      <c r="B70" s="1" cm="1">
        <f t="array" ref="B70">_xlfn._xlws.FILTER(A70, WEEKDAY(A70, 2) &lt;= 5)</f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0.51</v>
      </c>
      <c r="H70">
        <v>0.55958505864387487</v>
      </c>
      <c r="I70">
        <v>0.1689999961853027</v>
      </c>
      <c r="J70">
        <v>20.644550337304253</v>
      </c>
    </row>
    <row r="71" spans="1:10">
      <c r="A71" s="1">
        <v>45568</v>
      </c>
      <c r="B71" s="1" cm="1">
        <f t="array" ref="B71">_xlfn._xlws.FILTER(A71, WEEKDAY(A71, 2) &lt;= 5)</f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0.51</v>
      </c>
      <c r="H71">
        <v>0.67391139891887741</v>
      </c>
      <c r="I71">
        <v>0.18940000534057619</v>
      </c>
      <c r="J71">
        <v>20.644550337304253</v>
      </c>
    </row>
    <row r="72" spans="1:10">
      <c r="A72" s="1">
        <v>45569</v>
      </c>
      <c r="B72" s="1" cm="1">
        <f t="array" ref="B72">_xlfn._xlws.FILTER(A72, WEEKDAY(A72, 2) &lt;= 5)</f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0.51</v>
      </c>
      <c r="H72">
        <v>0.6051241302538467</v>
      </c>
      <c r="I72">
        <v>0.1821999931335449</v>
      </c>
      <c r="J72">
        <v>20.644550337304253</v>
      </c>
    </row>
    <row r="73" spans="1:10">
      <c r="A73" s="1">
        <v>45572</v>
      </c>
      <c r="B73" s="1" cm="1">
        <f t="array" ref="B73">_xlfn._xlws.FILTER(A73, WEEKDAY(A73, 2) &lt;= 5)</f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0.51</v>
      </c>
      <c r="H73">
        <v>0.51944587186987801</v>
      </c>
      <c r="I73">
        <v>0.17610000610351559</v>
      </c>
      <c r="J73">
        <v>20.644550337304253</v>
      </c>
    </row>
    <row r="74" spans="1:10">
      <c r="A74" s="1">
        <v>45573</v>
      </c>
      <c r="B74" s="1" cm="1">
        <f t="array" ref="B74">_xlfn._xlws.FILTER(A74, WEEKDAY(A74, 2) &lt;= 5)</f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0.51</v>
      </c>
      <c r="H74">
        <v>0.67543018289876156</v>
      </c>
      <c r="I74">
        <v>0.1978000068664551</v>
      </c>
      <c r="J74">
        <v>20.644550337304253</v>
      </c>
    </row>
    <row r="75" spans="1:10">
      <c r="A75" s="1">
        <v>45574</v>
      </c>
      <c r="B75" s="1" cm="1">
        <f t="array" ref="B75">_xlfn._xlws.FILTER(A75, WEEKDAY(A75, 2) &lt;= 5)</f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0.51</v>
      </c>
      <c r="H75">
        <v>0.64999595279382283</v>
      </c>
      <c r="I75">
        <v>0.18579999923706059</v>
      </c>
      <c r="J75">
        <v>20.644550337304253</v>
      </c>
    </row>
    <row r="76" spans="1:10">
      <c r="A76" s="1">
        <v>45575</v>
      </c>
      <c r="B76" s="1" cm="1">
        <f t="array" ref="B76">_xlfn._xlws.FILTER(A76, WEEKDAY(A76, 2) &lt;= 5)</f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0.51</v>
      </c>
      <c r="H76">
        <v>0.63998011465235793</v>
      </c>
      <c r="I76">
        <v>0.18489999771118171</v>
      </c>
      <c r="J76">
        <v>20.644550337304253</v>
      </c>
    </row>
    <row r="77" spans="1:10">
      <c r="A77" s="1">
        <v>45576</v>
      </c>
      <c r="B77" s="1" cm="1">
        <f t="array" ref="B77">_xlfn._xlws.FILTER(A77, WEEKDAY(A77, 2) &lt;= 5)</f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0.51</v>
      </c>
      <c r="H77">
        <v>0.60791259256356567</v>
      </c>
      <c r="I77">
        <v>0.17450000762939449</v>
      </c>
      <c r="J77">
        <v>20.644550337304253</v>
      </c>
    </row>
    <row r="78" spans="1:10">
      <c r="A78" s="1">
        <v>45579</v>
      </c>
      <c r="B78" s="1" cm="1">
        <f t="array" ref="B78">_xlfn._xlws.FILTER(A78, WEEKDAY(A78, 2) &lt;= 5)</f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0.51</v>
      </c>
      <c r="H78">
        <v>0.54991936255238483</v>
      </c>
      <c r="I78">
        <v>0.16090000152587891</v>
      </c>
      <c r="J78">
        <v>20.644550337304253</v>
      </c>
    </row>
    <row r="79" spans="1:10">
      <c r="A79" s="1">
        <v>45580</v>
      </c>
      <c r="B79" s="1" cm="1">
        <f t="array" ref="B79">_xlfn._xlws.FILTER(A79, WEEKDAY(A79, 2) &lt;= 5)</f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0.51</v>
      </c>
      <c r="H79">
        <v>0.47665687275352947</v>
      </c>
      <c r="I79">
        <v>0.1669000053405762</v>
      </c>
      <c r="J79">
        <v>20.644550337304253</v>
      </c>
    </row>
    <row r="80" spans="1:10">
      <c r="A80" s="1">
        <v>45581</v>
      </c>
      <c r="B80" s="1" cm="1">
        <f t="array" ref="B80">_xlfn._xlws.FILTER(A80, WEEKDAY(A80, 2) &lt;= 5)</f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0.51</v>
      </c>
      <c r="H80">
        <v>0.58667661610405586</v>
      </c>
      <c r="I80">
        <v>0.19319999694824219</v>
      </c>
      <c r="J80">
        <v>20.644550337304253</v>
      </c>
    </row>
    <row r="81" spans="1:10">
      <c r="A81" s="1">
        <v>45582</v>
      </c>
      <c r="B81" s="1" cm="1">
        <f t="array" ref="B81">_xlfn._xlws.FILTER(A81, WEEKDAY(A81, 2) &lt;= 5)</f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0.51</v>
      </c>
      <c r="H81">
        <v>0.66380090245039802</v>
      </c>
      <c r="I81">
        <v>0.1720999908447266</v>
      </c>
      <c r="J81">
        <v>20.644550337304253</v>
      </c>
    </row>
    <row r="82" spans="1:10">
      <c r="A82" s="1">
        <v>45583</v>
      </c>
      <c r="B82" s="1" cm="1">
        <f t="array" ref="B82">_xlfn._xlws.FILTER(A82, WEEKDAY(A82, 2) &lt;= 5)</f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0.51</v>
      </c>
      <c r="H82">
        <v>0.59608480123968466</v>
      </c>
      <c r="I82">
        <v>0.17879999160766599</v>
      </c>
      <c r="J82">
        <v>20.644550337304253</v>
      </c>
    </row>
    <row r="83" spans="1:10">
      <c r="A83" s="1">
        <v>45586</v>
      </c>
      <c r="B83" s="1" cm="1">
        <f t="array" ref="B83">_xlfn._xlws.FILTER(A83, WEEKDAY(A83, 2) &lt;= 5)</f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0.51</v>
      </c>
      <c r="H83">
        <v>0.52836508683389183</v>
      </c>
      <c r="I83">
        <v>0.21709999084472659</v>
      </c>
      <c r="J83">
        <v>20.644550337304253</v>
      </c>
    </row>
    <row r="84" spans="1:10">
      <c r="A84" s="1">
        <v>45587</v>
      </c>
      <c r="B84" s="1" cm="1">
        <f t="array" ref="B84">_xlfn._xlws.FILTER(A84, WEEKDAY(A84, 2) &lt;= 5)</f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0.51</v>
      </c>
      <c r="H84">
        <v>0.58261107422782876</v>
      </c>
      <c r="I84">
        <v>0.20370000839233399</v>
      </c>
      <c r="J84">
        <v>20.644550337304253</v>
      </c>
    </row>
    <row r="85" spans="1:10">
      <c r="A85" s="1">
        <v>45588</v>
      </c>
      <c r="B85" s="1" cm="1">
        <f t="array" ref="B85">_xlfn._xlws.FILTER(A85, WEEKDAY(A85, 2) &lt;= 5)</f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0.51</v>
      </c>
      <c r="H85">
        <v>0.66143064984337052</v>
      </c>
      <c r="I85">
        <v>0.18969999313354491</v>
      </c>
      <c r="J85">
        <v>20.644550337304253</v>
      </c>
    </row>
    <row r="86" spans="1:10">
      <c r="A86" s="1">
        <v>45589</v>
      </c>
      <c r="B86" s="1" cm="1">
        <f t="array" ref="B86">_xlfn._xlws.FILTER(A86, WEEKDAY(A86, 2) &lt;= 5)</f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0.51</v>
      </c>
      <c r="H86">
        <v>0.57594262099555649</v>
      </c>
      <c r="I86">
        <v>0.2019000053405762</v>
      </c>
      <c r="J86">
        <v>20.644550337304253</v>
      </c>
    </row>
    <row r="87" spans="1:10">
      <c r="A87" s="1">
        <v>45590</v>
      </c>
      <c r="B87" s="1" cm="1">
        <f t="array" ref="B87">_xlfn._xlws.FILTER(A87, WEEKDAY(A87, 2) &lt;= 5)</f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0.51</v>
      </c>
      <c r="H87">
        <v>0.6402388002359426</v>
      </c>
      <c r="I87">
        <v>0.2068000030517578</v>
      </c>
      <c r="J87">
        <v>20.644550337304253</v>
      </c>
    </row>
    <row r="88" spans="1:10">
      <c r="A88" s="1">
        <v>45593</v>
      </c>
      <c r="B88" s="1" cm="1">
        <f t="array" ref="B88">_xlfn._xlws.FILTER(A88, WEEKDAY(A88, 2) &lt;= 5)</f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0.51</v>
      </c>
      <c r="H88">
        <v>0.55755600820474271</v>
      </c>
      <c r="I88">
        <v>0.1813999938964844</v>
      </c>
      <c r="J88">
        <v>20.644550337304253</v>
      </c>
    </row>
    <row r="89" spans="1:10">
      <c r="A89" s="1">
        <v>45594</v>
      </c>
      <c r="B89" s="1" cm="1">
        <f t="array" ref="B89">_xlfn._xlws.FILTER(A89, WEEKDAY(A89, 2) &lt;= 5)</f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0.51</v>
      </c>
      <c r="H89">
        <v>0.5296431139926091</v>
      </c>
      <c r="I89">
        <v>0.16870000839233401</v>
      </c>
      <c r="J89">
        <v>20.644550337304253</v>
      </c>
    </row>
    <row r="90" spans="1:10">
      <c r="A90" s="1">
        <v>45595</v>
      </c>
      <c r="B90" s="1" cm="1">
        <f t="array" ref="B90">_xlfn._xlws.FILTER(A90, WEEKDAY(A90, 2) &lt;= 5)</f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0.51</v>
      </c>
      <c r="H90">
        <v>0.65180119868468733</v>
      </c>
      <c r="I90">
        <v>0.15659999847412109</v>
      </c>
      <c r="J90">
        <v>20.644550337304253</v>
      </c>
    </row>
    <row r="91" spans="1:10">
      <c r="A91" s="1">
        <v>45596</v>
      </c>
      <c r="B91" s="1" cm="1">
        <f t="array" ref="B91">_xlfn._xlws.FILTER(A91, WEEKDAY(A91, 2) &lt;= 5)</f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0.51</v>
      </c>
      <c r="H91">
        <v>0.66406742696669729</v>
      </c>
      <c r="I91">
        <v>0.14909999847412109</v>
      </c>
      <c r="J91">
        <v>20.644550337304253</v>
      </c>
    </row>
    <row r="92" spans="1:10">
      <c r="A92" s="1">
        <v>45597</v>
      </c>
      <c r="B92" s="1" cm="1">
        <f t="array" ref="B92">_xlfn._xlws.FILTER(A92, WEEKDAY(A92, 2) &lt;= 5)</f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0.51</v>
      </c>
      <c r="H92">
        <v>0.58214580941108962</v>
      </c>
      <c r="I92">
        <v>0.14890000343322751</v>
      </c>
      <c r="J92">
        <v>20.644550337304253</v>
      </c>
    </row>
    <row r="93" spans="1:10">
      <c r="A93" s="1">
        <v>45600</v>
      </c>
      <c r="B93" s="1" cm="1">
        <f t="array" ref="B93">_xlfn._xlws.FILTER(A93, WEEKDAY(A93, 2) &lt;= 5)</f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0.51</v>
      </c>
      <c r="H93">
        <v>0.63388152341848347</v>
      </c>
      <c r="I93">
        <v>0.15289999961853029</v>
      </c>
      <c r="J93">
        <v>20.644550337304253</v>
      </c>
    </row>
    <row r="94" spans="1:10">
      <c r="A94" s="1">
        <v>45601</v>
      </c>
      <c r="B94" s="1" cm="1">
        <f t="array" ref="B94">_xlfn._xlws.FILTER(A94, WEEKDAY(A94, 2) &lt;= 5)</f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0.51</v>
      </c>
      <c r="H94">
        <v>0.74355797308146088</v>
      </c>
      <c r="I94">
        <v>0.14170000076293951</v>
      </c>
      <c r="J94">
        <v>20.644550337304253</v>
      </c>
    </row>
    <row r="95" spans="1:10">
      <c r="A95" s="1">
        <v>45602</v>
      </c>
      <c r="B95" s="1" cm="1">
        <f t="array" ref="B95">_xlfn._xlws.FILTER(A95, WEEKDAY(A95, 2) &lt;= 5)</f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0.51</v>
      </c>
      <c r="H95">
        <v>0.56573711611397126</v>
      </c>
      <c r="I95">
        <v>0.14760000228881839</v>
      </c>
      <c r="J95">
        <v>20.644550337304253</v>
      </c>
    </row>
    <row r="96" spans="1:10">
      <c r="A96" s="1">
        <v>45603</v>
      </c>
      <c r="B96" s="1" cm="1">
        <f t="array" ref="B96">_xlfn._xlws.FILTER(A96, WEEKDAY(A96, 2) &lt;= 5)</f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0.51</v>
      </c>
      <c r="H96">
        <v>0.60768665035917158</v>
      </c>
      <c r="I96">
        <v>0.14159999847412111</v>
      </c>
      <c r="J96">
        <v>20.644550337304253</v>
      </c>
    </row>
    <row r="97" spans="1:10">
      <c r="A97" s="1">
        <v>45604</v>
      </c>
      <c r="B97" s="1" cm="1">
        <f t="array" ref="B97">_xlfn._xlws.FILTER(A97, WEEKDAY(A97, 2) &lt;= 5)</f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0.51</v>
      </c>
      <c r="H97">
        <v>0.63008428395122651</v>
      </c>
      <c r="I97">
        <v>0.1418000030517578</v>
      </c>
      <c r="J97">
        <v>20.644550337304253</v>
      </c>
    </row>
    <row r="98" spans="1:10">
      <c r="A98" s="1">
        <v>45607</v>
      </c>
      <c r="B98" s="1" cm="1">
        <f t="array" ref="B98">_xlfn._xlws.FILTER(A98, WEEKDAY(A98, 2) &lt;= 5)</f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0.51</v>
      </c>
      <c r="H98">
        <v>0.5722204294415506</v>
      </c>
      <c r="I98">
        <v>0.1340999984741211</v>
      </c>
      <c r="J98">
        <v>20.644550337304253</v>
      </c>
    </row>
    <row r="99" spans="1:10">
      <c r="A99" s="1">
        <v>45608</v>
      </c>
      <c r="B99" s="1" cm="1">
        <f t="array" ref="B99">_xlfn._xlws.FILTER(A99, WEEKDAY(A99, 2) &lt;= 5)</f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0.51</v>
      </c>
      <c r="H99">
        <v>0.56517107468345273</v>
      </c>
      <c r="I99">
        <v>0.13350000381469729</v>
      </c>
      <c r="J99">
        <v>20.644550337304253</v>
      </c>
    </row>
    <row r="100" spans="1:10">
      <c r="A100" s="1">
        <v>45609</v>
      </c>
      <c r="B100" s="1" cm="1">
        <f t="array" ref="B100">_xlfn._xlws.FILTER(A100, WEEKDAY(A100, 2) &lt;= 5)</f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0.51</v>
      </c>
      <c r="H100">
        <v>0.63753110932599932</v>
      </c>
      <c r="I100">
        <v>0.12850000381469731</v>
      </c>
      <c r="J100">
        <v>20.644550337304253</v>
      </c>
    </row>
    <row r="101" spans="1:10">
      <c r="A101" s="1">
        <v>45610</v>
      </c>
      <c r="B101" s="1" cm="1">
        <f t="array" ref="B101">_xlfn._xlws.FILTER(A101, WEEKDAY(A101, 2) &lt;= 5)</f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0.51</v>
      </c>
      <c r="H101">
        <v>0.52793498680939543</v>
      </c>
      <c r="I101">
        <v>0.12460000038146971</v>
      </c>
      <c r="J101">
        <v>20.644550337304253</v>
      </c>
    </row>
    <row r="102" spans="1:10">
      <c r="A102" s="1">
        <v>45611</v>
      </c>
      <c r="B102" s="1" cm="1">
        <f t="array" ref="B102">_xlfn._xlws.FILTER(A102, WEEKDAY(A102, 2) &lt;= 5)</f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0.51</v>
      </c>
      <c r="H102">
        <v>0.55622565908673316</v>
      </c>
      <c r="I102">
        <v>0.12689999580383299</v>
      </c>
      <c r="J102">
        <v>20.644550337304253</v>
      </c>
    </row>
    <row r="103" spans="1:10">
      <c r="A103" s="1">
        <v>45614</v>
      </c>
      <c r="B103" s="1" cm="1">
        <f t="array" ref="B103">_xlfn._xlws.FILTER(A103, WEEKDAY(A103, 2) &lt;= 5)</f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0.51</v>
      </c>
      <c r="H103">
        <v>0.59749572550192243</v>
      </c>
      <c r="I103">
        <v>0.12920000076293939</v>
      </c>
      <c r="J103">
        <v>20.644550337304253</v>
      </c>
    </row>
    <row r="104" spans="1:10">
      <c r="A104" s="1">
        <v>45615</v>
      </c>
      <c r="B104" s="1" cm="1">
        <f t="array" ref="B104">_xlfn._xlws.FILTER(A104, WEEKDAY(A104, 2) &lt;= 5)</f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0.51</v>
      </c>
      <c r="H104">
        <v>0.56958829262581301</v>
      </c>
      <c r="I104">
        <v>0.1263000011444092</v>
      </c>
      <c r="J104">
        <v>20.644550337304253</v>
      </c>
    </row>
    <row r="105" spans="1:10">
      <c r="A105" s="1">
        <v>45616</v>
      </c>
      <c r="B105" s="1" cm="1">
        <f t="array" ref="B105">_xlfn._xlws.FILTER(A105, WEEKDAY(A105, 2) &lt;= 5)</f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0.51</v>
      </c>
      <c r="H105">
        <v>0.4799904661059059</v>
      </c>
      <c r="I105">
        <v>0.13079999923706051</v>
      </c>
      <c r="J105">
        <v>20.644550337304253</v>
      </c>
    </row>
    <row r="106" spans="1:10">
      <c r="A106" s="1">
        <v>45617</v>
      </c>
      <c r="B106" s="1" cm="1">
        <f t="array" ref="B106">_xlfn._xlws.FILTER(A106, WEEKDAY(A106, 2) &lt;= 5)</f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0.51</v>
      </c>
      <c r="H106">
        <v>0.48805835308918155</v>
      </c>
      <c r="I106">
        <v>0.12850000381469731</v>
      </c>
      <c r="J106">
        <v>20.644550337304253</v>
      </c>
    </row>
    <row r="107" spans="1:10">
      <c r="A107" s="1">
        <v>45618</v>
      </c>
      <c r="B107" s="1" cm="1">
        <f t="array" ref="B107">_xlfn._xlws.FILTER(A107, WEEKDAY(A107, 2) &lt;= 5)</f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0.51</v>
      </c>
      <c r="H107">
        <v>0.61680121382900521</v>
      </c>
      <c r="I107">
        <v>0.12970000267028811</v>
      </c>
      <c r="J107">
        <v>20.644550337304253</v>
      </c>
    </row>
    <row r="108" spans="1:10">
      <c r="A108" s="1">
        <v>45621</v>
      </c>
      <c r="B108" s="1" cm="1">
        <f t="array" ref="B108">_xlfn._xlws.FILTER(A108, WEEKDAY(A108, 2) &lt;= 5)</f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0.51</v>
      </c>
      <c r="H108">
        <v>0.70320966943849006</v>
      </c>
      <c r="I108">
        <v>0.1263000011444092</v>
      </c>
      <c r="J108">
        <v>20.644550337304253</v>
      </c>
    </row>
    <row r="109" spans="1:10">
      <c r="A109" s="1">
        <v>45622</v>
      </c>
      <c r="B109" s="1" cm="1">
        <f t="array" ref="B109">_xlfn._xlws.FILTER(A109, WEEKDAY(A109, 2) &lt;= 5)</f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0.51</v>
      </c>
      <c r="H109">
        <v>0.56801380551910641</v>
      </c>
      <c r="I109">
        <v>0.1206999969482422</v>
      </c>
      <c r="J109">
        <v>20.644550337304253</v>
      </c>
    </row>
    <row r="110" spans="1:10">
      <c r="A110" s="1">
        <v>45623</v>
      </c>
      <c r="B110" s="1" cm="1">
        <f t="array" ref="B110">_xlfn._xlws.FILTER(A110, WEEKDAY(A110, 2) &lt;= 5)</f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0.51</v>
      </c>
      <c r="H110">
        <v>0.66833306800738057</v>
      </c>
      <c r="I110">
        <v>0.121899995803833</v>
      </c>
      <c r="J110">
        <v>20.644550337304253</v>
      </c>
    </row>
    <row r="111" spans="1:10">
      <c r="A111" s="1">
        <v>45624</v>
      </c>
      <c r="B111" s="1" cm="1">
        <f t="array" ref="B111">_xlfn._xlws.FILTER(A111, WEEKDAY(A111, 2) &lt;= 5)</f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0.51</v>
      </c>
      <c r="H111">
        <v>0.57578037597089338</v>
      </c>
      <c r="I111">
        <v>0.12479999542236329</v>
      </c>
      <c r="J111">
        <v>20.644550337304253</v>
      </c>
    </row>
    <row r="112" spans="1:10">
      <c r="A112" s="1">
        <v>45625</v>
      </c>
      <c r="B112" s="1" cm="1">
        <f t="array" ref="B112">_xlfn._xlws.FILTER(A112, WEEKDAY(A112, 2) &lt;= 5)</f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0.51</v>
      </c>
      <c r="H112">
        <v>0.56667898039326314</v>
      </c>
      <c r="I112">
        <v>0.1227999973297119</v>
      </c>
      <c r="J112">
        <v>20.644550337304253</v>
      </c>
    </row>
    <row r="113" spans="1:10">
      <c r="A113" s="1">
        <v>45628</v>
      </c>
      <c r="B113" s="1" cm="1">
        <f t="array" ref="B113">_xlfn._xlws.FILTER(A113, WEEKDAY(A113, 2) &lt;= 5)</f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0.51</v>
      </c>
      <c r="H113">
        <v>0.53356494880833971</v>
      </c>
      <c r="I113">
        <v>0.13670000076293939</v>
      </c>
      <c r="J113">
        <v>20.644550337304253</v>
      </c>
    </row>
    <row r="114" spans="1:10">
      <c r="A114" s="1">
        <v>45629</v>
      </c>
      <c r="B114" s="1" cm="1">
        <f t="array" ref="B114">_xlfn._xlws.FILTER(A114, WEEKDAY(A114, 2) &lt;= 5)</f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0.51</v>
      </c>
      <c r="H114">
        <v>0.56037909596865809</v>
      </c>
      <c r="I114">
        <v>0.1364999961853027</v>
      </c>
      <c r="J114">
        <v>20.644550337304253</v>
      </c>
    </row>
    <row r="115" spans="1:10">
      <c r="A115" s="1">
        <v>45630</v>
      </c>
      <c r="B115" s="1" cm="1">
        <f t="array" ref="B115">_xlfn._xlws.FILTER(A115, WEEKDAY(A115, 2) &lt;= 5)</f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0.51</v>
      </c>
      <c r="H115">
        <v>0.47179446845293616</v>
      </c>
      <c r="I115">
        <v>0.1302999973297119</v>
      </c>
      <c r="J115">
        <v>20.644550337304253</v>
      </c>
    </row>
    <row r="116" spans="1:10">
      <c r="A116" s="1">
        <v>45631</v>
      </c>
      <c r="B116" s="1" cm="1">
        <f t="array" ref="B116">_xlfn._xlws.FILTER(A116, WEEKDAY(A116, 2) &lt;= 5)</f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0.51</v>
      </c>
      <c r="H116">
        <v>0.58557180189014824</v>
      </c>
      <c r="I116">
        <v>0.1298999977111816</v>
      </c>
      <c r="J116">
        <v>20.644550337304253</v>
      </c>
    </row>
    <row r="117" spans="1:10">
      <c r="A117" s="1">
        <v>45632</v>
      </c>
      <c r="B117" s="1" cm="1">
        <f t="array" ref="B117">_xlfn._xlws.FILTER(A117, WEEKDAY(A117, 2) &lt;= 5)</f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0.51</v>
      </c>
      <c r="H117">
        <v>0.59747040765710435</v>
      </c>
      <c r="I117">
        <v>0.1243000030517578</v>
      </c>
      <c r="J117">
        <v>20.644550337304253</v>
      </c>
    </row>
    <row r="118" spans="1:10">
      <c r="A118" s="1">
        <v>45635</v>
      </c>
      <c r="B118" s="1" cm="1">
        <f t="array" ref="B118">_xlfn._xlws.FILTER(A118, WEEKDAY(A118, 2) &lt;= 5)</f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0.51</v>
      </c>
      <c r="H118">
        <v>0.55328729764105888</v>
      </c>
      <c r="I118">
        <v>0.13199999809265139</v>
      </c>
      <c r="J118">
        <v>20.644550337304253</v>
      </c>
    </row>
    <row r="119" spans="1:10">
      <c r="A119" s="1">
        <v>45636</v>
      </c>
      <c r="B119" s="1" cm="1">
        <f t="array" ref="B119">_xlfn._xlws.FILTER(A119, WEEKDAY(A119, 2) &lt;= 5)</f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0.51</v>
      </c>
      <c r="H119">
        <v>0.59678121694850617</v>
      </c>
      <c r="I119">
        <v>0.14039999961853031</v>
      </c>
      <c r="J119">
        <v>20.644550337304253</v>
      </c>
    </row>
    <row r="120" spans="1:10">
      <c r="A120" s="1">
        <v>45637</v>
      </c>
      <c r="B120" s="1" cm="1">
        <f t="array" ref="B120">_xlfn._xlws.FILTER(A120, WEEKDAY(A120, 2) &lt;= 5)</f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0.51</v>
      </c>
      <c r="H120">
        <v>0.69343811758317075</v>
      </c>
      <c r="I120">
        <v>0.14130000114440919</v>
      </c>
      <c r="J120">
        <v>20.644550337304253</v>
      </c>
    </row>
    <row r="121" spans="1:10">
      <c r="A121" s="1">
        <v>45638</v>
      </c>
      <c r="B121" s="1" cm="1">
        <f t="array" ref="B121">_xlfn._xlws.FILTER(A121, WEEKDAY(A121, 2) &lt;= 5)</f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0.51</v>
      </c>
      <c r="H121">
        <v>0.60311977446281284</v>
      </c>
      <c r="I121">
        <v>0.13350000381469729</v>
      </c>
      <c r="J121">
        <v>20.644550337304253</v>
      </c>
    </row>
    <row r="122" spans="1:10">
      <c r="A122" s="1">
        <v>45639</v>
      </c>
      <c r="B122" s="1" cm="1">
        <f t="array" ref="B122">_xlfn._xlws.FILTER(A122, WEEKDAY(A122, 2) &lt;= 5)</f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0.51</v>
      </c>
      <c r="H122">
        <v>0.55570167819563854</v>
      </c>
      <c r="I122">
        <v>0.13079999923706051</v>
      </c>
      <c r="J122">
        <v>20.644550337304253</v>
      </c>
    </row>
    <row r="123" spans="1:10">
      <c r="A123" s="1">
        <v>45642</v>
      </c>
      <c r="B123" s="1" cm="1">
        <f t="array" ref="B123">_xlfn._xlws.FILTER(A123, WEEKDAY(A123, 2) &lt;= 5)</f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0.51</v>
      </c>
      <c r="H123">
        <v>0.62402021054310453</v>
      </c>
      <c r="I123">
        <v>0.124399995803833</v>
      </c>
      <c r="J123">
        <v>20.644550337304253</v>
      </c>
    </row>
    <row r="124" spans="1:10">
      <c r="A124" s="1">
        <v>45643</v>
      </c>
      <c r="B124" s="1" cm="1">
        <f t="array" ref="B124">_xlfn._xlws.FILTER(A124, WEEKDAY(A124, 2) &lt;= 5)</f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0.51</v>
      </c>
      <c r="H124">
        <v>0.62721686240636254</v>
      </c>
      <c r="I124">
        <v>0.12699999809265139</v>
      </c>
      <c r="J124">
        <v>20.644550337304253</v>
      </c>
    </row>
    <row r="125" spans="1:10">
      <c r="A125" s="1">
        <v>45644</v>
      </c>
      <c r="B125" s="1" cm="1">
        <f t="array" ref="B125">_xlfn._xlws.FILTER(A125, WEEKDAY(A125, 2) &lt;= 5)</f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0.51</v>
      </c>
      <c r="H125">
        <v>0.6446867547186298</v>
      </c>
      <c r="I125">
        <v>0.13840000152587889</v>
      </c>
      <c r="J125">
        <v>20.644550337304253</v>
      </c>
    </row>
    <row r="126" spans="1:10">
      <c r="A126" s="1">
        <v>45645</v>
      </c>
      <c r="B126" s="1" cm="1">
        <f t="array" ref="B126">_xlfn._xlws.FILTER(A126, WEEKDAY(A126, 2) &lt;= 5)</f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0.51</v>
      </c>
      <c r="H126">
        <v>0.63899697464014726</v>
      </c>
      <c r="I126">
        <v>0.14789999961853029</v>
      </c>
      <c r="J126">
        <v>20.644550337304253</v>
      </c>
    </row>
    <row r="127" spans="1:10">
      <c r="A127" s="1">
        <v>45646</v>
      </c>
      <c r="B127" s="1" cm="1">
        <f t="array" ref="B127">_xlfn._xlws.FILTER(A127, WEEKDAY(A127, 2) &lt;= 5)</f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0.51</v>
      </c>
      <c r="H127">
        <v>0.57054962573231982</v>
      </c>
      <c r="I127">
        <v>0.14130000114440919</v>
      </c>
      <c r="J127">
        <v>20.644550337304253</v>
      </c>
    </row>
    <row r="128" spans="1:10">
      <c r="A128" s="1">
        <v>45649</v>
      </c>
      <c r="B128" s="1" cm="1">
        <f t="array" ref="B128">_xlfn._xlws.FILTER(A128, WEEKDAY(A128, 2) &lt;= 5)</f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0.51</v>
      </c>
      <c r="H128">
        <v>0.62885928673900948</v>
      </c>
      <c r="I128">
        <v>0.12550000190734861</v>
      </c>
      <c r="J128">
        <v>20.644550337304253</v>
      </c>
    </row>
    <row r="129" spans="1:10">
      <c r="A129" s="1">
        <v>45650</v>
      </c>
      <c r="B129" s="1" cm="1">
        <f t="array" ref="B129">_xlfn._xlws.FILTER(A129, WEEKDAY(A129, 2) &lt;= 5)</f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0.51</v>
      </c>
      <c r="H129">
        <v>0.50452626609039108</v>
      </c>
      <c r="I129">
        <v>0.13140000343322761</v>
      </c>
      <c r="J129">
        <v>20.644550337304253</v>
      </c>
    </row>
    <row r="130" spans="1:10">
      <c r="A130" s="1">
        <v>45651</v>
      </c>
      <c r="B130" s="1" cm="1">
        <f t="array" ref="B130">_xlfn._xlws.FILTER(A130, WEEKDAY(A130, 2) &lt;= 5)</f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0.51</v>
      </c>
      <c r="H130">
        <v>0.56831385074041763</v>
      </c>
      <c r="I130">
        <v>0.1344999980926514</v>
      </c>
      <c r="J130">
        <v>20.644550337304253</v>
      </c>
    </row>
    <row r="131" spans="1:10">
      <c r="A131" s="1">
        <v>45652</v>
      </c>
      <c r="B131" s="1" cm="1">
        <f t="array" ref="B131">_xlfn._xlws.FILTER(A131, WEEKDAY(A131, 2) &lt;= 5)</f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0.51</v>
      </c>
      <c r="H131">
        <v>0.55358698969159004</v>
      </c>
      <c r="I131">
        <v>0.13260000228881841</v>
      </c>
      <c r="J131">
        <v>20.644550337304253</v>
      </c>
    </row>
    <row r="132" spans="1:10">
      <c r="A132" s="1">
        <v>45653</v>
      </c>
      <c r="B132" s="1" cm="1">
        <f t="array" ref="B132">_xlfn._xlws.FILTER(A132, WEEKDAY(A132, 2) &lt;= 5)</f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0.51</v>
      </c>
      <c r="H132">
        <v>0.6080764448183078</v>
      </c>
      <c r="I132">
        <v>0.13600000381469729</v>
      </c>
      <c r="J132">
        <v>20.644550337304253</v>
      </c>
    </row>
    <row r="133" spans="1:10">
      <c r="A133" s="1">
        <v>45656</v>
      </c>
      <c r="B133" s="1" cm="1">
        <f t="array" ref="B133">_xlfn._xlws.FILTER(A133, WEEKDAY(A133, 2) &lt;= 5)</f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0.51</v>
      </c>
      <c r="H133">
        <v>0.53926102556066191</v>
      </c>
      <c r="I133">
        <v>0.13880000114440921</v>
      </c>
      <c r="J133">
        <v>20.644550337304253</v>
      </c>
    </row>
    <row r="134" spans="1:10">
      <c r="A134" s="1">
        <v>45657</v>
      </c>
      <c r="B134" s="1" cm="1">
        <f t="array" ref="B134">_xlfn._xlws.FILTER(A134, WEEKDAY(A134, 2) &lt;= 5)</f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0.51</v>
      </c>
      <c r="H134">
        <v>0.57769404195639917</v>
      </c>
      <c r="I134">
        <v>0.13850000381469729</v>
      </c>
      <c r="J134">
        <v>20.644550337304253</v>
      </c>
    </row>
    <row r="135" spans="1:10">
      <c r="A135" s="1">
        <v>45658</v>
      </c>
      <c r="B135" s="1" cm="1">
        <f t="array" ref="B135">_xlfn._xlws.FILTER(A135, WEEKDAY(A135, 2) &lt;= 5)</f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0.51</v>
      </c>
      <c r="H135">
        <v>0.63151574588359261</v>
      </c>
      <c r="I135">
        <v>0.13670000076293939</v>
      </c>
      <c r="J135">
        <v>20.644550337304253</v>
      </c>
    </row>
    <row r="136" spans="1:10">
      <c r="A136" s="1">
        <v>45659</v>
      </c>
      <c r="B136" s="1" cm="1">
        <f t="array" ref="B136">_xlfn._xlws.FILTER(A136, WEEKDAY(A136, 2) &lt;= 5)</f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0.51</v>
      </c>
      <c r="H136">
        <v>0.63206439402259595</v>
      </c>
      <c r="I136">
        <v>0.13060000419616699</v>
      </c>
      <c r="J136">
        <v>20.644550337304253</v>
      </c>
    </row>
    <row r="137" spans="1:10">
      <c r="A137" s="1">
        <v>45660</v>
      </c>
      <c r="B137" s="1" cm="1">
        <f t="array" ref="B137">_xlfn._xlws.FILTER(A137, WEEKDAY(A137, 2) &lt;= 5)</f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0.51</v>
      </c>
      <c r="H137">
        <v>0.56107401448897587</v>
      </c>
      <c r="I137">
        <v>0.12829999923706051</v>
      </c>
      <c r="J137">
        <v>20.644550337304253</v>
      </c>
    </row>
    <row r="138" spans="1:10">
      <c r="A138" s="1">
        <v>45663</v>
      </c>
      <c r="B138" s="1" cm="1">
        <f t="array" ref="B138">_xlfn._xlws.FILTER(A138, WEEKDAY(A138, 2) &lt;= 5)</f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0.51</v>
      </c>
      <c r="H138">
        <v>0.57546800970452971</v>
      </c>
      <c r="I138">
        <v>0.1393000030517578</v>
      </c>
      <c r="J138">
        <v>20.644550337304253</v>
      </c>
    </row>
    <row r="139" spans="1:10">
      <c r="A139" s="1">
        <v>45664</v>
      </c>
      <c r="B139" s="1" cm="1">
        <f t="array" ref="B139">_xlfn._xlws.FILTER(A139, WEEKDAY(A139, 2) &lt;= 5)</f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0.51</v>
      </c>
      <c r="H139">
        <v>0.63231618668468004</v>
      </c>
      <c r="I139">
        <v>0.15850000381469731</v>
      </c>
      <c r="J139">
        <v>20.644550337304253</v>
      </c>
    </row>
    <row r="140" spans="1:10">
      <c r="A140" s="1">
        <v>45665</v>
      </c>
      <c r="B140" s="1" cm="1">
        <f t="array" ref="B140">_xlfn._xlws.FILTER(A140, WEEKDAY(A140, 2) &lt;= 5)</f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0.51</v>
      </c>
      <c r="H140">
        <v>0.64573003850288291</v>
      </c>
      <c r="I140">
        <v>0.14380000114440919</v>
      </c>
      <c r="J140">
        <v>20.644550337304253</v>
      </c>
    </row>
    <row r="141" spans="1:10">
      <c r="A141" s="1">
        <v>45666</v>
      </c>
      <c r="B141" s="1" cm="1">
        <f t="array" ref="B141">_xlfn._xlws.FILTER(A141, WEEKDAY(A141, 2) &lt;= 5)</f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0.51</v>
      </c>
      <c r="H141">
        <v>0.60444891926861799</v>
      </c>
      <c r="I141">
        <v>0.14010000228881839</v>
      </c>
      <c r="J141">
        <v>20.644550337304253</v>
      </c>
    </row>
    <row r="142" spans="1:10">
      <c r="A142" s="1">
        <v>45667</v>
      </c>
      <c r="B142" s="1" cm="1">
        <f t="array" ref="B142">_xlfn._xlws.FILTER(A142, WEEKDAY(A142, 2) &lt;= 5)</f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0.51</v>
      </c>
      <c r="H142">
        <v>0.58308934102721532</v>
      </c>
      <c r="I142">
        <v>0.14239999771118159</v>
      </c>
      <c r="J142">
        <v>20.644550337304253</v>
      </c>
    </row>
    <row r="143" spans="1:10">
      <c r="A143" s="1">
        <v>45670</v>
      </c>
      <c r="B143" s="1" cm="1">
        <f t="array" ref="B143">_xlfn._xlws.FILTER(A143, WEEKDAY(A143, 2) &lt;= 5)</f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0.51</v>
      </c>
      <c r="H143">
        <v>0.6325250394471067</v>
      </c>
      <c r="I143">
        <v>0.14539999961853031</v>
      </c>
      <c r="J143">
        <v>20.644550337304253</v>
      </c>
    </row>
    <row r="144" spans="1:10">
      <c r="A144" s="1">
        <v>45671</v>
      </c>
      <c r="B144" s="1" cm="1">
        <f t="array" ref="B144">_xlfn._xlws.FILTER(A144, WEEKDAY(A144, 2) &lt;= 5)</f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0.51</v>
      </c>
      <c r="H144">
        <v>0.63299317613709505</v>
      </c>
      <c r="I144">
        <v>0.13750000000000001</v>
      </c>
      <c r="J144">
        <v>20.644550337304253</v>
      </c>
    </row>
    <row r="145" spans="1:10">
      <c r="A145" s="1">
        <v>45672</v>
      </c>
      <c r="B145" s="1" cm="1">
        <f t="array" ref="B145">_xlfn._xlws.FILTER(A145, WEEKDAY(A145, 2) &lt;= 5)</f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0.51</v>
      </c>
      <c r="H145">
        <v>0.61779792074369444</v>
      </c>
      <c r="I145">
        <v>0.13739999771118161</v>
      </c>
      <c r="J145">
        <v>20.644550337304253</v>
      </c>
    </row>
    <row r="146" spans="1:10">
      <c r="A146" s="1">
        <v>45673</v>
      </c>
      <c r="B146" s="1" cm="1">
        <f t="array" ref="B146">_xlfn._xlws.FILTER(A146, WEEKDAY(A146, 2) &lt;= 5)</f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0.51</v>
      </c>
      <c r="H146">
        <v>0.61120073620815685</v>
      </c>
      <c r="I146">
        <v>0.13430000305175779</v>
      </c>
      <c r="J146">
        <v>20.644550337304253</v>
      </c>
    </row>
    <row r="147" spans="1:10">
      <c r="A147" s="1">
        <v>45674</v>
      </c>
      <c r="B147" s="1" cm="1">
        <f t="array" ref="B147">_xlfn._xlws.FILTER(A147, WEEKDAY(A147, 2) &lt;= 5)</f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0.51</v>
      </c>
      <c r="H147">
        <v>0.60288678548429164</v>
      </c>
      <c r="I147">
        <v>0.13840000152587889</v>
      </c>
      <c r="J147">
        <v>20.644550337304253</v>
      </c>
    </row>
    <row r="148" spans="1:10">
      <c r="A148" s="1">
        <v>45677</v>
      </c>
      <c r="B148" s="1" cm="1">
        <f t="array" ref="B148">_xlfn._xlws.FILTER(A148, WEEKDAY(A148, 2) &lt;= 5)</f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0.51</v>
      </c>
      <c r="H148">
        <v>0.70590958137286819</v>
      </c>
      <c r="I148">
        <v>0.13489999771118161</v>
      </c>
      <c r="J148">
        <v>20.644550337304253</v>
      </c>
    </row>
    <row r="149" spans="1:10">
      <c r="A149" s="1">
        <v>45678</v>
      </c>
      <c r="B149" s="1" cm="1">
        <f t="array" ref="B149">_xlfn._xlws.FILTER(A149, WEEKDAY(A149, 2) &lt;= 5)</f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0.51</v>
      </c>
      <c r="H149">
        <v>0.55864442233587575</v>
      </c>
      <c r="I149">
        <v>0.1446000003814697</v>
      </c>
      <c r="J149">
        <v>20.644550337304253</v>
      </c>
    </row>
    <row r="150" spans="1:10">
      <c r="A150" s="1">
        <v>45679</v>
      </c>
      <c r="B150" s="1" cm="1">
        <f t="array" ref="B150">_xlfn._xlws.FILTER(A150, WEEKDAY(A150, 2) &lt;= 5)</f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0.51</v>
      </c>
      <c r="H150">
        <v>0.58976675386414223</v>
      </c>
      <c r="I150">
        <v>0.14499999999999999</v>
      </c>
      <c r="J150">
        <v>20.644550337304253</v>
      </c>
    </row>
    <row r="151" spans="1:10">
      <c r="A151" s="1">
        <v>45680</v>
      </c>
      <c r="B151" s="1" cm="1">
        <f t="array" ref="B151">_xlfn._xlws.FILTER(A151, WEEKDAY(A151, 2) &lt;= 5)</f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0.51</v>
      </c>
      <c r="H151">
        <v>0.57327325840411991</v>
      </c>
      <c r="I151">
        <v>0.144399995803833</v>
      </c>
      <c r="J151">
        <v>20.644550337304253</v>
      </c>
    </row>
    <row r="152" spans="1:10">
      <c r="A152" s="1">
        <v>45681</v>
      </c>
      <c r="B152" s="1" cm="1">
        <f t="array" ref="B152">_xlfn._xlws.FILTER(A152, WEEKDAY(A152, 2) &lt;= 5)</f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0.51</v>
      </c>
      <c r="H152">
        <v>0.60637623854856593</v>
      </c>
      <c r="I152">
        <v>0.14739999771118159</v>
      </c>
      <c r="J152">
        <v>20.644550337304253</v>
      </c>
    </row>
    <row r="153" spans="1:10">
      <c r="A153" s="1">
        <v>45684</v>
      </c>
      <c r="B153" s="1" cm="1">
        <f t="array" ref="B153">_xlfn._xlws.FILTER(A153, WEEKDAY(A153, 2) &lt;= 5)</f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0.51</v>
      </c>
      <c r="H153">
        <v>0.67289801588716203</v>
      </c>
      <c r="I153">
        <v>0.13750000000000001</v>
      </c>
      <c r="J153">
        <v>20.644550337304253</v>
      </c>
    </row>
    <row r="154" spans="1:10">
      <c r="A154" s="1">
        <v>45685</v>
      </c>
      <c r="B154" s="1" cm="1">
        <f t="array" ref="B154">_xlfn._xlws.FILTER(A154, WEEKDAY(A154, 2) &lt;= 5)</f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0.51</v>
      </c>
      <c r="H154">
        <v>0.60872989726494298</v>
      </c>
      <c r="I154">
        <v>0.14399999618530271</v>
      </c>
      <c r="J154">
        <v>20.644550337304253</v>
      </c>
    </row>
    <row r="155" spans="1:10">
      <c r="A155" s="1">
        <v>45686</v>
      </c>
      <c r="B155" s="1" cm="1">
        <f t="array" ref="B155">_xlfn._xlws.FILTER(A155, WEEKDAY(A155, 2) &lt;= 5)</f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0.51</v>
      </c>
      <c r="H155">
        <v>0.68692143305944309</v>
      </c>
      <c r="I155">
        <v>0.14409999847412111</v>
      </c>
      <c r="J155">
        <v>20.644550337304253</v>
      </c>
    </row>
    <row r="156" spans="1:10">
      <c r="A156" s="1">
        <v>45687</v>
      </c>
      <c r="B156" s="1" cm="1">
        <f t="array" ref="B156">_xlfn._xlws.FILTER(A156, WEEKDAY(A156, 2) &lt;= 5)</f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0.51</v>
      </c>
      <c r="H156">
        <v>0.64068803001797381</v>
      </c>
      <c r="I156">
        <v>0.14329999923706049</v>
      </c>
      <c r="J156">
        <v>20.644550337304253</v>
      </c>
    </row>
    <row r="157" spans="1:10">
      <c r="A157" s="1">
        <v>45688</v>
      </c>
      <c r="B157" s="1" cm="1">
        <f t="array" ref="B157">_xlfn._xlws.FILTER(A157, WEEKDAY(A157, 2) &lt;= 5)</f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0.51</v>
      </c>
      <c r="H157">
        <v>0.67485523005085757</v>
      </c>
      <c r="I157">
        <v>0.1381999969482422</v>
      </c>
      <c r="J157">
        <v>20.644550337304253</v>
      </c>
    </row>
    <row r="158" spans="1:10">
      <c r="A158" s="1">
        <v>45691</v>
      </c>
      <c r="B158" s="1" cm="1">
        <f t="array" ref="B158">_xlfn._xlws.FILTER(A158, WEEKDAY(A158, 2) &lt;= 5)</f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0.51</v>
      </c>
      <c r="H158">
        <v>0.65249632948359138</v>
      </c>
      <c r="I158">
        <v>0.13060000419616699</v>
      </c>
      <c r="J158">
        <v>20.644550337304253</v>
      </c>
    </row>
    <row r="159" spans="1:10">
      <c r="A159" s="1">
        <v>45692</v>
      </c>
      <c r="B159" s="1" cm="1">
        <f t="array" ref="B159">_xlfn._xlws.FILTER(A159, WEEKDAY(A159, 2) &lt;= 5)</f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0.51</v>
      </c>
      <c r="H159">
        <v>0.58312000402672837</v>
      </c>
      <c r="I159">
        <v>0.13189999580383299</v>
      </c>
      <c r="J159">
        <v>20.644550337304253</v>
      </c>
    </row>
    <row r="160" spans="1:10">
      <c r="A160" s="1">
        <v>45693</v>
      </c>
      <c r="B160" s="1" cm="1">
        <f t="array" ref="B160">_xlfn._xlws.FILTER(A160, WEEKDAY(A160, 2) &lt;= 5)</f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0.51</v>
      </c>
      <c r="H160">
        <v>0.58578950411162201</v>
      </c>
      <c r="I160">
        <v>0.13239999771118161</v>
      </c>
      <c r="J160">
        <v>20.644550337304253</v>
      </c>
    </row>
    <row r="161" spans="1:10">
      <c r="A161" s="1">
        <v>45694</v>
      </c>
      <c r="B161" s="1" cm="1">
        <f t="array" ref="B161">_xlfn._xlws.FILTER(A161, WEEKDAY(A161, 2) &lt;= 5)</f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0.51</v>
      </c>
      <c r="H161">
        <v>0.58201223902651766</v>
      </c>
      <c r="I161">
        <v>0.1277999973297119</v>
      </c>
      <c r="J161">
        <v>20.644550337304253</v>
      </c>
    </row>
    <row r="162" spans="1:10">
      <c r="A162" s="1">
        <v>45695</v>
      </c>
      <c r="B162" s="1" cm="1">
        <f t="array" ref="B162">_xlfn._xlws.FILTER(A162, WEEKDAY(A162, 2) &lt;= 5)</f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0.51</v>
      </c>
      <c r="H162">
        <v>0.61115192432036058</v>
      </c>
      <c r="I162">
        <v>0.13010000228881841</v>
      </c>
      <c r="J162">
        <v>20.644550337304253</v>
      </c>
    </row>
    <row r="163" spans="1:10">
      <c r="A163" s="1">
        <v>45698</v>
      </c>
      <c r="B163" s="1" cm="1">
        <f t="array" ref="B163">_xlfn._xlws.FILTER(A163, WEEKDAY(A163, 2) &lt;= 5)</f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0.51</v>
      </c>
      <c r="H163">
        <v>0.63046346458137104</v>
      </c>
      <c r="I163">
        <v>0.14329999923706049</v>
      </c>
      <c r="J163">
        <v>20.644550337304253</v>
      </c>
    </row>
    <row r="164" spans="1:10">
      <c r="A164" s="1">
        <v>45699</v>
      </c>
      <c r="B164" s="1" cm="1">
        <f t="array" ref="B164">_xlfn._xlws.FILTER(A164, WEEKDAY(A164, 2) &lt;= 5)</f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0.51</v>
      </c>
      <c r="H164">
        <v>0.60963500675817262</v>
      </c>
      <c r="I164">
        <v>0.16350000381469729</v>
      </c>
      <c r="J164">
        <v>20.644550337304253</v>
      </c>
    </row>
    <row r="165" spans="1:10">
      <c r="A165" s="1">
        <v>45700</v>
      </c>
      <c r="B165" s="1" cm="1">
        <f t="array" ref="B165">_xlfn._xlws.FILTER(A165, WEEKDAY(A165, 2) &lt;= 5)</f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0.51</v>
      </c>
      <c r="H165">
        <v>0.64187906085450586</v>
      </c>
      <c r="I165">
        <v>0.1603000068664551</v>
      </c>
      <c r="J165">
        <v>20.644550337304253</v>
      </c>
    </row>
    <row r="166" spans="1:10">
      <c r="A166" s="1">
        <v>45701</v>
      </c>
      <c r="B166" s="1" cm="1">
        <f t="array" ref="B166">_xlfn._xlws.FILTER(A166, WEEKDAY(A166, 2) &lt;= 5)</f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0.51</v>
      </c>
      <c r="H166">
        <v>0.57189154170584555</v>
      </c>
      <c r="I166">
        <v>0.15189999580383301</v>
      </c>
      <c r="J166">
        <v>20.644550337304253</v>
      </c>
    </row>
    <row r="167" spans="1:10">
      <c r="A167" s="1">
        <v>45702</v>
      </c>
      <c r="B167" s="1" cm="1">
        <f t="array" ref="B167">_xlfn._xlws.FILTER(A167, WEEKDAY(A167, 2) &lt;= 5)</f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0.51</v>
      </c>
      <c r="H167">
        <v>0.58606120683906393</v>
      </c>
      <c r="I167">
        <v>0.1497999954223633</v>
      </c>
      <c r="J167">
        <v>20.644550337304253</v>
      </c>
    </row>
    <row r="168" spans="1:10">
      <c r="A168" s="1">
        <v>45705</v>
      </c>
      <c r="B168" s="1" cm="1">
        <f t="array" ref="B168">_xlfn._xlws.FILTER(A168, WEEKDAY(A168, 2) &lt;= 5)</f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0.51</v>
      </c>
      <c r="H168">
        <v>0.5957132428336096</v>
      </c>
      <c r="I168">
        <v>0.1730999946594238</v>
      </c>
      <c r="J168">
        <v>20.644550337304253</v>
      </c>
    </row>
    <row r="169" spans="1:10">
      <c r="A169" s="1">
        <v>45706</v>
      </c>
      <c r="B169" s="1" cm="1">
        <f t="array" ref="B169">_xlfn._xlws.FILTER(A169, WEEKDAY(A169, 2) &lt;= 5)</f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0.51</v>
      </c>
      <c r="H169">
        <v>0.61377267869572549</v>
      </c>
      <c r="I169">
        <v>0.19229999542236331</v>
      </c>
      <c r="J169">
        <v>20.644550337304253</v>
      </c>
    </row>
    <row r="170" spans="1:10">
      <c r="A170" s="1">
        <v>45707</v>
      </c>
      <c r="B170" s="1" cm="1">
        <f t="array" ref="B170">_xlfn._xlws.FILTER(A170, WEEKDAY(A170, 2) &lt;= 5)</f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0.51</v>
      </c>
      <c r="H170">
        <v>0.6487953498890604</v>
      </c>
      <c r="I170">
        <v>0.18399999618530269</v>
      </c>
      <c r="J170">
        <v>20.644550337304253</v>
      </c>
    </row>
    <row r="171" spans="1:10">
      <c r="A171" s="1">
        <v>45708</v>
      </c>
      <c r="B171" s="1" cm="1">
        <f t="array" ref="B171">_xlfn._xlws.FILTER(A171, WEEKDAY(A171, 2) &lt;= 5)</f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0.51</v>
      </c>
      <c r="H171">
        <v>0.60738323249194415</v>
      </c>
      <c r="I171">
        <v>0.18209999084472661</v>
      </c>
      <c r="J171">
        <v>20.644550337304253</v>
      </c>
    </row>
    <row r="172" spans="1:10">
      <c r="A172" s="1">
        <v>45709</v>
      </c>
      <c r="B172" s="1" cm="1">
        <f t="array" ref="B172">_xlfn._xlws.FILTER(A172, WEEKDAY(A172, 2) &lt;= 5)</f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0.51</v>
      </c>
      <c r="H172">
        <v>0.65958587239988131</v>
      </c>
      <c r="I172">
        <v>0.18</v>
      </c>
      <c r="J172">
        <v>20.644550337304253</v>
      </c>
    </row>
    <row r="173" spans="1:10">
      <c r="A173" s="1">
        <v>45712</v>
      </c>
      <c r="B173" s="1" cm="1">
        <f t="array" ref="B173">_xlfn._xlws.FILTER(A173, WEEKDAY(A173, 2) &lt;= 5)</f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0.51</v>
      </c>
      <c r="H173">
        <v>0.58467027258306903</v>
      </c>
      <c r="I173">
        <v>0.15689999580383299</v>
      </c>
      <c r="J173">
        <v>20.644550337304253</v>
      </c>
    </row>
    <row r="174" spans="1:10">
      <c r="A174" s="1">
        <v>45713</v>
      </c>
      <c r="B174" s="1" cm="1">
        <f t="array" ref="B174">_xlfn._xlws.FILTER(A174, WEEKDAY(A174, 2) &lt;= 5)</f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0.51</v>
      </c>
      <c r="H174">
        <v>0.58191460070976431</v>
      </c>
      <c r="I174">
        <v>0.15970000267028811</v>
      </c>
      <c r="J174">
        <v>20.644550337304253</v>
      </c>
    </row>
    <row r="175" spans="1:10">
      <c r="A175" s="1">
        <v>45714</v>
      </c>
      <c r="B175" s="1" cm="1">
        <f t="array" ref="B175">_xlfn._xlws.FILTER(A175, WEEKDAY(A175, 2) &lt;= 5)</f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0.51</v>
      </c>
      <c r="H175">
        <v>0.56815407565405573</v>
      </c>
      <c r="I175">
        <v>0.1536999988555908</v>
      </c>
      <c r="J175">
        <v>20.644550337304253</v>
      </c>
    </row>
    <row r="176" spans="1:10">
      <c r="A176" s="1">
        <v>45715</v>
      </c>
      <c r="B176" s="1" cm="1">
        <f t="array" ref="B176">_xlfn._xlws.FILTER(A176, WEEKDAY(A176, 2) &lt;= 5)</f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0.51</v>
      </c>
      <c r="H176">
        <v>0.68992946860329873</v>
      </c>
      <c r="I176">
        <v>0.15029999732971189</v>
      </c>
      <c r="J176">
        <v>20.644550337304253</v>
      </c>
    </row>
    <row r="177" spans="1:10">
      <c r="A177" s="1">
        <v>45716</v>
      </c>
      <c r="B177" s="1" cm="1">
        <f t="array" ref="B177">_xlfn._xlws.FILTER(A177, WEEKDAY(A177, 2) &lt;= 5)</f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0.51</v>
      </c>
      <c r="H177">
        <v>0.50710312212695852</v>
      </c>
      <c r="I177">
        <v>0.14670000076293949</v>
      </c>
      <c r="J177">
        <v>20.644550337304253</v>
      </c>
    </row>
    <row r="178" spans="1:10">
      <c r="A178" s="1">
        <v>45719</v>
      </c>
      <c r="B178" s="1" cm="1">
        <f t="array" ref="B178">_xlfn._xlws.FILTER(A178, WEEKDAY(A178, 2) &lt;= 5)</f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0.51</v>
      </c>
      <c r="H178">
        <v>0.60481326803198643</v>
      </c>
      <c r="I178">
        <v>0.1468000030517578</v>
      </c>
      <c r="J178">
        <v>20.644550337304253</v>
      </c>
    </row>
    <row r="179" spans="1:10">
      <c r="A179" s="1">
        <v>45720</v>
      </c>
      <c r="B179" s="1" cm="1">
        <f t="array" ref="B179">_xlfn._xlws.FILTER(A179, WEEKDAY(A179, 2) &lt;= 5)</f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0.51</v>
      </c>
      <c r="H179">
        <v>0.63960448254378555</v>
      </c>
      <c r="I179">
        <v>0.13489999771118161</v>
      </c>
      <c r="J179">
        <v>20.644550337304253</v>
      </c>
    </row>
    <row r="180" spans="1:10">
      <c r="A180" s="1">
        <v>45721</v>
      </c>
      <c r="B180" s="1" cm="1">
        <f t="array" ref="B180">_xlfn._xlws.FILTER(A180, WEEKDAY(A180, 2) &lt;= 5)</f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0.51</v>
      </c>
      <c r="H180">
        <v>0.5786433858972605</v>
      </c>
      <c r="I180">
        <v>0.13489999771118161</v>
      </c>
      <c r="J180">
        <v>20.644550337304253</v>
      </c>
    </row>
    <row r="181" spans="1:10">
      <c r="A181" s="1">
        <v>45722</v>
      </c>
      <c r="B181" s="1" cm="1">
        <f t="array" ref="B181">_xlfn._xlws.FILTER(A181, WEEKDAY(A181, 2) &lt;= 5)</f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0.51</v>
      </c>
      <c r="H181">
        <v>0.55485117104875115</v>
      </c>
      <c r="I181">
        <v>0.13229999542236329</v>
      </c>
      <c r="J181">
        <v>20.644550337304253</v>
      </c>
    </row>
    <row r="182" spans="1:10">
      <c r="A182" s="1">
        <v>45723</v>
      </c>
      <c r="B182" s="1" cm="1">
        <f t="array" ref="B182">_xlfn._xlws.FILTER(A182, WEEKDAY(A182, 2) &lt;= 5)</f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0.51</v>
      </c>
      <c r="H182">
        <v>0.58993057679338501</v>
      </c>
      <c r="I182">
        <v>0.13</v>
      </c>
      <c r="J182">
        <v>20.644550337304253</v>
      </c>
    </row>
    <row r="183" spans="1:10">
      <c r="A183" s="1">
        <v>45726</v>
      </c>
      <c r="B183" s="1" cm="1">
        <f t="array" ref="B183">_xlfn._xlws.FILTER(A183, WEEKDAY(A183, 2) &lt;= 5)</f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0.51</v>
      </c>
      <c r="H183">
        <v>0.60658391185776628</v>
      </c>
      <c r="I183">
        <v>0.13600000381469729</v>
      </c>
      <c r="J183">
        <v>20.644550337304253</v>
      </c>
    </row>
    <row r="184" spans="1:10">
      <c r="A184" s="1">
        <v>45727</v>
      </c>
      <c r="B184" s="1" cm="1">
        <f t="array" ref="B184">_xlfn._xlws.FILTER(A184, WEEKDAY(A184, 2) &lt;= 5)</f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0.51</v>
      </c>
      <c r="H184">
        <v>0.56167149709600406</v>
      </c>
      <c r="I184">
        <v>0.13420000076293939</v>
      </c>
      <c r="J184">
        <v>20.644550337304253</v>
      </c>
    </row>
    <row r="185" spans="1:10">
      <c r="A185" s="1">
        <v>45728</v>
      </c>
      <c r="B185" s="1" cm="1">
        <f t="array" ref="B185">_xlfn._xlws.FILTER(A185, WEEKDAY(A185, 2) &lt;= 5)</f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0.51</v>
      </c>
      <c r="H185">
        <v>0.6336838379045957</v>
      </c>
      <c r="I185">
        <v>0.1244999980926514</v>
      </c>
      <c r="J185">
        <v>20.644550337304253</v>
      </c>
    </row>
    <row r="186" spans="1:10">
      <c r="A186" s="1">
        <v>45729</v>
      </c>
      <c r="B186" s="1" cm="1">
        <f t="array" ref="B186">_xlfn._xlws.FILTER(A186, WEEKDAY(A186, 2) &lt;= 5)</f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0.51</v>
      </c>
      <c r="H186">
        <v>0.63149412494344836</v>
      </c>
      <c r="I186">
        <v>0.12420000076293949</v>
      </c>
      <c r="J186">
        <v>20.644550337304253</v>
      </c>
    </row>
    <row r="187" spans="1:10">
      <c r="A187" s="1">
        <v>45730</v>
      </c>
      <c r="B187" s="1" cm="1">
        <f t="array" ref="B187">_xlfn._xlws.FILTER(A187, WEEKDAY(A187, 2) &lt;= 5)</f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0.51</v>
      </c>
      <c r="H187">
        <v>0.59979654104302693</v>
      </c>
      <c r="I187">
        <v>0.11989999771118159</v>
      </c>
      <c r="J187">
        <v>20.644550337304253</v>
      </c>
    </row>
    <row r="188" spans="1:10">
      <c r="A188" s="14">
        <v>45733</v>
      </c>
      <c r="B188" s="14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>
        <v>0.51</v>
      </c>
      <c r="H188" s="15">
        <v>0.43157288087281531</v>
      </c>
      <c r="I188" s="16">
        <v>0.70088628827800514</v>
      </c>
      <c r="J188">
        <v>20.644550337304253</v>
      </c>
    </row>
    <row r="189" spans="1:10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0.51</v>
      </c>
      <c r="H189">
        <v>0.66292371985730114</v>
      </c>
      <c r="I189" s="13">
        <v>0.70231786352277659</v>
      </c>
      <c r="J189">
        <v>20.644550337304253</v>
      </c>
    </row>
    <row r="190" spans="1:10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0.51</v>
      </c>
      <c r="H190">
        <v>0.50838654595699295</v>
      </c>
      <c r="I190" s="13">
        <v>0.69270909090634969</v>
      </c>
      <c r="J190">
        <v>20.644550337304253</v>
      </c>
    </row>
    <row r="191" spans="1:10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0.51</v>
      </c>
      <c r="H191">
        <v>0.57103235024587606</v>
      </c>
      <c r="I191" s="13">
        <v>0.69588885829972991</v>
      </c>
      <c r="J191">
        <v>20.644550337304253</v>
      </c>
    </row>
    <row r="192" spans="1:10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0.51</v>
      </c>
      <c r="H192">
        <v>0.55946806251558412</v>
      </c>
      <c r="I192" s="13">
        <v>0.71396938554415534</v>
      </c>
      <c r="J192">
        <v>20.644550337304253</v>
      </c>
    </row>
    <row r="193" spans="1:10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0.51</v>
      </c>
      <c r="H193">
        <v>0.58843680822345446</v>
      </c>
      <c r="I193" s="13">
        <v>0.69846672404362242</v>
      </c>
      <c r="J193">
        <v>20.644550337304253</v>
      </c>
    </row>
    <row r="194" spans="1:10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0.51</v>
      </c>
      <c r="H194">
        <v>0.55630344749677796</v>
      </c>
      <c r="I194" s="13">
        <v>0.69976781092534956</v>
      </c>
      <c r="J194">
        <v>20.644550337304253</v>
      </c>
    </row>
    <row r="195" spans="1:10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0.51</v>
      </c>
      <c r="H195">
        <v>0.60832136568549822</v>
      </c>
      <c r="I195" s="13">
        <v>0.7137924130083485</v>
      </c>
      <c r="J195">
        <v>20.644550337304253</v>
      </c>
    </row>
    <row r="196" spans="1:10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0.51</v>
      </c>
      <c r="H196">
        <v>0.58198829730337731</v>
      </c>
      <c r="I196" s="13">
        <v>0.70190304239279577</v>
      </c>
      <c r="J196">
        <v>20.644550337304253</v>
      </c>
    </row>
    <row r="197" spans="1:10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0.51</v>
      </c>
      <c r="H197">
        <v>0.60195799218057189</v>
      </c>
      <c r="I197" s="13">
        <v>0.7047031068125823</v>
      </c>
      <c r="J197">
        <v>20.644550337304253</v>
      </c>
    </row>
    <row r="198" spans="1:10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0.51</v>
      </c>
      <c r="H198">
        <v>0.51641147919064556</v>
      </c>
      <c r="I198" s="13">
        <v>0.69118004363865493</v>
      </c>
      <c r="J198">
        <v>20.644550337304253</v>
      </c>
    </row>
    <row r="199" spans="1:10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0.51</v>
      </c>
      <c r="H199">
        <v>0.63600456587374699</v>
      </c>
      <c r="I199" s="13">
        <v>0.70525911251257645</v>
      </c>
      <c r="J199">
        <v>20.644550337304253</v>
      </c>
    </row>
    <row r="200" spans="1:10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0.51</v>
      </c>
      <c r="H200">
        <v>0.67472476646703017</v>
      </c>
      <c r="I200" s="13">
        <v>0.71035911926035067</v>
      </c>
      <c r="J200">
        <v>20.644550337304253</v>
      </c>
    </row>
    <row r="201" spans="1:10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0.51</v>
      </c>
      <c r="H201">
        <v>0.56710234153798378</v>
      </c>
      <c r="I201" s="13">
        <v>0.70117820165993539</v>
      </c>
      <c r="J201">
        <v>20.644550337304253</v>
      </c>
    </row>
    <row r="202" spans="1:10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0.51</v>
      </c>
      <c r="H202">
        <v>0.62399953347238069</v>
      </c>
      <c r="I202" s="13">
        <v>0.70682535374183986</v>
      </c>
      <c r="J202">
        <v>20.644550337304253</v>
      </c>
    </row>
    <row r="203" spans="1:10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0.51</v>
      </c>
      <c r="H203">
        <v>0.63676174933383589</v>
      </c>
      <c r="I203" s="13">
        <v>0.7039896752416327</v>
      </c>
      <c r="J203">
        <v>20.644550337304253</v>
      </c>
    </row>
    <row r="204" spans="1:10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0.51</v>
      </c>
      <c r="H204">
        <v>0.58082883163081422</v>
      </c>
      <c r="I204" s="13">
        <v>0.71857460886941915</v>
      </c>
      <c r="J204">
        <v>20.644550337304253</v>
      </c>
    </row>
    <row r="205" spans="1:10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0.51</v>
      </c>
      <c r="H205">
        <v>0.72853514988591916</v>
      </c>
      <c r="I205" s="13">
        <v>0.708212886914239</v>
      </c>
      <c r="J205">
        <v>20.644550337304253</v>
      </c>
    </row>
    <row r="206" spans="1:10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0.51</v>
      </c>
      <c r="H206">
        <v>0.59785865964761098</v>
      </c>
      <c r="I206" s="13">
        <v>0.70541948679489919</v>
      </c>
      <c r="J206">
        <v>20.644550337304253</v>
      </c>
    </row>
    <row r="207" spans="1:10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0.51</v>
      </c>
      <c r="H207">
        <v>0.54417332991811174</v>
      </c>
      <c r="I207" s="13">
        <v>0.70176137687550577</v>
      </c>
      <c r="J207">
        <v>20.644550337304253</v>
      </c>
    </row>
    <row r="208" spans="1:10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0.51</v>
      </c>
      <c r="H208">
        <v>0.66390009648585646</v>
      </c>
      <c r="I208" s="13">
        <v>0.691710366139073</v>
      </c>
      <c r="J208">
        <v>20.644550337304253</v>
      </c>
    </row>
    <row r="209" spans="1:10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0.51</v>
      </c>
      <c r="H209">
        <v>0.60847040034934019</v>
      </c>
      <c r="I209" s="13">
        <v>0.69173507895209208</v>
      </c>
      <c r="J209">
        <v>20.644550337304253</v>
      </c>
    </row>
    <row r="210" spans="1:10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0.51</v>
      </c>
      <c r="H210">
        <v>0.54161958928363174</v>
      </c>
      <c r="I210" s="13">
        <v>0.70205105156408665</v>
      </c>
      <c r="J210">
        <v>20.644550337304253</v>
      </c>
    </row>
    <row r="211" spans="1:10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0.51</v>
      </c>
      <c r="H211">
        <v>0.55276642496293615</v>
      </c>
      <c r="I211" s="13">
        <v>0.6997752377071107</v>
      </c>
      <c r="J211">
        <v>20.644550337304253</v>
      </c>
    </row>
    <row r="212" spans="1:10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0.51</v>
      </c>
      <c r="H212">
        <v>0.59957987676367541</v>
      </c>
      <c r="I212" s="13">
        <v>0.70720131777387385</v>
      </c>
      <c r="J212">
        <v>20.644550337304253</v>
      </c>
    </row>
    <row r="213" spans="1:10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0.51</v>
      </c>
      <c r="H213">
        <v>0.56285131109355879</v>
      </c>
      <c r="I213" s="13">
        <v>0.70439695062650864</v>
      </c>
      <c r="J213">
        <v>20.644550337304253</v>
      </c>
    </row>
    <row r="214" spans="1:10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0.51</v>
      </c>
      <c r="H214">
        <v>0.52271443796852812</v>
      </c>
      <c r="I214" s="13">
        <v>0.70088254218667279</v>
      </c>
      <c r="J214">
        <v>20.644550337304253</v>
      </c>
    </row>
    <row r="215" spans="1:10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0.51</v>
      </c>
      <c r="H215">
        <v>0.64285292939327321</v>
      </c>
      <c r="I215" s="13">
        <v>0.69831787607621554</v>
      </c>
      <c r="J215">
        <v>20.644550337304253</v>
      </c>
    </row>
    <row r="216" spans="1:10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0.51</v>
      </c>
      <c r="H216">
        <v>0.51696703628188234</v>
      </c>
      <c r="I216" s="13">
        <v>0.70468500036009751</v>
      </c>
      <c r="J216">
        <v>20.644550337304253</v>
      </c>
    </row>
    <row r="217" spans="1:10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0.51</v>
      </c>
      <c r="H217">
        <v>0.62334767301192906</v>
      </c>
      <c r="I217" s="13">
        <v>0.69738239999691165</v>
      </c>
      <c r="J217">
        <v>20.644550337304253</v>
      </c>
    </row>
    <row r="218" spans="1:10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0.51</v>
      </c>
      <c r="H218">
        <v>0.53507823357919271</v>
      </c>
      <c r="I218" s="13">
        <v>0.69474866139558911</v>
      </c>
      <c r="J218">
        <v>20.644550337304253</v>
      </c>
    </row>
    <row r="219" spans="1:10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0.51</v>
      </c>
      <c r="H219">
        <v>0.52994851339625615</v>
      </c>
      <c r="I219" s="13">
        <v>0.70345538471341773</v>
      </c>
      <c r="J219">
        <v>20.644550337304253</v>
      </c>
    </row>
    <row r="220" spans="1:10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0.51</v>
      </c>
      <c r="H220">
        <v>0.53402577536805462</v>
      </c>
      <c r="I220" s="13">
        <v>0.70549204118930509</v>
      </c>
      <c r="J220">
        <v>20.644550337304253</v>
      </c>
    </row>
    <row r="221" spans="1:10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0.51</v>
      </c>
      <c r="H221">
        <v>0.5432605142759247</v>
      </c>
      <c r="I221" s="13">
        <v>0.69326844437840929</v>
      </c>
      <c r="J221">
        <v>20.644550337304253</v>
      </c>
    </row>
    <row r="222" spans="1:10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0.51</v>
      </c>
      <c r="H222">
        <v>0.67307144555155285</v>
      </c>
      <c r="I222" s="13">
        <v>0.69259353273027091</v>
      </c>
      <c r="J222">
        <v>20.644550337304253</v>
      </c>
    </row>
    <row r="223" spans="1:10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0.51</v>
      </c>
      <c r="H223">
        <v>0.619368781606775</v>
      </c>
      <c r="I223" s="13">
        <v>0.6968626126193278</v>
      </c>
      <c r="J223">
        <v>20.644550337304253</v>
      </c>
    </row>
    <row r="224" spans="1:10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0.51</v>
      </c>
      <c r="H224">
        <v>0.58919508185756975</v>
      </c>
      <c r="I224" s="13">
        <v>0.70126078140775372</v>
      </c>
      <c r="J224">
        <v>20.644550337304253</v>
      </c>
    </row>
    <row r="225" spans="1:10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0.51</v>
      </c>
      <c r="H225">
        <v>0.55941225006739947</v>
      </c>
      <c r="I225" s="13">
        <v>0.7076982409275584</v>
      </c>
      <c r="J225">
        <v>20.644550337304253</v>
      </c>
    </row>
    <row r="226" spans="1:10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0.51</v>
      </c>
      <c r="H226">
        <v>0.62116823653291864</v>
      </c>
      <c r="I226" s="13">
        <v>0.7083876354341252</v>
      </c>
      <c r="J226">
        <v>20.644550337304253</v>
      </c>
    </row>
    <row r="227" spans="1:10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0.51</v>
      </c>
      <c r="H227">
        <v>0.71462805550581576</v>
      </c>
      <c r="I227" s="13">
        <v>0.69892773393687757</v>
      </c>
      <c r="J227">
        <v>20.644550337304253</v>
      </c>
    </row>
    <row r="228" spans="1:10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0.51</v>
      </c>
      <c r="H228">
        <v>0.71066016553039368</v>
      </c>
      <c r="I228" s="13">
        <v>0.70245003797948047</v>
      </c>
      <c r="J228">
        <v>20.644550337304253</v>
      </c>
    </row>
    <row r="229" spans="1:10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0.51</v>
      </c>
      <c r="H229">
        <v>0.55609276895784121</v>
      </c>
      <c r="I229" s="13">
        <v>0.70292556180714649</v>
      </c>
      <c r="J229">
        <v>20.644550337304253</v>
      </c>
    </row>
    <row r="230" spans="1:10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0.51</v>
      </c>
      <c r="H230">
        <v>0.56340371789215649</v>
      </c>
      <c r="I230" s="13">
        <v>0.70014033643402529</v>
      </c>
      <c r="J230">
        <v>20.644550337304253</v>
      </c>
    </row>
    <row r="231" spans="1:10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0.51</v>
      </c>
      <c r="H231">
        <v>0.5664082638304716</v>
      </c>
      <c r="I231" s="13">
        <v>0.70054254218866463</v>
      </c>
      <c r="J231">
        <v>20.644550337304253</v>
      </c>
    </row>
    <row r="232" spans="1:10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0.51</v>
      </c>
      <c r="H232">
        <v>0.56532692020354547</v>
      </c>
      <c r="I232" s="13">
        <v>0.70099192569230417</v>
      </c>
      <c r="J232">
        <v>20.644550337304253</v>
      </c>
    </row>
    <row r="233" spans="1:10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0.51</v>
      </c>
      <c r="H233">
        <v>0.63651141349753215</v>
      </c>
      <c r="I233" s="13">
        <v>0.70613504676800476</v>
      </c>
      <c r="J233">
        <v>20.644550337304253</v>
      </c>
    </row>
    <row r="234" spans="1:10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0.51</v>
      </c>
      <c r="H234">
        <v>0.63341846343594421</v>
      </c>
      <c r="I234" s="13">
        <v>0.69840701584097242</v>
      </c>
      <c r="J234">
        <v>20.644550337304253</v>
      </c>
    </row>
    <row r="235" spans="1:10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0.51</v>
      </c>
      <c r="H235">
        <v>0.51337323511712973</v>
      </c>
      <c r="I235" s="13">
        <v>0.70924115798016207</v>
      </c>
      <c r="J235">
        <v>20.644550337304253</v>
      </c>
    </row>
    <row r="236" spans="1:10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0.51</v>
      </c>
      <c r="H236">
        <v>0.56023823070422429</v>
      </c>
      <c r="I236" s="13">
        <v>0.70171060129997376</v>
      </c>
      <c r="J236">
        <v>20.644550337304253</v>
      </c>
    </row>
    <row r="237" spans="1:10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0.51</v>
      </c>
      <c r="H237">
        <v>0.54519317266977563</v>
      </c>
      <c r="I237" s="13">
        <v>0.70094931876508093</v>
      </c>
      <c r="J237">
        <v>20.644550337304253</v>
      </c>
    </row>
    <row r="238" spans="1:10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0.51</v>
      </c>
      <c r="H238">
        <v>0.71427586269907617</v>
      </c>
      <c r="I238" s="13">
        <v>0.70255380851374294</v>
      </c>
      <c r="J238">
        <v>20.644550337304253</v>
      </c>
    </row>
    <row r="239" spans="1:10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0.51</v>
      </c>
      <c r="H239">
        <v>0.63057698206890489</v>
      </c>
      <c r="I239" s="13">
        <v>0.71300194651683313</v>
      </c>
      <c r="J239">
        <v>20.644550337304253</v>
      </c>
    </row>
    <row r="240" spans="1:10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0.51</v>
      </c>
      <c r="H240">
        <v>0.61930069937563259</v>
      </c>
      <c r="I240" s="13">
        <v>0.70402800110792285</v>
      </c>
      <c r="J240">
        <v>20.644550337304253</v>
      </c>
    </row>
    <row r="241" spans="1:10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0.51</v>
      </c>
      <c r="H241">
        <v>0.55130380703840709</v>
      </c>
      <c r="I241" s="13">
        <v>0.71228077293906034</v>
      </c>
      <c r="J241">
        <v>20.644550337304253</v>
      </c>
    </row>
    <row r="242" spans="1:10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0.51</v>
      </c>
      <c r="H242">
        <v>0.60877696755750854</v>
      </c>
      <c r="I242" s="13">
        <v>0.69236547849858499</v>
      </c>
      <c r="J242">
        <v>20.644550337304253</v>
      </c>
    </row>
    <row r="243" spans="1:10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0.51</v>
      </c>
      <c r="H243">
        <v>0.74490865712583354</v>
      </c>
      <c r="I243" s="13">
        <v>0.69710322906355537</v>
      </c>
      <c r="J243">
        <v>20.644550337304253</v>
      </c>
    </row>
    <row r="244" spans="1:10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0.51</v>
      </c>
      <c r="H244">
        <v>0.63160281204935564</v>
      </c>
      <c r="I244" s="13">
        <v>0.69306227200732851</v>
      </c>
      <c r="J244">
        <v>20.644550337304253</v>
      </c>
    </row>
    <row r="245" spans="1:10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0.51</v>
      </c>
      <c r="H245">
        <v>0.60482699062334766</v>
      </c>
      <c r="I245" s="13">
        <v>0.71156071635390505</v>
      </c>
      <c r="J245">
        <v>20.644550337304253</v>
      </c>
    </row>
    <row r="246" spans="1:10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0.51</v>
      </c>
      <c r="H246">
        <v>0.63033200493245656</v>
      </c>
      <c r="I246" s="13">
        <v>0.70141377580827069</v>
      </c>
      <c r="J246">
        <v>20.644550337304253</v>
      </c>
    </row>
    <row r="247" spans="1:10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0.51</v>
      </c>
      <c r="H247">
        <v>0.53343627950334005</v>
      </c>
      <c r="I247" s="13">
        <v>0.70130541085154141</v>
      </c>
      <c r="J247">
        <v>20.644550337304253</v>
      </c>
    </row>
    <row r="248" spans="1:10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0.51</v>
      </c>
      <c r="H248">
        <v>0.60298279511889963</v>
      </c>
      <c r="I248" s="13">
        <v>0.71106095025184013</v>
      </c>
      <c r="J248">
        <v>20.644550337304253</v>
      </c>
    </row>
    <row r="249" spans="1:10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0.51</v>
      </c>
      <c r="H249">
        <v>0.62515609935418492</v>
      </c>
      <c r="I249" s="13">
        <v>0.70224568459786096</v>
      </c>
      <c r="J249">
        <v>20.644550337304253</v>
      </c>
    </row>
    <row r="250" spans="1:10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0.51</v>
      </c>
      <c r="H250">
        <v>0.58919051756508201</v>
      </c>
      <c r="I250" s="13">
        <v>0.69119315275574222</v>
      </c>
      <c r="J250">
        <v>20.644550337304253</v>
      </c>
    </row>
    <row r="251" spans="1:10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0.51</v>
      </c>
      <c r="H251">
        <v>0.61849107454625984</v>
      </c>
      <c r="I251" s="13">
        <v>0.71074553361536763</v>
      </c>
      <c r="J251">
        <v>20.644550337304253</v>
      </c>
    </row>
    <row r="252" spans="1:10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0.51</v>
      </c>
      <c r="H252">
        <v>0.63231329159548799</v>
      </c>
      <c r="I252" s="13">
        <v>0.70271095240972481</v>
      </c>
      <c r="J252">
        <v>20.644550337304253</v>
      </c>
    </row>
    <row r="253" spans="1:10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0.51</v>
      </c>
      <c r="H253">
        <v>0.6533375675153078</v>
      </c>
      <c r="I253" s="13">
        <v>0.70350330280725459</v>
      </c>
      <c r="J253">
        <v>20.644550337304253</v>
      </c>
    </row>
    <row r="254" spans="1:10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0.51</v>
      </c>
      <c r="H254">
        <v>0.59327144588679326</v>
      </c>
      <c r="I254" s="13">
        <v>0.68932753093964994</v>
      </c>
      <c r="J254">
        <v>20.644550337304253</v>
      </c>
    </row>
    <row r="255" spans="1:10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0.51</v>
      </c>
      <c r="H255">
        <v>0.50419343464167943</v>
      </c>
      <c r="I255" s="13">
        <v>0.71000398617192217</v>
      </c>
      <c r="J255">
        <v>20.644550337304253</v>
      </c>
    </row>
    <row r="256" spans="1:10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0.51</v>
      </c>
      <c r="H256">
        <v>0.57507568188325542</v>
      </c>
      <c r="I256" s="13">
        <v>0.70047730556527255</v>
      </c>
      <c r="J256">
        <v>20.644550337304253</v>
      </c>
    </row>
    <row r="257" spans="1:10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0.51</v>
      </c>
      <c r="H257">
        <v>0.70007282352701905</v>
      </c>
      <c r="I257" s="13">
        <v>0.70960472107592498</v>
      </c>
      <c r="J257">
        <v>20.644550337304253</v>
      </c>
    </row>
    <row r="258" spans="1:10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0.51</v>
      </c>
      <c r="H258">
        <v>0.53960993451012629</v>
      </c>
      <c r="I258" s="13">
        <v>0.70655641294964844</v>
      </c>
      <c r="J258">
        <v>20.644550337304253</v>
      </c>
    </row>
    <row r="259" spans="1:10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0.51</v>
      </c>
      <c r="H259">
        <v>0.59342953141320609</v>
      </c>
      <c r="I259" s="13">
        <v>0.69963079771558512</v>
      </c>
      <c r="J259">
        <v>20.644550337304253</v>
      </c>
    </row>
    <row r="260" spans="1:10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0.51</v>
      </c>
      <c r="H260">
        <v>0.59230042929955051</v>
      </c>
      <c r="I260" s="13">
        <v>0.6959706516164833</v>
      </c>
      <c r="J260">
        <v>20.644550337304253</v>
      </c>
    </row>
    <row r="261" spans="1:10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0.51</v>
      </c>
      <c r="H261">
        <v>0.6333103031083307</v>
      </c>
      <c r="I261" s="13">
        <v>0.70472200927632644</v>
      </c>
      <c r="J261">
        <v>20.644550337304253</v>
      </c>
    </row>
    <row r="262" spans="1:10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0.51</v>
      </c>
      <c r="H262">
        <v>0.58703664122126509</v>
      </c>
      <c r="I262" s="13">
        <v>0.69280125859219643</v>
      </c>
      <c r="J262">
        <v>20.644550337304253</v>
      </c>
    </row>
    <row r="263" spans="1:10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0.51</v>
      </c>
      <c r="H263">
        <v>0.57001071111992629</v>
      </c>
      <c r="I263" s="13">
        <v>0.7082136004516506</v>
      </c>
      <c r="J263">
        <v>20.644550337304253</v>
      </c>
    </row>
  </sheetData>
  <mergeCells count="1">
    <mergeCell ref="C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A17BB-DAE2-4FB4-AA93-BD8BC2AA86AC}">
  <dimension ref="A1:J263"/>
  <sheetViews>
    <sheetView workbookViewId="0">
      <pane ySplit="2" topLeftCell="A250" activePane="bottomLeft" state="frozen"/>
      <selection pane="bottomLeft" activeCell="J252" sqref="J252"/>
    </sheetView>
  </sheetViews>
  <sheetFormatPr defaultColWidth="14.36328125" defaultRowHeight="14.5"/>
  <cols>
    <col min="2" max="2" width="10.453125" style="1" customWidth="1"/>
    <col min="3" max="4" width="18.81640625" customWidth="1"/>
    <col min="5" max="5" width="15.7265625" customWidth="1"/>
    <col min="7" max="8" width="10.54296875" customWidth="1"/>
    <col min="9" max="9" width="17.453125" customWidth="1"/>
    <col min="10" max="10" width="18.7265625" customWidth="1"/>
  </cols>
  <sheetData>
    <row r="1" spans="1:10">
      <c r="C1" s="18" t="s">
        <v>63</v>
      </c>
      <c r="D1" s="18"/>
      <c r="E1" s="18"/>
      <c r="F1" s="18"/>
      <c r="G1" t="s">
        <v>64</v>
      </c>
      <c r="H1" t="s">
        <v>65</v>
      </c>
      <c r="I1" t="s">
        <v>66</v>
      </c>
      <c r="J1" t="s">
        <v>64</v>
      </c>
    </row>
    <row r="2" spans="1:10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</row>
    <row r="3" spans="1:10">
      <c r="A3" s="1">
        <v>45474</v>
      </c>
      <c r="B3" s="1" cm="1">
        <f t="array" ref="B3">_xlfn._xlws.FILTER(A3, WEEKDAY(A3, 2) &lt;= 5)</f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0.1693000030517578</v>
      </c>
      <c r="J3">
        <v>20.644550337304253</v>
      </c>
    </row>
    <row r="4" spans="1:10">
      <c r="A4" s="1">
        <v>45475</v>
      </c>
      <c r="B4" s="1" cm="1">
        <f t="array" ref="B4">_xlfn._xlws.FILTER(A4, WEEKDAY(A4, 2) &lt;= 5)</f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0.58622522308595848</v>
      </c>
      <c r="I4">
        <v>0.17030000686645511</v>
      </c>
      <c r="J4">
        <v>20.644550337304253</v>
      </c>
    </row>
    <row r="5" spans="1:10">
      <c r="A5" s="1">
        <v>45476</v>
      </c>
      <c r="B5" s="1" cm="1">
        <f t="array" ref="B5">_xlfn._xlws.FILTER(A5, WEEKDAY(A5, 2) &lt;= 5)</f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0.58622522308595848</v>
      </c>
      <c r="I5">
        <v>0.17120000839233401</v>
      </c>
      <c r="J5">
        <v>20.644550337304253</v>
      </c>
    </row>
    <row r="6" spans="1:10">
      <c r="A6" s="1">
        <v>45477</v>
      </c>
      <c r="B6" s="1" cm="1">
        <f t="array" ref="B6">_xlfn._xlws.FILTER(A6, WEEKDAY(A6, 2) &lt;= 5)</f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0.58622522308595848</v>
      </c>
      <c r="I6">
        <v>0.17989999771118159</v>
      </c>
      <c r="J6">
        <v>20.644550337304253</v>
      </c>
    </row>
    <row r="7" spans="1:10">
      <c r="A7" s="1">
        <v>45478</v>
      </c>
      <c r="B7" s="1" cm="1">
        <f t="array" ref="B7">_xlfn._xlws.FILTER(A7, WEEKDAY(A7, 2) &lt;= 5)</f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0.51</v>
      </c>
      <c r="H7">
        <v>0.58622522308595848</v>
      </c>
      <c r="I7">
        <v>0.16870000839233401</v>
      </c>
      <c r="J7">
        <v>20.644550337304253</v>
      </c>
    </row>
    <row r="8" spans="1:10">
      <c r="A8" s="1">
        <v>45481</v>
      </c>
      <c r="B8" s="1" cm="1">
        <f t="array" ref="B8">_xlfn._xlws.FILTER(A8, WEEKDAY(A8, 2) &lt;= 5)</f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0.51</v>
      </c>
      <c r="H8">
        <v>0.58622522308595848</v>
      </c>
      <c r="I8">
        <v>0.17209999084472699</v>
      </c>
      <c r="J8">
        <v>20.644550337304253</v>
      </c>
    </row>
    <row r="9" spans="1:10">
      <c r="A9" s="1">
        <v>45482</v>
      </c>
      <c r="B9" s="1" cm="1">
        <f t="array" ref="B9">_xlfn._xlws.FILTER(A9, WEEKDAY(A9, 2) &lt;= 5)</f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0.51</v>
      </c>
      <c r="H9">
        <v>0.58622522308595848</v>
      </c>
      <c r="I9">
        <v>0.18530000686645509</v>
      </c>
      <c r="J9">
        <v>20.644550337304253</v>
      </c>
    </row>
    <row r="10" spans="1:10">
      <c r="A10" s="1">
        <v>45483</v>
      </c>
      <c r="B10" s="1" cm="1">
        <f t="array" ref="B10">_xlfn._xlws.FILTER(A10, WEEKDAY(A10, 2) &lt;= 5)</f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0.58622522308595848</v>
      </c>
      <c r="I10">
        <v>0.2003000068664551</v>
      </c>
      <c r="J10">
        <v>20.644550337304253</v>
      </c>
    </row>
    <row r="11" spans="1:10">
      <c r="A11" s="1">
        <v>45484</v>
      </c>
      <c r="B11" s="1" cm="1">
        <f t="array" ref="B11">_xlfn._xlws.FILTER(A11, WEEKDAY(A11, 2) &lt;= 5)</f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0.58622522308595848</v>
      </c>
      <c r="I11">
        <v>0.1913999938964844</v>
      </c>
      <c r="J11">
        <v>20.644550337304253</v>
      </c>
    </row>
    <row r="12" spans="1:10">
      <c r="A12" s="1">
        <v>45485</v>
      </c>
      <c r="B12" s="1" cm="1">
        <f t="array" ref="B12">_xlfn._xlws.FILTER(A12, WEEKDAY(A12, 2) &lt;= 5)</f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0.58622522308595848</v>
      </c>
      <c r="I12">
        <v>0.1795000076293945</v>
      </c>
      <c r="J12">
        <v>20.644550337304253</v>
      </c>
    </row>
    <row r="13" spans="1:10">
      <c r="A13" s="1">
        <v>45488</v>
      </c>
      <c r="B13" s="1" cm="1">
        <f t="array" ref="B13">_xlfn._xlws.FILTER(A13, WEEKDAY(A13, 2) &lt;= 5)</f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0.51</v>
      </c>
      <c r="H13">
        <v>0.58622522308595848</v>
      </c>
      <c r="I13">
        <v>0.15649999618530269</v>
      </c>
      <c r="J13">
        <v>20.644550337304253</v>
      </c>
    </row>
    <row r="14" spans="1:10">
      <c r="A14" s="1">
        <v>45489</v>
      </c>
      <c r="B14" s="1" cm="1">
        <f t="array" ref="B14">_xlfn._xlws.FILTER(A14, WEEKDAY(A14, 2) &lt;= 5)</f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0.51</v>
      </c>
      <c r="H14">
        <v>0.58622522308595848</v>
      </c>
      <c r="I14">
        <v>0.1460000038146973</v>
      </c>
      <c r="J14">
        <v>20.644550337304253</v>
      </c>
    </row>
    <row r="15" spans="1:10">
      <c r="A15" s="1">
        <v>45490</v>
      </c>
      <c r="B15" s="1" cm="1">
        <f t="array" ref="B15">_xlfn._xlws.FILTER(A15, WEEKDAY(A15, 2) &lt;= 5)</f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0.51</v>
      </c>
      <c r="H15">
        <v>0.58622522308595848</v>
      </c>
      <c r="I15">
        <v>0.1472999954223633</v>
      </c>
      <c r="J15">
        <v>20.644550337304253</v>
      </c>
    </row>
    <row r="16" spans="1:10">
      <c r="A16" s="1">
        <v>45491</v>
      </c>
      <c r="B16" s="1" cm="1">
        <f t="array" ref="B16">_xlfn._xlws.FILTER(A16, WEEKDAY(A16, 2) &lt;= 5)</f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0.51</v>
      </c>
      <c r="H16">
        <v>0.58622522308595848</v>
      </c>
      <c r="I16">
        <v>0.13960000038146969</v>
      </c>
      <c r="J16">
        <v>20.644550337304253</v>
      </c>
    </row>
    <row r="17" spans="1:10">
      <c r="A17" s="1">
        <v>45492</v>
      </c>
      <c r="B17" s="1" cm="1">
        <f t="array" ref="B17">_xlfn._xlws.FILTER(A17, WEEKDAY(A17, 2) &lt;= 5)</f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0.51</v>
      </c>
      <c r="H17">
        <v>0.58622522308595848</v>
      </c>
      <c r="I17">
        <v>0.139399995803833</v>
      </c>
      <c r="J17">
        <v>20.644550337304253</v>
      </c>
    </row>
    <row r="18" spans="1:10">
      <c r="A18" s="1">
        <v>45495</v>
      </c>
      <c r="B18" s="1" cm="1">
        <f t="array" ref="B18">_xlfn._xlws.FILTER(A18, WEEKDAY(A18, 2) &lt;= 5)</f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0.51</v>
      </c>
      <c r="H18">
        <v>0.58622522308595848</v>
      </c>
      <c r="I18">
        <v>0.1501000022888184</v>
      </c>
      <c r="J18">
        <v>20.644550337304253</v>
      </c>
    </row>
    <row r="19" spans="1:10">
      <c r="A19" s="1">
        <v>45496</v>
      </c>
      <c r="B19" s="1" cm="1">
        <f t="array" ref="B19">_xlfn._xlws.FILTER(A19, WEEKDAY(A19, 2) &lt;= 5)</f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0.51</v>
      </c>
      <c r="H19">
        <v>0.58622522308595848</v>
      </c>
      <c r="I19">
        <v>0.1460999965667725</v>
      </c>
      <c r="J19">
        <v>20.644550337304253</v>
      </c>
    </row>
    <row r="20" spans="1:10">
      <c r="A20" s="1">
        <v>45497</v>
      </c>
      <c r="B20" s="1" cm="1">
        <f t="array" ref="B20">_xlfn._xlws.FILTER(A20, WEEKDAY(A20, 2) &lt;= 5)</f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0.51</v>
      </c>
      <c r="H20">
        <v>0.58622522308595848</v>
      </c>
      <c r="I20">
        <v>0.13880000114440921</v>
      </c>
      <c r="J20">
        <v>20.644550337304253</v>
      </c>
    </row>
    <row r="21" spans="1:10">
      <c r="A21" s="1">
        <v>45498</v>
      </c>
      <c r="B21" s="1" cm="1">
        <f t="array" ref="B21">_xlfn._xlws.FILTER(A21, WEEKDAY(A21, 2) &lt;= 5)</f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0.58622522308595848</v>
      </c>
      <c r="I21">
        <v>0.14499999999999999</v>
      </c>
      <c r="J21">
        <v>20.644550337304253</v>
      </c>
    </row>
    <row r="22" spans="1:10">
      <c r="A22" s="1">
        <v>45499</v>
      </c>
      <c r="B22" s="1" cm="1">
        <f t="array" ref="B22">_xlfn._xlws.FILTER(A22, WEEKDAY(A22, 2) &lt;= 5)</f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0.51</v>
      </c>
      <c r="H22">
        <v>0.58622522308595848</v>
      </c>
      <c r="I22">
        <v>0.1353999996185303</v>
      </c>
      <c r="J22">
        <v>20.644550337304253</v>
      </c>
    </row>
    <row r="23" spans="1:10">
      <c r="A23" s="1">
        <v>45502</v>
      </c>
      <c r="B23" s="1" cm="1">
        <f t="array" ref="B23">_xlfn._xlws.FILTER(A23, WEEKDAY(A23, 2) &lt;= 5)</f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0.51</v>
      </c>
      <c r="H23">
        <v>0.58622522308595848</v>
      </c>
      <c r="I23">
        <v>0.1290999984741211</v>
      </c>
      <c r="J23">
        <v>20.644550337304253</v>
      </c>
    </row>
    <row r="24" spans="1:10">
      <c r="A24" s="1">
        <v>45503</v>
      </c>
      <c r="B24" s="1" cm="1">
        <f t="array" ref="B24">_xlfn._xlws.FILTER(A24, WEEKDAY(A24, 2) &lt;= 5)</f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0.51</v>
      </c>
      <c r="H24">
        <v>0.58622522308595848</v>
      </c>
      <c r="I24">
        <v>0.13439999580383299</v>
      </c>
      <c r="J24">
        <v>20.644550337304253</v>
      </c>
    </row>
    <row r="25" spans="1:10">
      <c r="A25" s="1">
        <v>45504</v>
      </c>
      <c r="B25" s="1" cm="1">
        <f t="array" ref="B25">_xlfn._xlws.FILTER(A25, WEEKDAY(A25, 2) &lt;= 5)</f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0.51</v>
      </c>
      <c r="H25">
        <v>0.58622522308595848</v>
      </c>
      <c r="I25">
        <v>0.14249999999999999</v>
      </c>
      <c r="J25">
        <v>20.644550337304253</v>
      </c>
    </row>
    <row r="26" spans="1:10">
      <c r="A26" s="1">
        <v>45505</v>
      </c>
      <c r="B26" s="1" cm="1">
        <f t="array" ref="B26">_xlfn._xlws.FILTER(A26, WEEKDAY(A26, 2) &lt;= 5)</f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0.51</v>
      </c>
      <c r="H26">
        <v>0.58622522308595848</v>
      </c>
      <c r="I26">
        <v>0.13739999771118161</v>
      </c>
      <c r="J26">
        <v>20.644550337304253</v>
      </c>
    </row>
    <row r="27" spans="1:10">
      <c r="A27" s="1">
        <v>45506</v>
      </c>
      <c r="B27" s="1" cm="1">
        <f t="array" ref="B27">_xlfn._xlws.FILTER(A27, WEEKDAY(A27, 2) &lt;= 5)</f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0.51</v>
      </c>
      <c r="H27">
        <v>0.58622522308595848</v>
      </c>
      <c r="I27">
        <v>0.13430000305175779</v>
      </c>
      <c r="J27">
        <v>20.644550337304253</v>
      </c>
    </row>
    <row r="28" spans="1:10">
      <c r="A28" s="1">
        <v>45509</v>
      </c>
      <c r="B28" s="1" cm="1">
        <f t="array" ref="B28">_xlfn._xlws.FILTER(A28, WEEKDAY(A28, 2) &lt;= 5)</f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0.51</v>
      </c>
      <c r="H28">
        <v>0.58622522308595848</v>
      </c>
      <c r="I28">
        <v>0.1356999969482422</v>
      </c>
      <c r="J28">
        <v>20.644550337304253</v>
      </c>
    </row>
    <row r="29" spans="1:10">
      <c r="A29" s="1">
        <v>45510</v>
      </c>
      <c r="B29" s="1" cm="1">
        <f t="array" ref="B29">_xlfn._xlws.FILTER(A29, WEEKDAY(A29, 2) &lt;= 5)</f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0.51</v>
      </c>
      <c r="H29">
        <v>0.58622522308595848</v>
      </c>
      <c r="I29">
        <v>0.1418000030517578</v>
      </c>
      <c r="J29">
        <v>20.644550337304253</v>
      </c>
    </row>
    <row r="30" spans="1:10">
      <c r="A30" s="1">
        <v>45511</v>
      </c>
      <c r="B30" s="1" cm="1">
        <f t="array" ref="B30">_xlfn._xlws.FILTER(A30, WEEKDAY(A30, 2) &lt;= 5)</f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0.51</v>
      </c>
      <c r="H30">
        <v>0.58622522308595848</v>
      </c>
      <c r="I30">
        <v>0.15439999580383301</v>
      </c>
      <c r="J30">
        <v>20.644550337304253</v>
      </c>
    </row>
    <row r="31" spans="1:10">
      <c r="A31" s="1">
        <v>45512</v>
      </c>
      <c r="B31" s="1" cm="1">
        <f t="array" ref="B31">_xlfn._xlws.FILTER(A31, WEEKDAY(A31, 2) &lt;= 5)</f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0.51</v>
      </c>
      <c r="H31">
        <v>0.58622522308595848</v>
      </c>
      <c r="I31">
        <v>0.14829999923706061</v>
      </c>
      <c r="J31">
        <v>20.644550337304253</v>
      </c>
    </row>
    <row r="32" spans="1:10">
      <c r="A32" s="1">
        <v>45513</v>
      </c>
      <c r="B32" s="1" cm="1">
        <f t="array" ref="B32">_xlfn._xlws.FILTER(A32, WEEKDAY(A32, 2) &lt;= 5)</f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0.51</v>
      </c>
      <c r="H32">
        <v>0.58622522308595848</v>
      </c>
      <c r="I32">
        <v>0.15069999694824221</v>
      </c>
      <c r="J32">
        <v>20.644550337304253</v>
      </c>
    </row>
    <row r="33" spans="1:10">
      <c r="A33" s="1">
        <v>45516</v>
      </c>
      <c r="B33" s="1" cm="1">
        <f t="array" ref="B33">_xlfn._xlws.FILTER(A33, WEEKDAY(A33, 2) &lt;= 5)</f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0.51</v>
      </c>
      <c r="H33">
        <v>0.58622522308595848</v>
      </c>
      <c r="I33">
        <v>0.13609999656677249</v>
      </c>
      <c r="J33">
        <v>20.644550337304253</v>
      </c>
    </row>
    <row r="34" spans="1:10">
      <c r="A34" s="1">
        <v>45517</v>
      </c>
      <c r="B34" s="1" cm="1">
        <f t="array" ref="B34">_xlfn._xlws.FILTER(A34, WEEKDAY(A34, 2) &lt;= 5)</f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0.51</v>
      </c>
      <c r="H34">
        <v>0.58622522308595848</v>
      </c>
      <c r="I34">
        <v>0.13340000152587889</v>
      </c>
      <c r="J34">
        <v>20.644550337304253</v>
      </c>
    </row>
    <row r="35" spans="1:10">
      <c r="A35" s="1">
        <v>45518</v>
      </c>
      <c r="B35" s="1" cm="1">
        <f t="array" ref="B35">_xlfn._xlws.FILTER(A35, WEEKDAY(A35, 2) &lt;= 5)</f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0.51</v>
      </c>
      <c r="H35">
        <v>0.58622522308595848</v>
      </c>
      <c r="I35">
        <v>0.13479999542236329</v>
      </c>
      <c r="J35">
        <v>20.644550337304253</v>
      </c>
    </row>
    <row r="36" spans="1:10">
      <c r="A36" s="1">
        <v>45519</v>
      </c>
      <c r="B36" s="1" cm="1">
        <f t="array" ref="B36">_xlfn._xlws.FILTER(A36, WEEKDAY(A36, 2) &lt;= 5)</f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0.51</v>
      </c>
      <c r="H36">
        <v>0.58622522308595848</v>
      </c>
      <c r="I36">
        <v>0.13300000190734859</v>
      </c>
      <c r="J36">
        <v>20.644550337304253</v>
      </c>
    </row>
    <row r="37" spans="1:10">
      <c r="A37" s="1">
        <v>45520</v>
      </c>
      <c r="B37" s="1" cm="1">
        <f t="array" ref="B37">_xlfn._xlws.FILTER(A37, WEEKDAY(A37, 2) &lt;= 5)</f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0.51</v>
      </c>
      <c r="H37">
        <v>0.58622522308595848</v>
      </c>
      <c r="I37">
        <v>0.13760000228881841</v>
      </c>
      <c r="J37">
        <v>20.644550337304253</v>
      </c>
    </row>
    <row r="38" spans="1:10">
      <c r="A38" s="1">
        <v>45523</v>
      </c>
      <c r="B38" s="1" cm="1">
        <f t="array" ref="B38">_xlfn._xlws.FILTER(A38, WEEKDAY(A38, 2) &lt;= 5)</f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0.51</v>
      </c>
      <c r="H38">
        <v>0.58622522308595848</v>
      </c>
      <c r="I38">
        <v>0.13909999847412111</v>
      </c>
      <c r="J38">
        <v>20.644550337304253</v>
      </c>
    </row>
    <row r="39" spans="1:10">
      <c r="A39" s="1">
        <v>45524</v>
      </c>
      <c r="B39" s="1" cm="1">
        <f t="array" ref="B39">_xlfn._xlws.FILTER(A39, WEEKDAY(A39, 2) &lt;= 5)</f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0.51</v>
      </c>
      <c r="H39">
        <v>0.58622522308595848</v>
      </c>
      <c r="I39">
        <v>0.13859999656677249</v>
      </c>
      <c r="J39">
        <v>20.644550337304253</v>
      </c>
    </row>
    <row r="40" spans="1:10">
      <c r="A40" s="1">
        <v>45525</v>
      </c>
      <c r="B40" s="1" cm="1">
        <f t="array" ref="B40">_xlfn._xlws.FILTER(A40, WEEKDAY(A40, 2) &lt;= 5)</f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0.51</v>
      </c>
      <c r="H40">
        <v>0.58622522308595848</v>
      </c>
      <c r="I40">
        <v>0.13189999580383299</v>
      </c>
      <c r="J40">
        <v>20.644550337304253</v>
      </c>
    </row>
    <row r="41" spans="1:10">
      <c r="A41" s="1">
        <v>45526</v>
      </c>
      <c r="B41" s="1" cm="1">
        <f t="array" ref="B41">_xlfn._xlws.FILTER(A41, WEEKDAY(A41, 2) &lt;= 5)</f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0.51</v>
      </c>
      <c r="H41">
        <v>0.58622522308595848</v>
      </c>
      <c r="I41">
        <v>0.14409999847412111</v>
      </c>
      <c r="J41">
        <v>20.644550337304253</v>
      </c>
    </row>
    <row r="42" spans="1:10">
      <c r="A42" s="1">
        <v>45527</v>
      </c>
      <c r="B42" s="1" cm="1">
        <f t="array" ref="B42">_xlfn._xlws.FILTER(A42, WEEKDAY(A42, 2) &lt;= 5)</f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0.51</v>
      </c>
      <c r="H42">
        <v>0.58622522308595848</v>
      </c>
      <c r="I42">
        <v>0.13329999923706051</v>
      </c>
      <c r="J42">
        <v>20.644550337304253</v>
      </c>
    </row>
    <row r="43" spans="1:10">
      <c r="A43" s="1">
        <v>45530</v>
      </c>
      <c r="B43" s="1" cm="1">
        <f t="array" ref="B43">_xlfn._xlws.FILTER(A43, WEEKDAY(A43, 2) &lt;= 5)</f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0.51</v>
      </c>
      <c r="H43">
        <v>0.58622522308595848</v>
      </c>
      <c r="I43">
        <v>0.16090000152587891</v>
      </c>
      <c r="J43">
        <v>20.644550337304253</v>
      </c>
    </row>
    <row r="44" spans="1:10">
      <c r="A44" s="1">
        <v>45531</v>
      </c>
      <c r="B44" s="1" cm="1">
        <f t="array" ref="B44">_xlfn._xlws.FILTER(A44, WEEKDAY(A44, 2) &lt;= 5)</f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0.51</v>
      </c>
      <c r="H44">
        <v>0.58622522308595848</v>
      </c>
      <c r="I44">
        <v>0.15920000076293939</v>
      </c>
      <c r="J44">
        <v>20.644550337304253</v>
      </c>
    </row>
    <row r="45" spans="1:10">
      <c r="A45" s="1">
        <v>45532</v>
      </c>
      <c r="B45" s="1" cm="1">
        <f t="array" ref="B45">_xlfn._xlws.FILTER(A45, WEEKDAY(A45, 2) &lt;= 5)</f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0.51</v>
      </c>
      <c r="H45">
        <v>0.58622522308595848</v>
      </c>
      <c r="I45">
        <v>0.17100000381469729</v>
      </c>
      <c r="J45">
        <v>20.644550337304253</v>
      </c>
    </row>
    <row r="46" spans="1:10">
      <c r="A46" s="1">
        <v>45533</v>
      </c>
      <c r="B46" s="1" cm="1">
        <f t="array" ref="B46">_xlfn._xlws.FILTER(A46, WEEKDAY(A46, 2) &lt;= 5)</f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0.51</v>
      </c>
      <c r="H46">
        <v>0.58622522308595848</v>
      </c>
      <c r="I46">
        <v>0.15770000457763669</v>
      </c>
      <c r="J46">
        <v>20.644550337304253</v>
      </c>
    </row>
    <row r="47" spans="1:10">
      <c r="A47" s="1">
        <v>45534</v>
      </c>
      <c r="B47" s="1" cm="1">
        <f t="array" ref="B47">_xlfn._xlws.FILTER(A47, WEEKDAY(A47, 2) &lt;= 5)</f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0.51</v>
      </c>
      <c r="H47">
        <v>0.58622522308595848</v>
      </c>
      <c r="I47">
        <v>0.1598999977111816</v>
      </c>
      <c r="J47">
        <v>20.644550337304253</v>
      </c>
    </row>
    <row r="48" spans="1:10">
      <c r="A48" s="1">
        <v>45537</v>
      </c>
      <c r="B48" s="1" cm="1">
        <f t="array" ref="B48">_xlfn._xlws.FILTER(A48, WEEKDAY(A48, 2) &lt;= 5)</f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0.51</v>
      </c>
      <c r="H48">
        <v>0.58622522308595848</v>
      </c>
      <c r="I48">
        <v>0.1484000015258789</v>
      </c>
      <c r="J48">
        <v>20.644550337304253</v>
      </c>
    </row>
    <row r="49" spans="1:10">
      <c r="A49" s="1">
        <v>45538</v>
      </c>
      <c r="B49" s="1" cm="1">
        <f t="array" ref="B49">_xlfn._xlws.FILTER(A49, WEEKDAY(A49, 2) &lt;= 5)</f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0.51</v>
      </c>
      <c r="H49">
        <v>0.58622522308595848</v>
      </c>
      <c r="I49">
        <v>0.14819999694824221</v>
      </c>
      <c r="J49">
        <v>20.644550337304253</v>
      </c>
    </row>
    <row r="50" spans="1:10">
      <c r="A50" s="1">
        <v>45539</v>
      </c>
      <c r="B50" s="1" cm="1">
        <f t="array" ref="B50">_xlfn._xlws.FILTER(A50, WEEKDAY(A50, 2) &lt;= 5)</f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0.51</v>
      </c>
      <c r="H50">
        <v>0.58622522308595848</v>
      </c>
      <c r="I50">
        <v>0.1645999908447266</v>
      </c>
      <c r="J50">
        <v>20.644550337304253</v>
      </c>
    </row>
    <row r="51" spans="1:10">
      <c r="A51" s="1">
        <v>45540</v>
      </c>
      <c r="B51" s="1" cm="1">
        <f t="array" ref="B51">_xlfn._xlws.FILTER(A51, WEEKDAY(A51, 2) &lt;= 5)</f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0.51</v>
      </c>
      <c r="H51">
        <v>0.58622522308595848</v>
      </c>
      <c r="I51">
        <v>0.1678000068664551</v>
      </c>
      <c r="J51">
        <v>20.644550337304253</v>
      </c>
    </row>
    <row r="52" spans="1:10">
      <c r="A52" s="1">
        <v>45541</v>
      </c>
      <c r="B52" s="1" cm="1">
        <f t="array" ref="B52">_xlfn._xlws.FILTER(A52, WEEKDAY(A52, 2) &lt;= 5)</f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0.51</v>
      </c>
      <c r="H52">
        <v>0.58622522308595848</v>
      </c>
      <c r="I52">
        <v>0.17889999389648439</v>
      </c>
      <c r="J52">
        <v>20.644550337304253</v>
      </c>
    </row>
    <row r="53" spans="1:10">
      <c r="A53" s="1">
        <v>45544</v>
      </c>
      <c r="B53" s="1" cm="1">
        <f t="array" ref="B53">_xlfn._xlws.FILTER(A53, WEEKDAY(A53, 2) &lt;= 5)</f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0.51</v>
      </c>
      <c r="H53">
        <v>0.58622522308595848</v>
      </c>
      <c r="I53">
        <v>0.16969999313354489</v>
      </c>
      <c r="J53">
        <v>20.644550337304253</v>
      </c>
    </row>
    <row r="54" spans="1:10">
      <c r="A54" s="1">
        <v>45545</v>
      </c>
      <c r="B54" s="1" cm="1">
        <f t="array" ref="B54">_xlfn._xlws.FILTER(A54, WEEKDAY(A54, 2) &lt;= 5)</f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0.51</v>
      </c>
      <c r="H54">
        <v>0.58622522308595848</v>
      </c>
      <c r="I54">
        <v>0.15979999542236331</v>
      </c>
      <c r="J54">
        <v>20.644550337304253</v>
      </c>
    </row>
    <row r="55" spans="1:10">
      <c r="A55" s="1">
        <v>45546</v>
      </c>
      <c r="B55" s="1" cm="1">
        <f t="array" ref="B55">_xlfn._xlws.FILTER(A55, WEEKDAY(A55, 2) &lt;= 5)</f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0.51</v>
      </c>
      <c r="H55">
        <v>0.58622522308595848</v>
      </c>
      <c r="I55">
        <v>0.17200000762939449</v>
      </c>
      <c r="J55">
        <v>20.644550337304253</v>
      </c>
    </row>
    <row r="56" spans="1:10">
      <c r="A56" s="1">
        <v>45547</v>
      </c>
      <c r="B56" s="1" cm="1">
        <f t="array" ref="B56">_xlfn._xlws.FILTER(A56, WEEKDAY(A56, 2) &lt;= 5)</f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0.51</v>
      </c>
      <c r="H56">
        <v>0.58622522308595848</v>
      </c>
      <c r="I56">
        <v>0.15680000305175781</v>
      </c>
      <c r="J56">
        <v>20.644550337304253</v>
      </c>
    </row>
    <row r="57" spans="1:10">
      <c r="A57" s="1">
        <v>45548</v>
      </c>
      <c r="B57" s="1" cm="1">
        <f t="array" ref="B57">_xlfn._xlws.FILTER(A57, WEEKDAY(A57, 2) &lt;= 5)</f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0.51</v>
      </c>
      <c r="H57">
        <v>0.58622522308595848</v>
      </c>
      <c r="I57">
        <v>0.15079999923706061</v>
      </c>
      <c r="J57">
        <v>20.644550337304253</v>
      </c>
    </row>
    <row r="58" spans="1:10">
      <c r="A58" s="1">
        <v>45551</v>
      </c>
      <c r="B58" s="1" cm="1">
        <f t="array" ref="B58">_xlfn._xlws.FILTER(A58, WEEKDAY(A58, 2) &lt;= 5)</f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0.51</v>
      </c>
      <c r="H58">
        <v>0.58622522308595848</v>
      </c>
      <c r="I58">
        <v>0.1356999969482422</v>
      </c>
      <c r="J58">
        <v>20.644550337304253</v>
      </c>
    </row>
    <row r="59" spans="1:10">
      <c r="A59" s="1">
        <v>45552</v>
      </c>
      <c r="B59" s="1" cm="1">
        <f t="array" ref="B59">_xlfn._xlws.FILTER(A59, WEEKDAY(A59, 2) &lt;= 5)</f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0.51</v>
      </c>
      <c r="H59">
        <v>0.58622522308595848</v>
      </c>
      <c r="I59">
        <v>0.13090000152587891</v>
      </c>
      <c r="J59">
        <v>20.644550337304253</v>
      </c>
    </row>
    <row r="60" spans="1:10">
      <c r="A60" s="1">
        <v>45553</v>
      </c>
      <c r="B60" s="1" cm="1">
        <f t="array" ref="B60">_xlfn._xlws.FILTER(A60, WEEKDAY(A60, 2) &lt;= 5)</f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0.51</v>
      </c>
      <c r="H60">
        <v>0.58622522308595848</v>
      </c>
      <c r="I60">
        <v>0.14010000228881839</v>
      </c>
      <c r="J60">
        <v>20.644550337304253</v>
      </c>
    </row>
    <row r="61" spans="1:10">
      <c r="A61" s="1">
        <v>45554</v>
      </c>
      <c r="B61" s="1" cm="1">
        <f t="array" ref="B61">_xlfn._xlws.FILTER(A61, WEEKDAY(A61, 2) &lt;= 5)</f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0.51</v>
      </c>
      <c r="H61">
        <v>0.58622522308595848</v>
      </c>
      <c r="I61">
        <v>0.1444999980926514</v>
      </c>
      <c r="J61">
        <v>20.644550337304253</v>
      </c>
    </row>
    <row r="62" spans="1:10">
      <c r="A62" s="1">
        <v>45555</v>
      </c>
      <c r="B62" s="1" cm="1">
        <f t="array" ref="B62">_xlfn._xlws.FILTER(A62, WEEKDAY(A62, 2) &lt;= 5)</f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0.51</v>
      </c>
      <c r="H62">
        <v>0.58622522308595848</v>
      </c>
      <c r="I62">
        <v>0.14399999618530271</v>
      </c>
      <c r="J62">
        <v>20.644550337304253</v>
      </c>
    </row>
    <row r="63" spans="1:10">
      <c r="A63" s="1">
        <v>45558</v>
      </c>
      <c r="B63" s="1" cm="1">
        <f t="array" ref="B63">_xlfn._xlws.FILTER(A63, WEEKDAY(A63, 2) &lt;= 5)</f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0.51</v>
      </c>
      <c r="H63">
        <v>0.58622522308595848</v>
      </c>
      <c r="I63">
        <v>0.1422999954223633</v>
      </c>
      <c r="J63">
        <v>20.644550337304253</v>
      </c>
    </row>
    <row r="64" spans="1:10">
      <c r="A64" s="1">
        <v>45559</v>
      </c>
      <c r="B64" s="1" cm="1">
        <f t="array" ref="B64">_xlfn._xlws.FILTER(A64, WEEKDAY(A64, 2) &lt;= 5)</f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0.51</v>
      </c>
      <c r="H64">
        <v>0.58622522308595848</v>
      </c>
      <c r="I64">
        <v>0.13479999542236329</v>
      </c>
      <c r="J64">
        <v>20.644550337304253</v>
      </c>
    </row>
    <row r="65" spans="1:10">
      <c r="A65" s="1">
        <v>45560</v>
      </c>
      <c r="B65" s="1" cm="1">
        <f t="array" ref="B65">_xlfn._xlws.FILTER(A65, WEEKDAY(A65, 2) &lt;= 5)</f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0.51</v>
      </c>
      <c r="H65">
        <v>0.58622522308595848</v>
      </c>
      <c r="I65">
        <v>0.12819999694824219</v>
      </c>
      <c r="J65">
        <v>20.644550337304253</v>
      </c>
    </row>
    <row r="66" spans="1:10">
      <c r="A66" s="1">
        <v>45561</v>
      </c>
      <c r="B66" s="1" cm="1">
        <f t="array" ref="B66">_xlfn._xlws.FILTER(A66, WEEKDAY(A66, 2) &lt;= 5)</f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0.51</v>
      </c>
      <c r="H66">
        <v>0.58622522308595848</v>
      </c>
      <c r="I66">
        <v>0.13789999961853031</v>
      </c>
      <c r="J66">
        <v>20.644550337304253</v>
      </c>
    </row>
    <row r="67" spans="1:10">
      <c r="A67" s="1">
        <v>45562</v>
      </c>
      <c r="B67" s="1" cm="1">
        <f t="array" ref="B67">_xlfn._xlws.FILTER(A67, WEEKDAY(A67, 2) &lt;= 5)</f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0.51</v>
      </c>
      <c r="H67">
        <v>0.58622522308595848</v>
      </c>
      <c r="I67">
        <v>0.14000000000000001</v>
      </c>
      <c r="J67">
        <v>20.644550337304253</v>
      </c>
    </row>
    <row r="68" spans="1:10">
      <c r="A68" s="1">
        <v>45565</v>
      </c>
      <c r="B68" s="1" cm="1">
        <f t="array" ref="B68">_xlfn._xlws.FILTER(A68, WEEKDAY(A68, 2) &lt;= 5)</f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0.51</v>
      </c>
      <c r="H68">
        <v>0.58622522308595848</v>
      </c>
      <c r="I68">
        <v>0.1754000091552734</v>
      </c>
      <c r="J68">
        <v>20.644550337304253</v>
      </c>
    </row>
    <row r="69" spans="1:10">
      <c r="A69" s="1">
        <v>45566</v>
      </c>
      <c r="B69" s="1" cm="1">
        <f t="array" ref="B69">_xlfn._xlws.FILTER(A69, WEEKDAY(A69, 2) &lt;= 5)</f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0.51</v>
      </c>
      <c r="H69">
        <v>0.58622522308595848</v>
      </c>
      <c r="I69">
        <v>0.17200000762939449</v>
      </c>
      <c r="J69">
        <v>20.644550337304253</v>
      </c>
    </row>
    <row r="70" spans="1:10">
      <c r="A70" s="1">
        <v>45567</v>
      </c>
      <c r="B70" s="1" cm="1">
        <f t="array" ref="B70">_xlfn._xlws.FILTER(A70, WEEKDAY(A70, 2) &lt;= 5)</f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0.51</v>
      </c>
      <c r="H70">
        <v>0.58622522308595848</v>
      </c>
      <c r="I70">
        <v>0.1689999961853027</v>
      </c>
      <c r="J70">
        <v>20.644550337304253</v>
      </c>
    </row>
    <row r="71" spans="1:10">
      <c r="A71" s="1">
        <v>45568</v>
      </c>
      <c r="B71" s="1" cm="1">
        <f t="array" ref="B71">_xlfn._xlws.FILTER(A71, WEEKDAY(A71, 2) &lt;= 5)</f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0.51</v>
      </c>
      <c r="H71">
        <v>0.58622522308595848</v>
      </c>
      <c r="I71">
        <v>0.18940000534057619</v>
      </c>
      <c r="J71">
        <v>20.644550337304253</v>
      </c>
    </row>
    <row r="72" spans="1:10">
      <c r="A72" s="1">
        <v>45569</v>
      </c>
      <c r="B72" s="1" cm="1">
        <f t="array" ref="B72">_xlfn._xlws.FILTER(A72, WEEKDAY(A72, 2) &lt;= 5)</f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0.51</v>
      </c>
      <c r="H72">
        <v>0.58622522308595848</v>
      </c>
      <c r="I72">
        <v>0.1821999931335449</v>
      </c>
      <c r="J72">
        <v>20.644550337304253</v>
      </c>
    </row>
    <row r="73" spans="1:10">
      <c r="A73" s="1">
        <v>45572</v>
      </c>
      <c r="B73" s="1" cm="1">
        <f t="array" ref="B73">_xlfn._xlws.FILTER(A73, WEEKDAY(A73, 2) &lt;= 5)</f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0.51</v>
      </c>
      <c r="H73">
        <v>0.58622522308595848</v>
      </c>
      <c r="I73">
        <v>0.17610000610351559</v>
      </c>
      <c r="J73">
        <v>20.644550337304253</v>
      </c>
    </row>
    <row r="74" spans="1:10">
      <c r="A74" s="1">
        <v>45573</v>
      </c>
      <c r="B74" s="1" cm="1">
        <f t="array" ref="B74">_xlfn._xlws.FILTER(A74, WEEKDAY(A74, 2) &lt;= 5)</f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0.51</v>
      </c>
      <c r="H74">
        <v>0.58622522308595848</v>
      </c>
      <c r="I74">
        <v>0.1978000068664551</v>
      </c>
      <c r="J74">
        <v>20.644550337304253</v>
      </c>
    </row>
    <row r="75" spans="1:10">
      <c r="A75" s="1">
        <v>45574</v>
      </c>
      <c r="B75" s="1" cm="1">
        <f t="array" ref="B75">_xlfn._xlws.FILTER(A75, WEEKDAY(A75, 2) &lt;= 5)</f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0.51</v>
      </c>
      <c r="H75">
        <v>0.58622522308595848</v>
      </c>
      <c r="I75">
        <v>0.18579999923706059</v>
      </c>
      <c r="J75">
        <v>20.644550337304253</v>
      </c>
    </row>
    <row r="76" spans="1:10">
      <c r="A76" s="1">
        <v>45575</v>
      </c>
      <c r="B76" s="1" cm="1">
        <f t="array" ref="B76">_xlfn._xlws.FILTER(A76, WEEKDAY(A76, 2) &lt;= 5)</f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0.51</v>
      </c>
      <c r="H76">
        <v>0.58622522308595848</v>
      </c>
      <c r="I76">
        <v>0.18489999771118171</v>
      </c>
      <c r="J76">
        <v>20.644550337304253</v>
      </c>
    </row>
    <row r="77" spans="1:10">
      <c r="A77" s="1">
        <v>45576</v>
      </c>
      <c r="B77" s="1" cm="1">
        <f t="array" ref="B77">_xlfn._xlws.FILTER(A77, WEEKDAY(A77, 2) &lt;= 5)</f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0.51</v>
      </c>
      <c r="H77">
        <v>0.58622522308595848</v>
      </c>
      <c r="I77">
        <v>0.17450000762939449</v>
      </c>
      <c r="J77">
        <v>20.644550337304253</v>
      </c>
    </row>
    <row r="78" spans="1:10">
      <c r="A78" s="1">
        <v>45579</v>
      </c>
      <c r="B78" s="1" cm="1">
        <f t="array" ref="B78">_xlfn._xlws.FILTER(A78, WEEKDAY(A78, 2) &lt;= 5)</f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0.51</v>
      </c>
      <c r="H78">
        <v>0.58622522308595848</v>
      </c>
      <c r="I78">
        <v>0.16090000152587891</v>
      </c>
      <c r="J78">
        <v>20.644550337304253</v>
      </c>
    </row>
    <row r="79" spans="1:10">
      <c r="A79" s="1">
        <v>45580</v>
      </c>
      <c r="B79" s="1" cm="1">
        <f t="array" ref="B79">_xlfn._xlws.FILTER(A79, WEEKDAY(A79, 2) &lt;= 5)</f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0.51</v>
      </c>
      <c r="H79">
        <v>0.58622522308595848</v>
      </c>
      <c r="I79">
        <v>0.1669000053405762</v>
      </c>
      <c r="J79">
        <v>20.644550337304253</v>
      </c>
    </row>
    <row r="80" spans="1:10">
      <c r="A80" s="1">
        <v>45581</v>
      </c>
      <c r="B80" s="1" cm="1">
        <f t="array" ref="B80">_xlfn._xlws.FILTER(A80, WEEKDAY(A80, 2) &lt;= 5)</f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0.51</v>
      </c>
      <c r="H80">
        <v>0.58622522308595848</v>
      </c>
      <c r="I80">
        <v>0.19319999694824219</v>
      </c>
      <c r="J80">
        <v>20.644550337304253</v>
      </c>
    </row>
    <row r="81" spans="1:10">
      <c r="A81" s="1">
        <v>45582</v>
      </c>
      <c r="B81" s="1" cm="1">
        <f t="array" ref="B81">_xlfn._xlws.FILTER(A81, WEEKDAY(A81, 2) &lt;= 5)</f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0.51</v>
      </c>
      <c r="H81">
        <v>0.58622522308595848</v>
      </c>
      <c r="I81">
        <v>0.1720999908447266</v>
      </c>
      <c r="J81">
        <v>20.644550337304253</v>
      </c>
    </row>
    <row r="82" spans="1:10">
      <c r="A82" s="1">
        <v>45583</v>
      </c>
      <c r="B82" s="1" cm="1">
        <f t="array" ref="B82">_xlfn._xlws.FILTER(A82, WEEKDAY(A82, 2) &lt;= 5)</f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0.51</v>
      </c>
      <c r="H82">
        <v>0.58622522308595848</v>
      </c>
      <c r="I82">
        <v>0.17879999160766599</v>
      </c>
      <c r="J82">
        <v>20.644550337304253</v>
      </c>
    </row>
    <row r="83" spans="1:10">
      <c r="A83" s="1">
        <v>45586</v>
      </c>
      <c r="B83" s="1" cm="1">
        <f t="array" ref="B83">_xlfn._xlws.FILTER(A83, WEEKDAY(A83, 2) &lt;= 5)</f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0.51</v>
      </c>
      <c r="H83">
        <v>0.58622522308595848</v>
      </c>
      <c r="I83">
        <v>0.21709999084472659</v>
      </c>
      <c r="J83">
        <v>20.644550337304253</v>
      </c>
    </row>
    <row r="84" spans="1:10">
      <c r="A84" s="1">
        <v>45587</v>
      </c>
      <c r="B84" s="1" cm="1">
        <f t="array" ref="B84">_xlfn._xlws.FILTER(A84, WEEKDAY(A84, 2) &lt;= 5)</f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0.51</v>
      </c>
      <c r="H84">
        <v>0.58622522308595848</v>
      </c>
      <c r="I84">
        <v>0.20370000839233399</v>
      </c>
      <c r="J84">
        <v>20.644550337304253</v>
      </c>
    </row>
    <row r="85" spans="1:10">
      <c r="A85" s="1">
        <v>45588</v>
      </c>
      <c r="B85" s="1" cm="1">
        <f t="array" ref="B85">_xlfn._xlws.FILTER(A85, WEEKDAY(A85, 2) &lt;= 5)</f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0.51</v>
      </c>
      <c r="H85">
        <v>0.58622522308595848</v>
      </c>
      <c r="I85">
        <v>0.18969999313354491</v>
      </c>
      <c r="J85">
        <v>20.644550337304253</v>
      </c>
    </row>
    <row r="86" spans="1:10">
      <c r="A86" s="1">
        <v>45589</v>
      </c>
      <c r="B86" s="1" cm="1">
        <f t="array" ref="B86">_xlfn._xlws.FILTER(A86, WEEKDAY(A86, 2) &lt;= 5)</f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0.51</v>
      </c>
      <c r="H86">
        <v>0.58622522308595848</v>
      </c>
      <c r="I86">
        <v>0.2019000053405762</v>
      </c>
      <c r="J86">
        <v>20.644550337304253</v>
      </c>
    </row>
    <row r="87" spans="1:10">
      <c r="A87" s="1">
        <v>45590</v>
      </c>
      <c r="B87" s="1" cm="1">
        <f t="array" ref="B87">_xlfn._xlws.FILTER(A87, WEEKDAY(A87, 2) &lt;= 5)</f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0.51</v>
      </c>
      <c r="H87">
        <v>0.58622522308595848</v>
      </c>
      <c r="I87">
        <v>0.2068000030517578</v>
      </c>
      <c r="J87">
        <v>20.644550337304253</v>
      </c>
    </row>
    <row r="88" spans="1:10">
      <c r="A88" s="1">
        <v>45593</v>
      </c>
      <c r="B88" s="1" cm="1">
        <f t="array" ref="B88">_xlfn._xlws.FILTER(A88, WEEKDAY(A88, 2) &lt;= 5)</f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0.51</v>
      </c>
      <c r="H88">
        <v>0.58622522308595848</v>
      </c>
      <c r="I88">
        <v>0.1813999938964844</v>
      </c>
      <c r="J88">
        <v>20.644550337304253</v>
      </c>
    </row>
    <row r="89" spans="1:10">
      <c r="A89" s="1">
        <v>45594</v>
      </c>
      <c r="B89" s="1" cm="1">
        <f t="array" ref="B89">_xlfn._xlws.FILTER(A89, WEEKDAY(A89, 2) &lt;= 5)</f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0.51</v>
      </c>
      <c r="H89">
        <v>0.58622522308595848</v>
      </c>
      <c r="I89">
        <v>0.16870000839233401</v>
      </c>
      <c r="J89">
        <v>20.644550337304253</v>
      </c>
    </row>
    <row r="90" spans="1:10">
      <c r="A90" s="1">
        <v>45595</v>
      </c>
      <c r="B90" s="1" cm="1">
        <f t="array" ref="B90">_xlfn._xlws.FILTER(A90, WEEKDAY(A90, 2) &lt;= 5)</f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0.51</v>
      </c>
      <c r="H90">
        <v>0.58622522308595848</v>
      </c>
      <c r="I90">
        <v>0.15659999847412109</v>
      </c>
      <c r="J90">
        <v>20.644550337304253</v>
      </c>
    </row>
    <row r="91" spans="1:10">
      <c r="A91" s="1">
        <v>45596</v>
      </c>
      <c r="B91" s="1" cm="1">
        <f t="array" ref="B91">_xlfn._xlws.FILTER(A91, WEEKDAY(A91, 2) &lt;= 5)</f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0.51</v>
      </c>
      <c r="H91">
        <v>0.58622522308595848</v>
      </c>
      <c r="I91">
        <v>0.14909999847412109</v>
      </c>
      <c r="J91">
        <v>20.644550337304253</v>
      </c>
    </row>
    <row r="92" spans="1:10">
      <c r="A92" s="1">
        <v>45597</v>
      </c>
      <c r="B92" s="1" cm="1">
        <f t="array" ref="B92">_xlfn._xlws.FILTER(A92, WEEKDAY(A92, 2) &lt;= 5)</f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0.51</v>
      </c>
      <c r="H92">
        <v>0.58622522308595848</v>
      </c>
      <c r="I92">
        <v>0.14890000343322751</v>
      </c>
      <c r="J92">
        <v>20.644550337304253</v>
      </c>
    </row>
    <row r="93" spans="1:10">
      <c r="A93" s="1">
        <v>45600</v>
      </c>
      <c r="B93" s="1" cm="1">
        <f t="array" ref="B93">_xlfn._xlws.FILTER(A93, WEEKDAY(A93, 2) &lt;= 5)</f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0.51</v>
      </c>
      <c r="H93">
        <v>0.58622522308595848</v>
      </c>
      <c r="I93">
        <v>0.15289999961853029</v>
      </c>
      <c r="J93">
        <v>20.644550337304253</v>
      </c>
    </row>
    <row r="94" spans="1:10">
      <c r="A94" s="1">
        <v>45601</v>
      </c>
      <c r="B94" s="1" cm="1">
        <f t="array" ref="B94">_xlfn._xlws.FILTER(A94, WEEKDAY(A94, 2) &lt;= 5)</f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0.51</v>
      </c>
      <c r="H94">
        <v>0.58622522308595848</v>
      </c>
      <c r="I94">
        <v>0.14170000076293951</v>
      </c>
      <c r="J94">
        <v>20.644550337304253</v>
      </c>
    </row>
    <row r="95" spans="1:10">
      <c r="A95" s="1">
        <v>45602</v>
      </c>
      <c r="B95" s="1" cm="1">
        <f t="array" ref="B95">_xlfn._xlws.FILTER(A95, WEEKDAY(A95, 2) &lt;= 5)</f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0.51</v>
      </c>
      <c r="H95">
        <v>0.58622522308595848</v>
      </c>
      <c r="I95">
        <v>0.14760000228881839</v>
      </c>
      <c r="J95">
        <v>20.644550337304253</v>
      </c>
    </row>
    <row r="96" spans="1:10">
      <c r="A96" s="1">
        <v>45603</v>
      </c>
      <c r="B96" s="1" cm="1">
        <f t="array" ref="B96">_xlfn._xlws.FILTER(A96, WEEKDAY(A96, 2) &lt;= 5)</f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0.51</v>
      </c>
      <c r="H96">
        <v>0.58622522308595848</v>
      </c>
      <c r="I96">
        <v>0.14159999847412111</v>
      </c>
      <c r="J96">
        <v>20.644550337304253</v>
      </c>
    </row>
    <row r="97" spans="1:10">
      <c r="A97" s="1">
        <v>45604</v>
      </c>
      <c r="B97" s="1" cm="1">
        <f t="array" ref="B97">_xlfn._xlws.FILTER(A97, WEEKDAY(A97, 2) &lt;= 5)</f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0.51</v>
      </c>
      <c r="H97">
        <v>0.58622522308595848</v>
      </c>
      <c r="I97">
        <v>0.1418000030517578</v>
      </c>
      <c r="J97">
        <v>20.644550337304253</v>
      </c>
    </row>
    <row r="98" spans="1:10">
      <c r="A98" s="1">
        <v>45607</v>
      </c>
      <c r="B98" s="1" cm="1">
        <f t="array" ref="B98">_xlfn._xlws.FILTER(A98, WEEKDAY(A98, 2) &lt;= 5)</f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0.51</v>
      </c>
      <c r="H98">
        <v>0.58622522308595848</v>
      </c>
      <c r="I98">
        <v>0.1340999984741211</v>
      </c>
      <c r="J98">
        <v>20.644550337304253</v>
      </c>
    </row>
    <row r="99" spans="1:10">
      <c r="A99" s="1">
        <v>45608</v>
      </c>
      <c r="B99" s="1" cm="1">
        <f t="array" ref="B99">_xlfn._xlws.FILTER(A99, WEEKDAY(A99, 2) &lt;= 5)</f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0.51</v>
      </c>
      <c r="H99">
        <v>0.58622522308595848</v>
      </c>
      <c r="I99">
        <v>0.13350000381469729</v>
      </c>
      <c r="J99">
        <v>20.644550337304253</v>
      </c>
    </row>
    <row r="100" spans="1:10">
      <c r="A100" s="1">
        <v>45609</v>
      </c>
      <c r="B100" s="1" cm="1">
        <f t="array" ref="B100">_xlfn._xlws.FILTER(A100, WEEKDAY(A100, 2) &lt;= 5)</f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0.51</v>
      </c>
      <c r="H100">
        <v>0.58622522308595848</v>
      </c>
      <c r="I100">
        <v>0.12850000381469731</v>
      </c>
      <c r="J100">
        <v>20.644550337304253</v>
      </c>
    </row>
    <row r="101" spans="1:10">
      <c r="A101" s="1">
        <v>45610</v>
      </c>
      <c r="B101" s="1" cm="1">
        <f t="array" ref="B101">_xlfn._xlws.FILTER(A101, WEEKDAY(A101, 2) &lt;= 5)</f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0.51</v>
      </c>
      <c r="H101">
        <v>0.58622522308595848</v>
      </c>
      <c r="I101">
        <v>0.12460000038146971</v>
      </c>
      <c r="J101">
        <v>20.644550337304253</v>
      </c>
    </row>
    <row r="102" spans="1:10">
      <c r="A102" s="1">
        <v>45611</v>
      </c>
      <c r="B102" s="1" cm="1">
        <f t="array" ref="B102">_xlfn._xlws.FILTER(A102, WEEKDAY(A102, 2) &lt;= 5)</f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0.51</v>
      </c>
      <c r="H102">
        <v>0.58622522308595848</v>
      </c>
      <c r="I102">
        <v>0.12689999580383299</v>
      </c>
      <c r="J102">
        <v>20.644550337304253</v>
      </c>
    </row>
    <row r="103" spans="1:10">
      <c r="A103" s="1">
        <v>45614</v>
      </c>
      <c r="B103" s="1" cm="1">
        <f t="array" ref="B103">_xlfn._xlws.FILTER(A103, WEEKDAY(A103, 2) &lt;= 5)</f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0.51</v>
      </c>
      <c r="H103">
        <v>0.58622522308595848</v>
      </c>
      <c r="I103">
        <v>0.12920000076293939</v>
      </c>
      <c r="J103">
        <v>20.644550337304253</v>
      </c>
    </row>
    <row r="104" spans="1:10">
      <c r="A104" s="1">
        <v>45615</v>
      </c>
      <c r="B104" s="1" cm="1">
        <f t="array" ref="B104">_xlfn._xlws.FILTER(A104, WEEKDAY(A104, 2) &lt;= 5)</f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0.51</v>
      </c>
      <c r="H104">
        <v>0.58622522308595848</v>
      </c>
      <c r="I104">
        <v>0.1263000011444092</v>
      </c>
      <c r="J104">
        <v>20.644550337304253</v>
      </c>
    </row>
    <row r="105" spans="1:10">
      <c r="A105" s="1">
        <v>45616</v>
      </c>
      <c r="B105" s="1" cm="1">
        <f t="array" ref="B105">_xlfn._xlws.FILTER(A105, WEEKDAY(A105, 2) &lt;= 5)</f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0.51</v>
      </c>
      <c r="H105">
        <v>0.58622522308595848</v>
      </c>
      <c r="I105">
        <v>0.13079999923706051</v>
      </c>
      <c r="J105">
        <v>20.644550337304253</v>
      </c>
    </row>
    <row r="106" spans="1:10">
      <c r="A106" s="1">
        <v>45617</v>
      </c>
      <c r="B106" s="1" cm="1">
        <f t="array" ref="B106">_xlfn._xlws.FILTER(A106, WEEKDAY(A106, 2) &lt;= 5)</f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0.51</v>
      </c>
      <c r="H106">
        <v>0.58622522308595848</v>
      </c>
      <c r="I106">
        <v>0.12850000381469731</v>
      </c>
      <c r="J106">
        <v>20.644550337304253</v>
      </c>
    </row>
    <row r="107" spans="1:10">
      <c r="A107" s="1">
        <v>45618</v>
      </c>
      <c r="B107" s="1" cm="1">
        <f t="array" ref="B107">_xlfn._xlws.FILTER(A107, WEEKDAY(A107, 2) &lt;= 5)</f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0.51</v>
      </c>
      <c r="H107">
        <v>0.58622522308595848</v>
      </c>
      <c r="I107">
        <v>0.12970000267028811</v>
      </c>
      <c r="J107">
        <v>20.644550337304253</v>
      </c>
    </row>
    <row r="108" spans="1:10">
      <c r="A108" s="1">
        <v>45621</v>
      </c>
      <c r="B108" s="1" cm="1">
        <f t="array" ref="B108">_xlfn._xlws.FILTER(A108, WEEKDAY(A108, 2) &lt;= 5)</f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0.51</v>
      </c>
      <c r="H108">
        <v>0.58622522308595848</v>
      </c>
      <c r="I108">
        <v>0.1263000011444092</v>
      </c>
      <c r="J108">
        <v>20.644550337304253</v>
      </c>
    </row>
    <row r="109" spans="1:10">
      <c r="A109" s="1">
        <v>45622</v>
      </c>
      <c r="B109" s="1" cm="1">
        <f t="array" ref="B109">_xlfn._xlws.FILTER(A109, WEEKDAY(A109, 2) &lt;= 5)</f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0.51</v>
      </c>
      <c r="H109">
        <v>0.58622522308595848</v>
      </c>
      <c r="I109">
        <v>0.1206999969482422</v>
      </c>
      <c r="J109">
        <v>20.644550337304253</v>
      </c>
    </row>
    <row r="110" spans="1:10">
      <c r="A110" s="1">
        <v>45623</v>
      </c>
      <c r="B110" s="1" cm="1">
        <f t="array" ref="B110">_xlfn._xlws.FILTER(A110, WEEKDAY(A110, 2) &lt;= 5)</f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0.51</v>
      </c>
      <c r="H110">
        <v>0.58622522308595848</v>
      </c>
      <c r="I110">
        <v>0.121899995803833</v>
      </c>
      <c r="J110">
        <v>20.644550337304253</v>
      </c>
    </row>
    <row r="111" spans="1:10">
      <c r="A111" s="1">
        <v>45624</v>
      </c>
      <c r="B111" s="1" cm="1">
        <f t="array" ref="B111">_xlfn._xlws.FILTER(A111, WEEKDAY(A111, 2) &lt;= 5)</f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0.51</v>
      </c>
      <c r="H111">
        <v>0.58622522308595848</v>
      </c>
      <c r="I111">
        <v>0.12479999542236329</v>
      </c>
      <c r="J111">
        <v>20.644550337304253</v>
      </c>
    </row>
    <row r="112" spans="1:10">
      <c r="A112" s="1">
        <v>45625</v>
      </c>
      <c r="B112" s="1" cm="1">
        <f t="array" ref="B112">_xlfn._xlws.FILTER(A112, WEEKDAY(A112, 2) &lt;= 5)</f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0.51</v>
      </c>
      <c r="H112">
        <v>0.58622522308595848</v>
      </c>
      <c r="I112">
        <v>0.1227999973297119</v>
      </c>
      <c r="J112">
        <v>20.644550337304253</v>
      </c>
    </row>
    <row r="113" spans="1:10">
      <c r="A113" s="1">
        <v>45628</v>
      </c>
      <c r="B113" s="1" cm="1">
        <f t="array" ref="B113">_xlfn._xlws.FILTER(A113, WEEKDAY(A113, 2) &lt;= 5)</f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0.51</v>
      </c>
      <c r="H113">
        <v>0.58622522308595848</v>
      </c>
      <c r="I113">
        <v>0.13670000076293939</v>
      </c>
      <c r="J113">
        <v>20.644550337304253</v>
      </c>
    </row>
    <row r="114" spans="1:10">
      <c r="A114" s="1">
        <v>45629</v>
      </c>
      <c r="B114" s="1" cm="1">
        <f t="array" ref="B114">_xlfn._xlws.FILTER(A114, WEEKDAY(A114, 2) &lt;= 5)</f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0.51</v>
      </c>
      <c r="H114">
        <v>0.58622522308595848</v>
      </c>
      <c r="I114">
        <v>0.1364999961853027</v>
      </c>
      <c r="J114">
        <v>20.644550337304253</v>
      </c>
    </row>
    <row r="115" spans="1:10">
      <c r="A115" s="1">
        <v>45630</v>
      </c>
      <c r="B115" s="1" cm="1">
        <f t="array" ref="B115">_xlfn._xlws.FILTER(A115, WEEKDAY(A115, 2) &lt;= 5)</f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0.51</v>
      </c>
      <c r="H115">
        <v>0.58622522308595848</v>
      </c>
      <c r="I115">
        <v>0.1302999973297119</v>
      </c>
      <c r="J115">
        <v>20.644550337304253</v>
      </c>
    </row>
    <row r="116" spans="1:10">
      <c r="A116" s="1">
        <v>45631</v>
      </c>
      <c r="B116" s="1" cm="1">
        <f t="array" ref="B116">_xlfn._xlws.FILTER(A116, WEEKDAY(A116, 2) &lt;= 5)</f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0.51</v>
      </c>
      <c r="H116">
        <v>0.58622522308595848</v>
      </c>
      <c r="I116">
        <v>0.1298999977111816</v>
      </c>
      <c r="J116">
        <v>20.644550337304253</v>
      </c>
    </row>
    <row r="117" spans="1:10">
      <c r="A117" s="1">
        <v>45632</v>
      </c>
      <c r="B117" s="1" cm="1">
        <f t="array" ref="B117">_xlfn._xlws.FILTER(A117, WEEKDAY(A117, 2) &lt;= 5)</f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0.51</v>
      </c>
      <c r="H117">
        <v>0.58622522308595848</v>
      </c>
      <c r="I117">
        <v>0.1243000030517578</v>
      </c>
      <c r="J117">
        <v>20.644550337304253</v>
      </c>
    </row>
    <row r="118" spans="1:10">
      <c r="A118" s="1">
        <v>45635</v>
      </c>
      <c r="B118" s="1" cm="1">
        <f t="array" ref="B118">_xlfn._xlws.FILTER(A118, WEEKDAY(A118, 2) &lt;= 5)</f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0.51</v>
      </c>
      <c r="H118">
        <v>0.58622522308595848</v>
      </c>
      <c r="I118">
        <v>0.13199999809265139</v>
      </c>
      <c r="J118">
        <v>20.644550337304253</v>
      </c>
    </row>
    <row r="119" spans="1:10">
      <c r="A119" s="1">
        <v>45636</v>
      </c>
      <c r="B119" s="1" cm="1">
        <f t="array" ref="B119">_xlfn._xlws.FILTER(A119, WEEKDAY(A119, 2) &lt;= 5)</f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0.51</v>
      </c>
      <c r="H119">
        <v>0.58622522308595848</v>
      </c>
      <c r="I119">
        <v>0.14039999961853031</v>
      </c>
      <c r="J119">
        <v>20.644550337304253</v>
      </c>
    </row>
    <row r="120" spans="1:10">
      <c r="A120" s="1">
        <v>45637</v>
      </c>
      <c r="B120" s="1" cm="1">
        <f t="array" ref="B120">_xlfn._xlws.FILTER(A120, WEEKDAY(A120, 2) &lt;= 5)</f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0.51</v>
      </c>
      <c r="H120">
        <v>0.58622522308595848</v>
      </c>
      <c r="I120">
        <v>0.14130000114440919</v>
      </c>
      <c r="J120">
        <v>20.644550337304253</v>
      </c>
    </row>
    <row r="121" spans="1:10">
      <c r="A121" s="1">
        <v>45638</v>
      </c>
      <c r="B121" s="1" cm="1">
        <f t="array" ref="B121">_xlfn._xlws.FILTER(A121, WEEKDAY(A121, 2) &lt;= 5)</f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0.51</v>
      </c>
      <c r="H121">
        <v>0.58622522308595848</v>
      </c>
      <c r="I121">
        <v>0.13350000381469729</v>
      </c>
      <c r="J121">
        <v>20.644550337304253</v>
      </c>
    </row>
    <row r="122" spans="1:10">
      <c r="A122" s="1">
        <v>45639</v>
      </c>
      <c r="B122" s="1" cm="1">
        <f t="array" ref="B122">_xlfn._xlws.FILTER(A122, WEEKDAY(A122, 2) &lt;= 5)</f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0.51</v>
      </c>
      <c r="H122">
        <v>0.58622522308595848</v>
      </c>
      <c r="I122">
        <v>0.13079999923706051</v>
      </c>
      <c r="J122">
        <v>20.644550337304253</v>
      </c>
    </row>
    <row r="123" spans="1:10">
      <c r="A123" s="1">
        <v>45642</v>
      </c>
      <c r="B123" s="1" cm="1">
        <f t="array" ref="B123">_xlfn._xlws.FILTER(A123, WEEKDAY(A123, 2) &lt;= 5)</f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0.51</v>
      </c>
      <c r="H123">
        <v>0.58622522308595848</v>
      </c>
      <c r="I123">
        <v>0.124399995803833</v>
      </c>
      <c r="J123">
        <v>20.644550337304253</v>
      </c>
    </row>
    <row r="124" spans="1:10">
      <c r="A124" s="1">
        <v>45643</v>
      </c>
      <c r="B124" s="1" cm="1">
        <f t="array" ref="B124">_xlfn._xlws.FILTER(A124, WEEKDAY(A124, 2) &lt;= 5)</f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0.51</v>
      </c>
      <c r="H124">
        <v>0.58622522308595848</v>
      </c>
      <c r="I124">
        <v>0.12699999809265139</v>
      </c>
      <c r="J124">
        <v>20.644550337304253</v>
      </c>
    </row>
    <row r="125" spans="1:10">
      <c r="A125" s="1">
        <v>45644</v>
      </c>
      <c r="B125" s="1" cm="1">
        <f t="array" ref="B125">_xlfn._xlws.FILTER(A125, WEEKDAY(A125, 2) &lt;= 5)</f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0.51</v>
      </c>
      <c r="H125">
        <v>0.58622522308595848</v>
      </c>
      <c r="I125">
        <v>0.13840000152587889</v>
      </c>
      <c r="J125">
        <v>20.644550337304253</v>
      </c>
    </row>
    <row r="126" spans="1:10">
      <c r="A126" s="1">
        <v>45645</v>
      </c>
      <c r="B126" s="1" cm="1">
        <f t="array" ref="B126">_xlfn._xlws.FILTER(A126, WEEKDAY(A126, 2) &lt;= 5)</f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0.51</v>
      </c>
      <c r="H126">
        <v>0.58622522308595848</v>
      </c>
      <c r="I126">
        <v>0.14789999961853029</v>
      </c>
      <c r="J126">
        <v>20.644550337304253</v>
      </c>
    </row>
    <row r="127" spans="1:10">
      <c r="A127" s="1">
        <v>45646</v>
      </c>
      <c r="B127" s="1" cm="1">
        <f t="array" ref="B127">_xlfn._xlws.FILTER(A127, WEEKDAY(A127, 2) &lt;= 5)</f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0.51</v>
      </c>
      <c r="H127">
        <v>0.58622522308595848</v>
      </c>
      <c r="I127">
        <v>0.14130000114440919</v>
      </c>
      <c r="J127">
        <v>20.644550337304253</v>
      </c>
    </row>
    <row r="128" spans="1:10">
      <c r="A128" s="1">
        <v>45649</v>
      </c>
      <c r="B128" s="1" cm="1">
        <f t="array" ref="B128">_xlfn._xlws.FILTER(A128, WEEKDAY(A128, 2) &lt;= 5)</f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0.51</v>
      </c>
      <c r="H128">
        <v>0.58622522308595848</v>
      </c>
      <c r="I128">
        <v>0.12550000190734861</v>
      </c>
      <c r="J128">
        <v>20.644550337304253</v>
      </c>
    </row>
    <row r="129" spans="1:10">
      <c r="A129" s="1">
        <v>45650</v>
      </c>
      <c r="B129" s="1" cm="1">
        <f t="array" ref="B129">_xlfn._xlws.FILTER(A129, WEEKDAY(A129, 2) &lt;= 5)</f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0.51</v>
      </c>
      <c r="H129">
        <v>0.58622522308595848</v>
      </c>
      <c r="I129">
        <v>0.13140000343322761</v>
      </c>
      <c r="J129">
        <v>20.644550337304253</v>
      </c>
    </row>
    <row r="130" spans="1:10">
      <c r="A130" s="1">
        <v>45651</v>
      </c>
      <c r="B130" s="1" cm="1">
        <f t="array" ref="B130">_xlfn._xlws.FILTER(A130, WEEKDAY(A130, 2) &lt;= 5)</f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0.51</v>
      </c>
      <c r="H130">
        <v>0.58622522308595848</v>
      </c>
      <c r="I130">
        <v>0.1344999980926514</v>
      </c>
      <c r="J130">
        <v>20.644550337304253</v>
      </c>
    </row>
    <row r="131" spans="1:10">
      <c r="A131" s="1">
        <v>45652</v>
      </c>
      <c r="B131" s="1" cm="1">
        <f t="array" ref="B131">_xlfn._xlws.FILTER(A131, WEEKDAY(A131, 2) &lt;= 5)</f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0.51</v>
      </c>
      <c r="H131">
        <v>0.58622522308595848</v>
      </c>
      <c r="I131">
        <v>0.13260000228881841</v>
      </c>
      <c r="J131">
        <v>20.644550337304253</v>
      </c>
    </row>
    <row r="132" spans="1:10">
      <c r="A132" s="1">
        <v>45653</v>
      </c>
      <c r="B132" s="1" cm="1">
        <f t="array" ref="B132">_xlfn._xlws.FILTER(A132, WEEKDAY(A132, 2) &lt;= 5)</f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0.51</v>
      </c>
      <c r="H132">
        <v>0.58622522308595848</v>
      </c>
      <c r="I132">
        <v>0.13600000381469729</v>
      </c>
      <c r="J132">
        <v>20.644550337304253</v>
      </c>
    </row>
    <row r="133" spans="1:10">
      <c r="A133" s="1">
        <v>45656</v>
      </c>
      <c r="B133" s="1" cm="1">
        <f t="array" ref="B133">_xlfn._xlws.FILTER(A133, WEEKDAY(A133, 2) &lt;= 5)</f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0.51</v>
      </c>
      <c r="H133">
        <v>0.58622522308595848</v>
      </c>
      <c r="I133">
        <v>0.13880000114440921</v>
      </c>
      <c r="J133">
        <v>20.644550337304253</v>
      </c>
    </row>
    <row r="134" spans="1:10">
      <c r="A134" s="1">
        <v>45657</v>
      </c>
      <c r="B134" s="1" cm="1">
        <f t="array" ref="B134">_xlfn._xlws.FILTER(A134, WEEKDAY(A134, 2) &lt;= 5)</f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0.51</v>
      </c>
      <c r="H134">
        <v>0.58622522308595848</v>
      </c>
      <c r="I134">
        <v>0.13850000381469729</v>
      </c>
      <c r="J134">
        <v>20.644550337304253</v>
      </c>
    </row>
    <row r="135" spans="1:10">
      <c r="A135" s="1">
        <v>45658</v>
      </c>
      <c r="B135" s="1" cm="1">
        <f t="array" ref="B135">_xlfn._xlws.FILTER(A135, WEEKDAY(A135, 2) &lt;= 5)</f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0.51</v>
      </c>
      <c r="H135">
        <v>0.58622522308595848</v>
      </c>
      <c r="I135">
        <v>0.13670000076293939</v>
      </c>
      <c r="J135">
        <v>20.644550337304253</v>
      </c>
    </row>
    <row r="136" spans="1:10">
      <c r="A136" s="1">
        <v>45659</v>
      </c>
      <c r="B136" s="1" cm="1">
        <f t="array" ref="B136">_xlfn._xlws.FILTER(A136, WEEKDAY(A136, 2) &lt;= 5)</f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0.51</v>
      </c>
      <c r="H136">
        <v>0.58622522308595848</v>
      </c>
      <c r="I136">
        <v>0.13060000419616699</v>
      </c>
      <c r="J136">
        <v>20.644550337304253</v>
      </c>
    </row>
    <row r="137" spans="1:10">
      <c r="A137" s="1">
        <v>45660</v>
      </c>
      <c r="B137" s="1" cm="1">
        <f t="array" ref="B137">_xlfn._xlws.FILTER(A137, WEEKDAY(A137, 2) &lt;= 5)</f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0.51</v>
      </c>
      <c r="H137">
        <v>0.58622522308595848</v>
      </c>
      <c r="I137">
        <v>0.12829999923706051</v>
      </c>
      <c r="J137">
        <v>20.644550337304253</v>
      </c>
    </row>
    <row r="138" spans="1:10">
      <c r="A138" s="1">
        <v>45663</v>
      </c>
      <c r="B138" s="1" cm="1">
        <f t="array" ref="B138">_xlfn._xlws.FILTER(A138, WEEKDAY(A138, 2) &lt;= 5)</f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0.51</v>
      </c>
      <c r="H138">
        <v>0.58622522308595848</v>
      </c>
      <c r="I138">
        <v>0.1393000030517578</v>
      </c>
      <c r="J138">
        <v>20.644550337304253</v>
      </c>
    </row>
    <row r="139" spans="1:10">
      <c r="A139" s="1">
        <v>45664</v>
      </c>
      <c r="B139" s="1" cm="1">
        <f t="array" ref="B139">_xlfn._xlws.FILTER(A139, WEEKDAY(A139, 2) &lt;= 5)</f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0.51</v>
      </c>
      <c r="H139">
        <v>0.58622522308595848</v>
      </c>
      <c r="I139">
        <v>0.15850000381469731</v>
      </c>
      <c r="J139">
        <v>20.644550337304253</v>
      </c>
    </row>
    <row r="140" spans="1:10">
      <c r="A140" s="1">
        <v>45665</v>
      </c>
      <c r="B140" s="1" cm="1">
        <f t="array" ref="B140">_xlfn._xlws.FILTER(A140, WEEKDAY(A140, 2) &lt;= 5)</f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0.51</v>
      </c>
      <c r="H140">
        <v>0.58622522308595848</v>
      </c>
      <c r="I140">
        <v>0.14380000114440919</v>
      </c>
      <c r="J140">
        <v>20.644550337304253</v>
      </c>
    </row>
    <row r="141" spans="1:10">
      <c r="A141" s="1">
        <v>45666</v>
      </c>
      <c r="B141" s="1" cm="1">
        <f t="array" ref="B141">_xlfn._xlws.FILTER(A141, WEEKDAY(A141, 2) &lt;= 5)</f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0.51</v>
      </c>
      <c r="H141">
        <v>0.58622522308595848</v>
      </c>
      <c r="I141">
        <v>0.14010000228881839</v>
      </c>
      <c r="J141">
        <v>20.644550337304253</v>
      </c>
    </row>
    <row r="142" spans="1:10">
      <c r="A142" s="1">
        <v>45667</v>
      </c>
      <c r="B142" s="1" cm="1">
        <f t="array" ref="B142">_xlfn._xlws.FILTER(A142, WEEKDAY(A142, 2) &lt;= 5)</f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0.51</v>
      </c>
      <c r="H142">
        <v>0.58622522308595848</v>
      </c>
      <c r="I142">
        <v>0.14239999771118159</v>
      </c>
      <c r="J142">
        <v>20.644550337304253</v>
      </c>
    </row>
    <row r="143" spans="1:10">
      <c r="A143" s="1">
        <v>45670</v>
      </c>
      <c r="B143" s="1" cm="1">
        <f t="array" ref="B143">_xlfn._xlws.FILTER(A143, WEEKDAY(A143, 2) &lt;= 5)</f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0.51</v>
      </c>
      <c r="H143">
        <v>0.58622522308595848</v>
      </c>
      <c r="I143">
        <v>0.14539999961853031</v>
      </c>
      <c r="J143">
        <v>20.644550337304253</v>
      </c>
    </row>
    <row r="144" spans="1:10">
      <c r="A144" s="1">
        <v>45671</v>
      </c>
      <c r="B144" s="1" cm="1">
        <f t="array" ref="B144">_xlfn._xlws.FILTER(A144, WEEKDAY(A144, 2) &lt;= 5)</f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0.51</v>
      </c>
      <c r="H144">
        <v>0.58622522308595848</v>
      </c>
      <c r="I144">
        <v>0.13750000000000001</v>
      </c>
      <c r="J144">
        <v>20.644550337304253</v>
      </c>
    </row>
    <row r="145" spans="1:10">
      <c r="A145" s="1">
        <v>45672</v>
      </c>
      <c r="B145" s="1" cm="1">
        <f t="array" ref="B145">_xlfn._xlws.FILTER(A145, WEEKDAY(A145, 2) &lt;= 5)</f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0.51</v>
      </c>
      <c r="H145">
        <v>0.58622522308595848</v>
      </c>
      <c r="I145">
        <v>0.13739999771118161</v>
      </c>
      <c r="J145">
        <v>20.644550337304253</v>
      </c>
    </row>
    <row r="146" spans="1:10">
      <c r="A146" s="1">
        <v>45673</v>
      </c>
      <c r="B146" s="1" cm="1">
        <f t="array" ref="B146">_xlfn._xlws.FILTER(A146, WEEKDAY(A146, 2) &lt;= 5)</f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0.51</v>
      </c>
      <c r="H146">
        <v>0.58622522308595848</v>
      </c>
      <c r="I146">
        <v>0.13430000305175779</v>
      </c>
      <c r="J146">
        <v>20.644550337304253</v>
      </c>
    </row>
    <row r="147" spans="1:10">
      <c r="A147" s="1">
        <v>45674</v>
      </c>
      <c r="B147" s="1" cm="1">
        <f t="array" ref="B147">_xlfn._xlws.FILTER(A147, WEEKDAY(A147, 2) &lt;= 5)</f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0.51</v>
      </c>
      <c r="H147">
        <v>0.58622522308595848</v>
      </c>
      <c r="I147">
        <v>0.13840000152587889</v>
      </c>
      <c r="J147">
        <v>20.644550337304253</v>
      </c>
    </row>
    <row r="148" spans="1:10">
      <c r="A148" s="1">
        <v>45677</v>
      </c>
      <c r="B148" s="1" cm="1">
        <f t="array" ref="B148">_xlfn._xlws.FILTER(A148, WEEKDAY(A148, 2) &lt;= 5)</f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0.51</v>
      </c>
      <c r="H148">
        <v>0.58622522308595848</v>
      </c>
      <c r="I148">
        <v>0.13489999771118161</v>
      </c>
      <c r="J148">
        <v>20.644550337304253</v>
      </c>
    </row>
    <row r="149" spans="1:10">
      <c r="A149" s="1">
        <v>45678</v>
      </c>
      <c r="B149" s="1" cm="1">
        <f t="array" ref="B149">_xlfn._xlws.FILTER(A149, WEEKDAY(A149, 2) &lt;= 5)</f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0.51</v>
      </c>
      <c r="H149">
        <v>0.58622522308595848</v>
      </c>
      <c r="I149">
        <v>0.1446000003814697</v>
      </c>
      <c r="J149">
        <v>20.644550337304253</v>
      </c>
    </row>
    <row r="150" spans="1:10">
      <c r="A150" s="1">
        <v>45679</v>
      </c>
      <c r="B150" s="1" cm="1">
        <f t="array" ref="B150">_xlfn._xlws.FILTER(A150, WEEKDAY(A150, 2) &lt;= 5)</f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0.51</v>
      </c>
      <c r="H150">
        <v>0.58622522308595848</v>
      </c>
      <c r="I150">
        <v>0.14499999999999999</v>
      </c>
      <c r="J150">
        <v>20.644550337304253</v>
      </c>
    </row>
    <row r="151" spans="1:10">
      <c r="A151" s="1">
        <v>45680</v>
      </c>
      <c r="B151" s="1" cm="1">
        <f t="array" ref="B151">_xlfn._xlws.FILTER(A151, WEEKDAY(A151, 2) &lt;= 5)</f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0.51</v>
      </c>
      <c r="H151">
        <v>0.58622522308595848</v>
      </c>
      <c r="I151">
        <v>0.144399995803833</v>
      </c>
      <c r="J151">
        <v>20.644550337304253</v>
      </c>
    </row>
    <row r="152" spans="1:10">
      <c r="A152" s="1">
        <v>45681</v>
      </c>
      <c r="B152" s="1" cm="1">
        <f t="array" ref="B152">_xlfn._xlws.FILTER(A152, WEEKDAY(A152, 2) &lt;= 5)</f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0.51</v>
      </c>
      <c r="H152">
        <v>0.58622522308595848</v>
      </c>
      <c r="I152">
        <v>0.14739999771118159</v>
      </c>
      <c r="J152">
        <v>20.644550337304253</v>
      </c>
    </row>
    <row r="153" spans="1:10">
      <c r="A153" s="1">
        <v>45684</v>
      </c>
      <c r="B153" s="1" cm="1">
        <f t="array" ref="B153">_xlfn._xlws.FILTER(A153, WEEKDAY(A153, 2) &lt;= 5)</f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0.51</v>
      </c>
      <c r="H153">
        <v>0.58622522308595848</v>
      </c>
      <c r="I153">
        <v>0.13750000000000001</v>
      </c>
      <c r="J153">
        <v>20.644550337304253</v>
      </c>
    </row>
    <row r="154" spans="1:10">
      <c r="A154" s="1">
        <v>45685</v>
      </c>
      <c r="B154" s="1" cm="1">
        <f t="array" ref="B154">_xlfn._xlws.FILTER(A154, WEEKDAY(A154, 2) &lt;= 5)</f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0.51</v>
      </c>
      <c r="H154">
        <v>0.58622522308595848</v>
      </c>
      <c r="I154">
        <v>0.14399999618530271</v>
      </c>
      <c r="J154">
        <v>20.644550337304253</v>
      </c>
    </row>
    <row r="155" spans="1:10">
      <c r="A155" s="1">
        <v>45686</v>
      </c>
      <c r="B155" s="1" cm="1">
        <f t="array" ref="B155">_xlfn._xlws.FILTER(A155, WEEKDAY(A155, 2) &lt;= 5)</f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0.51</v>
      </c>
      <c r="H155">
        <v>0.58622522308595848</v>
      </c>
      <c r="I155">
        <v>0.14409999847412111</v>
      </c>
      <c r="J155">
        <v>20.644550337304253</v>
      </c>
    </row>
    <row r="156" spans="1:10">
      <c r="A156" s="1">
        <v>45687</v>
      </c>
      <c r="B156" s="1" cm="1">
        <f t="array" ref="B156">_xlfn._xlws.FILTER(A156, WEEKDAY(A156, 2) &lt;= 5)</f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0.51</v>
      </c>
      <c r="H156">
        <v>0.58622522308595848</v>
      </c>
      <c r="I156">
        <v>0.14329999923706049</v>
      </c>
      <c r="J156">
        <v>20.644550337304253</v>
      </c>
    </row>
    <row r="157" spans="1:10">
      <c r="A157" s="1">
        <v>45688</v>
      </c>
      <c r="B157" s="1" cm="1">
        <f t="array" ref="B157">_xlfn._xlws.FILTER(A157, WEEKDAY(A157, 2) &lt;= 5)</f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0.51</v>
      </c>
      <c r="H157">
        <v>0.58622522308595848</v>
      </c>
      <c r="I157">
        <v>0.1381999969482422</v>
      </c>
      <c r="J157">
        <v>20.644550337304253</v>
      </c>
    </row>
    <row r="158" spans="1:10">
      <c r="A158" s="1">
        <v>45691</v>
      </c>
      <c r="B158" s="1" cm="1">
        <f t="array" ref="B158">_xlfn._xlws.FILTER(A158, WEEKDAY(A158, 2) &lt;= 5)</f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0.51</v>
      </c>
      <c r="H158">
        <v>0.58622522308595848</v>
      </c>
      <c r="I158">
        <v>0.13060000419616699</v>
      </c>
      <c r="J158">
        <v>20.644550337304253</v>
      </c>
    </row>
    <row r="159" spans="1:10">
      <c r="A159" s="1">
        <v>45692</v>
      </c>
      <c r="B159" s="1" cm="1">
        <f t="array" ref="B159">_xlfn._xlws.FILTER(A159, WEEKDAY(A159, 2) &lt;= 5)</f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0.51</v>
      </c>
      <c r="H159">
        <v>0.58622522308595848</v>
      </c>
      <c r="I159">
        <v>0.13189999580383299</v>
      </c>
      <c r="J159">
        <v>20.644550337304253</v>
      </c>
    </row>
    <row r="160" spans="1:10">
      <c r="A160" s="1">
        <v>45693</v>
      </c>
      <c r="B160" s="1" cm="1">
        <f t="array" ref="B160">_xlfn._xlws.FILTER(A160, WEEKDAY(A160, 2) &lt;= 5)</f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0.51</v>
      </c>
      <c r="H160">
        <v>0.58622522308595848</v>
      </c>
      <c r="I160">
        <v>0.13239999771118161</v>
      </c>
      <c r="J160">
        <v>20.644550337304253</v>
      </c>
    </row>
    <row r="161" spans="1:10">
      <c r="A161" s="1">
        <v>45694</v>
      </c>
      <c r="B161" s="1" cm="1">
        <f t="array" ref="B161">_xlfn._xlws.FILTER(A161, WEEKDAY(A161, 2) &lt;= 5)</f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0.51</v>
      </c>
      <c r="H161">
        <v>0.58622522308595848</v>
      </c>
      <c r="I161">
        <v>0.1277999973297119</v>
      </c>
      <c r="J161">
        <v>20.644550337304253</v>
      </c>
    </row>
    <row r="162" spans="1:10">
      <c r="A162" s="1">
        <v>45695</v>
      </c>
      <c r="B162" s="1" cm="1">
        <f t="array" ref="B162">_xlfn._xlws.FILTER(A162, WEEKDAY(A162, 2) &lt;= 5)</f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0.51</v>
      </c>
      <c r="H162">
        <v>0.58622522308595848</v>
      </c>
      <c r="I162">
        <v>0.13010000228881841</v>
      </c>
      <c r="J162">
        <v>20.644550337304253</v>
      </c>
    </row>
    <row r="163" spans="1:10">
      <c r="A163" s="1">
        <v>45698</v>
      </c>
      <c r="B163" s="1" cm="1">
        <f t="array" ref="B163">_xlfn._xlws.FILTER(A163, WEEKDAY(A163, 2) &lt;= 5)</f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0.51</v>
      </c>
      <c r="H163">
        <v>0.58622522308595848</v>
      </c>
      <c r="I163">
        <v>0.14329999923706049</v>
      </c>
      <c r="J163">
        <v>20.644550337304253</v>
      </c>
    </row>
    <row r="164" spans="1:10">
      <c r="A164" s="1">
        <v>45699</v>
      </c>
      <c r="B164" s="1" cm="1">
        <f t="array" ref="B164">_xlfn._xlws.FILTER(A164, WEEKDAY(A164, 2) &lt;= 5)</f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0.51</v>
      </c>
      <c r="H164">
        <v>0.58622522308595848</v>
      </c>
      <c r="I164">
        <v>0.16350000381469729</v>
      </c>
      <c r="J164">
        <v>20.644550337304253</v>
      </c>
    </row>
    <row r="165" spans="1:10">
      <c r="A165" s="1">
        <v>45700</v>
      </c>
      <c r="B165" s="1" cm="1">
        <f t="array" ref="B165">_xlfn._xlws.FILTER(A165, WEEKDAY(A165, 2) &lt;= 5)</f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0.51</v>
      </c>
      <c r="H165">
        <v>0.58622522308595848</v>
      </c>
      <c r="I165">
        <v>0.1603000068664551</v>
      </c>
      <c r="J165">
        <v>20.644550337304253</v>
      </c>
    </row>
    <row r="166" spans="1:10">
      <c r="A166" s="1">
        <v>45701</v>
      </c>
      <c r="B166" s="1" cm="1">
        <f t="array" ref="B166">_xlfn._xlws.FILTER(A166, WEEKDAY(A166, 2) &lt;= 5)</f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0.51</v>
      </c>
      <c r="H166">
        <v>0.58622522308595848</v>
      </c>
      <c r="I166">
        <v>0.15189999580383301</v>
      </c>
      <c r="J166">
        <v>20.644550337304253</v>
      </c>
    </row>
    <row r="167" spans="1:10">
      <c r="A167" s="1">
        <v>45702</v>
      </c>
      <c r="B167" s="1" cm="1">
        <f t="array" ref="B167">_xlfn._xlws.FILTER(A167, WEEKDAY(A167, 2) &lt;= 5)</f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0.51</v>
      </c>
      <c r="H167">
        <v>0.58622522308595848</v>
      </c>
      <c r="I167">
        <v>0.1497999954223633</v>
      </c>
      <c r="J167">
        <v>20.644550337304253</v>
      </c>
    </row>
    <row r="168" spans="1:10">
      <c r="A168" s="1">
        <v>45705</v>
      </c>
      <c r="B168" s="1" cm="1">
        <f t="array" ref="B168">_xlfn._xlws.FILTER(A168, WEEKDAY(A168, 2) &lt;= 5)</f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0.51</v>
      </c>
      <c r="H168">
        <v>0.58622522308595848</v>
      </c>
      <c r="I168">
        <v>0.1730999946594238</v>
      </c>
      <c r="J168">
        <v>20.644550337304253</v>
      </c>
    </row>
    <row r="169" spans="1:10">
      <c r="A169" s="1">
        <v>45706</v>
      </c>
      <c r="B169" s="1" cm="1">
        <f t="array" ref="B169">_xlfn._xlws.FILTER(A169, WEEKDAY(A169, 2) &lt;= 5)</f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0.51</v>
      </c>
      <c r="H169">
        <v>0.58622522308595848</v>
      </c>
      <c r="I169">
        <v>0.19229999542236331</v>
      </c>
      <c r="J169">
        <v>20.644550337304253</v>
      </c>
    </row>
    <row r="170" spans="1:10">
      <c r="A170" s="1">
        <v>45707</v>
      </c>
      <c r="B170" s="1" cm="1">
        <f t="array" ref="B170">_xlfn._xlws.FILTER(A170, WEEKDAY(A170, 2) &lt;= 5)</f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0.51</v>
      </c>
      <c r="H170">
        <v>0.58622522308595848</v>
      </c>
      <c r="I170">
        <v>0.18399999618530269</v>
      </c>
      <c r="J170">
        <v>20.644550337304253</v>
      </c>
    </row>
    <row r="171" spans="1:10">
      <c r="A171" s="1">
        <v>45708</v>
      </c>
      <c r="B171" s="1" cm="1">
        <f t="array" ref="B171">_xlfn._xlws.FILTER(A171, WEEKDAY(A171, 2) &lt;= 5)</f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0.51</v>
      </c>
      <c r="H171">
        <v>0.58622522308595848</v>
      </c>
      <c r="I171">
        <v>0.18209999084472661</v>
      </c>
      <c r="J171">
        <v>20.644550337304253</v>
      </c>
    </row>
    <row r="172" spans="1:10">
      <c r="A172" s="1">
        <v>45709</v>
      </c>
      <c r="B172" s="1" cm="1">
        <f t="array" ref="B172">_xlfn._xlws.FILTER(A172, WEEKDAY(A172, 2) &lt;= 5)</f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0.51</v>
      </c>
      <c r="H172">
        <v>0.58622522308595848</v>
      </c>
      <c r="I172">
        <v>0.18</v>
      </c>
      <c r="J172">
        <v>20.644550337304253</v>
      </c>
    </row>
    <row r="173" spans="1:10">
      <c r="A173" s="1">
        <v>45712</v>
      </c>
      <c r="B173" s="1" cm="1">
        <f t="array" ref="B173">_xlfn._xlws.FILTER(A173, WEEKDAY(A173, 2) &lt;= 5)</f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0.51</v>
      </c>
      <c r="H173">
        <v>0.58622522308595848</v>
      </c>
      <c r="I173">
        <v>0.15689999580383299</v>
      </c>
      <c r="J173">
        <v>20.644550337304253</v>
      </c>
    </row>
    <row r="174" spans="1:10">
      <c r="A174" s="1">
        <v>45713</v>
      </c>
      <c r="B174" s="1" cm="1">
        <f t="array" ref="B174">_xlfn._xlws.FILTER(A174, WEEKDAY(A174, 2) &lt;= 5)</f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0.51</v>
      </c>
      <c r="H174">
        <v>0.58622522308595848</v>
      </c>
      <c r="I174">
        <v>0.15970000267028811</v>
      </c>
      <c r="J174">
        <v>20.644550337304253</v>
      </c>
    </row>
    <row r="175" spans="1:10">
      <c r="A175" s="1">
        <v>45714</v>
      </c>
      <c r="B175" s="1" cm="1">
        <f t="array" ref="B175">_xlfn._xlws.FILTER(A175, WEEKDAY(A175, 2) &lt;= 5)</f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0.51</v>
      </c>
      <c r="H175">
        <v>0.58622522308595848</v>
      </c>
      <c r="I175">
        <v>0.1536999988555908</v>
      </c>
      <c r="J175">
        <v>20.644550337304253</v>
      </c>
    </row>
    <row r="176" spans="1:10">
      <c r="A176" s="1">
        <v>45715</v>
      </c>
      <c r="B176" s="1" cm="1">
        <f t="array" ref="B176">_xlfn._xlws.FILTER(A176, WEEKDAY(A176, 2) &lt;= 5)</f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0.51</v>
      </c>
      <c r="H176">
        <v>0.58622522308595848</v>
      </c>
      <c r="I176">
        <v>0.15029999732971189</v>
      </c>
      <c r="J176">
        <v>20.644550337304253</v>
      </c>
    </row>
    <row r="177" spans="1:10">
      <c r="A177" s="1">
        <v>45716</v>
      </c>
      <c r="B177" s="1" cm="1">
        <f t="array" ref="B177">_xlfn._xlws.FILTER(A177, WEEKDAY(A177, 2) &lt;= 5)</f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0.51</v>
      </c>
      <c r="H177">
        <v>0.58622522308595848</v>
      </c>
      <c r="I177">
        <v>0.14670000076293949</v>
      </c>
      <c r="J177">
        <v>20.644550337304253</v>
      </c>
    </row>
    <row r="178" spans="1:10">
      <c r="A178" s="1">
        <v>45719</v>
      </c>
      <c r="B178" s="1" cm="1">
        <f t="array" ref="B178">_xlfn._xlws.FILTER(A178, WEEKDAY(A178, 2) &lt;= 5)</f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0.51</v>
      </c>
      <c r="H178">
        <v>0.58622522308595848</v>
      </c>
      <c r="I178">
        <v>0.1468000030517578</v>
      </c>
      <c r="J178">
        <v>20.644550337304253</v>
      </c>
    </row>
    <row r="179" spans="1:10">
      <c r="A179" s="1">
        <v>45720</v>
      </c>
      <c r="B179" s="1" cm="1">
        <f t="array" ref="B179">_xlfn._xlws.FILTER(A179, WEEKDAY(A179, 2) &lt;= 5)</f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0.51</v>
      </c>
      <c r="H179">
        <v>0.58622522308595848</v>
      </c>
      <c r="I179">
        <v>0.13489999771118161</v>
      </c>
      <c r="J179">
        <v>20.644550337304253</v>
      </c>
    </row>
    <row r="180" spans="1:10">
      <c r="A180" s="1">
        <v>45721</v>
      </c>
      <c r="B180" s="1" cm="1">
        <f t="array" ref="B180">_xlfn._xlws.FILTER(A180, WEEKDAY(A180, 2) &lt;= 5)</f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0.51</v>
      </c>
      <c r="H180">
        <v>0.58622522308595848</v>
      </c>
      <c r="I180">
        <v>0.13489999771118161</v>
      </c>
      <c r="J180">
        <v>20.644550337304253</v>
      </c>
    </row>
    <row r="181" spans="1:10">
      <c r="A181" s="1">
        <v>45722</v>
      </c>
      <c r="B181" s="1" cm="1">
        <f t="array" ref="B181">_xlfn._xlws.FILTER(A181, WEEKDAY(A181, 2) &lt;= 5)</f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0.51</v>
      </c>
      <c r="H181">
        <v>0.58622522308595848</v>
      </c>
      <c r="I181">
        <v>0.13229999542236329</v>
      </c>
      <c r="J181">
        <v>20.644550337304253</v>
      </c>
    </row>
    <row r="182" spans="1:10">
      <c r="A182" s="1">
        <v>45723</v>
      </c>
      <c r="B182" s="1" cm="1">
        <f t="array" ref="B182">_xlfn._xlws.FILTER(A182, WEEKDAY(A182, 2) &lt;= 5)</f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0.51</v>
      </c>
      <c r="H182">
        <v>0.58622522308595848</v>
      </c>
      <c r="I182">
        <v>0.13</v>
      </c>
      <c r="J182">
        <v>20.644550337304253</v>
      </c>
    </row>
    <row r="183" spans="1:10">
      <c r="A183" s="1">
        <v>45726</v>
      </c>
      <c r="B183" s="1" cm="1">
        <f t="array" ref="B183">_xlfn._xlws.FILTER(A183, WEEKDAY(A183, 2) &lt;= 5)</f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0.51</v>
      </c>
      <c r="H183">
        <v>0.58622522308595848</v>
      </c>
      <c r="I183">
        <v>0.13600000381469729</v>
      </c>
      <c r="J183">
        <v>20.644550337304253</v>
      </c>
    </row>
    <row r="184" spans="1:10">
      <c r="A184" s="1">
        <v>45727</v>
      </c>
      <c r="B184" s="1" cm="1">
        <f t="array" ref="B184">_xlfn._xlws.FILTER(A184, WEEKDAY(A184, 2) &lt;= 5)</f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0.51</v>
      </c>
      <c r="H184">
        <v>0.58622522308595848</v>
      </c>
      <c r="I184">
        <v>0.13420000076293939</v>
      </c>
      <c r="J184">
        <v>20.644550337304253</v>
      </c>
    </row>
    <row r="185" spans="1:10">
      <c r="A185" s="1">
        <v>45728</v>
      </c>
      <c r="B185" s="1" cm="1">
        <f t="array" ref="B185">_xlfn._xlws.FILTER(A185, WEEKDAY(A185, 2) &lt;= 5)</f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0.51</v>
      </c>
      <c r="H185">
        <v>0.58622522308595848</v>
      </c>
      <c r="I185">
        <v>0.1244999980926514</v>
      </c>
      <c r="J185">
        <v>20.644550337304253</v>
      </c>
    </row>
    <row r="186" spans="1:10">
      <c r="A186" s="1">
        <v>45729</v>
      </c>
      <c r="B186" s="1" cm="1">
        <f t="array" ref="B186">_xlfn._xlws.FILTER(A186, WEEKDAY(A186, 2) &lt;= 5)</f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0.51</v>
      </c>
      <c r="H186">
        <v>0.58622522308595848</v>
      </c>
      <c r="I186">
        <v>0.12420000076293949</v>
      </c>
      <c r="J186">
        <v>20.644550337304253</v>
      </c>
    </row>
    <row r="187" spans="1:10">
      <c r="A187" s="1">
        <v>45730</v>
      </c>
      <c r="B187" s="1" cm="1">
        <f t="array" ref="B187">_xlfn._xlws.FILTER(A187, WEEKDAY(A187, 2) &lt;= 5)</f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0.51</v>
      </c>
      <c r="H187">
        <v>0.58622522308595848</v>
      </c>
      <c r="I187">
        <v>0.11989999771118159</v>
      </c>
      <c r="J187">
        <v>20.644550337304253</v>
      </c>
    </row>
    <row r="188" spans="1:10">
      <c r="A188" s="14">
        <v>45733</v>
      </c>
      <c r="B188" s="14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>
        <v>0.51</v>
      </c>
      <c r="H188">
        <v>0.58622522308595848</v>
      </c>
      <c r="I188" s="16">
        <v>0.70088628827800514</v>
      </c>
      <c r="J188">
        <v>20.644550337304253</v>
      </c>
    </row>
    <row r="189" spans="1:10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0.51</v>
      </c>
      <c r="H189">
        <v>0.58622522308595848</v>
      </c>
      <c r="I189" s="13">
        <v>0.70231786352277659</v>
      </c>
      <c r="J189">
        <v>20.644550337304253</v>
      </c>
    </row>
    <row r="190" spans="1:10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0.51</v>
      </c>
      <c r="H190">
        <v>0.58622522308595848</v>
      </c>
      <c r="I190" s="13">
        <v>0.69270909090634969</v>
      </c>
      <c r="J190">
        <v>20.644550337304253</v>
      </c>
    </row>
    <row r="191" spans="1:10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0.51</v>
      </c>
      <c r="H191">
        <v>0.58622522308595848</v>
      </c>
      <c r="I191" s="13">
        <v>0.69588885829972991</v>
      </c>
      <c r="J191">
        <v>20.644550337304253</v>
      </c>
    </row>
    <row r="192" spans="1:10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0.51</v>
      </c>
      <c r="H192">
        <v>0.58622522308595848</v>
      </c>
      <c r="I192" s="13">
        <v>0.71396938554415534</v>
      </c>
      <c r="J192">
        <v>20.644550337304253</v>
      </c>
    </row>
    <row r="193" spans="1:10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0.51</v>
      </c>
      <c r="H193">
        <v>0.58622522308595848</v>
      </c>
      <c r="I193" s="13">
        <v>0.69846672404362242</v>
      </c>
      <c r="J193">
        <v>20.644550337304253</v>
      </c>
    </row>
    <row r="194" spans="1:10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0.51</v>
      </c>
      <c r="H194">
        <v>0.58622522308595848</v>
      </c>
      <c r="I194" s="13">
        <v>0.69976781092534956</v>
      </c>
      <c r="J194">
        <v>20.644550337304253</v>
      </c>
    </row>
    <row r="195" spans="1:10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0.51</v>
      </c>
      <c r="H195">
        <v>0.58622522308595848</v>
      </c>
      <c r="I195" s="13">
        <v>0.7137924130083485</v>
      </c>
      <c r="J195">
        <v>20.644550337304253</v>
      </c>
    </row>
    <row r="196" spans="1:10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0.51</v>
      </c>
      <c r="H196">
        <v>0.58622522308595848</v>
      </c>
      <c r="I196" s="13">
        <v>0.70190304239279577</v>
      </c>
      <c r="J196">
        <v>20.644550337304253</v>
      </c>
    </row>
    <row r="197" spans="1:10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0.51</v>
      </c>
      <c r="H197">
        <v>0.58622522308595848</v>
      </c>
      <c r="I197" s="13">
        <v>0.7047031068125823</v>
      </c>
      <c r="J197">
        <v>20.644550337304253</v>
      </c>
    </row>
    <row r="198" spans="1:10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0.51</v>
      </c>
      <c r="H198">
        <v>0.58622522308595848</v>
      </c>
      <c r="I198" s="13">
        <v>0.69118004363865493</v>
      </c>
      <c r="J198">
        <v>20.644550337304253</v>
      </c>
    </row>
    <row r="199" spans="1:10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0.51</v>
      </c>
      <c r="H199">
        <v>0.58622522308595848</v>
      </c>
      <c r="I199" s="13">
        <v>0.70525911251257645</v>
      </c>
      <c r="J199">
        <v>20.644550337304253</v>
      </c>
    </row>
    <row r="200" spans="1:10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0.51</v>
      </c>
      <c r="H200">
        <v>0.58622522308595848</v>
      </c>
      <c r="I200" s="13">
        <v>0.71035911926035067</v>
      </c>
      <c r="J200">
        <v>20.644550337304253</v>
      </c>
    </row>
    <row r="201" spans="1:10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0.51</v>
      </c>
      <c r="H201">
        <v>0.58622522308595848</v>
      </c>
      <c r="I201" s="13">
        <v>0.70117820165993539</v>
      </c>
      <c r="J201">
        <v>20.644550337304253</v>
      </c>
    </row>
    <row r="202" spans="1:10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0.51</v>
      </c>
      <c r="H202">
        <v>0.58622522308595848</v>
      </c>
      <c r="I202" s="13">
        <v>0.70682535374183986</v>
      </c>
      <c r="J202">
        <v>20.644550337304253</v>
      </c>
    </row>
    <row r="203" spans="1:10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0.51</v>
      </c>
      <c r="H203">
        <v>0.58622522308595848</v>
      </c>
      <c r="I203" s="13">
        <v>0.7039896752416327</v>
      </c>
      <c r="J203">
        <v>20.644550337304253</v>
      </c>
    </row>
    <row r="204" spans="1:10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0.51</v>
      </c>
      <c r="H204">
        <v>0.58622522308595848</v>
      </c>
      <c r="I204" s="13">
        <v>0.71857460886941915</v>
      </c>
      <c r="J204">
        <v>20.644550337304253</v>
      </c>
    </row>
    <row r="205" spans="1:10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0.51</v>
      </c>
      <c r="H205">
        <v>0.58622522308595848</v>
      </c>
      <c r="I205" s="13">
        <v>0.708212886914239</v>
      </c>
      <c r="J205">
        <v>20.644550337304253</v>
      </c>
    </row>
    <row r="206" spans="1:10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0.51</v>
      </c>
      <c r="H206">
        <v>0.58622522308595848</v>
      </c>
      <c r="I206" s="13">
        <v>0.70541948679489919</v>
      </c>
      <c r="J206">
        <v>20.644550337304253</v>
      </c>
    </row>
    <row r="207" spans="1:10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0.51</v>
      </c>
      <c r="H207">
        <v>0.58622522308595848</v>
      </c>
      <c r="I207" s="13">
        <v>0.70176137687550577</v>
      </c>
      <c r="J207">
        <v>20.644550337304253</v>
      </c>
    </row>
    <row r="208" spans="1:10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0.51</v>
      </c>
      <c r="H208">
        <v>0.58622522308595848</v>
      </c>
      <c r="I208" s="13">
        <v>0.691710366139073</v>
      </c>
      <c r="J208">
        <v>20.644550337304253</v>
      </c>
    </row>
    <row r="209" spans="1:10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0.51</v>
      </c>
      <c r="H209">
        <v>0.58622522308595848</v>
      </c>
      <c r="I209" s="13">
        <v>0.69173507895209208</v>
      </c>
      <c r="J209">
        <v>20.644550337304253</v>
      </c>
    </row>
    <row r="210" spans="1:10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0.51</v>
      </c>
      <c r="H210">
        <v>0.58622522308595848</v>
      </c>
      <c r="I210" s="13">
        <v>0.70205105156408665</v>
      </c>
      <c r="J210">
        <v>20.644550337304253</v>
      </c>
    </row>
    <row r="211" spans="1:10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0.51</v>
      </c>
      <c r="H211">
        <v>0.58622522308595848</v>
      </c>
      <c r="I211" s="13">
        <v>0.6997752377071107</v>
      </c>
      <c r="J211">
        <v>20.644550337304253</v>
      </c>
    </row>
    <row r="212" spans="1:10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0.51</v>
      </c>
      <c r="H212">
        <v>0.58622522308595848</v>
      </c>
      <c r="I212" s="13">
        <v>0.70720131777387385</v>
      </c>
      <c r="J212">
        <v>20.644550337304253</v>
      </c>
    </row>
    <row r="213" spans="1:10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0.51</v>
      </c>
      <c r="H213">
        <v>0.58622522308595848</v>
      </c>
      <c r="I213" s="13">
        <v>0.70439695062650864</v>
      </c>
      <c r="J213">
        <v>20.644550337304253</v>
      </c>
    </row>
    <row r="214" spans="1:10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0.51</v>
      </c>
      <c r="H214">
        <v>0.58622522308595848</v>
      </c>
      <c r="I214" s="13">
        <v>0.70088254218667279</v>
      </c>
      <c r="J214">
        <v>20.644550337304253</v>
      </c>
    </row>
    <row r="215" spans="1:10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0.51</v>
      </c>
      <c r="H215">
        <v>0.58622522308595848</v>
      </c>
      <c r="I215" s="13">
        <v>0.69831787607621554</v>
      </c>
      <c r="J215">
        <v>20.644550337304253</v>
      </c>
    </row>
    <row r="216" spans="1:10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0.51</v>
      </c>
      <c r="H216">
        <v>0.58622522308595848</v>
      </c>
      <c r="I216" s="13">
        <v>0.70468500036009751</v>
      </c>
      <c r="J216">
        <v>20.644550337304253</v>
      </c>
    </row>
    <row r="217" spans="1:10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0.51</v>
      </c>
      <c r="H217">
        <v>0.58622522308595848</v>
      </c>
      <c r="I217" s="13">
        <v>0.69738239999691165</v>
      </c>
      <c r="J217">
        <v>20.644550337304253</v>
      </c>
    </row>
    <row r="218" spans="1:10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0.51</v>
      </c>
      <c r="H218">
        <v>0.58622522308595848</v>
      </c>
      <c r="I218" s="13">
        <v>0.69474866139558911</v>
      </c>
      <c r="J218">
        <v>20.644550337304253</v>
      </c>
    </row>
    <row r="219" spans="1:10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0.51</v>
      </c>
      <c r="H219">
        <v>0.58622522308595848</v>
      </c>
      <c r="I219" s="13">
        <v>0.70345538471341773</v>
      </c>
      <c r="J219">
        <v>20.644550337304253</v>
      </c>
    </row>
    <row r="220" spans="1:10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0.51</v>
      </c>
      <c r="H220">
        <v>0.58622522308595848</v>
      </c>
      <c r="I220" s="13">
        <v>0.70549204118930509</v>
      </c>
      <c r="J220">
        <v>20.644550337304253</v>
      </c>
    </row>
    <row r="221" spans="1:10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0.51</v>
      </c>
      <c r="H221">
        <v>0.58622522308595848</v>
      </c>
      <c r="I221" s="13">
        <v>0.69326844437840929</v>
      </c>
      <c r="J221">
        <v>20.644550337304253</v>
      </c>
    </row>
    <row r="222" spans="1:10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0.51</v>
      </c>
      <c r="H222">
        <v>0.58622522308595848</v>
      </c>
      <c r="I222" s="13">
        <v>0.69259353273027091</v>
      </c>
      <c r="J222">
        <v>20.644550337304253</v>
      </c>
    </row>
    <row r="223" spans="1:10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0.51</v>
      </c>
      <c r="H223">
        <v>0.58622522308595848</v>
      </c>
      <c r="I223" s="13">
        <v>0.6968626126193278</v>
      </c>
      <c r="J223">
        <v>20.644550337304253</v>
      </c>
    </row>
    <row r="224" spans="1:10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0.51</v>
      </c>
      <c r="H224">
        <v>0.58622522308595848</v>
      </c>
      <c r="I224" s="13">
        <v>0.70126078140775372</v>
      </c>
      <c r="J224">
        <v>20.644550337304253</v>
      </c>
    </row>
    <row r="225" spans="1:10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0.51</v>
      </c>
      <c r="H225">
        <v>0.58622522308595848</v>
      </c>
      <c r="I225" s="13">
        <v>0.7076982409275584</v>
      </c>
      <c r="J225">
        <v>20.644550337304253</v>
      </c>
    </row>
    <row r="226" spans="1:10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0.51</v>
      </c>
      <c r="H226">
        <v>0.58622522308595848</v>
      </c>
      <c r="I226" s="13">
        <v>0.7083876354341252</v>
      </c>
      <c r="J226">
        <v>20.644550337304253</v>
      </c>
    </row>
    <row r="227" spans="1:10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0.51</v>
      </c>
      <c r="H227">
        <v>0.58622522308595848</v>
      </c>
      <c r="I227" s="13">
        <v>0.69892773393687757</v>
      </c>
      <c r="J227">
        <v>20.644550337304253</v>
      </c>
    </row>
    <row r="228" spans="1:10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0.51</v>
      </c>
      <c r="H228">
        <v>0.58622522308595848</v>
      </c>
      <c r="I228" s="13">
        <v>0.70245003797948047</v>
      </c>
      <c r="J228">
        <v>20.644550337304253</v>
      </c>
    </row>
    <row r="229" spans="1:10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0.51</v>
      </c>
      <c r="H229">
        <v>0.58622522308595848</v>
      </c>
      <c r="I229" s="13">
        <v>0.70292556180714649</v>
      </c>
      <c r="J229">
        <v>20.644550337304253</v>
      </c>
    </row>
    <row r="230" spans="1:10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0.51</v>
      </c>
      <c r="H230">
        <v>0.58622522308595848</v>
      </c>
      <c r="I230" s="13">
        <v>0.70014033643402529</v>
      </c>
      <c r="J230">
        <v>20.644550337304253</v>
      </c>
    </row>
    <row r="231" spans="1:10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0.51</v>
      </c>
      <c r="H231">
        <v>0.58622522308595848</v>
      </c>
      <c r="I231" s="13">
        <v>0.70054254218866463</v>
      </c>
      <c r="J231">
        <v>20.644550337304253</v>
      </c>
    </row>
    <row r="232" spans="1:10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0.51</v>
      </c>
      <c r="H232">
        <v>0.58622522308595848</v>
      </c>
      <c r="I232" s="13">
        <v>0.70099192569230417</v>
      </c>
      <c r="J232">
        <v>20.644550337304253</v>
      </c>
    </row>
    <row r="233" spans="1:10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0.51</v>
      </c>
      <c r="H233">
        <v>0.58622522308595848</v>
      </c>
      <c r="I233" s="13">
        <v>0.70613504676800476</v>
      </c>
      <c r="J233">
        <v>20.644550337304253</v>
      </c>
    </row>
    <row r="234" spans="1:10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0.51</v>
      </c>
      <c r="H234">
        <v>0.58622522308595848</v>
      </c>
      <c r="I234" s="13">
        <v>0.69840701584097242</v>
      </c>
      <c r="J234">
        <v>20.644550337304253</v>
      </c>
    </row>
    <row r="235" spans="1:10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0.51</v>
      </c>
      <c r="H235">
        <v>0.58622522308595848</v>
      </c>
      <c r="I235" s="13">
        <v>0.70924115798016207</v>
      </c>
      <c r="J235">
        <v>20.644550337304253</v>
      </c>
    </row>
    <row r="236" spans="1:10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0.51</v>
      </c>
      <c r="H236">
        <v>0.58622522308595848</v>
      </c>
      <c r="I236" s="13">
        <v>0.70171060129997376</v>
      </c>
      <c r="J236">
        <v>20.644550337304253</v>
      </c>
    </row>
    <row r="237" spans="1:10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0.51</v>
      </c>
      <c r="H237">
        <v>0.58622522308595848</v>
      </c>
      <c r="I237" s="13">
        <v>0.70094931876508093</v>
      </c>
      <c r="J237">
        <v>20.644550337304253</v>
      </c>
    </row>
    <row r="238" spans="1:10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0.51</v>
      </c>
      <c r="H238">
        <v>0.58622522308595848</v>
      </c>
      <c r="I238" s="13">
        <v>0.70255380851374294</v>
      </c>
      <c r="J238">
        <v>20.644550337304253</v>
      </c>
    </row>
    <row r="239" spans="1:10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0.51</v>
      </c>
      <c r="H239">
        <v>0.58622522308595848</v>
      </c>
      <c r="I239" s="13">
        <v>0.71300194651683313</v>
      </c>
      <c r="J239">
        <v>20.644550337304253</v>
      </c>
    </row>
    <row r="240" spans="1:10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0.51</v>
      </c>
      <c r="H240">
        <v>0.58622522308595848</v>
      </c>
      <c r="I240" s="13">
        <v>0.70402800110792285</v>
      </c>
      <c r="J240">
        <v>20.644550337304253</v>
      </c>
    </row>
    <row r="241" spans="1:10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0.51</v>
      </c>
      <c r="H241">
        <v>0.58622522308595848</v>
      </c>
      <c r="I241" s="13">
        <v>0.71228077293906034</v>
      </c>
      <c r="J241">
        <v>20.644550337304253</v>
      </c>
    </row>
    <row r="242" spans="1:10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0.51</v>
      </c>
      <c r="H242">
        <v>0.58622522308595848</v>
      </c>
      <c r="I242" s="13">
        <v>0.69236547849858499</v>
      </c>
      <c r="J242">
        <v>20.644550337304253</v>
      </c>
    </row>
    <row r="243" spans="1:10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0.51</v>
      </c>
      <c r="H243">
        <v>0.58622522308595848</v>
      </c>
      <c r="I243" s="13">
        <v>0.69710322906355537</v>
      </c>
      <c r="J243">
        <v>20.644550337304253</v>
      </c>
    </row>
    <row r="244" spans="1:10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0.51</v>
      </c>
      <c r="H244">
        <v>0.58622522308595848</v>
      </c>
      <c r="I244" s="13">
        <v>0.69306227200732851</v>
      </c>
      <c r="J244">
        <v>20.644550337304253</v>
      </c>
    </row>
    <row r="245" spans="1:10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0.51</v>
      </c>
      <c r="H245">
        <v>0.58622522308595848</v>
      </c>
      <c r="I245" s="13">
        <v>0.71156071635390505</v>
      </c>
      <c r="J245">
        <v>20.644550337304253</v>
      </c>
    </row>
    <row r="246" spans="1:10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0.51</v>
      </c>
      <c r="H246">
        <v>0.58622522308595848</v>
      </c>
      <c r="I246" s="13">
        <v>0.70141377580827069</v>
      </c>
      <c r="J246">
        <v>20.644550337304253</v>
      </c>
    </row>
    <row r="247" spans="1:10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0.51</v>
      </c>
      <c r="H247">
        <v>0.58622522308595848</v>
      </c>
      <c r="I247" s="13">
        <v>0.70130541085154141</v>
      </c>
      <c r="J247">
        <v>20.644550337304253</v>
      </c>
    </row>
    <row r="248" spans="1:10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0.51</v>
      </c>
      <c r="H248">
        <v>0.58622522308595848</v>
      </c>
      <c r="I248" s="13">
        <v>0.71106095025184013</v>
      </c>
      <c r="J248">
        <v>20.644550337304253</v>
      </c>
    </row>
    <row r="249" spans="1:10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0.51</v>
      </c>
      <c r="H249">
        <v>0.58622522308595848</v>
      </c>
      <c r="I249" s="13">
        <v>0.70224568459786096</v>
      </c>
      <c r="J249">
        <v>20.644550337304253</v>
      </c>
    </row>
    <row r="250" spans="1:10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0.51</v>
      </c>
      <c r="H250">
        <v>0.58622522308595848</v>
      </c>
      <c r="I250" s="13">
        <v>0.69119315275574222</v>
      </c>
      <c r="J250">
        <v>20.644550337304253</v>
      </c>
    </row>
    <row r="251" spans="1:10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0.51</v>
      </c>
      <c r="H251">
        <v>0.58622522308595848</v>
      </c>
      <c r="I251" s="13">
        <v>0.71074553361536763</v>
      </c>
      <c r="J251">
        <v>20.644550337304253</v>
      </c>
    </row>
    <row r="252" spans="1:10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0.51</v>
      </c>
      <c r="H252">
        <v>0.58622522308595848</v>
      </c>
      <c r="I252" s="13">
        <v>0.70271095240972481</v>
      </c>
      <c r="J252">
        <v>20.644550337304253</v>
      </c>
    </row>
    <row r="253" spans="1:10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0.51</v>
      </c>
      <c r="H253">
        <v>0.58622522308595848</v>
      </c>
      <c r="I253" s="13">
        <v>0.70350330280725459</v>
      </c>
      <c r="J253">
        <v>20.644550337304253</v>
      </c>
    </row>
    <row r="254" spans="1:10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0.51</v>
      </c>
      <c r="H254">
        <v>0.58622522308595848</v>
      </c>
      <c r="I254" s="13">
        <v>0.68932753093964994</v>
      </c>
      <c r="J254">
        <v>20.644550337304253</v>
      </c>
    </row>
    <row r="255" spans="1:10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0.51</v>
      </c>
      <c r="H255">
        <v>0.58622522308595848</v>
      </c>
      <c r="I255" s="13">
        <v>0.71000398617192217</v>
      </c>
      <c r="J255">
        <v>20.644550337304253</v>
      </c>
    </row>
    <row r="256" spans="1:10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0.51</v>
      </c>
      <c r="H256">
        <v>0.58622522308595848</v>
      </c>
      <c r="I256" s="13">
        <v>0.70047730556527255</v>
      </c>
      <c r="J256">
        <v>20.644550337304253</v>
      </c>
    </row>
    <row r="257" spans="1:10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0.51</v>
      </c>
      <c r="H257">
        <v>0.58622522308595848</v>
      </c>
      <c r="I257" s="13">
        <v>0.70960472107592498</v>
      </c>
      <c r="J257">
        <v>20.644550337304253</v>
      </c>
    </row>
    <row r="258" spans="1:10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0.51</v>
      </c>
      <c r="H258">
        <v>0.58622522308595848</v>
      </c>
      <c r="I258" s="13">
        <v>0.70655641294964844</v>
      </c>
      <c r="J258">
        <v>20.644550337304253</v>
      </c>
    </row>
    <row r="259" spans="1:10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0.51</v>
      </c>
      <c r="H259">
        <v>0.58622522308595848</v>
      </c>
      <c r="I259" s="13">
        <v>0.69963079771558512</v>
      </c>
      <c r="J259">
        <v>20.644550337304253</v>
      </c>
    </row>
    <row r="260" spans="1:10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0.51</v>
      </c>
      <c r="H260">
        <v>0.58622522308595848</v>
      </c>
      <c r="I260" s="13">
        <v>0.6959706516164833</v>
      </c>
      <c r="J260">
        <v>20.644550337304253</v>
      </c>
    </row>
    <row r="261" spans="1:10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0.51</v>
      </c>
      <c r="H261">
        <v>0.58622522308595848</v>
      </c>
      <c r="I261" s="13">
        <v>0.70472200927632644</v>
      </c>
      <c r="J261">
        <v>20.644550337304253</v>
      </c>
    </row>
    <row r="262" spans="1:10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0.51</v>
      </c>
      <c r="H262">
        <v>0.58622522308595848</v>
      </c>
      <c r="I262" s="13">
        <v>0.69280125859219643</v>
      </c>
      <c r="J262">
        <v>20.644550337304253</v>
      </c>
    </row>
    <row r="263" spans="1:10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0.51</v>
      </c>
      <c r="H263">
        <v>0.58622522308595848</v>
      </c>
      <c r="I263" s="13">
        <v>0.7082136004516506</v>
      </c>
      <c r="J263">
        <v>20.644550337304253</v>
      </c>
    </row>
  </sheetData>
  <mergeCells count="1">
    <mergeCell ref="C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6D809-21E5-43F1-8ED4-0DF6C58D3DDA}">
  <dimension ref="A1:J263"/>
  <sheetViews>
    <sheetView workbookViewId="0">
      <pane ySplit="2" topLeftCell="A3" activePane="bottomLeft" state="frozen"/>
      <selection pane="bottomLeft" activeCell="A263" sqref="A263"/>
    </sheetView>
  </sheetViews>
  <sheetFormatPr defaultColWidth="14.36328125" defaultRowHeight="14.5"/>
  <cols>
    <col min="2" max="2" width="10.453125" style="1" customWidth="1"/>
    <col min="3" max="4" width="18.81640625" customWidth="1"/>
    <col min="5" max="5" width="15.7265625" customWidth="1"/>
    <col min="7" max="8" width="10.54296875" customWidth="1"/>
    <col min="9" max="9" width="17.453125" customWidth="1"/>
    <col min="10" max="10" width="18.7265625" customWidth="1"/>
  </cols>
  <sheetData>
    <row r="1" spans="1:10">
      <c r="C1" s="18" t="s">
        <v>63</v>
      </c>
      <c r="D1" s="18"/>
      <c r="E1" s="18"/>
      <c r="F1" s="18"/>
      <c r="G1" t="s">
        <v>64</v>
      </c>
      <c r="H1" t="s">
        <v>65</v>
      </c>
      <c r="I1" t="s">
        <v>66</v>
      </c>
      <c r="J1" t="s">
        <v>64</v>
      </c>
    </row>
    <row r="2" spans="1:10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</row>
    <row r="3" spans="1:10">
      <c r="A3" s="1">
        <v>45474</v>
      </c>
      <c r="B3" s="1" cm="1">
        <f t="array" ref="B3">_xlfn._xlws.FILTER(A3, WEEKDAY(A3, 2) &lt;= 5)</f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0.1693000030517578</v>
      </c>
      <c r="J3">
        <v>20.644550337304253</v>
      </c>
    </row>
    <row r="4" spans="1:10">
      <c r="A4" s="1">
        <v>45475</v>
      </c>
      <c r="B4" s="1" cm="1">
        <f t="array" ref="B4">_xlfn._xlws.FILTER(A4, WEEKDAY(A4, 2) &lt;= 5)</f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0.58622522308595848</v>
      </c>
      <c r="I4">
        <v>0.1693000030517578</v>
      </c>
      <c r="J4">
        <v>20.644550337304253</v>
      </c>
    </row>
    <row r="5" spans="1:10">
      <c r="A5" s="1">
        <v>45476</v>
      </c>
      <c r="B5" s="1" cm="1">
        <f t="array" ref="B5">_xlfn._xlws.FILTER(A5, WEEKDAY(A5, 2) &lt;= 5)</f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0.58622522308595848</v>
      </c>
      <c r="I5">
        <v>0.1693000030517578</v>
      </c>
      <c r="J5">
        <v>20.644550337304253</v>
      </c>
    </row>
    <row r="6" spans="1:10">
      <c r="A6" s="1">
        <v>45477</v>
      </c>
      <c r="B6" s="1" cm="1">
        <f t="array" ref="B6">_xlfn._xlws.FILTER(A6, WEEKDAY(A6, 2) &lt;= 5)</f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0.58622522308595848</v>
      </c>
      <c r="I6">
        <v>0.1693000030517578</v>
      </c>
      <c r="J6">
        <v>20.644550337304253</v>
      </c>
    </row>
    <row r="7" spans="1:10">
      <c r="A7" s="1">
        <v>45478</v>
      </c>
      <c r="B7" s="1" cm="1">
        <f t="array" ref="B7">_xlfn._xlws.FILTER(A7, WEEKDAY(A7, 2) &lt;= 5)</f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0.51</v>
      </c>
      <c r="H7">
        <v>0.58622522308595848</v>
      </c>
      <c r="I7">
        <v>0.1693000030517578</v>
      </c>
      <c r="J7">
        <v>20.644550337304253</v>
      </c>
    </row>
    <row r="8" spans="1:10">
      <c r="A8" s="1">
        <v>45481</v>
      </c>
      <c r="B8" s="1" cm="1">
        <f t="array" ref="B8">_xlfn._xlws.FILTER(A8, WEEKDAY(A8, 2) &lt;= 5)</f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0.51</v>
      </c>
      <c r="H8">
        <v>0.58622522308595848</v>
      </c>
      <c r="I8">
        <v>0.1693000030517578</v>
      </c>
      <c r="J8">
        <v>20.644550337304253</v>
      </c>
    </row>
    <row r="9" spans="1:10">
      <c r="A9" s="1">
        <v>45482</v>
      </c>
      <c r="B9" s="1" cm="1">
        <f t="array" ref="B9">_xlfn._xlws.FILTER(A9, WEEKDAY(A9, 2) &lt;= 5)</f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0.51</v>
      </c>
      <c r="H9">
        <v>0.58622522308595848</v>
      </c>
      <c r="I9">
        <v>0.1693000030517578</v>
      </c>
      <c r="J9">
        <v>20.644550337304253</v>
      </c>
    </row>
    <row r="10" spans="1:10">
      <c r="A10" s="1">
        <v>45483</v>
      </c>
      <c r="B10" s="1" cm="1">
        <f t="array" ref="B10">_xlfn._xlws.FILTER(A10, WEEKDAY(A10, 2) &lt;= 5)</f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0.58622522308595848</v>
      </c>
      <c r="I10">
        <v>0.1693000030517578</v>
      </c>
      <c r="J10">
        <v>20.644550337304253</v>
      </c>
    </row>
    <row r="11" spans="1:10">
      <c r="A11" s="1">
        <v>45484</v>
      </c>
      <c r="B11" s="1" cm="1">
        <f t="array" ref="B11">_xlfn._xlws.FILTER(A11, WEEKDAY(A11, 2) &lt;= 5)</f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0.58622522308595848</v>
      </c>
      <c r="I11">
        <v>0.1693000030517578</v>
      </c>
      <c r="J11">
        <v>20.644550337304253</v>
      </c>
    </row>
    <row r="12" spans="1:10">
      <c r="A12" s="1">
        <v>45485</v>
      </c>
      <c r="B12" s="1" cm="1">
        <f t="array" ref="B12">_xlfn._xlws.FILTER(A12, WEEKDAY(A12, 2) &lt;= 5)</f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0.58622522308595848</v>
      </c>
      <c r="I12">
        <v>0.1693000030517578</v>
      </c>
      <c r="J12">
        <v>20.644550337304253</v>
      </c>
    </row>
    <row r="13" spans="1:10">
      <c r="A13" s="1">
        <v>45488</v>
      </c>
      <c r="B13" s="1" cm="1">
        <f t="array" ref="B13">_xlfn._xlws.FILTER(A13, WEEKDAY(A13, 2) &lt;= 5)</f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0.51</v>
      </c>
      <c r="H13">
        <v>0.58622522308595848</v>
      </c>
      <c r="I13">
        <v>0.1693000030517578</v>
      </c>
      <c r="J13">
        <v>20.644550337304253</v>
      </c>
    </row>
    <row r="14" spans="1:10">
      <c r="A14" s="1">
        <v>45489</v>
      </c>
      <c r="B14" s="1" cm="1">
        <f t="array" ref="B14">_xlfn._xlws.FILTER(A14, WEEKDAY(A14, 2) &lt;= 5)</f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0.51</v>
      </c>
      <c r="H14">
        <v>0.58622522308595848</v>
      </c>
      <c r="I14">
        <v>0.1693000030517578</v>
      </c>
      <c r="J14">
        <v>20.644550337304253</v>
      </c>
    </row>
    <row r="15" spans="1:10">
      <c r="A15" s="1">
        <v>45490</v>
      </c>
      <c r="B15" s="1" cm="1">
        <f t="array" ref="B15">_xlfn._xlws.FILTER(A15, WEEKDAY(A15, 2) &lt;= 5)</f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0.51</v>
      </c>
      <c r="H15">
        <v>0.58622522308595848</v>
      </c>
      <c r="I15">
        <v>0.1693000030517578</v>
      </c>
      <c r="J15">
        <v>20.644550337304253</v>
      </c>
    </row>
    <row r="16" spans="1:10">
      <c r="A16" s="1">
        <v>45491</v>
      </c>
      <c r="B16" s="1" cm="1">
        <f t="array" ref="B16">_xlfn._xlws.FILTER(A16, WEEKDAY(A16, 2) &lt;= 5)</f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0.51</v>
      </c>
      <c r="H16">
        <v>0.58622522308595848</v>
      </c>
      <c r="I16">
        <v>0.1693000030517578</v>
      </c>
      <c r="J16">
        <v>20.644550337304253</v>
      </c>
    </row>
    <row r="17" spans="1:10">
      <c r="A17" s="1">
        <v>45492</v>
      </c>
      <c r="B17" s="1" cm="1">
        <f t="array" ref="B17">_xlfn._xlws.FILTER(A17, WEEKDAY(A17, 2) &lt;= 5)</f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0.51</v>
      </c>
      <c r="H17">
        <v>0.58622522308595848</v>
      </c>
      <c r="I17">
        <v>0.1693000030517578</v>
      </c>
      <c r="J17">
        <v>20.644550337304253</v>
      </c>
    </row>
    <row r="18" spans="1:10">
      <c r="A18" s="1">
        <v>45495</v>
      </c>
      <c r="B18" s="1" cm="1">
        <f t="array" ref="B18">_xlfn._xlws.FILTER(A18, WEEKDAY(A18, 2) &lt;= 5)</f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0.51</v>
      </c>
      <c r="H18">
        <v>0.58622522308595848</v>
      </c>
      <c r="I18">
        <v>0.1693000030517578</v>
      </c>
      <c r="J18">
        <v>20.644550337304253</v>
      </c>
    </row>
    <row r="19" spans="1:10">
      <c r="A19" s="1">
        <v>45496</v>
      </c>
      <c r="B19" s="1" cm="1">
        <f t="array" ref="B19">_xlfn._xlws.FILTER(A19, WEEKDAY(A19, 2) &lt;= 5)</f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0.51</v>
      </c>
      <c r="H19">
        <v>0.58622522308595848</v>
      </c>
      <c r="I19">
        <v>0.1693000030517578</v>
      </c>
      <c r="J19">
        <v>20.644550337304253</v>
      </c>
    </row>
    <row r="20" spans="1:10">
      <c r="A20" s="1">
        <v>45497</v>
      </c>
      <c r="B20" s="1" cm="1">
        <f t="array" ref="B20">_xlfn._xlws.FILTER(A20, WEEKDAY(A20, 2) &lt;= 5)</f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0.51</v>
      </c>
      <c r="H20">
        <v>0.58622522308595848</v>
      </c>
      <c r="I20">
        <v>0.1693000030517578</v>
      </c>
      <c r="J20">
        <v>20.644550337304253</v>
      </c>
    </row>
    <row r="21" spans="1:10">
      <c r="A21" s="1">
        <v>45498</v>
      </c>
      <c r="B21" s="1" cm="1">
        <f t="array" ref="B21">_xlfn._xlws.FILTER(A21, WEEKDAY(A21, 2) &lt;= 5)</f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0.58622522308595848</v>
      </c>
      <c r="I21">
        <v>0.1693000030517578</v>
      </c>
      <c r="J21">
        <v>20.644550337304253</v>
      </c>
    </row>
    <row r="22" spans="1:10">
      <c r="A22" s="1">
        <v>45499</v>
      </c>
      <c r="B22" s="1" cm="1">
        <f t="array" ref="B22">_xlfn._xlws.FILTER(A22, WEEKDAY(A22, 2) &lt;= 5)</f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0.51</v>
      </c>
      <c r="H22">
        <v>0.58622522308595848</v>
      </c>
      <c r="I22">
        <v>0.1693000030517578</v>
      </c>
      <c r="J22">
        <v>20.644550337304253</v>
      </c>
    </row>
    <row r="23" spans="1:10">
      <c r="A23" s="1">
        <v>45502</v>
      </c>
      <c r="B23" s="1" cm="1">
        <f t="array" ref="B23">_xlfn._xlws.FILTER(A23, WEEKDAY(A23, 2) &lt;= 5)</f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0.51</v>
      </c>
      <c r="H23">
        <v>0.58622522308595848</v>
      </c>
      <c r="I23">
        <v>0.1693000030517578</v>
      </c>
      <c r="J23">
        <v>20.644550337304253</v>
      </c>
    </row>
    <row r="24" spans="1:10">
      <c r="A24" s="1">
        <v>45503</v>
      </c>
      <c r="B24" s="1" cm="1">
        <f t="array" ref="B24">_xlfn._xlws.FILTER(A24, WEEKDAY(A24, 2) &lt;= 5)</f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0.51</v>
      </c>
      <c r="H24">
        <v>0.58622522308595848</v>
      </c>
      <c r="I24">
        <v>0.1693000030517578</v>
      </c>
      <c r="J24">
        <v>20.644550337304253</v>
      </c>
    </row>
    <row r="25" spans="1:10">
      <c r="A25" s="1">
        <v>45504</v>
      </c>
      <c r="B25" s="1" cm="1">
        <f t="array" ref="B25">_xlfn._xlws.FILTER(A25, WEEKDAY(A25, 2) &lt;= 5)</f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0.51</v>
      </c>
      <c r="H25">
        <v>0.58622522308595848</v>
      </c>
      <c r="I25">
        <v>0.1693000030517578</v>
      </c>
      <c r="J25">
        <v>20.644550337304253</v>
      </c>
    </row>
    <row r="26" spans="1:10">
      <c r="A26" s="1">
        <v>45505</v>
      </c>
      <c r="B26" s="1" cm="1">
        <f t="array" ref="B26">_xlfn._xlws.FILTER(A26, WEEKDAY(A26, 2) &lt;= 5)</f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0.51</v>
      </c>
      <c r="H26">
        <v>0.58622522308595848</v>
      </c>
      <c r="I26">
        <v>0.1693000030517578</v>
      </c>
      <c r="J26">
        <v>20.644550337304253</v>
      </c>
    </row>
    <row r="27" spans="1:10">
      <c r="A27" s="1">
        <v>45506</v>
      </c>
      <c r="B27" s="1" cm="1">
        <f t="array" ref="B27">_xlfn._xlws.FILTER(A27, WEEKDAY(A27, 2) &lt;= 5)</f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0.51</v>
      </c>
      <c r="H27">
        <v>0.58622522308595848</v>
      </c>
      <c r="I27">
        <v>0.1693000030517578</v>
      </c>
      <c r="J27">
        <v>20.644550337304253</v>
      </c>
    </row>
    <row r="28" spans="1:10">
      <c r="A28" s="1">
        <v>45509</v>
      </c>
      <c r="B28" s="1" cm="1">
        <f t="array" ref="B28">_xlfn._xlws.FILTER(A28, WEEKDAY(A28, 2) &lt;= 5)</f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0.51</v>
      </c>
      <c r="H28">
        <v>0.58622522308595848</v>
      </c>
      <c r="I28">
        <v>0.1693000030517578</v>
      </c>
      <c r="J28">
        <v>20.644550337304253</v>
      </c>
    </row>
    <row r="29" spans="1:10">
      <c r="A29" s="1">
        <v>45510</v>
      </c>
      <c r="B29" s="1" cm="1">
        <f t="array" ref="B29">_xlfn._xlws.FILTER(A29, WEEKDAY(A29, 2) &lt;= 5)</f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0.51</v>
      </c>
      <c r="H29">
        <v>0.58622522308595848</v>
      </c>
      <c r="I29">
        <v>0.1693000030517578</v>
      </c>
      <c r="J29">
        <v>20.644550337304253</v>
      </c>
    </row>
    <row r="30" spans="1:10">
      <c r="A30" s="1">
        <v>45511</v>
      </c>
      <c r="B30" s="1" cm="1">
        <f t="array" ref="B30">_xlfn._xlws.FILTER(A30, WEEKDAY(A30, 2) &lt;= 5)</f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0.51</v>
      </c>
      <c r="H30">
        <v>0.58622522308595848</v>
      </c>
      <c r="I30">
        <v>0.1693000030517578</v>
      </c>
      <c r="J30">
        <v>20.644550337304253</v>
      </c>
    </row>
    <row r="31" spans="1:10">
      <c r="A31" s="1">
        <v>45512</v>
      </c>
      <c r="B31" s="1" cm="1">
        <f t="array" ref="B31">_xlfn._xlws.FILTER(A31, WEEKDAY(A31, 2) &lt;= 5)</f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0.51</v>
      </c>
      <c r="H31">
        <v>0.58622522308595848</v>
      </c>
      <c r="I31">
        <v>0.1693000030517578</v>
      </c>
      <c r="J31">
        <v>20.644550337304253</v>
      </c>
    </row>
    <row r="32" spans="1:10">
      <c r="A32" s="1">
        <v>45513</v>
      </c>
      <c r="B32" s="1" cm="1">
        <f t="array" ref="B32">_xlfn._xlws.FILTER(A32, WEEKDAY(A32, 2) &lt;= 5)</f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0.51</v>
      </c>
      <c r="H32">
        <v>0.58622522308595848</v>
      </c>
      <c r="I32">
        <v>0.1693000030517578</v>
      </c>
      <c r="J32">
        <v>20.644550337304253</v>
      </c>
    </row>
    <row r="33" spans="1:10">
      <c r="A33" s="1">
        <v>45516</v>
      </c>
      <c r="B33" s="1" cm="1">
        <f t="array" ref="B33">_xlfn._xlws.FILTER(A33, WEEKDAY(A33, 2) &lt;= 5)</f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0.51</v>
      </c>
      <c r="H33">
        <v>0.58622522308595848</v>
      </c>
      <c r="I33">
        <v>0.1693000030517578</v>
      </c>
      <c r="J33">
        <v>20.644550337304253</v>
      </c>
    </row>
    <row r="34" spans="1:10">
      <c r="A34" s="1">
        <v>45517</v>
      </c>
      <c r="B34" s="1" cm="1">
        <f t="array" ref="B34">_xlfn._xlws.FILTER(A34, WEEKDAY(A34, 2) &lt;= 5)</f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0.51</v>
      </c>
      <c r="H34">
        <v>0.58622522308595848</v>
      </c>
      <c r="I34">
        <v>0.1693000030517578</v>
      </c>
      <c r="J34">
        <v>20.644550337304253</v>
      </c>
    </row>
    <row r="35" spans="1:10">
      <c r="A35" s="1">
        <v>45518</v>
      </c>
      <c r="B35" s="1" cm="1">
        <f t="array" ref="B35">_xlfn._xlws.FILTER(A35, WEEKDAY(A35, 2) &lt;= 5)</f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0.51</v>
      </c>
      <c r="H35">
        <v>0.58622522308595848</v>
      </c>
      <c r="I35">
        <v>0.1693000030517578</v>
      </c>
      <c r="J35">
        <v>20.644550337304253</v>
      </c>
    </row>
    <row r="36" spans="1:10">
      <c r="A36" s="1">
        <v>45519</v>
      </c>
      <c r="B36" s="1" cm="1">
        <f t="array" ref="B36">_xlfn._xlws.FILTER(A36, WEEKDAY(A36, 2) &lt;= 5)</f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0.51</v>
      </c>
      <c r="H36">
        <v>0.58622522308595848</v>
      </c>
      <c r="I36">
        <v>0.1693000030517578</v>
      </c>
      <c r="J36">
        <v>20.644550337304253</v>
      </c>
    </row>
    <row r="37" spans="1:10">
      <c r="A37" s="1">
        <v>45520</v>
      </c>
      <c r="B37" s="1" cm="1">
        <f t="array" ref="B37">_xlfn._xlws.FILTER(A37, WEEKDAY(A37, 2) &lt;= 5)</f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0.51</v>
      </c>
      <c r="H37">
        <v>0.58622522308595848</v>
      </c>
      <c r="I37">
        <v>0.1693000030517578</v>
      </c>
      <c r="J37">
        <v>20.644550337304253</v>
      </c>
    </row>
    <row r="38" spans="1:10">
      <c r="A38" s="1">
        <v>45523</v>
      </c>
      <c r="B38" s="1" cm="1">
        <f t="array" ref="B38">_xlfn._xlws.FILTER(A38, WEEKDAY(A38, 2) &lt;= 5)</f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0.51</v>
      </c>
      <c r="H38">
        <v>0.58622522308595848</v>
      </c>
      <c r="I38">
        <v>0.1693000030517578</v>
      </c>
      <c r="J38">
        <v>20.644550337304253</v>
      </c>
    </row>
    <row r="39" spans="1:10">
      <c r="A39" s="1">
        <v>45524</v>
      </c>
      <c r="B39" s="1" cm="1">
        <f t="array" ref="B39">_xlfn._xlws.FILTER(A39, WEEKDAY(A39, 2) &lt;= 5)</f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0.51</v>
      </c>
      <c r="H39">
        <v>0.58622522308595848</v>
      </c>
      <c r="I39">
        <v>0.1693000030517578</v>
      </c>
      <c r="J39">
        <v>20.644550337304253</v>
      </c>
    </row>
    <row r="40" spans="1:10">
      <c r="A40" s="1">
        <v>45525</v>
      </c>
      <c r="B40" s="1" cm="1">
        <f t="array" ref="B40">_xlfn._xlws.FILTER(A40, WEEKDAY(A40, 2) &lt;= 5)</f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0.51</v>
      </c>
      <c r="H40">
        <v>0.58622522308595848</v>
      </c>
      <c r="I40">
        <v>0.1693000030517578</v>
      </c>
      <c r="J40">
        <v>20.644550337304253</v>
      </c>
    </row>
    <row r="41" spans="1:10">
      <c r="A41" s="1">
        <v>45526</v>
      </c>
      <c r="B41" s="1" cm="1">
        <f t="array" ref="B41">_xlfn._xlws.FILTER(A41, WEEKDAY(A41, 2) &lt;= 5)</f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0.51</v>
      </c>
      <c r="H41">
        <v>0.58622522308595848</v>
      </c>
      <c r="I41">
        <v>0.1693000030517578</v>
      </c>
      <c r="J41">
        <v>20.644550337304253</v>
      </c>
    </row>
    <row r="42" spans="1:10">
      <c r="A42" s="1">
        <v>45527</v>
      </c>
      <c r="B42" s="1" cm="1">
        <f t="array" ref="B42">_xlfn._xlws.FILTER(A42, WEEKDAY(A42, 2) &lt;= 5)</f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0.51</v>
      </c>
      <c r="H42">
        <v>0.58622522308595848</v>
      </c>
      <c r="I42">
        <v>0.1693000030517578</v>
      </c>
      <c r="J42">
        <v>20.644550337304253</v>
      </c>
    </row>
    <row r="43" spans="1:10">
      <c r="A43" s="1">
        <v>45530</v>
      </c>
      <c r="B43" s="1" cm="1">
        <f t="array" ref="B43">_xlfn._xlws.FILTER(A43, WEEKDAY(A43, 2) &lt;= 5)</f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0.51</v>
      </c>
      <c r="H43">
        <v>0.58622522308595848</v>
      </c>
      <c r="I43">
        <v>0.1693000030517578</v>
      </c>
      <c r="J43">
        <v>20.644550337304253</v>
      </c>
    </row>
    <row r="44" spans="1:10">
      <c r="A44" s="1">
        <v>45531</v>
      </c>
      <c r="B44" s="1" cm="1">
        <f t="array" ref="B44">_xlfn._xlws.FILTER(A44, WEEKDAY(A44, 2) &lt;= 5)</f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0.51</v>
      </c>
      <c r="H44">
        <v>0.58622522308595848</v>
      </c>
      <c r="I44">
        <v>0.1693000030517578</v>
      </c>
      <c r="J44">
        <v>20.644550337304253</v>
      </c>
    </row>
    <row r="45" spans="1:10">
      <c r="A45" s="1">
        <v>45532</v>
      </c>
      <c r="B45" s="1" cm="1">
        <f t="array" ref="B45">_xlfn._xlws.FILTER(A45, WEEKDAY(A45, 2) &lt;= 5)</f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0.51</v>
      </c>
      <c r="H45">
        <v>0.58622522308595848</v>
      </c>
      <c r="I45">
        <v>0.1693000030517578</v>
      </c>
      <c r="J45">
        <v>20.644550337304253</v>
      </c>
    </row>
    <row r="46" spans="1:10">
      <c r="A46" s="1">
        <v>45533</v>
      </c>
      <c r="B46" s="1" cm="1">
        <f t="array" ref="B46">_xlfn._xlws.FILTER(A46, WEEKDAY(A46, 2) &lt;= 5)</f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0.51</v>
      </c>
      <c r="H46">
        <v>0.58622522308595848</v>
      </c>
      <c r="I46">
        <v>0.1693000030517578</v>
      </c>
      <c r="J46">
        <v>20.644550337304253</v>
      </c>
    </row>
    <row r="47" spans="1:10">
      <c r="A47" s="1">
        <v>45534</v>
      </c>
      <c r="B47" s="1" cm="1">
        <f t="array" ref="B47">_xlfn._xlws.FILTER(A47, WEEKDAY(A47, 2) &lt;= 5)</f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0.51</v>
      </c>
      <c r="H47">
        <v>0.58622522308595848</v>
      </c>
      <c r="I47">
        <v>0.1693000030517578</v>
      </c>
      <c r="J47">
        <v>20.644550337304253</v>
      </c>
    </row>
    <row r="48" spans="1:10">
      <c r="A48" s="1">
        <v>45537</v>
      </c>
      <c r="B48" s="1" cm="1">
        <f t="array" ref="B48">_xlfn._xlws.FILTER(A48, WEEKDAY(A48, 2) &lt;= 5)</f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0.51</v>
      </c>
      <c r="H48">
        <v>0.58622522308595848</v>
      </c>
      <c r="I48">
        <v>0.1693000030517578</v>
      </c>
      <c r="J48">
        <v>20.644550337304253</v>
      </c>
    </row>
    <row r="49" spans="1:10">
      <c r="A49" s="1">
        <v>45538</v>
      </c>
      <c r="B49" s="1" cm="1">
        <f t="array" ref="B49">_xlfn._xlws.FILTER(A49, WEEKDAY(A49, 2) &lt;= 5)</f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0.51</v>
      </c>
      <c r="H49">
        <v>0.58622522308595848</v>
      </c>
      <c r="I49">
        <v>0.1693000030517578</v>
      </c>
      <c r="J49">
        <v>20.644550337304253</v>
      </c>
    </row>
    <row r="50" spans="1:10">
      <c r="A50" s="1">
        <v>45539</v>
      </c>
      <c r="B50" s="1" cm="1">
        <f t="array" ref="B50">_xlfn._xlws.FILTER(A50, WEEKDAY(A50, 2) &lt;= 5)</f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0.51</v>
      </c>
      <c r="H50">
        <v>0.58622522308595848</v>
      </c>
      <c r="I50">
        <v>0.1693000030517578</v>
      </c>
      <c r="J50">
        <v>20.644550337304253</v>
      </c>
    </row>
    <row r="51" spans="1:10">
      <c r="A51" s="1">
        <v>45540</v>
      </c>
      <c r="B51" s="1" cm="1">
        <f t="array" ref="B51">_xlfn._xlws.FILTER(A51, WEEKDAY(A51, 2) &lt;= 5)</f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0.51</v>
      </c>
      <c r="H51">
        <v>0.58622522308595848</v>
      </c>
      <c r="I51">
        <v>0.1693000030517578</v>
      </c>
      <c r="J51">
        <v>20.644550337304253</v>
      </c>
    </row>
    <row r="52" spans="1:10">
      <c r="A52" s="1">
        <v>45541</v>
      </c>
      <c r="B52" s="1" cm="1">
        <f t="array" ref="B52">_xlfn._xlws.FILTER(A52, WEEKDAY(A52, 2) &lt;= 5)</f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0.51</v>
      </c>
      <c r="H52">
        <v>0.58622522308595848</v>
      </c>
      <c r="I52">
        <v>0.1693000030517578</v>
      </c>
      <c r="J52">
        <v>20.644550337304253</v>
      </c>
    </row>
    <row r="53" spans="1:10">
      <c r="A53" s="1">
        <v>45544</v>
      </c>
      <c r="B53" s="1" cm="1">
        <f t="array" ref="B53">_xlfn._xlws.FILTER(A53, WEEKDAY(A53, 2) &lt;= 5)</f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0.51</v>
      </c>
      <c r="H53">
        <v>0.58622522308595848</v>
      </c>
      <c r="I53">
        <v>0.1693000030517578</v>
      </c>
      <c r="J53">
        <v>20.644550337304253</v>
      </c>
    </row>
    <row r="54" spans="1:10">
      <c r="A54" s="1">
        <v>45545</v>
      </c>
      <c r="B54" s="1" cm="1">
        <f t="array" ref="B54">_xlfn._xlws.FILTER(A54, WEEKDAY(A54, 2) &lt;= 5)</f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0.51</v>
      </c>
      <c r="H54">
        <v>0.58622522308595848</v>
      </c>
      <c r="I54">
        <v>0.1693000030517578</v>
      </c>
      <c r="J54">
        <v>20.644550337304253</v>
      </c>
    </row>
    <row r="55" spans="1:10">
      <c r="A55" s="1">
        <v>45546</v>
      </c>
      <c r="B55" s="1" cm="1">
        <f t="array" ref="B55">_xlfn._xlws.FILTER(A55, WEEKDAY(A55, 2) &lt;= 5)</f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0.51</v>
      </c>
      <c r="H55">
        <v>0.58622522308595848</v>
      </c>
      <c r="I55">
        <v>0.1693000030517578</v>
      </c>
      <c r="J55">
        <v>20.644550337304253</v>
      </c>
    </row>
    <row r="56" spans="1:10">
      <c r="A56" s="1">
        <v>45547</v>
      </c>
      <c r="B56" s="1" cm="1">
        <f t="array" ref="B56">_xlfn._xlws.FILTER(A56, WEEKDAY(A56, 2) &lt;= 5)</f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0.51</v>
      </c>
      <c r="H56">
        <v>0.58622522308595848</v>
      </c>
      <c r="I56">
        <v>0.1693000030517578</v>
      </c>
      <c r="J56">
        <v>20.644550337304253</v>
      </c>
    </row>
    <row r="57" spans="1:10">
      <c r="A57" s="1">
        <v>45548</v>
      </c>
      <c r="B57" s="1" cm="1">
        <f t="array" ref="B57">_xlfn._xlws.FILTER(A57, WEEKDAY(A57, 2) &lt;= 5)</f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0.51</v>
      </c>
      <c r="H57">
        <v>0.58622522308595848</v>
      </c>
      <c r="I57">
        <v>0.1693000030517578</v>
      </c>
      <c r="J57">
        <v>20.644550337304253</v>
      </c>
    </row>
    <row r="58" spans="1:10">
      <c r="A58" s="1">
        <v>45551</v>
      </c>
      <c r="B58" s="1" cm="1">
        <f t="array" ref="B58">_xlfn._xlws.FILTER(A58, WEEKDAY(A58, 2) &lt;= 5)</f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0.51</v>
      </c>
      <c r="H58">
        <v>0.58622522308595848</v>
      </c>
      <c r="I58">
        <v>0.1693000030517578</v>
      </c>
      <c r="J58">
        <v>20.644550337304253</v>
      </c>
    </row>
    <row r="59" spans="1:10">
      <c r="A59" s="1">
        <v>45552</v>
      </c>
      <c r="B59" s="1" cm="1">
        <f t="array" ref="B59">_xlfn._xlws.FILTER(A59, WEEKDAY(A59, 2) &lt;= 5)</f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0.51</v>
      </c>
      <c r="H59">
        <v>0.58622522308595848</v>
      </c>
      <c r="I59">
        <v>0.1693000030517578</v>
      </c>
      <c r="J59">
        <v>20.644550337304253</v>
      </c>
    </row>
    <row r="60" spans="1:10">
      <c r="A60" s="1">
        <v>45553</v>
      </c>
      <c r="B60" s="1" cm="1">
        <f t="array" ref="B60">_xlfn._xlws.FILTER(A60, WEEKDAY(A60, 2) &lt;= 5)</f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0.51</v>
      </c>
      <c r="H60">
        <v>0.58622522308595848</v>
      </c>
      <c r="I60">
        <v>0.1693000030517578</v>
      </c>
      <c r="J60">
        <v>20.644550337304253</v>
      </c>
    </row>
    <row r="61" spans="1:10">
      <c r="A61" s="1">
        <v>45554</v>
      </c>
      <c r="B61" s="1" cm="1">
        <f t="array" ref="B61">_xlfn._xlws.FILTER(A61, WEEKDAY(A61, 2) &lt;= 5)</f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0.51</v>
      </c>
      <c r="H61">
        <v>0.58622522308595848</v>
      </c>
      <c r="I61">
        <v>0.1693000030517578</v>
      </c>
      <c r="J61">
        <v>20.644550337304253</v>
      </c>
    </row>
    <row r="62" spans="1:10">
      <c r="A62" s="1">
        <v>45555</v>
      </c>
      <c r="B62" s="1" cm="1">
        <f t="array" ref="B62">_xlfn._xlws.FILTER(A62, WEEKDAY(A62, 2) &lt;= 5)</f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0.51</v>
      </c>
      <c r="H62">
        <v>0.58622522308595848</v>
      </c>
      <c r="I62">
        <v>0.1693000030517578</v>
      </c>
      <c r="J62">
        <v>20.644550337304253</v>
      </c>
    </row>
    <row r="63" spans="1:10">
      <c r="A63" s="1">
        <v>45558</v>
      </c>
      <c r="B63" s="1" cm="1">
        <f t="array" ref="B63">_xlfn._xlws.FILTER(A63, WEEKDAY(A63, 2) &lt;= 5)</f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0.51</v>
      </c>
      <c r="H63">
        <v>0.58622522308595848</v>
      </c>
      <c r="I63">
        <v>0.1693000030517578</v>
      </c>
      <c r="J63">
        <v>20.644550337304253</v>
      </c>
    </row>
    <row r="64" spans="1:10">
      <c r="A64" s="1">
        <v>45559</v>
      </c>
      <c r="B64" s="1" cm="1">
        <f t="array" ref="B64">_xlfn._xlws.FILTER(A64, WEEKDAY(A64, 2) &lt;= 5)</f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0.51</v>
      </c>
      <c r="H64">
        <v>0.58622522308595848</v>
      </c>
      <c r="I64">
        <v>0.1693000030517578</v>
      </c>
      <c r="J64">
        <v>20.644550337304253</v>
      </c>
    </row>
    <row r="65" spans="1:10">
      <c r="A65" s="1">
        <v>45560</v>
      </c>
      <c r="B65" s="1" cm="1">
        <f t="array" ref="B65">_xlfn._xlws.FILTER(A65, WEEKDAY(A65, 2) &lt;= 5)</f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0.51</v>
      </c>
      <c r="H65">
        <v>0.58622522308595848</v>
      </c>
      <c r="I65">
        <v>0.1693000030517578</v>
      </c>
      <c r="J65">
        <v>20.644550337304253</v>
      </c>
    </row>
    <row r="66" spans="1:10">
      <c r="A66" s="1">
        <v>45561</v>
      </c>
      <c r="B66" s="1" cm="1">
        <f t="array" ref="B66">_xlfn._xlws.FILTER(A66, WEEKDAY(A66, 2) &lt;= 5)</f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0.51</v>
      </c>
      <c r="H66">
        <v>0.58622522308595848</v>
      </c>
      <c r="I66">
        <v>0.1693000030517578</v>
      </c>
      <c r="J66">
        <v>20.644550337304253</v>
      </c>
    </row>
    <row r="67" spans="1:10">
      <c r="A67" s="1">
        <v>45562</v>
      </c>
      <c r="B67" s="1" cm="1">
        <f t="array" ref="B67">_xlfn._xlws.FILTER(A67, WEEKDAY(A67, 2) &lt;= 5)</f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0.51</v>
      </c>
      <c r="H67">
        <v>0.58622522308595848</v>
      </c>
      <c r="I67">
        <v>0.1693000030517578</v>
      </c>
      <c r="J67">
        <v>20.644550337304253</v>
      </c>
    </row>
    <row r="68" spans="1:10">
      <c r="A68" s="1">
        <v>45565</v>
      </c>
      <c r="B68" s="1" cm="1">
        <f t="array" ref="B68">_xlfn._xlws.FILTER(A68, WEEKDAY(A68, 2) &lt;= 5)</f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0.51</v>
      </c>
      <c r="H68">
        <v>0.58622522308595848</v>
      </c>
      <c r="I68">
        <v>0.1693000030517578</v>
      </c>
      <c r="J68">
        <v>20.644550337304253</v>
      </c>
    </row>
    <row r="69" spans="1:10">
      <c r="A69" s="1">
        <v>45566</v>
      </c>
      <c r="B69" s="1" cm="1">
        <f t="array" ref="B69">_xlfn._xlws.FILTER(A69, WEEKDAY(A69, 2) &lt;= 5)</f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0.51</v>
      </c>
      <c r="H69">
        <v>0.58622522308595848</v>
      </c>
      <c r="I69">
        <v>0.1693000030517578</v>
      </c>
      <c r="J69">
        <v>20.644550337304253</v>
      </c>
    </row>
    <row r="70" spans="1:10">
      <c r="A70" s="1">
        <v>45567</v>
      </c>
      <c r="B70" s="1" cm="1">
        <f t="array" ref="B70">_xlfn._xlws.FILTER(A70, WEEKDAY(A70, 2) &lt;= 5)</f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0.51</v>
      </c>
      <c r="H70">
        <v>0.58622522308595848</v>
      </c>
      <c r="I70">
        <v>0.1693000030517578</v>
      </c>
      <c r="J70">
        <v>20.644550337304253</v>
      </c>
    </row>
    <row r="71" spans="1:10">
      <c r="A71" s="1">
        <v>45568</v>
      </c>
      <c r="B71" s="1" cm="1">
        <f t="array" ref="B71">_xlfn._xlws.FILTER(A71, WEEKDAY(A71, 2) &lt;= 5)</f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0.51</v>
      </c>
      <c r="H71">
        <v>0.58622522308595848</v>
      </c>
      <c r="I71">
        <v>0.1693000030517578</v>
      </c>
      <c r="J71">
        <v>20.644550337304253</v>
      </c>
    </row>
    <row r="72" spans="1:10">
      <c r="A72" s="1">
        <v>45569</v>
      </c>
      <c r="B72" s="1" cm="1">
        <f t="array" ref="B72">_xlfn._xlws.FILTER(A72, WEEKDAY(A72, 2) &lt;= 5)</f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0.51</v>
      </c>
      <c r="H72">
        <v>0.58622522308595848</v>
      </c>
      <c r="I72">
        <v>0.1693000030517578</v>
      </c>
      <c r="J72">
        <v>20.644550337304253</v>
      </c>
    </row>
    <row r="73" spans="1:10">
      <c r="A73" s="1">
        <v>45572</v>
      </c>
      <c r="B73" s="1" cm="1">
        <f t="array" ref="B73">_xlfn._xlws.FILTER(A73, WEEKDAY(A73, 2) &lt;= 5)</f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0.51</v>
      </c>
      <c r="H73">
        <v>0.58622522308595848</v>
      </c>
      <c r="I73">
        <v>0.1693000030517578</v>
      </c>
      <c r="J73">
        <v>20.644550337304253</v>
      </c>
    </row>
    <row r="74" spans="1:10">
      <c r="A74" s="1">
        <v>45573</v>
      </c>
      <c r="B74" s="1" cm="1">
        <f t="array" ref="B74">_xlfn._xlws.FILTER(A74, WEEKDAY(A74, 2) &lt;= 5)</f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0.51</v>
      </c>
      <c r="H74">
        <v>0.58622522308595848</v>
      </c>
      <c r="I74">
        <v>0.1693000030517578</v>
      </c>
      <c r="J74">
        <v>20.644550337304253</v>
      </c>
    </row>
    <row r="75" spans="1:10">
      <c r="A75" s="1">
        <v>45574</v>
      </c>
      <c r="B75" s="1" cm="1">
        <f t="array" ref="B75">_xlfn._xlws.FILTER(A75, WEEKDAY(A75, 2) &lt;= 5)</f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0.51</v>
      </c>
      <c r="H75">
        <v>0.58622522308595848</v>
      </c>
      <c r="I75">
        <v>0.1693000030517578</v>
      </c>
      <c r="J75">
        <v>20.644550337304253</v>
      </c>
    </row>
    <row r="76" spans="1:10">
      <c r="A76" s="1">
        <v>45575</v>
      </c>
      <c r="B76" s="1" cm="1">
        <f t="array" ref="B76">_xlfn._xlws.FILTER(A76, WEEKDAY(A76, 2) &lt;= 5)</f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0.51</v>
      </c>
      <c r="H76">
        <v>0.58622522308595848</v>
      </c>
      <c r="I76">
        <v>0.1693000030517578</v>
      </c>
      <c r="J76">
        <v>20.644550337304253</v>
      </c>
    </row>
    <row r="77" spans="1:10">
      <c r="A77" s="1">
        <v>45576</v>
      </c>
      <c r="B77" s="1" cm="1">
        <f t="array" ref="B77">_xlfn._xlws.FILTER(A77, WEEKDAY(A77, 2) &lt;= 5)</f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0.51</v>
      </c>
      <c r="H77">
        <v>0.58622522308595848</v>
      </c>
      <c r="I77">
        <v>0.1693000030517578</v>
      </c>
      <c r="J77">
        <v>20.644550337304253</v>
      </c>
    </row>
    <row r="78" spans="1:10">
      <c r="A78" s="1">
        <v>45579</v>
      </c>
      <c r="B78" s="1" cm="1">
        <f t="array" ref="B78">_xlfn._xlws.FILTER(A78, WEEKDAY(A78, 2) &lt;= 5)</f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0.51</v>
      </c>
      <c r="H78">
        <v>0.58622522308595848</v>
      </c>
      <c r="I78">
        <v>0.1693000030517578</v>
      </c>
      <c r="J78">
        <v>20.644550337304253</v>
      </c>
    </row>
    <row r="79" spans="1:10">
      <c r="A79" s="1">
        <v>45580</v>
      </c>
      <c r="B79" s="1" cm="1">
        <f t="array" ref="B79">_xlfn._xlws.FILTER(A79, WEEKDAY(A79, 2) &lt;= 5)</f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0.51</v>
      </c>
      <c r="H79">
        <v>0.58622522308595848</v>
      </c>
      <c r="I79">
        <v>0.1693000030517578</v>
      </c>
      <c r="J79">
        <v>20.644550337304253</v>
      </c>
    </row>
    <row r="80" spans="1:10">
      <c r="A80" s="1">
        <v>45581</v>
      </c>
      <c r="B80" s="1" cm="1">
        <f t="array" ref="B80">_xlfn._xlws.FILTER(A80, WEEKDAY(A80, 2) &lt;= 5)</f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0.51</v>
      </c>
      <c r="H80">
        <v>0.58622522308595848</v>
      </c>
      <c r="I80">
        <v>0.1693000030517578</v>
      </c>
      <c r="J80">
        <v>20.644550337304253</v>
      </c>
    </row>
    <row r="81" spans="1:10">
      <c r="A81" s="1">
        <v>45582</v>
      </c>
      <c r="B81" s="1" cm="1">
        <f t="array" ref="B81">_xlfn._xlws.FILTER(A81, WEEKDAY(A81, 2) &lt;= 5)</f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0.51</v>
      </c>
      <c r="H81">
        <v>0.58622522308595848</v>
      </c>
      <c r="I81">
        <v>0.1693000030517578</v>
      </c>
      <c r="J81">
        <v>20.644550337304253</v>
      </c>
    </row>
    <row r="82" spans="1:10">
      <c r="A82" s="1">
        <v>45583</v>
      </c>
      <c r="B82" s="1" cm="1">
        <f t="array" ref="B82">_xlfn._xlws.FILTER(A82, WEEKDAY(A82, 2) &lt;= 5)</f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0.51</v>
      </c>
      <c r="H82">
        <v>0.58622522308595848</v>
      </c>
      <c r="I82">
        <v>0.1693000030517578</v>
      </c>
      <c r="J82">
        <v>20.644550337304253</v>
      </c>
    </row>
    <row r="83" spans="1:10">
      <c r="A83" s="1">
        <v>45586</v>
      </c>
      <c r="B83" s="1" cm="1">
        <f t="array" ref="B83">_xlfn._xlws.FILTER(A83, WEEKDAY(A83, 2) &lt;= 5)</f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0.51</v>
      </c>
      <c r="H83">
        <v>0.58622522308595848</v>
      </c>
      <c r="I83">
        <v>0.1693000030517578</v>
      </c>
      <c r="J83">
        <v>20.644550337304253</v>
      </c>
    </row>
    <row r="84" spans="1:10">
      <c r="A84" s="1">
        <v>45587</v>
      </c>
      <c r="B84" s="1" cm="1">
        <f t="array" ref="B84">_xlfn._xlws.FILTER(A84, WEEKDAY(A84, 2) &lt;= 5)</f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0.51</v>
      </c>
      <c r="H84">
        <v>0.58622522308595848</v>
      </c>
      <c r="I84">
        <v>0.1693000030517578</v>
      </c>
      <c r="J84">
        <v>20.644550337304253</v>
      </c>
    </row>
    <row r="85" spans="1:10">
      <c r="A85" s="1">
        <v>45588</v>
      </c>
      <c r="B85" s="1" cm="1">
        <f t="array" ref="B85">_xlfn._xlws.FILTER(A85, WEEKDAY(A85, 2) &lt;= 5)</f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0.51</v>
      </c>
      <c r="H85">
        <v>0.58622522308595848</v>
      </c>
      <c r="I85">
        <v>0.1693000030517578</v>
      </c>
      <c r="J85">
        <v>20.644550337304253</v>
      </c>
    </row>
    <row r="86" spans="1:10">
      <c r="A86" s="1">
        <v>45589</v>
      </c>
      <c r="B86" s="1" cm="1">
        <f t="array" ref="B86">_xlfn._xlws.FILTER(A86, WEEKDAY(A86, 2) &lt;= 5)</f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0.51</v>
      </c>
      <c r="H86">
        <v>0.58622522308595848</v>
      </c>
      <c r="I86">
        <v>0.1693000030517578</v>
      </c>
      <c r="J86">
        <v>20.644550337304253</v>
      </c>
    </row>
    <row r="87" spans="1:10">
      <c r="A87" s="1">
        <v>45590</v>
      </c>
      <c r="B87" s="1" cm="1">
        <f t="array" ref="B87">_xlfn._xlws.FILTER(A87, WEEKDAY(A87, 2) &lt;= 5)</f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0.51</v>
      </c>
      <c r="H87">
        <v>0.58622522308595848</v>
      </c>
      <c r="I87">
        <v>0.1693000030517578</v>
      </c>
      <c r="J87">
        <v>20.644550337304253</v>
      </c>
    </row>
    <row r="88" spans="1:10">
      <c r="A88" s="1">
        <v>45593</v>
      </c>
      <c r="B88" s="1" cm="1">
        <f t="array" ref="B88">_xlfn._xlws.FILTER(A88, WEEKDAY(A88, 2) &lt;= 5)</f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0.51</v>
      </c>
      <c r="H88">
        <v>0.58622522308595848</v>
      </c>
      <c r="I88">
        <v>0.1693000030517578</v>
      </c>
      <c r="J88">
        <v>20.644550337304253</v>
      </c>
    </row>
    <row r="89" spans="1:10">
      <c r="A89" s="1">
        <v>45594</v>
      </c>
      <c r="B89" s="1" cm="1">
        <f t="array" ref="B89">_xlfn._xlws.FILTER(A89, WEEKDAY(A89, 2) &lt;= 5)</f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0.51</v>
      </c>
      <c r="H89">
        <v>0.58622522308595848</v>
      </c>
      <c r="I89">
        <v>0.1693000030517578</v>
      </c>
      <c r="J89">
        <v>20.644550337304253</v>
      </c>
    </row>
    <row r="90" spans="1:10">
      <c r="A90" s="1">
        <v>45595</v>
      </c>
      <c r="B90" s="1" cm="1">
        <f t="array" ref="B90">_xlfn._xlws.FILTER(A90, WEEKDAY(A90, 2) &lt;= 5)</f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0.51</v>
      </c>
      <c r="H90">
        <v>0.58622522308595848</v>
      </c>
      <c r="I90">
        <v>0.1693000030517578</v>
      </c>
      <c r="J90">
        <v>20.644550337304253</v>
      </c>
    </row>
    <row r="91" spans="1:10">
      <c r="A91" s="1">
        <v>45596</v>
      </c>
      <c r="B91" s="1" cm="1">
        <f t="array" ref="B91">_xlfn._xlws.FILTER(A91, WEEKDAY(A91, 2) &lt;= 5)</f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0.51</v>
      </c>
      <c r="H91">
        <v>0.58622522308595848</v>
      </c>
      <c r="I91">
        <v>0.1693000030517578</v>
      </c>
      <c r="J91">
        <v>20.644550337304253</v>
      </c>
    </row>
    <row r="92" spans="1:10">
      <c r="A92" s="1">
        <v>45597</v>
      </c>
      <c r="B92" s="1" cm="1">
        <f t="array" ref="B92">_xlfn._xlws.FILTER(A92, WEEKDAY(A92, 2) &lt;= 5)</f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0.51</v>
      </c>
      <c r="H92">
        <v>0.58622522308595848</v>
      </c>
      <c r="I92">
        <v>0.1693000030517578</v>
      </c>
      <c r="J92">
        <v>20.644550337304253</v>
      </c>
    </row>
    <row r="93" spans="1:10">
      <c r="A93" s="1">
        <v>45600</v>
      </c>
      <c r="B93" s="1" cm="1">
        <f t="array" ref="B93">_xlfn._xlws.FILTER(A93, WEEKDAY(A93, 2) &lt;= 5)</f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0.51</v>
      </c>
      <c r="H93">
        <v>0.58622522308595848</v>
      </c>
      <c r="I93">
        <v>0.1693000030517578</v>
      </c>
      <c r="J93">
        <v>20.644550337304253</v>
      </c>
    </row>
    <row r="94" spans="1:10">
      <c r="A94" s="1">
        <v>45601</v>
      </c>
      <c r="B94" s="1" cm="1">
        <f t="array" ref="B94">_xlfn._xlws.FILTER(A94, WEEKDAY(A94, 2) &lt;= 5)</f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0.51</v>
      </c>
      <c r="H94">
        <v>0.58622522308595848</v>
      </c>
      <c r="I94">
        <v>0.1693000030517578</v>
      </c>
      <c r="J94">
        <v>20.644550337304253</v>
      </c>
    </row>
    <row r="95" spans="1:10">
      <c r="A95" s="1">
        <v>45602</v>
      </c>
      <c r="B95" s="1" cm="1">
        <f t="array" ref="B95">_xlfn._xlws.FILTER(A95, WEEKDAY(A95, 2) &lt;= 5)</f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0.51</v>
      </c>
      <c r="H95">
        <v>0.58622522308595848</v>
      </c>
      <c r="I95">
        <v>0.1693000030517578</v>
      </c>
      <c r="J95">
        <v>20.644550337304253</v>
      </c>
    </row>
    <row r="96" spans="1:10">
      <c r="A96" s="1">
        <v>45603</v>
      </c>
      <c r="B96" s="1" cm="1">
        <f t="array" ref="B96">_xlfn._xlws.FILTER(A96, WEEKDAY(A96, 2) &lt;= 5)</f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0.51</v>
      </c>
      <c r="H96">
        <v>0.58622522308595848</v>
      </c>
      <c r="I96">
        <v>0.1693000030517578</v>
      </c>
      <c r="J96">
        <v>20.644550337304253</v>
      </c>
    </row>
    <row r="97" spans="1:10">
      <c r="A97" s="1">
        <v>45604</v>
      </c>
      <c r="B97" s="1" cm="1">
        <f t="array" ref="B97">_xlfn._xlws.FILTER(A97, WEEKDAY(A97, 2) &lt;= 5)</f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0.51</v>
      </c>
      <c r="H97">
        <v>0.58622522308595848</v>
      </c>
      <c r="I97">
        <v>0.1693000030517578</v>
      </c>
      <c r="J97">
        <v>20.644550337304253</v>
      </c>
    </row>
    <row r="98" spans="1:10">
      <c r="A98" s="1">
        <v>45607</v>
      </c>
      <c r="B98" s="1" cm="1">
        <f t="array" ref="B98">_xlfn._xlws.FILTER(A98, WEEKDAY(A98, 2) &lt;= 5)</f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0.51</v>
      </c>
      <c r="H98">
        <v>0.58622522308595848</v>
      </c>
      <c r="I98">
        <v>0.1693000030517578</v>
      </c>
      <c r="J98">
        <v>20.644550337304253</v>
      </c>
    </row>
    <row r="99" spans="1:10">
      <c r="A99" s="1">
        <v>45608</v>
      </c>
      <c r="B99" s="1" cm="1">
        <f t="array" ref="B99">_xlfn._xlws.FILTER(A99, WEEKDAY(A99, 2) &lt;= 5)</f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0.51</v>
      </c>
      <c r="H99">
        <v>0.58622522308595848</v>
      </c>
      <c r="I99">
        <v>0.1693000030517578</v>
      </c>
      <c r="J99">
        <v>20.644550337304253</v>
      </c>
    </row>
    <row r="100" spans="1:10">
      <c r="A100" s="1">
        <v>45609</v>
      </c>
      <c r="B100" s="1" cm="1">
        <f t="array" ref="B100">_xlfn._xlws.FILTER(A100, WEEKDAY(A100, 2) &lt;= 5)</f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0.51</v>
      </c>
      <c r="H100">
        <v>0.58622522308595848</v>
      </c>
      <c r="I100">
        <v>0.1693000030517578</v>
      </c>
      <c r="J100">
        <v>20.644550337304253</v>
      </c>
    </row>
    <row r="101" spans="1:10">
      <c r="A101" s="1">
        <v>45610</v>
      </c>
      <c r="B101" s="1" cm="1">
        <f t="array" ref="B101">_xlfn._xlws.FILTER(A101, WEEKDAY(A101, 2) &lt;= 5)</f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0.51</v>
      </c>
      <c r="H101">
        <v>0.58622522308595848</v>
      </c>
      <c r="I101">
        <v>0.1693000030517578</v>
      </c>
      <c r="J101">
        <v>20.644550337304253</v>
      </c>
    </row>
    <row r="102" spans="1:10">
      <c r="A102" s="1">
        <v>45611</v>
      </c>
      <c r="B102" s="1" cm="1">
        <f t="array" ref="B102">_xlfn._xlws.FILTER(A102, WEEKDAY(A102, 2) &lt;= 5)</f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0.51</v>
      </c>
      <c r="H102">
        <v>0.58622522308595848</v>
      </c>
      <c r="I102">
        <v>0.1693000030517578</v>
      </c>
      <c r="J102">
        <v>20.644550337304253</v>
      </c>
    </row>
    <row r="103" spans="1:10">
      <c r="A103" s="1">
        <v>45614</v>
      </c>
      <c r="B103" s="1" cm="1">
        <f t="array" ref="B103">_xlfn._xlws.FILTER(A103, WEEKDAY(A103, 2) &lt;= 5)</f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0.51</v>
      </c>
      <c r="H103">
        <v>0.58622522308595848</v>
      </c>
      <c r="I103">
        <v>0.1693000030517578</v>
      </c>
      <c r="J103">
        <v>20.644550337304253</v>
      </c>
    </row>
    <row r="104" spans="1:10">
      <c r="A104" s="1">
        <v>45615</v>
      </c>
      <c r="B104" s="1" cm="1">
        <f t="array" ref="B104">_xlfn._xlws.FILTER(A104, WEEKDAY(A104, 2) &lt;= 5)</f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0.51</v>
      </c>
      <c r="H104">
        <v>0.58622522308595848</v>
      </c>
      <c r="I104">
        <v>0.1693000030517578</v>
      </c>
      <c r="J104">
        <v>20.644550337304253</v>
      </c>
    </row>
    <row r="105" spans="1:10">
      <c r="A105" s="1">
        <v>45616</v>
      </c>
      <c r="B105" s="1" cm="1">
        <f t="array" ref="B105">_xlfn._xlws.FILTER(A105, WEEKDAY(A105, 2) &lt;= 5)</f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0.51</v>
      </c>
      <c r="H105">
        <v>0.58622522308595848</v>
      </c>
      <c r="I105">
        <v>0.1693000030517578</v>
      </c>
      <c r="J105">
        <v>20.644550337304253</v>
      </c>
    </row>
    <row r="106" spans="1:10">
      <c r="A106" s="1">
        <v>45617</v>
      </c>
      <c r="B106" s="1" cm="1">
        <f t="array" ref="B106">_xlfn._xlws.FILTER(A106, WEEKDAY(A106, 2) &lt;= 5)</f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0.51</v>
      </c>
      <c r="H106">
        <v>0.58622522308595848</v>
      </c>
      <c r="I106">
        <v>0.1693000030517578</v>
      </c>
      <c r="J106">
        <v>20.644550337304253</v>
      </c>
    </row>
    <row r="107" spans="1:10">
      <c r="A107" s="1">
        <v>45618</v>
      </c>
      <c r="B107" s="1" cm="1">
        <f t="array" ref="B107">_xlfn._xlws.FILTER(A107, WEEKDAY(A107, 2) &lt;= 5)</f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0.51</v>
      </c>
      <c r="H107">
        <v>0.58622522308595848</v>
      </c>
      <c r="I107">
        <v>0.1693000030517578</v>
      </c>
      <c r="J107">
        <v>20.644550337304253</v>
      </c>
    </row>
    <row r="108" spans="1:10">
      <c r="A108" s="1">
        <v>45621</v>
      </c>
      <c r="B108" s="1" cm="1">
        <f t="array" ref="B108">_xlfn._xlws.FILTER(A108, WEEKDAY(A108, 2) &lt;= 5)</f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0.51</v>
      </c>
      <c r="H108">
        <v>0.58622522308595848</v>
      </c>
      <c r="I108">
        <v>0.1693000030517578</v>
      </c>
      <c r="J108">
        <v>20.644550337304253</v>
      </c>
    </row>
    <row r="109" spans="1:10">
      <c r="A109" s="1">
        <v>45622</v>
      </c>
      <c r="B109" s="1" cm="1">
        <f t="array" ref="B109">_xlfn._xlws.FILTER(A109, WEEKDAY(A109, 2) &lt;= 5)</f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0.51</v>
      </c>
      <c r="H109">
        <v>0.58622522308595848</v>
      </c>
      <c r="I109">
        <v>0.1693000030517578</v>
      </c>
      <c r="J109">
        <v>20.644550337304253</v>
      </c>
    </row>
    <row r="110" spans="1:10">
      <c r="A110" s="1">
        <v>45623</v>
      </c>
      <c r="B110" s="1" cm="1">
        <f t="array" ref="B110">_xlfn._xlws.FILTER(A110, WEEKDAY(A110, 2) &lt;= 5)</f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0.51</v>
      </c>
      <c r="H110">
        <v>0.58622522308595848</v>
      </c>
      <c r="I110">
        <v>0.1693000030517578</v>
      </c>
      <c r="J110">
        <v>20.644550337304253</v>
      </c>
    </row>
    <row r="111" spans="1:10">
      <c r="A111" s="1">
        <v>45624</v>
      </c>
      <c r="B111" s="1" cm="1">
        <f t="array" ref="B111">_xlfn._xlws.FILTER(A111, WEEKDAY(A111, 2) &lt;= 5)</f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0.51</v>
      </c>
      <c r="H111">
        <v>0.58622522308595848</v>
      </c>
      <c r="I111">
        <v>0.1693000030517578</v>
      </c>
      <c r="J111">
        <v>20.644550337304253</v>
      </c>
    </row>
    <row r="112" spans="1:10">
      <c r="A112" s="1">
        <v>45625</v>
      </c>
      <c r="B112" s="1" cm="1">
        <f t="array" ref="B112">_xlfn._xlws.FILTER(A112, WEEKDAY(A112, 2) &lt;= 5)</f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0.51</v>
      </c>
      <c r="H112">
        <v>0.58622522308595848</v>
      </c>
      <c r="I112">
        <v>0.1693000030517578</v>
      </c>
      <c r="J112">
        <v>20.644550337304253</v>
      </c>
    </row>
    <row r="113" spans="1:10">
      <c r="A113" s="1">
        <v>45628</v>
      </c>
      <c r="B113" s="1" cm="1">
        <f t="array" ref="B113">_xlfn._xlws.FILTER(A113, WEEKDAY(A113, 2) &lt;= 5)</f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0.51</v>
      </c>
      <c r="H113">
        <v>0.58622522308595848</v>
      </c>
      <c r="I113">
        <v>0.1693000030517578</v>
      </c>
      <c r="J113">
        <v>20.644550337304253</v>
      </c>
    </row>
    <row r="114" spans="1:10">
      <c r="A114" s="1">
        <v>45629</v>
      </c>
      <c r="B114" s="1" cm="1">
        <f t="array" ref="B114">_xlfn._xlws.FILTER(A114, WEEKDAY(A114, 2) &lt;= 5)</f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0.51</v>
      </c>
      <c r="H114">
        <v>0.58622522308595848</v>
      </c>
      <c r="I114">
        <v>0.1693000030517578</v>
      </c>
      <c r="J114">
        <v>20.644550337304253</v>
      </c>
    </row>
    <row r="115" spans="1:10">
      <c r="A115" s="1">
        <v>45630</v>
      </c>
      <c r="B115" s="1" cm="1">
        <f t="array" ref="B115">_xlfn._xlws.FILTER(A115, WEEKDAY(A115, 2) &lt;= 5)</f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0.51</v>
      </c>
      <c r="H115">
        <v>0.58622522308595848</v>
      </c>
      <c r="I115">
        <v>0.1693000030517578</v>
      </c>
      <c r="J115">
        <v>20.644550337304253</v>
      </c>
    </row>
    <row r="116" spans="1:10">
      <c r="A116" s="1">
        <v>45631</v>
      </c>
      <c r="B116" s="1" cm="1">
        <f t="array" ref="B116">_xlfn._xlws.FILTER(A116, WEEKDAY(A116, 2) &lt;= 5)</f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0.51</v>
      </c>
      <c r="H116">
        <v>0.58622522308595848</v>
      </c>
      <c r="I116">
        <v>0.1693000030517578</v>
      </c>
      <c r="J116">
        <v>20.644550337304253</v>
      </c>
    </row>
    <row r="117" spans="1:10">
      <c r="A117" s="1">
        <v>45632</v>
      </c>
      <c r="B117" s="1" cm="1">
        <f t="array" ref="B117">_xlfn._xlws.FILTER(A117, WEEKDAY(A117, 2) &lt;= 5)</f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0.51</v>
      </c>
      <c r="H117">
        <v>0.58622522308595848</v>
      </c>
      <c r="I117">
        <v>0.1693000030517578</v>
      </c>
      <c r="J117">
        <v>20.644550337304253</v>
      </c>
    </row>
    <row r="118" spans="1:10">
      <c r="A118" s="1">
        <v>45635</v>
      </c>
      <c r="B118" s="1" cm="1">
        <f t="array" ref="B118">_xlfn._xlws.FILTER(A118, WEEKDAY(A118, 2) &lt;= 5)</f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0.51</v>
      </c>
      <c r="H118">
        <v>0.58622522308595848</v>
      </c>
      <c r="I118">
        <v>0.1693000030517578</v>
      </c>
      <c r="J118">
        <v>20.644550337304253</v>
      </c>
    </row>
    <row r="119" spans="1:10">
      <c r="A119" s="1">
        <v>45636</v>
      </c>
      <c r="B119" s="1" cm="1">
        <f t="array" ref="B119">_xlfn._xlws.FILTER(A119, WEEKDAY(A119, 2) &lt;= 5)</f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0.51</v>
      </c>
      <c r="H119">
        <v>0.58622522308595848</v>
      </c>
      <c r="I119">
        <v>0.1693000030517578</v>
      </c>
      <c r="J119">
        <v>20.644550337304253</v>
      </c>
    </row>
    <row r="120" spans="1:10">
      <c r="A120" s="1">
        <v>45637</v>
      </c>
      <c r="B120" s="1" cm="1">
        <f t="array" ref="B120">_xlfn._xlws.FILTER(A120, WEEKDAY(A120, 2) &lt;= 5)</f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0.51</v>
      </c>
      <c r="H120">
        <v>0.58622522308595848</v>
      </c>
      <c r="I120">
        <v>0.1693000030517578</v>
      </c>
      <c r="J120">
        <v>20.644550337304253</v>
      </c>
    </row>
    <row r="121" spans="1:10">
      <c r="A121" s="1">
        <v>45638</v>
      </c>
      <c r="B121" s="1" cm="1">
        <f t="array" ref="B121">_xlfn._xlws.FILTER(A121, WEEKDAY(A121, 2) &lt;= 5)</f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0.51</v>
      </c>
      <c r="H121">
        <v>0.58622522308595848</v>
      </c>
      <c r="I121">
        <v>0.1693000030517578</v>
      </c>
      <c r="J121">
        <v>20.644550337304253</v>
      </c>
    </row>
    <row r="122" spans="1:10">
      <c r="A122" s="1">
        <v>45639</v>
      </c>
      <c r="B122" s="1" cm="1">
        <f t="array" ref="B122">_xlfn._xlws.FILTER(A122, WEEKDAY(A122, 2) &lt;= 5)</f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0.51</v>
      </c>
      <c r="H122">
        <v>0.58622522308595848</v>
      </c>
      <c r="I122">
        <v>0.1693000030517578</v>
      </c>
      <c r="J122">
        <v>20.644550337304253</v>
      </c>
    </row>
    <row r="123" spans="1:10">
      <c r="A123" s="1">
        <v>45642</v>
      </c>
      <c r="B123" s="1" cm="1">
        <f t="array" ref="B123">_xlfn._xlws.FILTER(A123, WEEKDAY(A123, 2) &lt;= 5)</f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0.51</v>
      </c>
      <c r="H123">
        <v>0.58622522308595848</v>
      </c>
      <c r="I123">
        <v>0.1693000030517578</v>
      </c>
      <c r="J123">
        <v>20.644550337304253</v>
      </c>
    </row>
    <row r="124" spans="1:10">
      <c r="A124" s="1">
        <v>45643</v>
      </c>
      <c r="B124" s="1" cm="1">
        <f t="array" ref="B124">_xlfn._xlws.FILTER(A124, WEEKDAY(A124, 2) &lt;= 5)</f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0.51</v>
      </c>
      <c r="H124">
        <v>0.58622522308595848</v>
      </c>
      <c r="I124">
        <v>0.1693000030517578</v>
      </c>
      <c r="J124">
        <v>20.644550337304253</v>
      </c>
    </row>
    <row r="125" spans="1:10">
      <c r="A125" s="1">
        <v>45644</v>
      </c>
      <c r="B125" s="1" cm="1">
        <f t="array" ref="B125">_xlfn._xlws.FILTER(A125, WEEKDAY(A125, 2) &lt;= 5)</f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0.51</v>
      </c>
      <c r="H125">
        <v>0.58622522308595848</v>
      </c>
      <c r="I125">
        <v>0.1693000030517578</v>
      </c>
      <c r="J125">
        <v>20.644550337304253</v>
      </c>
    </row>
    <row r="126" spans="1:10">
      <c r="A126" s="1">
        <v>45645</v>
      </c>
      <c r="B126" s="1" cm="1">
        <f t="array" ref="B126">_xlfn._xlws.FILTER(A126, WEEKDAY(A126, 2) &lt;= 5)</f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0.51</v>
      </c>
      <c r="H126">
        <v>0.58622522308595848</v>
      </c>
      <c r="I126">
        <v>0.1693000030517578</v>
      </c>
      <c r="J126">
        <v>20.644550337304253</v>
      </c>
    </row>
    <row r="127" spans="1:10">
      <c r="A127" s="1">
        <v>45646</v>
      </c>
      <c r="B127" s="1" cm="1">
        <f t="array" ref="B127">_xlfn._xlws.FILTER(A127, WEEKDAY(A127, 2) &lt;= 5)</f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0.51</v>
      </c>
      <c r="H127">
        <v>0.58622522308595848</v>
      </c>
      <c r="I127">
        <v>0.1693000030517578</v>
      </c>
      <c r="J127">
        <v>20.644550337304253</v>
      </c>
    </row>
    <row r="128" spans="1:10">
      <c r="A128" s="1">
        <v>45649</v>
      </c>
      <c r="B128" s="1" cm="1">
        <f t="array" ref="B128">_xlfn._xlws.FILTER(A128, WEEKDAY(A128, 2) &lt;= 5)</f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0.51</v>
      </c>
      <c r="H128">
        <v>0.58622522308595848</v>
      </c>
      <c r="I128">
        <v>0.1693000030517578</v>
      </c>
      <c r="J128">
        <v>20.644550337304253</v>
      </c>
    </row>
    <row r="129" spans="1:10">
      <c r="A129" s="1">
        <v>45650</v>
      </c>
      <c r="B129" s="1" cm="1">
        <f t="array" ref="B129">_xlfn._xlws.FILTER(A129, WEEKDAY(A129, 2) &lt;= 5)</f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0.51</v>
      </c>
      <c r="H129">
        <v>0.58622522308595848</v>
      </c>
      <c r="I129">
        <v>0.1693000030517578</v>
      </c>
      <c r="J129">
        <v>20.644550337304253</v>
      </c>
    </row>
    <row r="130" spans="1:10">
      <c r="A130" s="1">
        <v>45651</v>
      </c>
      <c r="B130" s="1" cm="1">
        <f t="array" ref="B130">_xlfn._xlws.FILTER(A130, WEEKDAY(A130, 2) &lt;= 5)</f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0.51</v>
      </c>
      <c r="H130">
        <v>0.58622522308595848</v>
      </c>
      <c r="I130">
        <v>0.1693000030517578</v>
      </c>
      <c r="J130">
        <v>20.644550337304253</v>
      </c>
    </row>
    <row r="131" spans="1:10">
      <c r="A131" s="1">
        <v>45652</v>
      </c>
      <c r="B131" s="1" cm="1">
        <f t="array" ref="B131">_xlfn._xlws.FILTER(A131, WEEKDAY(A131, 2) &lt;= 5)</f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0.51</v>
      </c>
      <c r="H131">
        <v>0.58622522308595848</v>
      </c>
      <c r="I131">
        <v>0.1693000030517578</v>
      </c>
      <c r="J131">
        <v>20.644550337304253</v>
      </c>
    </row>
    <row r="132" spans="1:10">
      <c r="A132" s="1">
        <v>45653</v>
      </c>
      <c r="B132" s="1" cm="1">
        <f t="array" ref="B132">_xlfn._xlws.FILTER(A132, WEEKDAY(A132, 2) &lt;= 5)</f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0.51</v>
      </c>
      <c r="H132">
        <v>0.58622522308595848</v>
      </c>
      <c r="I132">
        <v>0.1693000030517578</v>
      </c>
      <c r="J132">
        <v>20.644550337304253</v>
      </c>
    </row>
    <row r="133" spans="1:10">
      <c r="A133" s="1">
        <v>45656</v>
      </c>
      <c r="B133" s="1" cm="1">
        <f t="array" ref="B133">_xlfn._xlws.FILTER(A133, WEEKDAY(A133, 2) &lt;= 5)</f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0.51</v>
      </c>
      <c r="H133">
        <v>0.58622522308595848</v>
      </c>
      <c r="I133">
        <v>0.1693000030517578</v>
      </c>
      <c r="J133">
        <v>20.644550337304253</v>
      </c>
    </row>
    <row r="134" spans="1:10">
      <c r="A134" s="1">
        <v>45657</v>
      </c>
      <c r="B134" s="1" cm="1">
        <f t="array" ref="B134">_xlfn._xlws.FILTER(A134, WEEKDAY(A134, 2) &lt;= 5)</f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0.51</v>
      </c>
      <c r="H134">
        <v>0.58622522308595848</v>
      </c>
      <c r="I134">
        <v>0.1693000030517578</v>
      </c>
      <c r="J134">
        <v>20.644550337304253</v>
      </c>
    </row>
    <row r="135" spans="1:10">
      <c r="A135" s="1">
        <v>45658</v>
      </c>
      <c r="B135" s="1" cm="1">
        <f t="array" ref="B135">_xlfn._xlws.FILTER(A135, WEEKDAY(A135, 2) &lt;= 5)</f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0.51</v>
      </c>
      <c r="H135">
        <v>0.58622522308595848</v>
      </c>
      <c r="I135">
        <v>0.1693000030517578</v>
      </c>
      <c r="J135">
        <v>20.644550337304253</v>
      </c>
    </row>
    <row r="136" spans="1:10">
      <c r="A136" s="1">
        <v>45659</v>
      </c>
      <c r="B136" s="1" cm="1">
        <f t="array" ref="B136">_xlfn._xlws.FILTER(A136, WEEKDAY(A136, 2) &lt;= 5)</f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0.51</v>
      </c>
      <c r="H136">
        <v>0.58622522308595848</v>
      </c>
      <c r="I136">
        <v>0.1693000030517578</v>
      </c>
      <c r="J136">
        <v>20.644550337304253</v>
      </c>
    </row>
    <row r="137" spans="1:10">
      <c r="A137" s="1">
        <v>45660</v>
      </c>
      <c r="B137" s="1" cm="1">
        <f t="array" ref="B137">_xlfn._xlws.FILTER(A137, WEEKDAY(A137, 2) &lt;= 5)</f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0.51</v>
      </c>
      <c r="H137">
        <v>0.58622522308595848</v>
      </c>
      <c r="I137">
        <v>0.1693000030517578</v>
      </c>
      <c r="J137">
        <v>20.644550337304253</v>
      </c>
    </row>
    <row r="138" spans="1:10">
      <c r="A138" s="1">
        <v>45663</v>
      </c>
      <c r="B138" s="1" cm="1">
        <f t="array" ref="B138">_xlfn._xlws.FILTER(A138, WEEKDAY(A138, 2) &lt;= 5)</f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0.51</v>
      </c>
      <c r="H138">
        <v>0.58622522308595848</v>
      </c>
      <c r="I138">
        <v>0.1693000030517578</v>
      </c>
      <c r="J138">
        <v>20.644550337304253</v>
      </c>
    </row>
    <row r="139" spans="1:10">
      <c r="A139" s="1">
        <v>45664</v>
      </c>
      <c r="B139" s="1" cm="1">
        <f t="array" ref="B139">_xlfn._xlws.FILTER(A139, WEEKDAY(A139, 2) &lt;= 5)</f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0.51</v>
      </c>
      <c r="H139">
        <v>0.58622522308595848</v>
      </c>
      <c r="I139">
        <v>0.1693000030517578</v>
      </c>
      <c r="J139">
        <v>20.644550337304253</v>
      </c>
    </row>
    <row r="140" spans="1:10">
      <c r="A140" s="1">
        <v>45665</v>
      </c>
      <c r="B140" s="1" cm="1">
        <f t="array" ref="B140">_xlfn._xlws.FILTER(A140, WEEKDAY(A140, 2) &lt;= 5)</f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0.51</v>
      </c>
      <c r="H140">
        <v>0.58622522308595848</v>
      </c>
      <c r="I140">
        <v>0.1693000030517578</v>
      </c>
      <c r="J140">
        <v>20.644550337304253</v>
      </c>
    </row>
    <row r="141" spans="1:10">
      <c r="A141" s="1">
        <v>45666</v>
      </c>
      <c r="B141" s="1" cm="1">
        <f t="array" ref="B141">_xlfn._xlws.FILTER(A141, WEEKDAY(A141, 2) &lt;= 5)</f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0.51</v>
      </c>
      <c r="H141">
        <v>0.58622522308595848</v>
      </c>
      <c r="I141">
        <v>0.1693000030517578</v>
      </c>
      <c r="J141">
        <v>20.644550337304253</v>
      </c>
    </row>
    <row r="142" spans="1:10">
      <c r="A142" s="1">
        <v>45667</v>
      </c>
      <c r="B142" s="1" cm="1">
        <f t="array" ref="B142">_xlfn._xlws.FILTER(A142, WEEKDAY(A142, 2) &lt;= 5)</f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0.51</v>
      </c>
      <c r="H142">
        <v>0.58622522308595848</v>
      </c>
      <c r="I142">
        <v>0.1693000030517578</v>
      </c>
      <c r="J142">
        <v>20.644550337304253</v>
      </c>
    </row>
    <row r="143" spans="1:10">
      <c r="A143" s="1">
        <v>45670</v>
      </c>
      <c r="B143" s="1" cm="1">
        <f t="array" ref="B143">_xlfn._xlws.FILTER(A143, WEEKDAY(A143, 2) &lt;= 5)</f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0.51</v>
      </c>
      <c r="H143">
        <v>0.58622522308595848</v>
      </c>
      <c r="I143">
        <v>0.1693000030517578</v>
      </c>
      <c r="J143">
        <v>20.644550337304253</v>
      </c>
    </row>
    <row r="144" spans="1:10">
      <c r="A144" s="1">
        <v>45671</v>
      </c>
      <c r="B144" s="1" cm="1">
        <f t="array" ref="B144">_xlfn._xlws.FILTER(A144, WEEKDAY(A144, 2) &lt;= 5)</f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0.51</v>
      </c>
      <c r="H144">
        <v>0.58622522308595848</v>
      </c>
      <c r="I144">
        <v>0.1693000030517578</v>
      </c>
      <c r="J144">
        <v>20.644550337304253</v>
      </c>
    </row>
    <row r="145" spans="1:10">
      <c r="A145" s="1">
        <v>45672</v>
      </c>
      <c r="B145" s="1" cm="1">
        <f t="array" ref="B145">_xlfn._xlws.FILTER(A145, WEEKDAY(A145, 2) &lt;= 5)</f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0.51</v>
      </c>
      <c r="H145">
        <v>0.58622522308595848</v>
      </c>
      <c r="I145">
        <v>0.1693000030517578</v>
      </c>
      <c r="J145">
        <v>20.644550337304253</v>
      </c>
    </row>
    <row r="146" spans="1:10">
      <c r="A146" s="1">
        <v>45673</v>
      </c>
      <c r="B146" s="1" cm="1">
        <f t="array" ref="B146">_xlfn._xlws.FILTER(A146, WEEKDAY(A146, 2) &lt;= 5)</f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0.51</v>
      </c>
      <c r="H146">
        <v>0.58622522308595848</v>
      </c>
      <c r="I146">
        <v>0.1693000030517578</v>
      </c>
      <c r="J146">
        <v>20.644550337304253</v>
      </c>
    </row>
    <row r="147" spans="1:10">
      <c r="A147" s="1">
        <v>45674</v>
      </c>
      <c r="B147" s="1" cm="1">
        <f t="array" ref="B147">_xlfn._xlws.FILTER(A147, WEEKDAY(A147, 2) &lt;= 5)</f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0.51</v>
      </c>
      <c r="H147">
        <v>0.58622522308595848</v>
      </c>
      <c r="I147">
        <v>0.1693000030517578</v>
      </c>
      <c r="J147">
        <v>20.644550337304253</v>
      </c>
    </row>
    <row r="148" spans="1:10">
      <c r="A148" s="1">
        <v>45677</v>
      </c>
      <c r="B148" s="1" cm="1">
        <f t="array" ref="B148">_xlfn._xlws.FILTER(A148, WEEKDAY(A148, 2) &lt;= 5)</f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0.51</v>
      </c>
      <c r="H148">
        <v>0.58622522308595848</v>
      </c>
      <c r="I148">
        <v>0.1693000030517578</v>
      </c>
      <c r="J148">
        <v>20.644550337304253</v>
      </c>
    </row>
    <row r="149" spans="1:10">
      <c r="A149" s="1">
        <v>45678</v>
      </c>
      <c r="B149" s="1" cm="1">
        <f t="array" ref="B149">_xlfn._xlws.FILTER(A149, WEEKDAY(A149, 2) &lt;= 5)</f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0.51</v>
      </c>
      <c r="H149">
        <v>0.58622522308595848</v>
      </c>
      <c r="I149">
        <v>0.1693000030517578</v>
      </c>
      <c r="J149">
        <v>20.644550337304253</v>
      </c>
    </row>
    <row r="150" spans="1:10">
      <c r="A150" s="1">
        <v>45679</v>
      </c>
      <c r="B150" s="1" cm="1">
        <f t="array" ref="B150">_xlfn._xlws.FILTER(A150, WEEKDAY(A150, 2) &lt;= 5)</f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0.51</v>
      </c>
      <c r="H150">
        <v>0.58622522308595848</v>
      </c>
      <c r="I150">
        <v>0.1693000030517578</v>
      </c>
      <c r="J150">
        <v>20.644550337304253</v>
      </c>
    </row>
    <row r="151" spans="1:10">
      <c r="A151" s="1">
        <v>45680</v>
      </c>
      <c r="B151" s="1" cm="1">
        <f t="array" ref="B151">_xlfn._xlws.FILTER(A151, WEEKDAY(A151, 2) &lt;= 5)</f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0.51</v>
      </c>
      <c r="H151">
        <v>0.58622522308595848</v>
      </c>
      <c r="I151">
        <v>0.1693000030517578</v>
      </c>
      <c r="J151">
        <v>20.644550337304253</v>
      </c>
    </row>
    <row r="152" spans="1:10">
      <c r="A152" s="1">
        <v>45681</v>
      </c>
      <c r="B152" s="1" cm="1">
        <f t="array" ref="B152">_xlfn._xlws.FILTER(A152, WEEKDAY(A152, 2) &lt;= 5)</f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0.51</v>
      </c>
      <c r="H152">
        <v>0.58622522308595848</v>
      </c>
      <c r="I152">
        <v>0.1693000030517578</v>
      </c>
      <c r="J152">
        <v>20.644550337304253</v>
      </c>
    </row>
    <row r="153" spans="1:10">
      <c r="A153" s="1">
        <v>45684</v>
      </c>
      <c r="B153" s="1" cm="1">
        <f t="array" ref="B153">_xlfn._xlws.FILTER(A153, WEEKDAY(A153, 2) &lt;= 5)</f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0.51</v>
      </c>
      <c r="H153">
        <v>0.58622522308595848</v>
      </c>
      <c r="I153">
        <v>0.1693000030517578</v>
      </c>
      <c r="J153">
        <v>20.644550337304253</v>
      </c>
    </row>
    <row r="154" spans="1:10">
      <c r="A154" s="1">
        <v>45685</v>
      </c>
      <c r="B154" s="1" cm="1">
        <f t="array" ref="B154">_xlfn._xlws.FILTER(A154, WEEKDAY(A154, 2) &lt;= 5)</f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0.51</v>
      </c>
      <c r="H154">
        <v>0.58622522308595848</v>
      </c>
      <c r="I154">
        <v>0.1693000030517578</v>
      </c>
      <c r="J154">
        <v>20.644550337304253</v>
      </c>
    </row>
    <row r="155" spans="1:10">
      <c r="A155" s="1">
        <v>45686</v>
      </c>
      <c r="B155" s="1" cm="1">
        <f t="array" ref="B155">_xlfn._xlws.FILTER(A155, WEEKDAY(A155, 2) &lt;= 5)</f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0.51</v>
      </c>
      <c r="H155">
        <v>0.58622522308595848</v>
      </c>
      <c r="I155">
        <v>0.1693000030517578</v>
      </c>
      <c r="J155">
        <v>20.644550337304253</v>
      </c>
    </row>
    <row r="156" spans="1:10">
      <c r="A156" s="1">
        <v>45687</v>
      </c>
      <c r="B156" s="1" cm="1">
        <f t="array" ref="B156">_xlfn._xlws.FILTER(A156, WEEKDAY(A156, 2) &lt;= 5)</f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0.51</v>
      </c>
      <c r="H156">
        <v>0.58622522308595848</v>
      </c>
      <c r="I156">
        <v>0.1693000030517578</v>
      </c>
      <c r="J156">
        <v>20.644550337304253</v>
      </c>
    </row>
    <row r="157" spans="1:10">
      <c r="A157" s="1">
        <v>45688</v>
      </c>
      <c r="B157" s="1" cm="1">
        <f t="array" ref="B157">_xlfn._xlws.FILTER(A157, WEEKDAY(A157, 2) &lt;= 5)</f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0.51</v>
      </c>
      <c r="H157">
        <v>0.58622522308595848</v>
      </c>
      <c r="I157">
        <v>0.1693000030517578</v>
      </c>
      <c r="J157">
        <v>20.644550337304253</v>
      </c>
    </row>
    <row r="158" spans="1:10">
      <c r="A158" s="1">
        <v>45691</v>
      </c>
      <c r="B158" s="1" cm="1">
        <f t="array" ref="B158">_xlfn._xlws.FILTER(A158, WEEKDAY(A158, 2) &lt;= 5)</f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0.51</v>
      </c>
      <c r="H158">
        <v>0.58622522308595848</v>
      </c>
      <c r="I158">
        <v>0.1693000030517578</v>
      </c>
      <c r="J158">
        <v>20.644550337304253</v>
      </c>
    </row>
    <row r="159" spans="1:10">
      <c r="A159" s="1">
        <v>45692</v>
      </c>
      <c r="B159" s="1" cm="1">
        <f t="array" ref="B159">_xlfn._xlws.FILTER(A159, WEEKDAY(A159, 2) &lt;= 5)</f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0.51</v>
      </c>
      <c r="H159">
        <v>0.58622522308595848</v>
      </c>
      <c r="I159">
        <v>0.1693000030517578</v>
      </c>
      <c r="J159">
        <v>20.644550337304253</v>
      </c>
    </row>
    <row r="160" spans="1:10">
      <c r="A160" s="1">
        <v>45693</v>
      </c>
      <c r="B160" s="1" cm="1">
        <f t="array" ref="B160">_xlfn._xlws.FILTER(A160, WEEKDAY(A160, 2) &lt;= 5)</f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0.51</v>
      </c>
      <c r="H160">
        <v>0.58622522308595848</v>
      </c>
      <c r="I160">
        <v>0.1693000030517578</v>
      </c>
      <c r="J160">
        <v>20.644550337304253</v>
      </c>
    </row>
    <row r="161" spans="1:10">
      <c r="A161" s="1">
        <v>45694</v>
      </c>
      <c r="B161" s="1" cm="1">
        <f t="array" ref="B161">_xlfn._xlws.FILTER(A161, WEEKDAY(A161, 2) &lt;= 5)</f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0.51</v>
      </c>
      <c r="H161">
        <v>0.58622522308595848</v>
      </c>
      <c r="I161">
        <v>0.1693000030517578</v>
      </c>
      <c r="J161">
        <v>20.644550337304253</v>
      </c>
    </row>
    <row r="162" spans="1:10">
      <c r="A162" s="1">
        <v>45695</v>
      </c>
      <c r="B162" s="1" cm="1">
        <f t="array" ref="B162">_xlfn._xlws.FILTER(A162, WEEKDAY(A162, 2) &lt;= 5)</f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0.51</v>
      </c>
      <c r="H162">
        <v>0.58622522308595848</v>
      </c>
      <c r="I162">
        <v>0.1693000030517578</v>
      </c>
      <c r="J162">
        <v>20.644550337304253</v>
      </c>
    </row>
    <row r="163" spans="1:10">
      <c r="A163" s="1">
        <v>45698</v>
      </c>
      <c r="B163" s="1" cm="1">
        <f t="array" ref="B163">_xlfn._xlws.FILTER(A163, WEEKDAY(A163, 2) &lt;= 5)</f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0.51</v>
      </c>
      <c r="H163">
        <v>0.58622522308595848</v>
      </c>
      <c r="I163">
        <v>0.1693000030517578</v>
      </c>
      <c r="J163">
        <v>20.644550337304253</v>
      </c>
    </row>
    <row r="164" spans="1:10">
      <c r="A164" s="1">
        <v>45699</v>
      </c>
      <c r="B164" s="1" cm="1">
        <f t="array" ref="B164">_xlfn._xlws.FILTER(A164, WEEKDAY(A164, 2) &lt;= 5)</f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0.51</v>
      </c>
      <c r="H164">
        <v>0.58622522308595848</v>
      </c>
      <c r="I164">
        <v>0.1693000030517578</v>
      </c>
      <c r="J164">
        <v>20.644550337304253</v>
      </c>
    </row>
    <row r="165" spans="1:10">
      <c r="A165" s="1">
        <v>45700</v>
      </c>
      <c r="B165" s="1" cm="1">
        <f t="array" ref="B165">_xlfn._xlws.FILTER(A165, WEEKDAY(A165, 2) &lt;= 5)</f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0.51</v>
      </c>
      <c r="H165">
        <v>0.58622522308595848</v>
      </c>
      <c r="I165">
        <v>0.1693000030517578</v>
      </c>
      <c r="J165">
        <v>20.644550337304253</v>
      </c>
    </row>
    <row r="166" spans="1:10">
      <c r="A166" s="1">
        <v>45701</v>
      </c>
      <c r="B166" s="1" cm="1">
        <f t="array" ref="B166">_xlfn._xlws.FILTER(A166, WEEKDAY(A166, 2) &lt;= 5)</f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0.51</v>
      </c>
      <c r="H166">
        <v>0.58622522308595848</v>
      </c>
      <c r="I166">
        <v>0.1693000030517578</v>
      </c>
      <c r="J166">
        <v>20.644550337304253</v>
      </c>
    </row>
    <row r="167" spans="1:10">
      <c r="A167" s="1">
        <v>45702</v>
      </c>
      <c r="B167" s="1" cm="1">
        <f t="array" ref="B167">_xlfn._xlws.FILTER(A167, WEEKDAY(A167, 2) &lt;= 5)</f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0.51</v>
      </c>
      <c r="H167">
        <v>0.58622522308595848</v>
      </c>
      <c r="I167">
        <v>0.1693000030517578</v>
      </c>
      <c r="J167">
        <v>20.644550337304253</v>
      </c>
    </row>
    <row r="168" spans="1:10">
      <c r="A168" s="1">
        <v>45705</v>
      </c>
      <c r="B168" s="1" cm="1">
        <f t="array" ref="B168">_xlfn._xlws.FILTER(A168, WEEKDAY(A168, 2) &lt;= 5)</f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0.51</v>
      </c>
      <c r="H168">
        <v>0.58622522308595848</v>
      </c>
      <c r="I168">
        <v>0.1693000030517578</v>
      </c>
      <c r="J168">
        <v>20.644550337304253</v>
      </c>
    </row>
    <row r="169" spans="1:10">
      <c r="A169" s="1">
        <v>45706</v>
      </c>
      <c r="B169" s="1" cm="1">
        <f t="array" ref="B169">_xlfn._xlws.FILTER(A169, WEEKDAY(A169, 2) &lt;= 5)</f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0.51</v>
      </c>
      <c r="H169">
        <v>0.58622522308595848</v>
      </c>
      <c r="I169">
        <v>0.1693000030517578</v>
      </c>
      <c r="J169">
        <v>20.644550337304253</v>
      </c>
    </row>
    <row r="170" spans="1:10">
      <c r="A170" s="1">
        <v>45707</v>
      </c>
      <c r="B170" s="1" cm="1">
        <f t="array" ref="B170">_xlfn._xlws.FILTER(A170, WEEKDAY(A170, 2) &lt;= 5)</f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0.51</v>
      </c>
      <c r="H170">
        <v>0.58622522308595848</v>
      </c>
      <c r="I170">
        <v>0.1693000030517578</v>
      </c>
      <c r="J170">
        <v>20.644550337304253</v>
      </c>
    </row>
    <row r="171" spans="1:10">
      <c r="A171" s="1">
        <v>45708</v>
      </c>
      <c r="B171" s="1" cm="1">
        <f t="array" ref="B171">_xlfn._xlws.FILTER(A171, WEEKDAY(A171, 2) &lt;= 5)</f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0.51</v>
      </c>
      <c r="H171">
        <v>0.58622522308595848</v>
      </c>
      <c r="I171">
        <v>0.1693000030517578</v>
      </c>
      <c r="J171">
        <v>20.644550337304253</v>
      </c>
    </row>
    <row r="172" spans="1:10">
      <c r="A172" s="1">
        <v>45709</v>
      </c>
      <c r="B172" s="1" cm="1">
        <f t="array" ref="B172">_xlfn._xlws.FILTER(A172, WEEKDAY(A172, 2) &lt;= 5)</f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0.51</v>
      </c>
      <c r="H172">
        <v>0.58622522308595848</v>
      </c>
      <c r="I172">
        <v>0.1693000030517578</v>
      </c>
      <c r="J172">
        <v>20.644550337304253</v>
      </c>
    </row>
    <row r="173" spans="1:10">
      <c r="A173" s="1">
        <v>45712</v>
      </c>
      <c r="B173" s="1" cm="1">
        <f t="array" ref="B173">_xlfn._xlws.FILTER(A173, WEEKDAY(A173, 2) &lt;= 5)</f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0.51</v>
      </c>
      <c r="H173">
        <v>0.58622522308595848</v>
      </c>
      <c r="I173">
        <v>0.1693000030517578</v>
      </c>
      <c r="J173">
        <v>20.644550337304253</v>
      </c>
    </row>
    <row r="174" spans="1:10">
      <c r="A174" s="1">
        <v>45713</v>
      </c>
      <c r="B174" s="1" cm="1">
        <f t="array" ref="B174">_xlfn._xlws.FILTER(A174, WEEKDAY(A174, 2) &lt;= 5)</f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0.51</v>
      </c>
      <c r="H174">
        <v>0.58622522308595848</v>
      </c>
      <c r="I174">
        <v>0.1693000030517578</v>
      </c>
      <c r="J174">
        <v>20.644550337304253</v>
      </c>
    </row>
    <row r="175" spans="1:10">
      <c r="A175" s="1">
        <v>45714</v>
      </c>
      <c r="B175" s="1" cm="1">
        <f t="array" ref="B175">_xlfn._xlws.FILTER(A175, WEEKDAY(A175, 2) &lt;= 5)</f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0.51</v>
      </c>
      <c r="H175">
        <v>0.58622522308595848</v>
      </c>
      <c r="I175">
        <v>0.1693000030517578</v>
      </c>
      <c r="J175">
        <v>20.644550337304253</v>
      </c>
    </row>
    <row r="176" spans="1:10">
      <c r="A176" s="1">
        <v>45715</v>
      </c>
      <c r="B176" s="1" cm="1">
        <f t="array" ref="B176">_xlfn._xlws.FILTER(A176, WEEKDAY(A176, 2) &lt;= 5)</f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0.51</v>
      </c>
      <c r="H176">
        <v>0.58622522308595848</v>
      </c>
      <c r="I176">
        <v>0.1693000030517578</v>
      </c>
      <c r="J176">
        <v>20.644550337304253</v>
      </c>
    </row>
    <row r="177" spans="1:10">
      <c r="A177" s="1">
        <v>45716</v>
      </c>
      <c r="B177" s="1" cm="1">
        <f t="array" ref="B177">_xlfn._xlws.FILTER(A177, WEEKDAY(A177, 2) &lt;= 5)</f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0.51</v>
      </c>
      <c r="H177">
        <v>0.58622522308595848</v>
      </c>
      <c r="I177">
        <v>0.1693000030517578</v>
      </c>
      <c r="J177">
        <v>20.644550337304253</v>
      </c>
    </row>
    <row r="178" spans="1:10">
      <c r="A178" s="1">
        <v>45719</v>
      </c>
      <c r="B178" s="1" cm="1">
        <f t="array" ref="B178">_xlfn._xlws.FILTER(A178, WEEKDAY(A178, 2) &lt;= 5)</f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0.51</v>
      </c>
      <c r="H178">
        <v>0.58622522308595848</v>
      </c>
      <c r="I178">
        <v>0.1693000030517578</v>
      </c>
      <c r="J178">
        <v>20.644550337304253</v>
      </c>
    </row>
    <row r="179" spans="1:10">
      <c r="A179" s="1">
        <v>45720</v>
      </c>
      <c r="B179" s="1" cm="1">
        <f t="array" ref="B179">_xlfn._xlws.FILTER(A179, WEEKDAY(A179, 2) &lt;= 5)</f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0.51</v>
      </c>
      <c r="H179">
        <v>0.58622522308595848</v>
      </c>
      <c r="I179">
        <v>0.1693000030517578</v>
      </c>
      <c r="J179">
        <v>20.644550337304253</v>
      </c>
    </row>
    <row r="180" spans="1:10">
      <c r="A180" s="1">
        <v>45721</v>
      </c>
      <c r="B180" s="1" cm="1">
        <f t="array" ref="B180">_xlfn._xlws.FILTER(A180, WEEKDAY(A180, 2) &lt;= 5)</f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0.51</v>
      </c>
      <c r="H180">
        <v>0.58622522308595848</v>
      </c>
      <c r="I180">
        <v>0.1693000030517578</v>
      </c>
      <c r="J180">
        <v>20.644550337304253</v>
      </c>
    </row>
    <row r="181" spans="1:10">
      <c r="A181" s="1">
        <v>45722</v>
      </c>
      <c r="B181" s="1" cm="1">
        <f t="array" ref="B181">_xlfn._xlws.FILTER(A181, WEEKDAY(A181, 2) &lt;= 5)</f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0.51</v>
      </c>
      <c r="H181">
        <v>0.58622522308595848</v>
      </c>
      <c r="I181">
        <v>0.1693000030517578</v>
      </c>
      <c r="J181">
        <v>20.644550337304253</v>
      </c>
    </row>
    <row r="182" spans="1:10">
      <c r="A182" s="1">
        <v>45723</v>
      </c>
      <c r="B182" s="1" cm="1">
        <f t="array" ref="B182">_xlfn._xlws.FILTER(A182, WEEKDAY(A182, 2) &lt;= 5)</f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0.51</v>
      </c>
      <c r="H182">
        <v>0.58622522308595848</v>
      </c>
      <c r="I182">
        <v>0.1693000030517578</v>
      </c>
      <c r="J182">
        <v>20.644550337304253</v>
      </c>
    </row>
    <row r="183" spans="1:10">
      <c r="A183" s="1">
        <v>45726</v>
      </c>
      <c r="B183" s="1" cm="1">
        <f t="array" ref="B183">_xlfn._xlws.FILTER(A183, WEEKDAY(A183, 2) &lt;= 5)</f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0.51</v>
      </c>
      <c r="H183">
        <v>0.58622522308595848</v>
      </c>
      <c r="I183">
        <v>0.1693000030517578</v>
      </c>
      <c r="J183">
        <v>20.644550337304253</v>
      </c>
    </row>
    <row r="184" spans="1:10">
      <c r="A184" s="1">
        <v>45727</v>
      </c>
      <c r="B184" s="1" cm="1">
        <f t="array" ref="B184">_xlfn._xlws.FILTER(A184, WEEKDAY(A184, 2) &lt;= 5)</f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0.51</v>
      </c>
      <c r="H184">
        <v>0.58622522308595848</v>
      </c>
      <c r="I184">
        <v>0.1693000030517578</v>
      </c>
      <c r="J184">
        <v>20.644550337304253</v>
      </c>
    </row>
    <row r="185" spans="1:10">
      <c r="A185" s="1">
        <v>45728</v>
      </c>
      <c r="B185" s="1" cm="1">
        <f t="array" ref="B185">_xlfn._xlws.FILTER(A185, WEEKDAY(A185, 2) &lt;= 5)</f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0.51</v>
      </c>
      <c r="H185">
        <v>0.58622522308595848</v>
      </c>
      <c r="I185">
        <v>0.1693000030517578</v>
      </c>
      <c r="J185">
        <v>20.644550337304253</v>
      </c>
    </row>
    <row r="186" spans="1:10">
      <c r="A186" s="1">
        <v>45729</v>
      </c>
      <c r="B186" s="1" cm="1">
        <f t="array" ref="B186">_xlfn._xlws.FILTER(A186, WEEKDAY(A186, 2) &lt;= 5)</f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0.51</v>
      </c>
      <c r="H186">
        <v>0.58622522308595848</v>
      </c>
      <c r="I186">
        <v>0.1693000030517578</v>
      </c>
      <c r="J186">
        <v>20.644550337304253</v>
      </c>
    </row>
    <row r="187" spans="1:10">
      <c r="A187" s="1">
        <v>45730</v>
      </c>
      <c r="B187" s="1" cm="1">
        <f t="array" ref="B187">_xlfn._xlws.FILTER(A187, WEEKDAY(A187, 2) &lt;= 5)</f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0.51</v>
      </c>
      <c r="H187">
        <v>0.58622522308595848</v>
      </c>
      <c r="I187">
        <v>0.1693000030517578</v>
      </c>
      <c r="J187">
        <v>20.644550337304253</v>
      </c>
    </row>
    <row r="188" spans="1:10">
      <c r="A188" s="14">
        <v>45733</v>
      </c>
      <c r="B188" s="14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>
        <v>0.51</v>
      </c>
      <c r="H188">
        <v>0.58622522308595848</v>
      </c>
      <c r="I188">
        <v>0.1693000030517578</v>
      </c>
      <c r="J188">
        <v>20.644550337304253</v>
      </c>
    </row>
    <row r="189" spans="1:10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0.51</v>
      </c>
      <c r="H189">
        <v>0.58622522308595848</v>
      </c>
      <c r="I189">
        <v>0.1693000030517578</v>
      </c>
      <c r="J189">
        <v>20.644550337304253</v>
      </c>
    </row>
    <row r="190" spans="1:10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0.51</v>
      </c>
      <c r="H190">
        <v>0.58622522308595848</v>
      </c>
      <c r="I190">
        <v>0.1693000030517578</v>
      </c>
      <c r="J190">
        <v>20.644550337304253</v>
      </c>
    </row>
    <row r="191" spans="1:10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0.51</v>
      </c>
      <c r="H191">
        <v>0.58622522308595848</v>
      </c>
      <c r="I191">
        <v>0.1693000030517578</v>
      </c>
      <c r="J191">
        <v>20.644550337304253</v>
      </c>
    </row>
    <row r="192" spans="1:10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0.51</v>
      </c>
      <c r="H192">
        <v>0.58622522308595848</v>
      </c>
      <c r="I192">
        <v>0.1693000030517578</v>
      </c>
      <c r="J192">
        <v>20.644550337304253</v>
      </c>
    </row>
    <row r="193" spans="1:10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0.51</v>
      </c>
      <c r="H193">
        <v>0.58622522308595848</v>
      </c>
      <c r="I193">
        <v>0.1693000030517578</v>
      </c>
      <c r="J193">
        <v>20.644550337304253</v>
      </c>
    </row>
    <row r="194" spans="1:10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0.51</v>
      </c>
      <c r="H194">
        <v>0.58622522308595848</v>
      </c>
      <c r="I194">
        <v>0.1693000030517578</v>
      </c>
      <c r="J194">
        <v>20.644550337304253</v>
      </c>
    </row>
    <row r="195" spans="1:10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0.51</v>
      </c>
      <c r="H195">
        <v>0.58622522308595848</v>
      </c>
      <c r="I195">
        <v>0.1693000030517578</v>
      </c>
      <c r="J195">
        <v>20.644550337304253</v>
      </c>
    </row>
    <row r="196" spans="1:10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0.51</v>
      </c>
      <c r="H196">
        <v>0.58622522308595848</v>
      </c>
      <c r="I196">
        <v>0.1693000030517578</v>
      </c>
      <c r="J196">
        <v>20.644550337304253</v>
      </c>
    </row>
    <row r="197" spans="1:10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0.51</v>
      </c>
      <c r="H197">
        <v>0.58622522308595848</v>
      </c>
      <c r="I197">
        <v>0.1693000030517578</v>
      </c>
      <c r="J197">
        <v>20.644550337304253</v>
      </c>
    </row>
    <row r="198" spans="1:10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0.51</v>
      </c>
      <c r="H198">
        <v>0.58622522308595848</v>
      </c>
      <c r="I198">
        <v>0.1693000030517578</v>
      </c>
      <c r="J198">
        <v>20.644550337304253</v>
      </c>
    </row>
    <row r="199" spans="1:10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0.51</v>
      </c>
      <c r="H199">
        <v>0.58622522308595848</v>
      </c>
      <c r="I199">
        <v>0.1693000030517578</v>
      </c>
      <c r="J199">
        <v>20.644550337304253</v>
      </c>
    </row>
    <row r="200" spans="1:10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0.51</v>
      </c>
      <c r="H200">
        <v>0.58622522308595848</v>
      </c>
      <c r="I200">
        <v>0.1693000030517578</v>
      </c>
      <c r="J200">
        <v>20.644550337304253</v>
      </c>
    </row>
    <row r="201" spans="1:10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0.51</v>
      </c>
      <c r="H201">
        <v>0.58622522308595848</v>
      </c>
      <c r="I201">
        <v>0.1693000030517578</v>
      </c>
      <c r="J201">
        <v>20.644550337304253</v>
      </c>
    </row>
    <row r="202" spans="1:10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0.51</v>
      </c>
      <c r="H202">
        <v>0.58622522308595848</v>
      </c>
      <c r="I202">
        <v>0.1693000030517578</v>
      </c>
      <c r="J202">
        <v>20.644550337304253</v>
      </c>
    </row>
    <row r="203" spans="1:10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0.51</v>
      </c>
      <c r="H203">
        <v>0.58622522308595848</v>
      </c>
      <c r="I203">
        <v>0.1693000030517578</v>
      </c>
      <c r="J203">
        <v>20.644550337304253</v>
      </c>
    </row>
    <row r="204" spans="1:10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0.51</v>
      </c>
      <c r="H204">
        <v>0.58622522308595848</v>
      </c>
      <c r="I204">
        <v>0.1693000030517578</v>
      </c>
      <c r="J204">
        <v>20.644550337304253</v>
      </c>
    </row>
    <row r="205" spans="1:10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0.51</v>
      </c>
      <c r="H205">
        <v>0.58622522308595848</v>
      </c>
      <c r="I205">
        <v>0.1693000030517578</v>
      </c>
      <c r="J205">
        <v>20.644550337304253</v>
      </c>
    </row>
    <row r="206" spans="1:10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0.51</v>
      </c>
      <c r="H206">
        <v>0.58622522308595848</v>
      </c>
      <c r="I206">
        <v>0.1693000030517578</v>
      </c>
      <c r="J206">
        <v>20.644550337304253</v>
      </c>
    </row>
    <row r="207" spans="1:10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0.51</v>
      </c>
      <c r="H207">
        <v>0.58622522308595848</v>
      </c>
      <c r="I207">
        <v>0.1693000030517578</v>
      </c>
      <c r="J207">
        <v>20.644550337304253</v>
      </c>
    </row>
    <row r="208" spans="1:10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0.51</v>
      </c>
      <c r="H208">
        <v>0.58622522308595848</v>
      </c>
      <c r="I208">
        <v>0.1693000030517578</v>
      </c>
      <c r="J208">
        <v>20.644550337304253</v>
      </c>
    </row>
    <row r="209" spans="1:10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0.51</v>
      </c>
      <c r="H209">
        <v>0.58622522308595848</v>
      </c>
      <c r="I209">
        <v>0.1693000030517578</v>
      </c>
      <c r="J209">
        <v>20.644550337304253</v>
      </c>
    </row>
    <row r="210" spans="1:10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0.51</v>
      </c>
      <c r="H210">
        <v>0.58622522308595848</v>
      </c>
      <c r="I210">
        <v>0.1693000030517578</v>
      </c>
      <c r="J210">
        <v>20.644550337304253</v>
      </c>
    </row>
    <row r="211" spans="1:10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0.51</v>
      </c>
      <c r="H211">
        <v>0.58622522308595848</v>
      </c>
      <c r="I211">
        <v>0.1693000030517578</v>
      </c>
      <c r="J211">
        <v>20.644550337304253</v>
      </c>
    </row>
    <row r="212" spans="1:10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0.51</v>
      </c>
      <c r="H212">
        <v>0.58622522308595848</v>
      </c>
      <c r="I212">
        <v>0.1693000030517578</v>
      </c>
      <c r="J212">
        <v>20.644550337304253</v>
      </c>
    </row>
    <row r="213" spans="1:10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0.51</v>
      </c>
      <c r="H213">
        <v>0.58622522308595848</v>
      </c>
      <c r="I213">
        <v>0.1693000030517578</v>
      </c>
      <c r="J213">
        <v>20.644550337304253</v>
      </c>
    </row>
    <row r="214" spans="1:10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0.51</v>
      </c>
      <c r="H214">
        <v>0.58622522308595848</v>
      </c>
      <c r="I214">
        <v>0.1693000030517578</v>
      </c>
      <c r="J214">
        <v>20.644550337304253</v>
      </c>
    </row>
    <row r="215" spans="1:10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0.51</v>
      </c>
      <c r="H215">
        <v>0.58622522308595848</v>
      </c>
      <c r="I215">
        <v>0.1693000030517578</v>
      </c>
      <c r="J215">
        <v>20.644550337304253</v>
      </c>
    </row>
    <row r="216" spans="1:10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0.51</v>
      </c>
      <c r="H216">
        <v>0.58622522308595848</v>
      </c>
      <c r="I216">
        <v>0.1693000030517578</v>
      </c>
      <c r="J216">
        <v>20.644550337304253</v>
      </c>
    </row>
    <row r="217" spans="1:10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0.51</v>
      </c>
      <c r="H217">
        <v>0.58622522308595848</v>
      </c>
      <c r="I217">
        <v>0.1693000030517578</v>
      </c>
      <c r="J217">
        <v>20.644550337304253</v>
      </c>
    </row>
    <row r="218" spans="1:10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0.51</v>
      </c>
      <c r="H218">
        <v>0.58622522308595848</v>
      </c>
      <c r="I218">
        <v>0.1693000030517578</v>
      </c>
      <c r="J218">
        <v>20.644550337304253</v>
      </c>
    </row>
    <row r="219" spans="1:10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0.51</v>
      </c>
      <c r="H219">
        <v>0.58622522308595848</v>
      </c>
      <c r="I219">
        <v>0.1693000030517578</v>
      </c>
      <c r="J219">
        <v>20.644550337304253</v>
      </c>
    </row>
    <row r="220" spans="1:10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0.51</v>
      </c>
      <c r="H220">
        <v>0.58622522308595848</v>
      </c>
      <c r="I220">
        <v>0.1693000030517578</v>
      </c>
      <c r="J220">
        <v>20.644550337304253</v>
      </c>
    </row>
    <row r="221" spans="1:10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0.51</v>
      </c>
      <c r="H221">
        <v>0.58622522308595848</v>
      </c>
      <c r="I221">
        <v>0.1693000030517578</v>
      </c>
      <c r="J221">
        <v>20.644550337304253</v>
      </c>
    </row>
    <row r="222" spans="1:10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0.51</v>
      </c>
      <c r="H222">
        <v>0.58622522308595848</v>
      </c>
      <c r="I222">
        <v>0.1693000030517578</v>
      </c>
      <c r="J222">
        <v>20.644550337304253</v>
      </c>
    </row>
    <row r="223" spans="1:10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0.51</v>
      </c>
      <c r="H223">
        <v>0.58622522308595848</v>
      </c>
      <c r="I223">
        <v>0.1693000030517578</v>
      </c>
      <c r="J223">
        <v>20.644550337304253</v>
      </c>
    </row>
    <row r="224" spans="1:10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0.51</v>
      </c>
      <c r="H224">
        <v>0.58622522308595848</v>
      </c>
      <c r="I224">
        <v>0.1693000030517578</v>
      </c>
      <c r="J224">
        <v>20.644550337304253</v>
      </c>
    </row>
    <row r="225" spans="1:10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0.51</v>
      </c>
      <c r="H225">
        <v>0.58622522308595848</v>
      </c>
      <c r="I225">
        <v>0.1693000030517578</v>
      </c>
      <c r="J225">
        <v>20.644550337304253</v>
      </c>
    </row>
    <row r="226" spans="1:10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0.51</v>
      </c>
      <c r="H226">
        <v>0.58622522308595848</v>
      </c>
      <c r="I226">
        <v>0.1693000030517578</v>
      </c>
      <c r="J226">
        <v>20.644550337304253</v>
      </c>
    </row>
    <row r="227" spans="1:10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0.51</v>
      </c>
      <c r="H227">
        <v>0.58622522308595848</v>
      </c>
      <c r="I227">
        <v>0.1693000030517578</v>
      </c>
      <c r="J227">
        <v>20.644550337304253</v>
      </c>
    </row>
    <row r="228" spans="1:10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0.51</v>
      </c>
      <c r="H228">
        <v>0.58622522308595848</v>
      </c>
      <c r="I228">
        <v>0.1693000030517578</v>
      </c>
      <c r="J228">
        <v>20.644550337304253</v>
      </c>
    </row>
    <row r="229" spans="1:10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0.51</v>
      </c>
      <c r="H229">
        <v>0.58622522308595848</v>
      </c>
      <c r="I229">
        <v>0.1693000030517578</v>
      </c>
      <c r="J229">
        <v>20.644550337304253</v>
      </c>
    </row>
    <row r="230" spans="1:10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0.51</v>
      </c>
      <c r="H230">
        <v>0.58622522308595848</v>
      </c>
      <c r="I230">
        <v>0.1693000030517578</v>
      </c>
      <c r="J230">
        <v>20.644550337304253</v>
      </c>
    </row>
    <row r="231" spans="1:10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0.51</v>
      </c>
      <c r="H231">
        <v>0.58622522308595848</v>
      </c>
      <c r="I231">
        <v>0.1693000030517578</v>
      </c>
      <c r="J231">
        <v>20.644550337304253</v>
      </c>
    </row>
    <row r="232" spans="1:10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0.51</v>
      </c>
      <c r="H232">
        <v>0.58622522308595848</v>
      </c>
      <c r="I232">
        <v>0.1693000030517578</v>
      </c>
      <c r="J232">
        <v>20.644550337304253</v>
      </c>
    </row>
    <row r="233" spans="1:10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0.51</v>
      </c>
      <c r="H233">
        <v>0.58622522308595848</v>
      </c>
      <c r="I233">
        <v>0.1693000030517578</v>
      </c>
      <c r="J233">
        <v>20.644550337304253</v>
      </c>
    </row>
    <row r="234" spans="1:10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0.51</v>
      </c>
      <c r="H234">
        <v>0.58622522308595848</v>
      </c>
      <c r="I234">
        <v>0.1693000030517578</v>
      </c>
      <c r="J234">
        <v>20.644550337304253</v>
      </c>
    </row>
    <row r="235" spans="1:10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0.51</v>
      </c>
      <c r="H235">
        <v>0.58622522308595848</v>
      </c>
      <c r="I235">
        <v>0.1693000030517578</v>
      </c>
      <c r="J235">
        <v>20.644550337304253</v>
      </c>
    </row>
    <row r="236" spans="1:10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0.51</v>
      </c>
      <c r="H236">
        <v>0.58622522308595848</v>
      </c>
      <c r="I236">
        <v>0.1693000030517578</v>
      </c>
      <c r="J236">
        <v>20.644550337304253</v>
      </c>
    </row>
    <row r="237" spans="1:10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0.51</v>
      </c>
      <c r="H237">
        <v>0.58622522308595848</v>
      </c>
      <c r="I237">
        <v>0.1693000030517578</v>
      </c>
      <c r="J237">
        <v>20.644550337304253</v>
      </c>
    </row>
    <row r="238" spans="1:10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0.51</v>
      </c>
      <c r="H238">
        <v>0.58622522308595848</v>
      </c>
      <c r="I238">
        <v>0.1693000030517578</v>
      </c>
      <c r="J238">
        <v>20.644550337304253</v>
      </c>
    </row>
    <row r="239" spans="1:10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0.51</v>
      </c>
      <c r="H239">
        <v>0.58622522308595848</v>
      </c>
      <c r="I239">
        <v>0.1693000030517578</v>
      </c>
      <c r="J239">
        <v>20.644550337304253</v>
      </c>
    </row>
    <row r="240" spans="1:10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0.51</v>
      </c>
      <c r="H240">
        <v>0.58622522308595848</v>
      </c>
      <c r="I240">
        <v>0.1693000030517578</v>
      </c>
      <c r="J240">
        <v>20.644550337304253</v>
      </c>
    </row>
    <row r="241" spans="1:10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0.51</v>
      </c>
      <c r="H241">
        <v>0.58622522308595848</v>
      </c>
      <c r="I241">
        <v>0.1693000030517578</v>
      </c>
      <c r="J241">
        <v>20.644550337304253</v>
      </c>
    </row>
    <row r="242" spans="1:10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0.51</v>
      </c>
      <c r="H242">
        <v>0.58622522308595848</v>
      </c>
      <c r="I242">
        <v>0.1693000030517578</v>
      </c>
      <c r="J242">
        <v>20.644550337304253</v>
      </c>
    </row>
    <row r="243" spans="1:10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0.51</v>
      </c>
      <c r="H243">
        <v>0.58622522308595848</v>
      </c>
      <c r="I243">
        <v>0.1693000030517578</v>
      </c>
      <c r="J243">
        <v>20.644550337304253</v>
      </c>
    </row>
    <row r="244" spans="1:10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0.51</v>
      </c>
      <c r="H244">
        <v>0.58622522308595848</v>
      </c>
      <c r="I244">
        <v>0.1693000030517578</v>
      </c>
      <c r="J244">
        <v>20.644550337304253</v>
      </c>
    </row>
    <row r="245" spans="1:10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0.51</v>
      </c>
      <c r="H245">
        <v>0.58622522308595848</v>
      </c>
      <c r="I245">
        <v>0.1693000030517578</v>
      </c>
      <c r="J245">
        <v>20.644550337304253</v>
      </c>
    </row>
    <row r="246" spans="1:10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0.51</v>
      </c>
      <c r="H246">
        <v>0.58622522308595848</v>
      </c>
      <c r="I246">
        <v>0.1693000030517578</v>
      </c>
      <c r="J246">
        <v>20.644550337304253</v>
      </c>
    </row>
    <row r="247" spans="1:10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0.51</v>
      </c>
      <c r="H247">
        <v>0.58622522308595848</v>
      </c>
      <c r="I247">
        <v>0.1693000030517578</v>
      </c>
      <c r="J247">
        <v>20.644550337304253</v>
      </c>
    </row>
    <row r="248" spans="1:10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0.51</v>
      </c>
      <c r="H248">
        <v>0.58622522308595848</v>
      </c>
      <c r="I248">
        <v>0.1693000030517578</v>
      </c>
      <c r="J248">
        <v>20.644550337304253</v>
      </c>
    </row>
    <row r="249" spans="1:10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0.51</v>
      </c>
      <c r="H249">
        <v>0.58622522308595848</v>
      </c>
      <c r="I249">
        <v>0.1693000030517578</v>
      </c>
      <c r="J249">
        <v>20.644550337304253</v>
      </c>
    </row>
    <row r="250" spans="1:10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0.51</v>
      </c>
      <c r="H250">
        <v>0.58622522308595848</v>
      </c>
      <c r="I250">
        <v>0.1693000030517578</v>
      </c>
      <c r="J250">
        <v>20.644550337304253</v>
      </c>
    </row>
    <row r="251" spans="1:10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0.51</v>
      </c>
      <c r="H251">
        <v>0.58622522308595848</v>
      </c>
      <c r="I251">
        <v>0.1693000030517578</v>
      </c>
      <c r="J251">
        <v>20.644550337304253</v>
      </c>
    </row>
    <row r="252" spans="1:10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0.51</v>
      </c>
      <c r="H252">
        <v>0.58622522308595848</v>
      </c>
      <c r="I252">
        <v>0.1693000030517578</v>
      </c>
      <c r="J252">
        <v>20.644550337304253</v>
      </c>
    </row>
    <row r="253" spans="1:10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0.51</v>
      </c>
      <c r="H253">
        <v>0.58622522308595848</v>
      </c>
      <c r="I253">
        <v>0.1693000030517578</v>
      </c>
      <c r="J253">
        <v>20.644550337304253</v>
      </c>
    </row>
    <row r="254" spans="1:10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0.51</v>
      </c>
      <c r="H254">
        <v>0.58622522308595848</v>
      </c>
      <c r="I254">
        <v>0.1693000030517578</v>
      </c>
      <c r="J254">
        <v>20.644550337304253</v>
      </c>
    </row>
    <row r="255" spans="1:10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0.51</v>
      </c>
      <c r="H255">
        <v>0.58622522308595848</v>
      </c>
      <c r="I255">
        <v>0.1693000030517578</v>
      </c>
      <c r="J255">
        <v>20.644550337304253</v>
      </c>
    </row>
    <row r="256" spans="1:10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0.51</v>
      </c>
      <c r="H256">
        <v>0.58622522308595848</v>
      </c>
      <c r="I256">
        <v>0.1693000030517578</v>
      </c>
      <c r="J256">
        <v>20.644550337304253</v>
      </c>
    </row>
    <row r="257" spans="1:10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0.51</v>
      </c>
      <c r="H257">
        <v>0.58622522308595848</v>
      </c>
      <c r="I257">
        <v>0.1693000030517578</v>
      </c>
      <c r="J257">
        <v>20.644550337304253</v>
      </c>
    </row>
    <row r="258" spans="1:10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0.51</v>
      </c>
      <c r="H258">
        <v>0.58622522308595848</v>
      </c>
      <c r="I258">
        <v>0.1693000030517578</v>
      </c>
      <c r="J258">
        <v>20.644550337304253</v>
      </c>
    </row>
    <row r="259" spans="1:10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0.51</v>
      </c>
      <c r="H259">
        <v>0.58622522308595848</v>
      </c>
      <c r="I259">
        <v>0.1693000030517578</v>
      </c>
      <c r="J259">
        <v>20.644550337304253</v>
      </c>
    </row>
    <row r="260" spans="1:10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0.51</v>
      </c>
      <c r="H260">
        <v>0.58622522308595848</v>
      </c>
      <c r="I260">
        <v>0.1693000030517578</v>
      </c>
      <c r="J260">
        <v>20.644550337304253</v>
      </c>
    </row>
    <row r="261" spans="1:10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0.51</v>
      </c>
      <c r="H261">
        <v>0.58622522308595848</v>
      </c>
      <c r="I261">
        <v>0.1693000030517578</v>
      </c>
      <c r="J261">
        <v>20.644550337304253</v>
      </c>
    </row>
    <row r="262" spans="1:10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0.51</v>
      </c>
      <c r="H262">
        <v>0.58622522308595848</v>
      </c>
      <c r="I262">
        <v>0.1693000030517578</v>
      </c>
      <c r="J262">
        <v>20.644550337304253</v>
      </c>
    </row>
    <row r="263" spans="1:10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0.51</v>
      </c>
      <c r="H263">
        <v>0.58622522308595848</v>
      </c>
      <c r="I263">
        <v>0.1693000030517578</v>
      </c>
      <c r="J263">
        <v>20.644550337304253</v>
      </c>
    </row>
  </sheetData>
  <mergeCells count="1">
    <mergeCell ref="C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8AE0-CA6B-4E3E-92D1-315BC7639D76}">
  <dimension ref="A1:Q9"/>
  <sheetViews>
    <sheetView topLeftCell="C1" workbookViewId="0">
      <selection activeCell="Q6" sqref="Q6"/>
    </sheetView>
  </sheetViews>
  <sheetFormatPr defaultRowHeight="14.5"/>
  <cols>
    <col min="1" max="1" width="30.453125" customWidth="1"/>
    <col min="16" max="16" width="11.1796875" customWidth="1"/>
    <col min="17" max="17" width="12.6328125" customWidth="1"/>
  </cols>
  <sheetData>
    <row r="1" spans="1:17">
      <c r="A1" t="s">
        <v>37</v>
      </c>
      <c r="B1" t="s">
        <v>38</v>
      </c>
      <c r="C1" t="s">
        <v>30</v>
      </c>
      <c r="D1" t="s">
        <v>39</v>
      </c>
      <c r="E1" t="s">
        <v>42</v>
      </c>
      <c r="F1" t="s">
        <v>71</v>
      </c>
      <c r="J1" t="s">
        <v>72</v>
      </c>
      <c r="N1" t="s">
        <v>69</v>
      </c>
      <c r="O1" t="s">
        <v>52</v>
      </c>
      <c r="P1" t="s">
        <v>67</v>
      </c>
      <c r="Q1" t="s">
        <v>68</v>
      </c>
    </row>
    <row r="2" spans="1:17" ht="16.5">
      <c r="A2" t="s">
        <v>36</v>
      </c>
      <c r="B2">
        <v>100</v>
      </c>
      <c r="C2">
        <v>3</v>
      </c>
      <c r="D2">
        <v>100</v>
      </c>
      <c r="F2">
        <f>B2*D2</f>
        <v>10000</v>
      </c>
      <c r="J2">
        <v>10</v>
      </c>
      <c r="M2" t="s">
        <v>73</v>
      </c>
      <c r="N2">
        <v>10</v>
      </c>
      <c r="O2">
        <f>'ES, All factor movement'!L3</f>
        <v>-992.45413985271136</v>
      </c>
      <c r="P2">
        <f>ABS(O2)</f>
        <v>992.45413985271136</v>
      </c>
      <c r="Q2" s="10">
        <f>P2*P2</f>
        <v>984965.2197107852</v>
      </c>
    </row>
    <row r="3" spans="1:17" ht="16.5">
      <c r="A3" t="s">
        <v>41</v>
      </c>
      <c r="B3">
        <v>100</v>
      </c>
      <c r="C3">
        <v>3</v>
      </c>
      <c r="D3">
        <v>100</v>
      </c>
      <c r="F3">
        <f t="shared" ref="F3:F4" si="0">B3*D3</f>
        <v>10000</v>
      </c>
      <c r="M3" t="s">
        <v>60</v>
      </c>
      <c r="N3">
        <v>20</v>
      </c>
      <c r="O3">
        <f>'ES,N10 unchanged'!L3</f>
        <v>-104.17405239118254</v>
      </c>
      <c r="P3">
        <f t="shared" ref="P3:P5" si="1">ABS(O3)</f>
        <v>104.17405239118254</v>
      </c>
      <c r="Q3" s="10">
        <f>POWER(P3*SQRT(10/10),2)</f>
        <v>10852.233191600844</v>
      </c>
    </row>
    <row r="4" spans="1:17" ht="16.5">
      <c r="A4" t="s">
        <v>40</v>
      </c>
      <c r="B4">
        <v>100</v>
      </c>
      <c r="C4">
        <v>3</v>
      </c>
      <c r="D4">
        <v>100</v>
      </c>
      <c r="F4">
        <f t="shared" si="0"/>
        <v>10000</v>
      </c>
      <c r="M4" t="s">
        <v>61</v>
      </c>
      <c r="N4">
        <v>40</v>
      </c>
      <c r="O4">
        <f>'ES,N10,20 unchanged'!L3</f>
        <v>-102.76959392130291</v>
      </c>
      <c r="P4">
        <f t="shared" si="1"/>
        <v>102.76959392130291</v>
      </c>
      <c r="Q4" s="10">
        <f>POWER(P4*SQRT(20/10),2)</f>
        <v>21123.178869499006</v>
      </c>
    </row>
    <row r="5" spans="1:17" ht="16.5">
      <c r="A5" t="s">
        <v>43</v>
      </c>
      <c r="B5">
        <v>100</v>
      </c>
      <c r="E5">
        <v>500</v>
      </c>
      <c r="F5">
        <f>B5*E5</f>
        <v>50000</v>
      </c>
      <c r="M5" t="s">
        <v>62</v>
      </c>
      <c r="N5">
        <v>60</v>
      </c>
      <c r="O5">
        <f>'ES,N10,20,40 unchanged'!L3</f>
        <v>-104.13360185658841</v>
      </c>
      <c r="P5">
        <f t="shared" si="1"/>
        <v>104.13360185658841</v>
      </c>
      <c r="Q5" s="10">
        <f>POWER(P5*SQRT(20/10),2)</f>
        <v>21687.614071252952</v>
      </c>
    </row>
    <row r="6" spans="1:17" ht="20.5">
      <c r="A6" t="s">
        <v>44</v>
      </c>
      <c r="B6">
        <v>100</v>
      </c>
      <c r="E6">
        <v>36</v>
      </c>
      <c r="F6">
        <f t="shared" ref="F6:F7" si="2">B6*E6</f>
        <v>3600</v>
      </c>
      <c r="P6" s="11" t="s">
        <v>70</v>
      </c>
      <c r="Q6" s="12">
        <f>SQRT(SUM(Q2:Q5))</f>
        <v>1019.1311229881748</v>
      </c>
    </row>
    <row r="7" spans="1:17">
      <c r="A7" t="s">
        <v>25</v>
      </c>
      <c r="B7">
        <v>100</v>
      </c>
      <c r="E7">
        <v>20</v>
      </c>
      <c r="F7">
        <f t="shared" si="2"/>
        <v>2000</v>
      </c>
    </row>
    <row r="8" spans="1:17">
      <c r="A8" t="s">
        <v>55</v>
      </c>
      <c r="B8">
        <v>100</v>
      </c>
      <c r="C8">
        <v>3</v>
      </c>
      <c r="D8">
        <v>100</v>
      </c>
      <c r="F8">
        <f>B8*D8</f>
        <v>10000</v>
      </c>
    </row>
    <row r="9" spans="1:17">
      <c r="F9">
        <f>SUM(F2:F8)</f>
        <v>95600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5BA3-9776-4831-9E2C-7512B0C766B7}">
  <dimension ref="A1:L263"/>
  <sheetViews>
    <sheetView topLeftCell="C1" workbookViewId="0">
      <selection activeCell="L3" sqref="L3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74</v>
      </c>
      <c r="C1" t="s">
        <v>75</v>
      </c>
      <c r="D1" t="s">
        <v>76</v>
      </c>
      <c r="E1" t="s">
        <v>77</v>
      </c>
      <c r="F1" t="s">
        <v>74</v>
      </c>
      <c r="G1" t="s">
        <v>74</v>
      </c>
      <c r="H1" t="s">
        <v>78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59</v>
      </c>
    </row>
    <row r="3" spans="1:12">
      <c r="A3" s="1">
        <v>45474</v>
      </c>
      <c r="B3">
        <f>(3/(1+('CurrentPor-All Factor Movements'!C3)/100)+103/POWER(1+('CurrentPor-All Factor Movements'!D3)/100,2))*100</f>
        <v>9707.5857774288397</v>
      </c>
      <c r="C3">
        <f>(3/(1+('CurrentPor-All Factor Movements'!C3+'CurrentPor-All Factor Movements'!G3)/100)+103/POWER(1+('CurrentPor-All Factor Movements'!D3+'CurrentPor-All Factor Movements'!G3)/100,2))*100</f>
        <v>9614.9673582483465</v>
      </c>
      <c r="D3">
        <f>(3/(1+('CurrentPor-All Factor Movements'!C3+'CurrentPor-All Factor Movements'!H3)/100)+103/POWER(1+('CurrentPor-All Factor Movements'!D3+'CurrentPor-All Factor Movements'!H3)/100,2))*100</f>
        <v>9601.2395558122898</v>
      </c>
      <c r="E3">
        <f>(3/(1+('CurrentPor-All Factor Movements'!C3+'CurrentPor-All Factor Movements'!I3)/100)+103/POWER(1+('CurrentPor-All Factor Movements'!D3+'CurrentPor-All Factor Movements'!I3)/100,2))*100</f>
        <v>9581.4547115644182</v>
      </c>
      <c r="F3">
        <f>Portfolio!B$5*'CurrentPor-All Factor Movements'!E3</f>
        <v>52143.895533915893</v>
      </c>
      <c r="G3">
        <f>Portfolio!B$6*'CurrentPor-All Factor Movements'!F3</f>
        <v>3696.2945087936532</v>
      </c>
      <c r="H3">
        <f>Portfolio!B$7*'CurrentPor-All Factor Movements'!J3</f>
        <v>2064.4002405101537</v>
      </c>
      <c r="I3">
        <f>SUM(B3:H3)</f>
        <v>96409.837686273589</v>
      </c>
      <c r="K3" s="8">
        <f>_xlfn.PERCENTILE.INC(J13:J263, 0.025)</f>
        <v>-809.31275300794005</v>
      </c>
      <c r="L3">
        <f>AVERAGEIF(J13:J263, "&lt;="&amp;K3,J13:J263)</f>
        <v>-992.45413985271136</v>
      </c>
    </row>
    <row r="4" spans="1:12">
      <c r="A4" s="1">
        <v>45475</v>
      </c>
      <c r="B4">
        <f>(3/(1+('CurrentPor-All Factor Movements'!C4)/100)+103/POWER(1+('CurrentPor-All Factor Movements'!D4)/100,2))*100</f>
        <v>9707.2251676095184</v>
      </c>
      <c r="C4">
        <f>(3/(1+('CurrentPor-All Factor Movements'!C4+'CurrentPor-All Factor Movements'!G4)/100)+103/POWER(1+('CurrentPor-All Factor Movements'!D4+'CurrentPor-All Factor Movements'!G4)/100,2))*100</f>
        <v>9614.611947670317</v>
      </c>
      <c r="D4">
        <f>(3/(1+('CurrentPor-All Factor Movements'!C4+'CurrentPor-All Factor Movements'!H4)/100)+103/POWER(1+('CurrentPor-All Factor Movements'!D4+'CurrentPor-All Factor Movements'!H4)/100,2))*100</f>
        <v>9586.3998114609803</v>
      </c>
      <c r="E4">
        <f>(3/(1+('CurrentPor-All Factor Movements'!C4+'CurrentPor-All Factor Movements'!I4)/100)+103/POWER(1+('CurrentPor-All Factor Movements'!D4+'CurrentPor-All Factor Movements'!I4)/100,2))*100</f>
        <v>9578.8215634858807</v>
      </c>
      <c r="F4">
        <f>Portfolio!B$5*'CurrentPor-All Factor Movements'!E4</f>
        <v>52287.988792292643</v>
      </c>
      <c r="G4">
        <f>Portfolio!B$6*'CurrentPor-All Factor Movements'!F4</f>
        <v>3678.062237128755</v>
      </c>
      <c r="H4">
        <f>Portfolio!B$7*'CurrentPor-All Factor Movements'!J4</f>
        <v>2064.405593251121</v>
      </c>
      <c r="I4">
        <f t="shared" ref="I4:I67" si="0">SUM(B4:H4)</f>
        <v>96517.515112899229</v>
      </c>
    </row>
    <row r="5" spans="1:12">
      <c r="A5" s="1">
        <v>45476</v>
      </c>
      <c r="B5">
        <f>(3/(1+('CurrentPor-All Factor Movements'!C5)/100)+103/POWER(1+('CurrentPor-All Factor Movements'!D5)/100,2))*100</f>
        <v>9708.848704011285</v>
      </c>
      <c r="C5">
        <f>(3/(1+('CurrentPor-All Factor Movements'!C5+'CurrentPor-All Factor Movements'!G5)/100)+103/POWER(1+('CurrentPor-All Factor Movements'!D5+'CurrentPor-All Factor Movements'!G5)/100,2))*100</f>
        <v>9616.2120752950959</v>
      </c>
      <c r="D5">
        <f>(3/(1+('CurrentPor-All Factor Movements'!C5+'CurrentPor-All Factor Movements'!H5)/100)+103/POWER(1+('CurrentPor-All Factor Movements'!D5+'CurrentPor-All Factor Movements'!H5)/100,2))*100</f>
        <v>9604.7054224271033</v>
      </c>
      <c r="E5">
        <f>(3/(1+('CurrentPor-All Factor Movements'!C5+'CurrentPor-All Factor Movements'!I5)/100)+103/POWER(1+('CurrentPor-All Factor Movements'!D5+'CurrentPor-All Factor Movements'!I5)/100,2))*100</f>
        <v>9581.7295425034063</v>
      </c>
      <c r="F5">
        <f>Portfolio!B$5*'CurrentPor-All Factor Movements'!E5</f>
        <v>52263.871139715389</v>
      </c>
      <c r="G5">
        <f>Portfolio!B$6*'CurrentPor-All Factor Movements'!F5</f>
        <v>3364.9895846541795</v>
      </c>
      <c r="H5">
        <f>Portfolio!B$7*'CurrentPor-All Factor Movements'!J5</f>
        <v>2064.4002092841365</v>
      </c>
      <c r="I5">
        <f t="shared" si="0"/>
        <v>96204.756677890604</v>
      </c>
    </row>
    <row r="6" spans="1:12">
      <c r="A6" s="1">
        <v>45477</v>
      </c>
      <c r="B6">
        <f>(3/(1+('CurrentPor-All Factor Movements'!C6)/100)+103/POWER(1+('CurrentPor-All Factor Movements'!D6)/100,2))*100</f>
        <v>9707.6653884679818</v>
      </c>
      <c r="C6">
        <f>(3/(1+('CurrentPor-All Factor Movements'!C6+'CurrentPor-All Factor Movements'!G6)/100)+103/POWER(1+('CurrentPor-All Factor Movements'!D6+'CurrentPor-All Factor Movements'!G6)/100,2))*100</f>
        <v>9615.0458214492392</v>
      </c>
      <c r="D6">
        <f>(3/(1+('CurrentPor-All Factor Movements'!C6+'CurrentPor-All Factor Movements'!H6)/100)+103/POWER(1+('CurrentPor-All Factor Movements'!D6+'CurrentPor-All Factor Movements'!H6)/100,2))*100</f>
        <v>9607.0898434838837</v>
      </c>
      <c r="E6">
        <f>(3/(1+('CurrentPor-All Factor Movements'!C6+'CurrentPor-All Factor Movements'!I6)/100)+103/POWER(1+('CurrentPor-All Factor Movements'!D6+'CurrentPor-All Factor Movements'!I6)/100,2))*100</f>
        <v>9583.6685294600811</v>
      </c>
      <c r="F6">
        <f>Portfolio!B$5*'CurrentPor-All Factor Movements'!E6</f>
        <v>52330.347316179483</v>
      </c>
      <c r="G6">
        <f>Portfolio!B$6*'CurrentPor-All Factor Movements'!F6</f>
        <v>3708.1655815154436</v>
      </c>
      <c r="H6">
        <f>Portfolio!B$7*'CurrentPor-All Factor Movements'!J6</f>
        <v>2064.3982266387256</v>
      </c>
      <c r="I6">
        <f t="shared" si="0"/>
        <v>96616.380707194839</v>
      </c>
    </row>
    <row r="7" spans="1:12">
      <c r="A7" s="1">
        <v>45478</v>
      </c>
      <c r="B7">
        <f>(3/(1+('CurrentPor-All Factor Movements'!C7)/100)+103/POWER(1+('CurrentPor-All Factor Movements'!D7)/100,2))*100</f>
        <v>9705.9763176164961</v>
      </c>
      <c r="C7">
        <f>(3/(1+('CurrentPor-All Factor Movements'!C7+'CurrentPor-All Factor Movements'!G7)/100)+103/POWER(1+('CurrentPor-All Factor Movements'!D7+'CurrentPor-All Factor Movements'!G7)/100,2))*100</f>
        <v>9615.1838109641794</v>
      </c>
      <c r="D7">
        <f>(3/(1+('CurrentPor-All Factor Movements'!C7+'CurrentPor-All Factor Movements'!H7)/100)+103/POWER(1+('CurrentPor-All Factor Movements'!D7+'CurrentPor-All Factor Movements'!H7)/100,2))*100</f>
        <v>9578.7280207377826</v>
      </c>
      <c r="E7">
        <f>(3/(1+('CurrentPor-All Factor Movements'!C7+'CurrentPor-All Factor Movements'!I7)/100)+103/POWER(1+('CurrentPor-All Factor Movements'!D7+'CurrentPor-All Factor Movements'!I7)/100,2))*100</f>
        <v>9577.9664862833815</v>
      </c>
      <c r="F7">
        <f>Portfolio!B$5*'CurrentPor-All Factor Movements'!E7</f>
        <v>52065.487777204427</v>
      </c>
      <c r="G7">
        <f>Portfolio!B$6*'CurrentPor-All Factor Movements'!F7</f>
        <v>3885.4787651800516</v>
      </c>
      <c r="H7">
        <f>Portfolio!B$7*'CurrentPor-All Factor Movements'!J7</f>
        <v>2064.3926472272974</v>
      </c>
      <c r="I7">
        <f t="shared" si="0"/>
        <v>96493.213825213621</v>
      </c>
    </row>
    <row r="8" spans="1:12">
      <c r="A8" s="1">
        <v>45481</v>
      </c>
      <c r="B8">
        <f>(3/(1+('CurrentPor-All Factor Movements'!C8)/100)+103/POWER(1+('CurrentPor-All Factor Movements'!D8)/100,2))*100</f>
        <v>9705.7465254709605</v>
      </c>
      <c r="C8">
        <f>(3/(1+('CurrentPor-All Factor Movements'!C8+'CurrentPor-All Factor Movements'!G8)/100)+103/POWER(1+('CurrentPor-All Factor Movements'!D8+'CurrentPor-All Factor Movements'!G8)/100,2))*100</f>
        <v>9611.3524915140097</v>
      </c>
      <c r="D8">
        <f>(3/(1+('CurrentPor-All Factor Movements'!C8+'CurrentPor-All Factor Movements'!H8)/100)+103/POWER(1+('CurrentPor-All Factor Movements'!D8+'CurrentPor-All Factor Movements'!H8)/100,2))*100</f>
        <v>9580.2830179725152</v>
      </c>
      <c r="E8">
        <f>(3/(1+('CurrentPor-All Factor Movements'!C8+'CurrentPor-All Factor Movements'!I8)/100)+103/POWER(1+('CurrentPor-All Factor Movements'!D8+'CurrentPor-All Factor Movements'!I8)/100,2))*100</f>
        <v>9578.6642700128668</v>
      </c>
      <c r="F8">
        <f>Portfolio!B$5*'CurrentPor-All Factor Movements'!E8</f>
        <v>52418.642546096249</v>
      </c>
      <c r="G8">
        <f>Portfolio!B$6*'CurrentPor-All Factor Movements'!F8</f>
        <v>3991.5107945774148</v>
      </c>
      <c r="H8">
        <f>Portfolio!B$7*'CurrentPor-All Factor Movements'!J8</f>
        <v>2064.3945132120971</v>
      </c>
      <c r="I8">
        <f t="shared" si="0"/>
        <v>96950.594158856125</v>
      </c>
    </row>
    <row r="9" spans="1:12">
      <c r="A9" s="1">
        <v>45482</v>
      </c>
      <c r="B9">
        <f>(3/(1+('CurrentPor-All Factor Movements'!C9)/100)+103/POWER(1+('CurrentPor-All Factor Movements'!D9)/100,2))*100</f>
        <v>9707.8035377693177</v>
      </c>
      <c r="C9">
        <f>(3/(1+('CurrentPor-All Factor Movements'!C9+'CurrentPor-All Factor Movements'!G9)/100)+103/POWER(1+('CurrentPor-All Factor Movements'!D9+'CurrentPor-All Factor Movements'!G9)/100,2))*100</f>
        <v>9613.3792711828355</v>
      </c>
      <c r="D9">
        <f>(3/(1+('CurrentPor-All Factor Movements'!C9+'CurrentPor-All Factor Movements'!H9)/100)+103/POWER(1+('CurrentPor-All Factor Movements'!D9+'CurrentPor-All Factor Movements'!H9)/100,2))*100</f>
        <v>9595.183861181622</v>
      </c>
      <c r="E9">
        <f>(3/(1+('CurrentPor-All Factor Movements'!C9+'CurrentPor-All Factor Movements'!I9)/100)+103/POWER(1+('CurrentPor-All Factor Movements'!D9+'CurrentPor-All Factor Movements'!I9)/100,2))*100</f>
        <v>9581.1781064042079</v>
      </c>
      <c r="F9">
        <f>Portfolio!B$5*'CurrentPor-All Factor Movements'!E9</f>
        <v>52676.260219546159</v>
      </c>
      <c r="G9">
        <f>Portfolio!B$6*'CurrentPor-All Factor Movements'!F9</f>
        <v>3882.6036968131875</v>
      </c>
      <c r="H9">
        <f>Portfolio!B$7*'CurrentPor-All Factor Movements'!J9</f>
        <v>2064.4018893793123</v>
      </c>
      <c r="I9">
        <f t="shared" si="0"/>
        <v>97120.810582276623</v>
      </c>
    </row>
    <row r="10" spans="1:12">
      <c r="A10" s="1">
        <v>45483</v>
      </c>
      <c r="B10">
        <f>(3/(1+('CurrentPor-All Factor Movements'!C10)/100)+103/POWER(1+('CurrentPor-All Factor Movements'!D10)/100,2))*100</f>
        <v>9707.1360555868268</v>
      </c>
      <c r="C10">
        <f>(3/(1+('CurrentPor-All Factor Movements'!C10+'CurrentPor-All Factor Movements'!G10)/100)+103/POWER(1+('CurrentPor-All Factor Movements'!D10+'CurrentPor-All Factor Movements'!G10)/100,2))*100</f>
        <v>9614.5241204420618</v>
      </c>
      <c r="D10">
        <f>(3/(1+('CurrentPor-All Factor Movements'!C10+'CurrentPor-All Factor Movements'!H10)/100)+103/POWER(1+('CurrentPor-All Factor Movements'!D10+'CurrentPor-All Factor Movements'!H10)/100,2))*100</f>
        <v>9592.9282153304903</v>
      </c>
      <c r="E10">
        <f>(3/(1+('CurrentPor-All Factor Movements'!C10+'CurrentPor-All Factor Movements'!I10)/100)+103/POWER(1+('CurrentPor-All Factor Movements'!D10+'CurrentPor-All Factor Movements'!I10)/100,2))*100</f>
        <v>9579.9457977860366</v>
      </c>
      <c r="F10">
        <f>Portfolio!B$5*'CurrentPor-All Factor Movements'!E10</f>
        <v>52648.410786002227</v>
      </c>
      <c r="G10">
        <f>Portfolio!B$6*'CurrentPor-All Factor Movements'!F10</f>
        <v>4055.942163891053</v>
      </c>
      <c r="H10">
        <f>Portfolio!B$7*'CurrentPor-All Factor Movements'!J10</f>
        <v>2064.4012196529484</v>
      </c>
      <c r="I10">
        <f t="shared" si="0"/>
        <v>97263.288358691643</v>
      </c>
    </row>
    <row r="11" spans="1:12">
      <c r="A11" s="1">
        <v>45484</v>
      </c>
      <c r="B11">
        <f>(3/(1+('CurrentPor-All Factor Movements'!C11)/100)+103/POWER(1+('CurrentPor-All Factor Movements'!D11)/100,2))*100</f>
        <v>9706.64037297902</v>
      </c>
      <c r="C11">
        <f>(3/(1+('CurrentPor-All Factor Movements'!C11+'CurrentPor-All Factor Movements'!G11)/100)+103/POWER(1+('CurrentPor-All Factor Movements'!D11+'CurrentPor-All Factor Movements'!G11)/100,2))*100</f>
        <v>9614.0355843510224</v>
      </c>
      <c r="D11">
        <f>(3/(1+('CurrentPor-All Factor Movements'!C11+'CurrentPor-All Factor Movements'!H11)/100)+103/POWER(1+('CurrentPor-All Factor Movements'!D11+'CurrentPor-All Factor Movements'!H11)/100,2))*100</f>
        <v>9595.9394508087425</v>
      </c>
      <c r="E11">
        <f>(3/(1+('CurrentPor-All Factor Movements'!C11+'CurrentPor-All Factor Movements'!I11)/100)+103/POWER(1+('CurrentPor-All Factor Movements'!D11+'CurrentPor-All Factor Movements'!I11)/100,2))*100</f>
        <v>9577.0597285740896</v>
      </c>
      <c r="F11">
        <f>Portfolio!B$5*'CurrentPor-All Factor Movements'!E11</f>
        <v>52352.380879666438</v>
      </c>
      <c r="G11">
        <f>Portfolio!B$6*'CurrentPor-All Factor Movements'!F11</f>
        <v>3670.3912590905625</v>
      </c>
      <c r="H11">
        <f>Portfolio!B$7*'CurrentPor-All Factor Movements'!J11</f>
        <v>2064.393950921602</v>
      </c>
      <c r="I11">
        <f t="shared" si="0"/>
        <v>96580.84122639148</v>
      </c>
    </row>
    <row r="12" spans="1:12">
      <c r="A12" s="1">
        <v>45485</v>
      </c>
      <c r="B12">
        <f>(3/(1+('CurrentPor-All Factor Movements'!C12)/100)+103/POWER(1+('CurrentPor-All Factor Movements'!D12)/100,2))*100</f>
        <v>9707.5496601301875</v>
      </c>
      <c r="C12">
        <f>(3/(1+('CurrentPor-All Factor Movements'!C12+'CurrentPor-All Factor Movements'!G12)/100)+103/POWER(1+('CurrentPor-All Factor Movements'!D12+'CurrentPor-All Factor Movements'!G12)/100,2))*100</f>
        <v>9614.9317616901862</v>
      </c>
      <c r="D12">
        <f>(3/(1+('CurrentPor-All Factor Movements'!C12+'CurrentPor-All Factor Movements'!H12)/100)+103/POWER(1+('CurrentPor-All Factor Movements'!D12+'CurrentPor-All Factor Movements'!H12)/100,2))*100</f>
        <v>9593.7060355716712</v>
      </c>
      <c r="E12">
        <f>(3/(1+('CurrentPor-All Factor Movements'!C12+'CurrentPor-All Factor Movements'!I12)/100)+103/POWER(1+('CurrentPor-All Factor Movements'!D12+'CurrentPor-All Factor Movements'!I12)/100,2))*100</f>
        <v>9580.8847333503218</v>
      </c>
      <c r="F12">
        <f>Portfolio!B$5*'CurrentPor-All Factor Movements'!E12</f>
        <v>52059.332699673621</v>
      </c>
      <c r="G12">
        <f>Portfolio!B$6*'CurrentPor-All Factor Movements'!F12</f>
        <v>3607.2424972989943</v>
      </c>
      <c r="H12">
        <f>Portfolio!B$7*'CurrentPor-All Factor Movements'!J12</f>
        <v>2064.4027472674147</v>
      </c>
      <c r="I12">
        <f t="shared" si="0"/>
        <v>96228.050134982404</v>
      </c>
    </row>
    <row r="13" spans="1:12">
      <c r="A13" s="1">
        <v>45488</v>
      </c>
      <c r="B13">
        <f>(3/(1+('CurrentPor-All Factor Movements'!C13)/100)+103/POWER(1+('CurrentPor-All Factor Movements'!D13)/100,2))*100</f>
        <v>9708.1570161261534</v>
      </c>
      <c r="C13">
        <f>(3/(1+('CurrentPor-All Factor Movements'!C13+'CurrentPor-All Factor Movements'!G13)/100)+103/POWER(1+('CurrentPor-All Factor Movements'!D13+'CurrentPor-All Factor Movements'!G13)/100,2))*100</f>
        <v>9620.9418546886191</v>
      </c>
      <c r="D13">
        <f>(3/(1+('CurrentPor-All Factor Movements'!C13+'CurrentPor-All Factor Movements'!H13)/100)+103/POWER(1+('CurrentPor-All Factor Movements'!D13+'CurrentPor-All Factor Movements'!H13)/100,2))*100</f>
        <v>9583.6954681510142</v>
      </c>
      <c r="E13">
        <f>(3/(1+('CurrentPor-All Factor Movements'!C13+'CurrentPor-All Factor Movements'!I13)/100)+103/POWER(1+('CurrentPor-All Factor Movements'!D13+'CurrentPor-All Factor Movements'!I13)/100,2))*100</f>
        <v>9580.5896144749368</v>
      </c>
      <c r="F13">
        <f>Portfolio!B$5*'CurrentPor-All Factor Movements'!E13</f>
        <v>52201.05444762281</v>
      </c>
      <c r="G13">
        <f>Portfolio!B$6*'CurrentPor-All Factor Movements'!F13</f>
        <v>3657.699852717129</v>
      </c>
      <c r="H13">
        <f>Portfolio!B$7*'CurrentPor-All Factor Movements'!J13</f>
        <v>2064.3980331871435</v>
      </c>
      <c r="I13">
        <f t="shared" si="0"/>
        <v>96416.536286967792</v>
      </c>
      <c r="J13">
        <f>I13-I3</f>
        <v>6.6986006942024687</v>
      </c>
    </row>
    <row r="14" spans="1:12">
      <c r="A14" s="1">
        <v>45489</v>
      </c>
      <c r="B14">
        <f>(3/(1+('CurrentPor-All Factor Movements'!C14)/100)+103/POWER(1+('CurrentPor-All Factor Movements'!D14)/100,2))*100</f>
        <v>9709.3491976852019</v>
      </c>
      <c r="C14">
        <f>(3/(1+('CurrentPor-All Factor Movements'!C14+'CurrentPor-All Factor Movements'!G14)/100)+103/POWER(1+('CurrentPor-All Factor Movements'!D14+'CurrentPor-All Factor Movements'!G14)/100,2))*100</f>
        <v>9618.5090049892806</v>
      </c>
      <c r="D14">
        <f>(3/(1+('CurrentPor-All Factor Movements'!C14+'CurrentPor-All Factor Movements'!H14)/100)+103/POWER(1+('CurrentPor-All Factor Movements'!D14+'CurrentPor-All Factor Movements'!H14)/100,2))*100</f>
        <v>9610.1974440708382</v>
      </c>
      <c r="E14">
        <f>(3/(1+('CurrentPor-All Factor Movements'!C14+'CurrentPor-All Factor Movements'!I14)/100)+103/POWER(1+('CurrentPor-All Factor Movements'!D14+'CurrentPor-All Factor Movements'!I14)/100,2))*100</f>
        <v>9582.0410332116953</v>
      </c>
      <c r="F14">
        <f>Portfolio!B$5*'CurrentPor-All Factor Movements'!E14</f>
        <v>52455.069159368591</v>
      </c>
      <c r="G14">
        <f>Portfolio!B$6*'CurrentPor-All Factor Movements'!F14</f>
        <v>3962.6477070109927</v>
      </c>
      <c r="H14">
        <f>Portfolio!B$7*'CurrentPor-All Factor Movements'!J14</f>
        <v>2064.3987235494897</v>
      </c>
      <c r="I14">
        <f t="shared" si="0"/>
        <v>97002.212269886091</v>
      </c>
      <c r="J14">
        <f t="shared" ref="J14:J77" si="1">I14-I4</f>
        <v>484.69715698686196</v>
      </c>
    </row>
    <row r="15" spans="1:12">
      <c r="A15" s="1">
        <v>45490</v>
      </c>
      <c r="B15">
        <f>(3/(1+('CurrentPor-All Factor Movements'!C15)/100)+103/POWER(1+('CurrentPor-All Factor Movements'!D15)/100,2))*100</f>
        <v>9705.6179273182952</v>
      </c>
      <c r="C15">
        <f>(3/(1+('CurrentPor-All Factor Movements'!C15+'CurrentPor-All Factor Movements'!G15)/100)+103/POWER(1+('CurrentPor-All Factor Movements'!D15+'CurrentPor-All Factor Movements'!G15)/100,2))*100</f>
        <v>9614.8304871242326</v>
      </c>
      <c r="D15">
        <f>(3/(1+('CurrentPor-All Factor Movements'!C15+'CurrentPor-All Factor Movements'!H15)/100)+103/POWER(1+('CurrentPor-All Factor Movements'!D15+'CurrentPor-All Factor Movements'!H15)/100,2))*100</f>
        <v>9603.5954377389589</v>
      </c>
      <c r="E15">
        <f>(3/(1+('CurrentPor-All Factor Movements'!C15+'CurrentPor-All Factor Movements'!I15)/100)+103/POWER(1+('CurrentPor-All Factor Movements'!D15+'CurrentPor-All Factor Movements'!I15)/100,2))*100</f>
        <v>9579.3887132535256</v>
      </c>
      <c r="F15">
        <f>Portfolio!B$5*'CurrentPor-All Factor Movements'!E15</f>
        <v>52405.111251639413</v>
      </c>
      <c r="G15">
        <f>Portfolio!B$6*'CurrentPor-All Factor Movements'!F15</f>
        <v>3335.4784589892333</v>
      </c>
      <c r="H15">
        <f>Portfolio!B$7*'CurrentPor-All Factor Movements'!J15</f>
        <v>2064.3925140761739</v>
      </c>
      <c r="I15">
        <f t="shared" si="0"/>
        <v>96308.414790139825</v>
      </c>
      <c r="J15">
        <f t="shared" si="1"/>
        <v>103.65811224922072</v>
      </c>
    </row>
    <row r="16" spans="1:12">
      <c r="A16" s="1">
        <v>45491</v>
      </c>
      <c r="B16">
        <f>(3/(1+('CurrentPor-All Factor Movements'!C16)/100)+103/POWER(1+('CurrentPor-All Factor Movements'!D16)/100,2))*100</f>
        <v>9707.1368560725878</v>
      </c>
      <c r="C16">
        <f>(3/(1+('CurrentPor-All Factor Movements'!C16+'CurrentPor-All Factor Movements'!G16)/100)+103/POWER(1+('CurrentPor-All Factor Movements'!D16+'CurrentPor-All Factor Movements'!G16)/100,2))*100</f>
        <v>9618.1314880717819</v>
      </c>
      <c r="D16">
        <f>(3/(1+('CurrentPor-All Factor Movements'!C16+'CurrentPor-All Factor Movements'!H16)/100)+103/POWER(1+('CurrentPor-All Factor Movements'!D16+'CurrentPor-All Factor Movements'!H16)/100,2))*100</f>
        <v>9594.9951508296708</v>
      </c>
      <c r="E16">
        <f>(3/(1+('CurrentPor-All Factor Movements'!C16+'CurrentPor-All Factor Movements'!I16)/100)+103/POWER(1+('CurrentPor-All Factor Movements'!D16+'CurrentPor-All Factor Movements'!I16)/100,2))*100</f>
        <v>9582.5892530429392</v>
      </c>
      <c r="F16">
        <f>Portfolio!B$5*'CurrentPor-All Factor Movements'!E16</f>
        <v>52745.429331749438</v>
      </c>
      <c r="G16">
        <f>Portfolio!B$6*'CurrentPor-All Factor Movements'!F16</f>
        <v>3803.0585152773028</v>
      </c>
      <c r="H16">
        <f>Portfolio!B$7*'CurrentPor-All Factor Movements'!J16</f>
        <v>2064.3960070016337</v>
      </c>
      <c r="I16">
        <f t="shared" si="0"/>
        <v>97115.736602045348</v>
      </c>
      <c r="J16">
        <f t="shared" si="1"/>
        <v>499.35589485050878</v>
      </c>
    </row>
    <row r="17" spans="1:10">
      <c r="A17" s="1">
        <v>45492</v>
      </c>
      <c r="B17">
        <f>(3/(1+('CurrentPor-All Factor Movements'!C17)/100)+103/POWER(1+('CurrentPor-All Factor Movements'!D17)/100,2))*100</f>
        <v>9706.7397679819114</v>
      </c>
      <c r="C17">
        <f>(3/(1+('CurrentPor-All Factor Movements'!C17+'CurrentPor-All Factor Movements'!G17)/100)+103/POWER(1+('CurrentPor-All Factor Movements'!D17+'CurrentPor-All Factor Movements'!G17)/100,2))*100</f>
        <v>9615.9364683411841</v>
      </c>
      <c r="D17">
        <f>(3/(1+('CurrentPor-All Factor Movements'!C17+'CurrentPor-All Factor Movements'!H17)/100)+103/POWER(1+('CurrentPor-All Factor Movements'!D17+'CurrentPor-All Factor Movements'!H17)/100,2))*100</f>
        <v>9607.0911810266698</v>
      </c>
      <c r="E17">
        <f>(3/(1+('CurrentPor-All Factor Movements'!C17+'CurrentPor-All Factor Movements'!I17)/100)+103/POWER(1+('CurrentPor-All Factor Movements'!D17+'CurrentPor-All Factor Movements'!I17)/100,2))*100</f>
        <v>9579.96397102429</v>
      </c>
      <c r="F17">
        <f>Portfolio!B$5*'CurrentPor-All Factor Movements'!E17</f>
        <v>52403.204367139144</v>
      </c>
      <c r="G17">
        <f>Portfolio!B$6*'CurrentPor-All Factor Movements'!F17</f>
        <v>3390.2360228715625</v>
      </c>
      <c r="H17">
        <f>Portfolio!B$7*'CurrentPor-All Factor Movements'!J17</f>
        <v>2064.4061050711525</v>
      </c>
      <c r="I17">
        <f t="shared" si="0"/>
        <v>96367.577883455917</v>
      </c>
      <c r="J17">
        <f t="shared" si="1"/>
        <v>-125.63594175770413</v>
      </c>
    </row>
    <row r="18" spans="1:10">
      <c r="A18" s="1">
        <v>45495</v>
      </c>
      <c r="B18">
        <f>(3/(1+('CurrentPor-All Factor Movements'!C18)/100)+103/POWER(1+('CurrentPor-All Factor Movements'!D18)/100,2))*100</f>
        <v>9707.4841391004757</v>
      </c>
      <c r="C18">
        <f>(3/(1+('CurrentPor-All Factor Movements'!C18+'CurrentPor-All Factor Movements'!G18)/100)+103/POWER(1+('CurrentPor-All Factor Movements'!D18+'CurrentPor-All Factor Movements'!G18)/100,2))*100</f>
        <v>9616.6703157839947</v>
      </c>
      <c r="D18">
        <f>(3/(1+('CurrentPor-All Factor Movements'!C18+'CurrentPor-All Factor Movements'!H18)/100)+103/POWER(1+('CurrentPor-All Factor Movements'!D18+'CurrentPor-All Factor Movements'!H18)/100,2))*100</f>
        <v>9603.6417256498535</v>
      </c>
      <c r="E18">
        <f>(3/(1+('CurrentPor-All Factor Movements'!C18+'CurrentPor-All Factor Movements'!I18)/100)+103/POWER(1+('CurrentPor-All Factor Movements'!D18+'CurrentPor-All Factor Movements'!I18)/100,2))*100</f>
        <v>9580.7471375363803</v>
      </c>
      <c r="F18">
        <f>Portfolio!B$5*'CurrentPor-All Factor Movements'!E18</f>
        <v>52207.785217576384</v>
      </c>
      <c r="G18">
        <f>Portfolio!B$6*'CurrentPor-All Factor Movements'!F18</f>
        <v>3584.9288630557653</v>
      </c>
      <c r="H18">
        <f>Portfolio!B$7*'CurrentPor-All Factor Movements'!J18</f>
        <v>2064.3974973777927</v>
      </c>
      <c r="I18">
        <f t="shared" si="0"/>
        <v>96365.654896080654</v>
      </c>
      <c r="J18">
        <f t="shared" si="1"/>
        <v>-584.93926277547143</v>
      </c>
    </row>
    <row r="19" spans="1:10">
      <c r="A19" s="1">
        <v>45496</v>
      </c>
      <c r="B19">
        <f>(3/(1+('CurrentPor-All Factor Movements'!C19)/100)+103/POWER(1+('CurrentPor-All Factor Movements'!D19)/100,2))*100</f>
        <v>9707.5858077552384</v>
      </c>
      <c r="C19">
        <f>(3/(1+('CurrentPor-All Factor Movements'!C19+'CurrentPor-All Factor Movements'!G19)/100)+103/POWER(1+('CurrentPor-All Factor Movements'!D19+'CurrentPor-All Factor Movements'!G19)/100,2))*100</f>
        <v>9616.7705470488763</v>
      </c>
      <c r="D19">
        <f>(3/(1+('CurrentPor-All Factor Movements'!C19+'CurrentPor-All Factor Movements'!H19)/100)+103/POWER(1+('CurrentPor-All Factor Movements'!D19+'CurrentPor-All Factor Movements'!H19)/100,2))*100</f>
        <v>9590.1448605454116</v>
      </c>
      <c r="E19">
        <f>(3/(1+('CurrentPor-All Factor Movements'!C19+'CurrentPor-All Factor Movements'!I19)/100)+103/POWER(1+('CurrentPor-All Factor Movements'!D19+'CurrentPor-All Factor Movements'!I19)/100,2))*100</f>
        <v>9581.9982427703799</v>
      </c>
      <c r="F19">
        <f>Portfolio!B$5*'CurrentPor-All Factor Movements'!E19</f>
        <v>52419.479469258957</v>
      </c>
      <c r="G19">
        <f>Portfolio!B$6*'CurrentPor-All Factor Movements'!F19</f>
        <v>3504.4106517496894</v>
      </c>
      <c r="H19">
        <f>Portfolio!B$7*'CurrentPor-All Factor Movements'!J19</f>
        <v>2064.3966957203747</v>
      </c>
      <c r="I19">
        <f t="shared" si="0"/>
        <v>96484.786274848928</v>
      </c>
      <c r="J19">
        <f t="shared" si="1"/>
        <v>-636.02430742769502</v>
      </c>
    </row>
    <row r="20" spans="1:10">
      <c r="A20" s="1">
        <v>45497</v>
      </c>
      <c r="B20">
        <f>(3/(1+('CurrentPor-All Factor Movements'!C20)/100)+103/POWER(1+('CurrentPor-All Factor Movements'!D20)/100,2))*100</f>
        <v>9707.0758608892556</v>
      </c>
      <c r="C20">
        <f>(3/(1+('CurrentPor-All Factor Movements'!C20+'CurrentPor-All Factor Movements'!G20)/100)+103/POWER(1+('CurrentPor-All Factor Movements'!D20+'CurrentPor-All Factor Movements'!G20)/100,2))*100</f>
        <v>9616.267809727251</v>
      </c>
      <c r="D20">
        <f>(3/(1+('CurrentPor-All Factor Movements'!C20+'CurrentPor-All Factor Movements'!H20)/100)+103/POWER(1+('CurrentPor-All Factor Movements'!D20+'CurrentPor-All Factor Movements'!H20)/100,2))*100</f>
        <v>9589.5797724201548</v>
      </c>
      <c r="E20">
        <f>(3/(1+('CurrentPor-All Factor Movements'!C20+'CurrentPor-All Factor Movements'!I20)/100)+103/POWER(1+('CurrentPor-All Factor Movements'!D20+'CurrentPor-All Factor Movements'!I20)/100,2))*100</f>
        <v>9580.406624471063</v>
      </c>
      <c r="F20">
        <f>Portfolio!B$5*'CurrentPor-All Factor Movements'!E20</f>
        <v>52396.24845218884</v>
      </c>
      <c r="G20">
        <f>Portfolio!B$6*'CurrentPor-All Factor Movements'!F20</f>
        <v>3835.9849141622599</v>
      </c>
      <c r="H20">
        <f>Portfolio!B$7*'CurrentPor-All Factor Movements'!J20</f>
        <v>2064.3958383788931</v>
      </c>
      <c r="I20">
        <f t="shared" si="0"/>
        <v>96789.959272237727</v>
      </c>
      <c r="J20">
        <f t="shared" si="1"/>
        <v>-473.32908645391581</v>
      </c>
    </row>
    <row r="21" spans="1:10">
      <c r="A21" s="1">
        <v>45498</v>
      </c>
      <c r="B21">
        <f>(3/(1+('CurrentPor-All Factor Movements'!C21)/100)+103/POWER(1+('CurrentPor-All Factor Movements'!D21)/100,2))*100</f>
        <v>9706.7602018588641</v>
      </c>
      <c r="C21">
        <f>(3/(1+('CurrentPor-All Factor Movements'!C21+'CurrentPor-All Factor Movements'!G21)/100)+103/POWER(1+('CurrentPor-All Factor Movements'!D21+'CurrentPor-All Factor Movements'!G21)/100,2))*100</f>
        <v>9614.1536856117946</v>
      </c>
      <c r="D21">
        <f>(3/(1+('CurrentPor-All Factor Movements'!C21+'CurrentPor-All Factor Movements'!H21)/100)+103/POWER(1+('CurrentPor-All Factor Movements'!D21+'CurrentPor-All Factor Movements'!H21)/100,2))*100</f>
        <v>9600.5357983169197</v>
      </c>
      <c r="E21">
        <f>(3/(1+('CurrentPor-All Factor Movements'!C21+'CurrentPor-All Factor Movements'!I21)/100)+103/POWER(1+('CurrentPor-All Factor Movements'!D21+'CurrentPor-All Factor Movements'!I21)/100,2))*100</f>
        <v>9581.8315799563061</v>
      </c>
      <c r="F21">
        <f>Portfolio!B$5*'CurrentPor-All Factor Movements'!E21</f>
        <v>52152.219962432457</v>
      </c>
      <c r="G21">
        <f>Portfolio!B$6*'CurrentPor-All Factor Movements'!F21</f>
        <v>3792.7617211505949</v>
      </c>
      <c r="H21">
        <f>Portfolio!B$7*'CurrentPor-All Factor Movements'!J21</f>
        <v>2064.3984767912734</v>
      </c>
      <c r="I21">
        <f t="shared" si="0"/>
        <v>96512.661426118226</v>
      </c>
      <c r="J21">
        <f t="shared" si="1"/>
        <v>-68.179800273253932</v>
      </c>
    </row>
    <row r="22" spans="1:10">
      <c r="A22" s="1">
        <v>45499</v>
      </c>
      <c r="B22">
        <f>(3/(1+('CurrentPor-All Factor Movements'!C22)/100)+103/POWER(1+('CurrentPor-All Factor Movements'!D22)/100,2))*100</f>
        <v>9707.4400520665804</v>
      </c>
      <c r="C22">
        <f>(3/(1+('CurrentPor-All Factor Movements'!C22+'CurrentPor-All Factor Movements'!G22)/100)+103/POWER(1+('CurrentPor-All Factor Movements'!D22+'CurrentPor-All Factor Movements'!G22)/100,2))*100</f>
        <v>9616.6268520495396</v>
      </c>
      <c r="D22">
        <f>(3/(1+('CurrentPor-All Factor Movements'!C22+'CurrentPor-All Factor Movements'!H22)/100)+103/POWER(1+('CurrentPor-All Factor Movements'!D22+'CurrentPor-All Factor Movements'!H22)/100,2))*100</f>
        <v>9591.4990703450076</v>
      </c>
      <c r="E22">
        <f>(3/(1+('CurrentPor-All Factor Movements'!C22+'CurrentPor-All Factor Movements'!I22)/100)+103/POWER(1+('CurrentPor-All Factor Movements'!D22+'CurrentPor-All Factor Movements'!I22)/100,2))*100</f>
        <v>9581.3244683202101</v>
      </c>
      <c r="F22">
        <f>Portfolio!B$5*'CurrentPor-All Factor Movements'!E22</f>
        <v>52162.49240511356</v>
      </c>
      <c r="G22">
        <f>Portfolio!B$6*'CurrentPor-All Factor Movements'!F22</f>
        <v>4243.643414723856</v>
      </c>
      <c r="H22">
        <f>Portfolio!B$7*'CurrentPor-All Factor Movements'!J22</f>
        <v>2064.4021591394285</v>
      </c>
      <c r="I22">
        <f t="shared" si="0"/>
        <v>96967.428421758188</v>
      </c>
      <c r="J22">
        <f t="shared" si="1"/>
        <v>739.37828677578364</v>
      </c>
    </row>
    <row r="23" spans="1:10">
      <c r="A23" s="1">
        <v>45502</v>
      </c>
      <c r="B23">
        <f>(3/(1+('CurrentPor-All Factor Movements'!C23)/100)+103/POWER(1+('CurrentPor-All Factor Movements'!D23)/100,2))*100</f>
        <v>9708.1590022124183</v>
      </c>
      <c r="C23">
        <f>(3/(1+('CurrentPor-All Factor Movements'!C23+'CurrentPor-All Factor Movements'!G23)/100)+103/POWER(1+('CurrentPor-All Factor Movements'!D23+'CurrentPor-All Factor Movements'!G23)/100,2))*100</f>
        <v>9622.7486710317116</v>
      </c>
      <c r="D23">
        <f>(3/(1+('CurrentPor-All Factor Movements'!C23+'CurrentPor-All Factor Movements'!H23)/100)+103/POWER(1+('CurrentPor-All Factor Movements'!D23+'CurrentPor-All Factor Movements'!H23)/100,2))*100</f>
        <v>9613.5261588768153</v>
      </c>
      <c r="E23">
        <f>(3/(1+('CurrentPor-All Factor Movements'!C23+'CurrentPor-All Factor Movements'!I23)/100)+103/POWER(1+('CurrentPor-All Factor Movements'!D23+'CurrentPor-All Factor Movements'!I23)/100,2))*100</f>
        <v>9580.871096778963</v>
      </c>
      <c r="F23">
        <f>Portfolio!B$5*'CurrentPor-All Factor Movements'!E23</f>
        <v>52291.142144465593</v>
      </c>
      <c r="G23">
        <f>Portfolio!B$6*'CurrentPor-All Factor Movements'!F23</f>
        <v>3688.9521516389109</v>
      </c>
      <c r="H23">
        <f>Portfolio!B$7*'CurrentPor-All Factor Movements'!J23</f>
        <v>2064.4004394596232</v>
      </c>
      <c r="I23">
        <f t="shared" si="0"/>
        <v>96569.799664464037</v>
      </c>
      <c r="J23">
        <f t="shared" si="1"/>
        <v>153.26337749624508</v>
      </c>
    </row>
    <row r="24" spans="1:10">
      <c r="A24" s="1">
        <v>45503</v>
      </c>
      <c r="B24">
        <f>(3/(1+('CurrentPor-All Factor Movements'!C24)/100)+103/POWER(1+('CurrentPor-All Factor Movements'!D24)/100,2))*100</f>
        <v>9707.8407362820435</v>
      </c>
      <c r="C24">
        <f>(3/(1+('CurrentPor-All Factor Movements'!C24+'CurrentPor-All Factor Movements'!G24)/100)+103/POWER(1+('CurrentPor-All Factor Movements'!D24+'CurrentPor-All Factor Movements'!G24)/100,2))*100</f>
        <v>9622.4346372709169</v>
      </c>
      <c r="D24">
        <f>(3/(1+('CurrentPor-All Factor Movements'!C24+'CurrentPor-All Factor Movements'!H24)/100)+103/POWER(1+('CurrentPor-All Factor Movements'!D24+'CurrentPor-All Factor Movements'!H24)/100,2))*100</f>
        <v>9604.5609256392963</v>
      </c>
      <c r="E24">
        <f>(3/(1+('CurrentPor-All Factor Movements'!C24+'CurrentPor-All Factor Movements'!I24)/100)+103/POWER(1+('CurrentPor-All Factor Movements'!D24+'CurrentPor-All Factor Movements'!I24)/100,2))*100</f>
        <v>9580.6700477969353</v>
      </c>
      <c r="F24">
        <f>Portfolio!B$5*'CurrentPor-All Factor Movements'!E24</f>
        <v>52436.306961210619</v>
      </c>
      <c r="G24">
        <f>Portfolio!B$6*'CurrentPor-All Factor Movements'!F24</f>
        <v>3719.2100956147278</v>
      </c>
      <c r="H24">
        <f>Portfolio!B$7*'CurrentPor-All Factor Movements'!J24</f>
        <v>2064.4098978622233</v>
      </c>
      <c r="I24">
        <f t="shared" si="0"/>
        <v>96735.433301676763</v>
      </c>
      <c r="J24">
        <f t="shared" si="1"/>
        <v>-266.77896820932801</v>
      </c>
    </row>
    <row r="25" spans="1:10">
      <c r="A25" s="1">
        <v>45504</v>
      </c>
      <c r="B25">
        <f>(3/(1+('CurrentPor-All Factor Movements'!C25)/100)+103/POWER(1+('CurrentPor-All Factor Movements'!D25)/100,2))*100</f>
        <v>9707.3113615631992</v>
      </c>
      <c r="C25">
        <f>(3/(1+('CurrentPor-All Factor Movements'!C25+'CurrentPor-All Factor Movements'!G25)/100)+103/POWER(1+('CurrentPor-All Factor Movements'!D25+'CurrentPor-All Factor Movements'!G25)/100,2))*100</f>
        <v>9621.9123018042537</v>
      </c>
      <c r="D25">
        <f>(3/(1+('CurrentPor-All Factor Movements'!C25+'CurrentPor-All Factor Movements'!H25)/100)+103/POWER(1+('CurrentPor-All Factor Movements'!D25+'CurrentPor-All Factor Movements'!H25)/100,2))*100</f>
        <v>9600.5826681752515</v>
      </c>
      <c r="E25">
        <f>(3/(1+('CurrentPor-All Factor Movements'!C25+'CurrentPor-All Factor Movements'!I25)/100)+103/POWER(1+('CurrentPor-All Factor Movements'!D25+'CurrentPor-All Factor Movements'!I25)/100,2))*100</f>
        <v>9580.4031804958577</v>
      </c>
      <c r="F25">
        <f>Portfolio!B$5*'CurrentPor-All Factor Movements'!E25</f>
        <v>52506.476108041192</v>
      </c>
      <c r="G25">
        <f>Portfolio!B$6*'CurrentPor-All Factor Movements'!F25</f>
        <v>3696.4285629237615</v>
      </c>
      <c r="H25">
        <f>Portfolio!B$7*'CurrentPor-All Factor Movements'!J25</f>
        <v>2064.399471591425</v>
      </c>
      <c r="I25">
        <f t="shared" si="0"/>
        <v>96777.513654594935</v>
      </c>
      <c r="J25">
        <f t="shared" si="1"/>
        <v>469.09886445511074</v>
      </c>
    </row>
    <row r="26" spans="1:10">
      <c r="A26" s="1">
        <v>45505</v>
      </c>
      <c r="B26">
        <f>(3/(1+('CurrentPor-All Factor Movements'!C26)/100)+103/POWER(1+('CurrentPor-All Factor Movements'!D26)/100,2))*100</f>
        <v>9708.0282290863615</v>
      </c>
      <c r="C26">
        <f>(3/(1+('CurrentPor-All Factor Movements'!C26+'CurrentPor-All Factor Movements'!G26)/100)+103/POWER(1+('CurrentPor-All Factor Movements'!D26+'CurrentPor-All Factor Movements'!G26)/100,2))*100</f>
        <v>9620.8148163201531</v>
      </c>
      <c r="D26">
        <f>(3/(1+('CurrentPor-All Factor Movements'!C26+'CurrentPor-All Factor Movements'!H26)/100)+103/POWER(1+('CurrentPor-All Factor Movements'!D26+'CurrentPor-All Factor Movements'!H26)/100,2))*100</f>
        <v>9592.8318395617553</v>
      </c>
      <c r="E26">
        <f>(3/(1+('CurrentPor-All Factor Movements'!C26+'CurrentPor-All Factor Movements'!I26)/100)+103/POWER(1+('CurrentPor-All Factor Movements'!D26+'CurrentPor-All Factor Movements'!I26)/100,2))*100</f>
        <v>9582.1464598714829</v>
      </c>
      <c r="F26">
        <f>Portfolio!B$5*'CurrentPor-All Factor Movements'!E26</f>
        <v>52354.704585094165</v>
      </c>
      <c r="G26">
        <f>Portfolio!B$6*'CurrentPor-All Factor Movements'!F26</f>
        <v>3890.326865901819</v>
      </c>
      <c r="H26">
        <f>Portfolio!B$7*'CurrentPor-All Factor Movements'!J26</f>
        <v>2064.3974944062757</v>
      </c>
      <c r="I26">
        <f t="shared" si="0"/>
        <v>96813.250290242009</v>
      </c>
      <c r="J26">
        <f t="shared" si="1"/>
        <v>-302.48631180333905</v>
      </c>
    </row>
    <row r="27" spans="1:10">
      <c r="A27" s="1">
        <v>45506</v>
      </c>
      <c r="B27">
        <f>(3/(1+('CurrentPor-All Factor Movements'!C27)/100)+103/POWER(1+('CurrentPor-All Factor Movements'!D27)/100,2))*100</f>
        <v>9707.8254974931733</v>
      </c>
      <c r="C27">
        <f>(3/(1+('CurrentPor-All Factor Movements'!C27+'CurrentPor-All Factor Movements'!G27)/100)+103/POWER(1+('CurrentPor-All Factor Movements'!D27+'CurrentPor-All Factor Movements'!G27)/100,2))*100</f>
        <v>9620.6148373942051</v>
      </c>
      <c r="D27">
        <f>(3/(1+('CurrentPor-All Factor Movements'!C27+'CurrentPor-All Factor Movements'!H27)/100)+103/POWER(1+('CurrentPor-All Factor Movements'!D27+'CurrentPor-All Factor Movements'!H27)/100,2))*100</f>
        <v>9580.337505666068</v>
      </c>
      <c r="E27">
        <f>(3/(1+('CurrentPor-All Factor Movements'!C27+'CurrentPor-All Factor Movements'!I27)/100)+103/POWER(1+('CurrentPor-All Factor Movements'!D27+'CurrentPor-All Factor Movements'!I27)/100,2))*100</f>
        <v>9580.459334105708</v>
      </c>
      <c r="F27">
        <f>Portfolio!B$5*'CurrentPor-All Factor Movements'!E27</f>
        <v>52274.279672376259</v>
      </c>
      <c r="G27">
        <f>Portfolio!B$6*'CurrentPor-All Factor Movements'!F27</f>
        <v>3337.9825652215382</v>
      </c>
      <c r="H27">
        <f>Portfolio!B$7*'CurrentPor-All Factor Movements'!J27</f>
        <v>2064.3958813857553</v>
      </c>
      <c r="I27">
        <f t="shared" si="0"/>
        <v>96165.895293642709</v>
      </c>
      <c r="J27">
        <f t="shared" si="1"/>
        <v>-201.68258981320832</v>
      </c>
    </row>
    <row r="28" spans="1:10">
      <c r="A28" s="1">
        <v>45509</v>
      </c>
      <c r="B28">
        <f>(3/(1+('CurrentPor-All Factor Movements'!C28)/100)+103/POWER(1+('CurrentPor-All Factor Movements'!D28)/100,2))*100</f>
        <v>9706.8499051362087</v>
      </c>
      <c r="C28">
        <f>(3/(1+('CurrentPor-All Factor Movements'!C28+'CurrentPor-All Factor Movements'!G28)/100)+103/POWER(1+('CurrentPor-All Factor Movements'!D28+'CurrentPor-All Factor Movements'!G28)/100,2))*100</f>
        <v>9621.4569813415292</v>
      </c>
      <c r="D28">
        <f>(3/(1+('CurrentPor-All Factor Movements'!C28+'CurrentPor-All Factor Movements'!H28)/100)+103/POWER(1+('CurrentPor-All Factor Movements'!D28+'CurrentPor-All Factor Movements'!H28)/100,2))*100</f>
        <v>9612.7007338732692</v>
      </c>
      <c r="E28">
        <f>(3/(1+('CurrentPor-All Factor Movements'!C28+'CurrentPor-All Factor Movements'!I28)/100)+103/POWER(1+('CurrentPor-All Factor Movements'!D28+'CurrentPor-All Factor Movements'!I28)/100,2))*100</f>
        <v>9580.0915177050247</v>
      </c>
      <c r="F28">
        <f>Portfolio!B$5*'CurrentPor-All Factor Movements'!E28</f>
        <v>52425.189918331387</v>
      </c>
      <c r="G28">
        <f>Portfolio!B$6*'CurrentPor-All Factor Movements'!F28</f>
        <v>3789.0763494453822</v>
      </c>
      <c r="H28">
        <f>Portfolio!B$7*'CurrentPor-All Factor Movements'!J28</f>
        <v>2064.4004629902288</v>
      </c>
      <c r="I28">
        <f t="shared" si="0"/>
        <v>96799.765868823029</v>
      </c>
      <c r="J28">
        <f t="shared" si="1"/>
        <v>434.11097274237545</v>
      </c>
    </row>
    <row r="29" spans="1:10">
      <c r="A29" s="1">
        <v>45510</v>
      </c>
      <c r="B29">
        <f>(3/(1+('CurrentPor-All Factor Movements'!C29)/100)+103/POWER(1+('CurrentPor-All Factor Movements'!D29)/100,2))*100</f>
        <v>9708.0907588105256</v>
      </c>
      <c r="C29">
        <f>(3/(1+('CurrentPor-All Factor Movements'!C29+'CurrentPor-All Factor Movements'!G29)/100)+103/POWER(1+('CurrentPor-All Factor Movements'!D29+'CurrentPor-All Factor Movements'!G29)/100,2))*100</f>
        <v>9620.8764970167485</v>
      </c>
      <c r="D29">
        <f>(3/(1+('CurrentPor-All Factor Movements'!C29+'CurrentPor-All Factor Movements'!H29)/100)+103/POWER(1+('CurrentPor-All Factor Movements'!D29+'CurrentPor-All Factor Movements'!H29)/100,2))*100</f>
        <v>9596.8390053818403</v>
      </c>
      <c r="E29">
        <f>(3/(1+('CurrentPor-All Factor Movements'!C29+'CurrentPor-All Factor Movements'!I29)/100)+103/POWER(1+('CurrentPor-All Factor Movements'!D29+'CurrentPor-All Factor Movements'!I29)/100,2))*100</f>
        <v>9582.5380189695679</v>
      </c>
      <c r="F29">
        <f>Portfolio!B$5*'CurrentPor-All Factor Movements'!E29</f>
        <v>52304.411803166309</v>
      </c>
      <c r="G29">
        <f>Portfolio!B$6*'CurrentPor-All Factor Movements'!F29</f>
        <v>3654.3960228685178</v>
      </c>
      <c r="H29">
        <f>Portfolio!B$7*'CurrentPor-All Factor Movements'!J29</f>
        <v>2064.3953722484885</v>
      </c>
      <c r="I29">
        <f t="shared" si="0"/>
        <v>96531.547478461987</v>
      </c>
      <c r="J29">
        <f t="shared" si="1"/>
        <v>46.761203613059479</v>
      </c>
    </row>
    <row r="30" spans="1:10">
      <c r="A30" s="1">
        <v>45511</v>
      </c>
      <c r="B30">
        <f>(3/(1+('CurrentPor-All Factor Movements'!C30)/100)+103/POWER(1+('CurrentPor-All Factor Movements'!D30)/100,2))*100</f>
        <v>9706.4016200174883</v>
      </c>
      <c r="C30">
        <f>(3/(1+('CurrentPor-All Factor Movements'!C30+'CurrentPor-All Factor Movements'!G30)/100)+103/POWER(1+('CurrentPor-All Factor Movements'!D30+'CurrentPor-All Factor Movements'!G30)/100,2))*100</f>
        <v>9619.2102923514431</v>
      </c>
      <c r="D30">
        <f>(3/(1+('CurrentPor-All Factor Movements'!C30+'CurrentPor-All Factor Movements'!H30)/100)+103/POWER(1+('CurrentPor-All Factor Movements'!D30+'CurrentPor-All Factor Movements'!H30)/100,2))*100</f>
        <v>9613.3188987407175</v>
      </c>
      <c r="E30">
        <f>(3/(1+('CurrentPor-All Factor Movements'!C30+'CurrentPor-All Factor Movements'!I30)/100)+103/POWER(1+('CurrentPor-All Factor Movements'!D30+'CurrentPor-All Factor Movements'!I30)/100,2))*100</f>
        <v>9580.4718318838732</v>
      </c>
      <c r="F30">
        <f>Portfolio!B$5*'CurrentPor-All Factor Movements'!E30</f>
        <v>52460.133780575474</v>
      </c>
      <c r="G30">
        <f>Portfolio!B$6*'CurrentPor-All Factor Movements'!F30</f>
        <v>4045.3901715169791</v>
      </c>
      <c r="H30">
        <f>Portfolio!B$7*'CurrentPor-All Factor Movements'!J30</f>
        <v>2064.392354786442</v>
      </c>
      <c r="I30">
        <f t="shared" si="0"/>
        <v>97089.31894987241</v>
      </c>
      <c r="J30">
        <f t="shared" si="1"/>
        <v>299.35967763468216</v>
      </c>
    </row>
    <row r="31" spans="1:10">
      <c r="A31" s="1">
        <v>45512</v>
      </c>
      <c r="B31">
        <f>(3/(1+('CurrentPor-All Factor Movements'!C31)/100)+103/POWER(1+('CurrentPor-All Factor Movements'!D31)/100,2))*100</f>
        <v>9707.2326647601367</v>
      </c>
      <c r="C31">
        <f>(3/(1+('CurrentPor-All Factor Movements'!C31+'CurrentPor-All Factor Movements'!G31)/100)+103/POWER(1+('CurrentPor-All Factor Movements'!D31+'CurrentPor-All Factor Movements'!G31)/100,2))*100</f>
        <v>9621.8346514392833</v>
      </c>
      <c r="D31">
        <f>(3/(1+('CurrentPor-All Factor Movements'!C31+'CurrentPor-All Factor Movements'!H31)/100)+103/POWER(1+('CurrentPor-All Factor Movements'!D31+'CurrentPor-All Factor Movements'!H31)/100,2))*100</f>
        <v>9596.8945243047056</v>
      </c>
      <c r="E31">
        <f>(3/(1+('CurrentPor-All Factor Movements'!C31+'CurrentPor-All Factor Movements'!I31)/100)+103/POWER(1+('CurrentPor-All Factor Movements'!D31+'CurrentPor-All Factor Movements'!I31)/100,2))*100</f>
        <v>9582.3172916950825</v>
      </c>
      <c r="F31">
        <f>Portfolio!B$5*'CurrentPor-All Factor Movements'!E31</f>
        <v>52298.110485374345</v>
      </c>
      <c r="G31">
        <f>Portfolio!B$6*'CurrentPor-All Factor Movements'!F31</f>
        <v>3828.5504771567494</v>
      </c>
      <c r="H31">
        <f>Portfolio!B$7*'CurrentPor-All Factor Movements'!J31</f>
        <v>2064.4065153141491</v>
      </c>
      <c r="I31">
        <f t="shared" si="0"/>
        <v>96699.346610044449</v>
      </c>
      <c r="J31">
        <f t="shared" si="1"/>
        <v>186.68518392622354</v>
      </c>
    </row>
    <row r="32" spans="1:10">
      <c r="A32" s="1">
        <v>45513</v>
      </c>
      <c r="B32">
        <f>(3/(1+('CurrentPor-All Factor Movements'!C32)/100)+103/POWER(1+('CurrentPor-All Factor Movements'!D32)/100,2))*100</f>
        <v>9707.383614465507</v>
      </c>
      <c r="C32">
        <f>(3/(1+('CurrentPor-All Factor Movements'!C32+'CurrentPor-All Factor Movements'!G32)/100)+103/POWER(1+('CurrentPor-All Factor Movements'!D32+'CurrentPor-All Factor Movements'!G32)/100,2))*100</f>
        <v>9621.9835939497862</v>
      </c>
      <c r="D32">
        <f>(3/(1+('CurrentPor-All Factor Movements'!C32+'CurrentPor-All Factor Movements'!H32)/100)+103/POWER(1+('CurrentPor-All Factor Movements'!D32+'CurrentPor-All Factor Movements'!H32)/100,2))*100</f>
        <v>9608.4407741207233</v>
      </c>
      <c r="E32">
        <f>(3/(1+('CurrentPor-All Factor Movements'!C32+'CurrentPor-All Factor Movements'!I32)/100)+103/POWER(1+('CurrentPor-All Factor Movements'!D32+'CurrentPor-All Factor Movements'!I32)/100,2))*100</f>
        <v>9582.5391159409555</v>
      </c>
      <c r="F32">
        <f>Portfolio!B$5*'CurrentPor-All Factor Movements'!E32</f>
        <v>52265.963370543672</v>
      </c>
      <c r="G32">
        <f>Portfolio!B$6*'CurrentPor-All Factor Movements'!F32</f>
        <v>3820.5097176648655</v>
      </c>
      <c r="H32">
        <f>Portfolio!B$7*'CurrentPor-All Factor Movements'!J32</f>
        <v>2064.3938111692692</v>
      </c>
      <c r="I32">
        <f t="shared" si="0"/>
        <v>96671.213997854793</v>
      </c>
      <c r="J32">
        <f t="shared" si="1"/>
        <v>-296.21442390339507</v>
      </c>
    </row>
    <row r="33" spans="1:10">
      <c r="A33" s="1">
        <v>45516</v>
      </c>
      <c r="B33">
        <f>(3/(1+('CurrentPor-All Factor Movements'!C33)/100)+103/POWER(1+('CurrentPor-All Factor Movements'!D33)/100,2))*100</f>
        <v>9707.7669698937698</v>
      </c>
      <c r="C33">
        <f>(3/(1+('CurrentPor-All Factor Movements'!C33+'CurrentPor-All Factor Movements'!G33)/100)+103/POWER(1+('CurrentPor-All Factor Movements'!D33+'CurrentPor-All Factor Movements'!G33)/100,2))*100</f>
        <v>9625.9728854603782</v>
      </c>
      <c r="D33">
        <f>(3/(1+('CurrentPor-All Factor Movements'!C33+'CurrentPor-All Factor Movements'!H33)/100)+103/POWER(1+('CurrentPor-All Factor Movements'!D33+'CurrentPor-All Factor Movements'!H33)/100,2))*100</f>
        <v>9606.7063065924376</v>
      </c>
      <c r="E33">
        <f>(3/(1+('CurrentPor-All Factor Movements'!C33+'CurrentPor-All Factor Movements'!I33)/100)+103/POWER(1+('CurrentPor-All Factor Movements'!D33+'CurrentPor-All Factor Movements'!I33)/100,2))*100</f>
        <v>9581.7794203654776</v>
      </c>
      <c r="F33">
        <f>Portfolio!B$5*'CurrentPor-All Factor Movements'!E33</f>
        <v>51896.047504697024</v>
      </c>
      <c r="G33">
        <f>Portfolio!B$6*'CurrentPor-All Factor Movements'!F33</f>
        <v>3742.7121338437587</v>
      </c>
      <c r="H33">
        <f>Portfolio!B$7*'CurrentPor-All Factor Movements'!J33</f>
        <v>2064.3960459494347</v>
      </c>
      <c r="I33">
        <f t="shared" si="0"/>
        <v>96225.381266802287</v>
      </c>
      <c r="J33">
        <f t="shared" si="1"/>
        <v>-344.41839766174962</v>
      </c>
    </row>
    <row r="34" spans="1:10">
      <c r="A34" s="1">
        <v>45517</v>
      </c>
      <c r="B34">
        <f>(3/(1+('CurrentPor-All Factor Movements'!C34)/100)+103/POWER(1+('CurrentPor-All Factor Movements'!D34)/100,2))*100</f>
        <v>9707.3020472643911</v>
      </c>
      <c r="C34">
        <f>(3/(1+('CurrentPor-All Factor Movements'!C34+'CurrentPor-All Factor Movements'!G34)/100)+103/POWER(1+('CurrentPor-All Factor Movements'!D34+'CurrentPor-All Factor Movements'!G34)/100,2))*100</f>
        <v>9625.51388420474</v>
      </c>
      <c r="D34">
        <f>(3/(1+('CurrentPor-All Factor Movements'!C34+'CurrentPor-All Factor Movements'!H34)/100)+103/POWER(1+('CurrentPor-All Factor Movements'!D34+'CurrentPor-All Factor Movements'!H34)/100,2))*100</f>
        <v>9594.258991282315</v>
      </c>
      <c r="E34">
        <f>(3/(1+('CurrentPor-All Factor Movements'!C34+'CurrentPor-All Factor Movements'!I34)/100)+103/POWER(1+('CurrentPor-All Factor Movements'!D34+'CurrentPor-All Factor Movements'!I34)/100,2))*100</f>
        <v>9581.5920064868042</v>
      </c>
      <c r="F34">
        <f>Portfolio!B$5*'CurrentPor-All Factor Movements'!E34</f>
        <v>52513.475827777351</v>
      </c>
      <c r="G34">
        <f>Portfolio!B$6*'CurrentPor-All Factor Movements'!F34</f>
        <v>3896.2107707121204</v>
      </c>
      <c r="H34">
        <f>Portfolio!B$7*'CurrentPor-All Factor Movements'!J34</f>
        <v>2064.4009432863568</v>
      </c>
      <c r="I34">
        <f t="shared" si="0"/>
        <v>96982.754471014065</v>
      </c>
      <c r="J34">
        <f t="shared" si="1"/>
        <v>247.3211693373014</v>
      </c>
    </row>
    <row r="35" spans="1:10">
      <c r="A35" s="1">
        <v>45518</v>
      </c>
      <c r="B35">
        <f>(3/(1+('CurrentPor-All Factor Movements'!C35)/100)+103/POWER(1+('CurrentPor-All Factor Movements'!D35)/100,2))*100</f>
        <v>9705.2080058242263</v>
      </c>
      <c r="C35">
        <f>(3/(1+('CurrentPor-All Factor Movements'!C35+'CurrentPor-All Factor Movements'!G35)/100)+103/POWER(1+('CurrentPor-All Factor Movements'!D35+'CurrentPor-All Factor Movements'!G35)/100,2))*100</f>
        <v>9619.8369130913361</v>
      </c>
      <c r="D35">
        <f>(3/(1+('CurrentPor-All Factor Movements'!C35+'CurrentPor-All Factor Movements'!H35)/100)+103/POWER(1+('CurrentPor-All Factor Movements'!D35+'CurrentPor-All Factor Movements'!H35)/100,2))*100</f>
        <v>9606.3914319859814</v>
      </c>
      <c r="E35">
        <f>(3/(1+('CurrentPor-All Factor Movements'!C35+'CurrentPor-All Factor Movements'!I35)/100)+103/POWER(1+('CurrentPor-All Factor Movements'!D35+'CurrentPor-All Factor Movements'!I35)/100,2))*100</f>
        <v>9579.0940787983727</v>
      </c>
      <c r="F35">
        <f>Portfolio!B$5*'CurrentPor-All Factor Movements'!E35</f>
        <v>52568.140366412605</v>
      </c>
      <c r="G35">
        <f>Portfolio!B$6*'CurrentPor-All Factor Movements'!F35</f>
        <v>3699.5926114898048</v>
      </c>
      <c r="H35">
        <f>Portfolio!B$7*'CurrentPor-All Factor Movements'!J35</f>
        <v>2064.3977175900345</v>
      </c>
      <c r="I35">
        <f t="shared" si="0"/>
        <v>96842.66112519236</v>
      </c>
      <c r="J35">
        <f t="shared" si="1"/>
        <v>65.147470597425126</v>
      </c>
    </row>
    <row r="36" spans="1:10">
      <c r="A36" s="1">
        <v>45519</v>
      </c>
      <c r="B36">
        <f>(3/(1+('CurrentPor-All Factor Movements'!C36)/100)+103/POWER(1+('CurrentPor-All Factor Movements'!D36)/100,2))*100</f>
        <v>9706.3258716678811</v>
      </c>
      <c r="C36">
        <f>(3/(1+('CurrentPor-All Factor Movements'!C36+'CurrentPor-All Factor Movements'!G36)/100)+103/POWER(1+('CurrentPor-All Factor Movements'!D36+'CurrentPor-All Factor Movements'!G36)/100,2))*100</f>
        <v>9620.939915742636</v>
      </c>
      <c r="D36">
        <f>(3/(1+('CurrentPor-All Factor Movements'!C36+'CurrentPor-All Factor Movements'!H36)/100)+103/POWER(1+('CurrentPor-All Factor Movements'!D36+'CurrentPor-All Factor Movements'!H36)/100,2))*100</f>
        <v>9606.3213930784023</v>
      </c>
      <c r="E36">
        <f>(3/(1+('CurrentPor-All Factor Movements'!C36+'CurrentPor-All Factor Movements'!I36)/100)+103/POWER(1+('CurrentPor-All Factor Movements'!D36+'CurrentPor-All Factor Movements'!I36)/100,2))*100</f>
        <v>9578.4936346001341</v>
      </c>
      <c r="F36">
        <f>Portfolio!B$5*'CurrentPor-All Factor Movements'!E36</f>
        <v>52327.608380645288</v>
      </c>
      <c r="G36">
        <f>Portfolio!B$6*'CurrentPor-All Factor Movements'!F36</f>
        <v>3672.4478427262475</v>
      </c>
      <c r="H36">
        <f>Portfolio!B$7*'CurrentPor-All Factor Movements'!J36</f>
        <v>2064.4023647719459</v>
      </c>
      <c r="I36">
        <f t="shared" si="0"/>
        <v>96576.539403232528</v>
      </c>
      <c r="J36">
        <f t="shared" si="1"/>
        <v>-236.71088700948167</v>
      </c>
    </row>
    <row r="37" spans="1:10">
      <c r="A37" s="1">
        <v>45520</v>
      </c>
      <c r="B37">
        <f>(3/(1+('CurrentPor-All Factor Movements'!C37)/100)+103/POWER(1+('CurrentPor-All Factor Movements'!D37)/100,2))*100</f>
        <v>9705.2359991822123</v>
      </c>
      <c r="C37">
        <f>(3/(1+('CurrentPor-All Factor Movements'!C37+'CurrentPor-All Factor Movements'!G37)/100)+103/POWER(1+('CurrentPor-All Factor Movements'!D37+'CurrentPor-All Factor Movements'!G37)/100,2))*100</f>
        <v>9619.8645342589934</v>
      </c>
      <c r="D37">
        <f>(3/(1+('CurrentPor-All Factor Movements'!C37+'CurrentPor-All Factor Movements'!H37)/100)+103/POWER(1+('CurrentPor-All Factor Movements'!D37+'CurrentPor-All Factor Movements'!H37)/100,2))*100</f>
        <v>9603.7979655090585</v>
      </c>
      <c r="E37">
        <f>(3/(1+('CurrentPor-All Factor Movements'!C37+'CurrentPor-All Factor Movements'!I37)/100)+103/POWER(1+('CurrentPor-All Factor Movements'!D37+'CurrentPor-All Factor Movements'!I37)/100,2))*100</f>
        <v>9576.5980119308588</v>
      </c>
      <c r="F37">
        <f>Portfolio!B$5*'CurrentPor-All Factor Movements'!E37</f>
        <v>52343.830257624337</v>
      </c>
      <c r="G37">
        <f>Portfolio!B$6*'CurrentPor-All Factor Movements'!F37</f>
        <v>3673.7884551995867</v>
      </c>
      <c r="H37">
        <f>Portfolio!B$7*'CurrentPor-All Factor Movements'!J37</f>
        <v>2064.3960288178491</v>
      </c>
      <c r="I37">
        <f t="shared" si="0"/>
        <v>96587.511252522891</v>
      </c>
      <c r="J37">
        <f t="shared" si="1"/>
        <v>421.61595888018201</v>
      </c>
    </row>
    <row r="38" spans="1:10">
      <c r="A38" s="1">
        <v>45523</v>
      </c>
      <c r="B38">
        <f>(3/(1+('CurrentPor-All Factor Movements'!C38)/100)+103/POWER(1+('CurrentPor-All Factor Movements'!D38)/100,2))*100</f>
        <v>9706.5667693459</v>
      </c>
      <c r="C38">
        <f>(3/(1+('CurrentPor-All Factor Movements'!C38+'CurrentPor-All Factor Movements'!G38)/100)+103/POWER(1+('CurrentPor-All Factor Movements'!D38+'CurrentPor-All Factor Movements'!G38)/100,2))*100</f>
        <v>9619.3731994688824</v>
      </c>
      <c r="D38">
        <f>(3/(1+('CurrentPor-All Factor Movements'!C38+'CurrentPor-All Factor Movements'!H38)/100)+103/POWER(1+('CurrentPor-All Factor Movements'!D38+'CurrentPor-All Factor Movements'!H38)/100,2))*100</f>
        <v>9583.590476091651</v>
      </c>
      <c r="E38">
        <f>(3/(1+('CurrentPor-All Factor Movements'!C38+'CurrentPor-All Factor Movements'!I38)/100)+103/POWER(1+('CurrentPor-All Factor Movements'!D38+'CurrentPor-All Factor Movements'!I38)/100,2))*100</f>
        <v>9580.3177735809004</v>
      </c>
      <c r="F38">
        <f>Portfolio!B$5*'CurrentPor-All Factor Movements'!E38</f>
        <v>52396.798927397278</v>
      </c>
      <c r="G38">
        <f>Portfolio!B$6*'CurrentPor-All Factor Movements'!F38</f>
        <v>3668.1508519087388</v>
      </c>
      <c r="H38">
        <f>Portfolio!B$7*'CurrentPor-All Factor Movements'!J38</f>
        <v>2064.398387890491</v>
      </c>
      <c r="I38">
        <f t="shared" si="0"/>
        <v>96619.196385683841</v>
      </c>
      <c r="J38">
        <f t="shared" si="1"/>
        <v>-180.56948313918838</v>
      </c>
    </row>
    <row r="39" spans="1:10">
      <c r="A39" s="1">
        <v>45524</v>
      </c>
      <c r="B39">
        <f>(3/(1+('CurrentPor-All Factor Movements'!C39)/100)+103/POWER(1+('CurrentPor-All Factor Movements'!D39)/100,2))*100</f>
        <v>9707.5669241124633</v>
      </c>
      <c r="C39">
        <f>(3/(1+('CurrentPor-All Factor Movements'!C39+'CurrentPor-All Factor Movements'!G39)/100)+103/POWER(1+('CurrentPor-All Factor Movements'!D39+'CurrentPor-All Factor Movements'!G39)/100,2))*100</f>
        <v>9622.1644660869533</v>
      </c>
      <c r="D39">
        <f>(3/(1+('CurrentPor-All Factor Movements'!C39+'CurrentPor-All Factor Movements'!H39)/100)+103/POWER(1+('CurrentPor-All Factor Movements'!D39+'CurrentPor-All Factor Movements'!H39)/100,2))*100</f>
        <v>9592.9681103632083</v>
      </c>
      <c r="E39">
        <f>(3/(1+('CurrentPor-All Factor Movements'!C39+'CurrentPor-All Factor Movements'!I39)/100)+103/POWER(1+('CurrentPor-All Factor Movements'!D39+'CurrentPor-All Factor Movements'!I39)/100,2))*100</f>
        <v>9582.360603994126</v>
      </c>
      <c r="F39">
        <f>Portfolio!B$5*'CurrentPor-All Factor Movements'!E39</f>
        <v>52063.545065844752</v>
      </c>
      <c r="G39">
        <f>Portfolio!B$6*'CurrentPor-All Factor Movements'!F39</f>
        <v>4081.4389152668468</v>
      </c>
      <c r="H39">
        <f>Portfolio!B$7*'CurrentPor-All Factor Movements'!J39</f>
        <v>2064.4024687181927</v>
      </c>
      <c r="I39">
        <f t="shared" si="0"/>
        <v>96714.446554386537</v>
      </c>
      <c r="J39">
        <f t="shared" si="1"/>
        <v>182.89907592454983</v>
      </c>
    </row>
    <row r="40" spans="1:10">
      <c r="A40" s="1">
        <v>45525</v>
      </c>
      <c r="B40">
        <f>(3/(1+('CurrentPor-All Factor Movements'!C40)/100)+103/POWER(1+('CurrentPor-All Factor Movements'!D40)/100,2))*100</f>
        <v>9705.6890819923028</v>
      </c>
      <c r="C40">
        <f>(3/(1+('CurrentPor-All Factor Movements'!C40+'CurrentPor-All Factor Movements'!G40)/100)+103/POWER(1+('CurrentPor-All Factor Movements'!D40+'CurrentPor-All Factor Movements'!G40)/100,2))*100</f>
        <v>9618.5074281413872</v>
      </c>
      <c r="D40">
        <f>(3/(1+('CurrentPor-All Factor Movements'!C40+'CurrentPor-All Factor Movements'!H40)/100)+103/POWER(1+('CurrentPor-All Factor Movements'!D40+'CurrentPor-All Factor Movements'!H40)/100,2))*100</f>
        <v>9588.1839634832122</v>
      </c>
      <c r="E40">
        <f>(3/(1+('CurrentPor-All Factor Movements'!C40+'CurrentPor-All Factor Movements'!I40)/100)+103/POWER(1+('CurrentPor-All Factor Movements'!D40+'CurrentPor-All Factor Movements'!I40)/100,2))*100</f>
        <v>9579.209871169578</v>
      </c>
      <c r="F40">
        <f>Portfolio!B$5*'CurrentPor-All Factor Movements'!E40</f>
        <v>52231.877807997429</v>
      </c>
      <c r="G40">
        <f>Portfolio!B$6*'CurrentPor-All Factor Movements'!F40</f>
        <v>3320.1560605559271</v>
      </c>
      <c r="H40">
        <f>Portfolio!B$7*'CurrentPor-All Factor Movements'!J40</f>
        <v>2064.3952830167896</v>
      </c>
      <c r="I40">
        <f t="shared" si="0"/>
        <v>96108.019496356617</v>
      </c>
      <c r="J40">
        <f t="shared" si="1"/>
        <v>-981.29945351579227</v>
      </c>
    </row>
    <row r="41" spans="1:10">
      <c r="A41" s="1">
        <v>45526</v>
      </c>
      <c r="B41">
        <f>(3/(1+('CurrentPor-All Factor Movements'!C41)/100)+103/POWER(1+('CurrentPor-All Factor Movements'!D41)/100,2))*100</f>
        <v>9706.3809679170627</v>
      </c>
      <c r="C41">
        <f>(3/(1+('CurrentPor-All Factor Movements'!C41+'CurrentPor-All Factor Movements'!G41)/100)+103/POWER(1+('CurrentPor-All Factor Movements'!D41+'CurrentPor-All Factor Movements'!G41)/100,2))*100</f>
        <v>9619.1899206405433</v>
      </c>
      <c r="D41">
        <f>(3/(1+('CurrentPor-All Factor Movements'!C41+'CurrentPor-All Factor Movements'!H41)/100)+103/POWER(1+('CurrentPor-All Factor Movements'!D41+'CurrentPor-All Factor Movements'!H41)/100,2))*100</f>
        <v>9589.215760904739</v>
      </c>
      <c r="E41">
        <f>(3/(1+('CurrentPor-All Factor Movements'!C41+'CurrentPor-All Factor Movements'!I41)/100)+103/POWER(1+('CurrentPor-All Factor Movements'!D41+'CurrentPor-All Factor Movements'!I41)/100,2))*100</f>
        <v>9580.6641432467495</v>
      </c>
      <c r="F41">
        <f>Portfolio!B$5*'CurrentPor-All Factor Movements'!E41</f>
        <v>52106.00272697019</v>
      </c>
      <c r="G41">
        <f>Portfolio!B$6*'CurrentPor-All Factor Movements'!F41</f>
        <v>3778.1563702933227</v>
      </c>
      <c r="H41">
        <f>Portfolio!B$7*'CurrentPor-All Factor Movements'!J41</f>
        <v>2064.4030589644826</v>
      </c>
      <c r="I41">
        <f t="shared" si="0"/>
        <v>96444.012948937088</v>
      </c>
      <c r="J41">
        <f t="shared" si="1"/>
        <v>-255.33366110736097</v>
      </c>
    </row>
    <row r="42" spans="1:10">
      <c r="A42" s="1">
        <v>45527</v>
      </c>
      <c r="B42">
        <f>(3/(1+('CurrentPor-All Factor Movements'!C42)/100)+103/POWER(1+('CurrentPor-All Factor Movements'!D42)/100,2))*100</f>
        <v>9707.2055010681288</v>
      </c>
      <c r="C42">
        <f>(3/(1+('CurrentPor-All Factor Movements'!C42+'CurrentPor-All Factor Movements'!G42)/100)+103/POWER(1+('CurrentPor-All Factor Movements'!D42+'CurrentPor-All Factor Movements'!G42)/100,2))*100</f>
        <v>9623.6129517444369</v>
      </c>
      <c r="D42">
        <f>(3/(1+('CurrentPor-All Factor Movements'!C42+'CurrentPor-All Factor Movements'!H42)/100)+103/POWER(1+('CurrentPor-All Factor Movements'!D42+'CurrentPor-All Factor Movements'!H42)/100,2))*100</f>
        <v>9598.5892007140556</v>
      </c>
      <c r="E42">
        <f>(3/(1+('CurrentPor-All Factor Movements'!C42+'CurrentPor-All Factor Movements'!I42)/100)+103/POWER(1+('CurrentPor-All Factor Movements'!D42+'CurrentPor-All Factor Movements'!I42)/100,2))*100</f>
        <v>9580.0709050221922</v>
      </c>
      <c r="F42">
        <f>Portfolio!B$5*'CurrentPor-All Factor Movements'!E42</f>
        <v>52563.459896599466</v>
      </c>
      <c r="G42">
        <f>Portfolio!B$6*'CurrentPor-All Factor Movements'!F42</f>
        <v>3695.0993225638654</v>
      </c>
      <c r="H42">
        <f>Portfolio!B$7*'CurrentPor-All Factor Movements'!J42</f>
        <v>2064.4049722260916</v>
      </c>
      <c r="I42">
        <f t="shared" si="0"/>
        <v>96832.442749938244</v>
      </c>
      <c r="J42">
        <f t="shared" si="1"/>
        <v>161.22875208345067</v>
      </c>
    </row>
    <row r="43" spans="1:10">
      <c r="A43" s="1">
        <v>45530</v>
      </c>
      <c r="B43">
        <f>(3/(1+('CurrentPor-All Factor Movements'!C43)/100)+103/POWER(1+('CurrentPor-All Factor Movements'!D43)/100,2))*100</f>
        <v>9707.0938909141005</v>
      </c>
      <c r="C43">
        <f>(3/(1+('CurrentPor-All Factor Movements'!C43+'CurrentPor-All Factor Movements'!G43)/100)+103/POWER(1+('CurrentPor-All Factor Movements'!D43+'CurrentPor-All Factor Movements'!G43)/100,2))*100</f>
        <v>9618.0891183050971</v>
      </c>
      <c r="D43">
        <f>(3/(1+('CurrentPor-All Factor Movements'!C43+'CurrentPor-All Factor Movements'!H43)/100)+103/POWER(1+('CurrentPor-All Factor Movements'!D43+'CurrentPor-All Factor Movements'!H43)/100,2))*100</f>
        <v>9606.444500890264</v>
      </c>
      <c r="E43">
        <f>(3/(1+('CurrentPor-All Factor Movements'!C43+'CurrentPor-All Factor Movements'!I43)/100)+103/POWER(1+('CurrentPor-All Factor Movements'!D43+'CurrentPor-All Factor Movements'!I43)/100,2))*100</f>
        <v>9580.4454205039747</v>
      </c>
      <c r="F43">
        <f>Portfolio!B$5*'CurrentPor-All Factor Movements'!E43</f>
        <v>52042.963841672296</v>
      </c>
      <c r="G43">
        <f>Portfolio!B$6*'CurrentPor-All Factor Movements'!F43</f>
        <v>3657.2687824893392</v>
      </c>
      <c r="H43">
        <f>Portfolio!B$7*'CurrentPor-All Factor Movements'!J43</f>
        <v>2064.3962837275958</v>
      </c>
      <c r="I43">
        <f t="shared" si="0"/>
        <v>96276.70183850266</v>
      </c>
      <c r="J43">
        <f t="shared" si="1"/>
        <v>51.320571700372966</v>
      </c>
    </row>
    <row r="44" spans="1:10">
      <c r="A44" s="1">
        <v>45531</v>
      </c>
      <c r="B44">
        <f>(3/(1+('CurrentPor-All Factor Movements'!C44)/100)+103/POWER(1+('CurrentPor-All Factor Movements'!D44)/100,2))*100</f>
        <v>9706.7522960807928</v>
      </c>
      <c r="C44">
        <f>(3/(1+('CurrentPor-All Factor Movements'!C44+'CurrentPor-All Factor Movements'!G44)/100)+103/POWER(1+('CurrentPor-All Factor Movements'!D44+'CurrentPor-All Factor Movements'!G44)/100,2))*100</f>
        <v>9617.7522570916426</v>
      </c>
      <c r="D44">
        <f>(3/(1+('CurrentPor-All Factor Movements'!C44+'CurrentPor-All Factor Movements'!H44)/100)+103/POWER(1+('CurrentPor-All Factor Movements'!D44+'CurrentPor-All Factor Movements'!H44)/100,2))*100</f>
        <v>9599.6099499848024</v>
      </c>
      <c r="E44">
        <f>(3/(1+('CurrentPor-All Factor Movements'!C44+'CurrentPor-All Factor Movements'!I44)/100)+103/POWER(1+('CurrentPor-All Factor Movements'!D44+'CurrentPor-All Factor Movements'!I44)/100,2))*100</f>
        <v>9579.2165550089867</v>
      </c>
      <c r="F44">
        <f>Portfolio!B$5*'CurrentPor-All Factor Movements'!E44</f>
        <v>52516.540102618237</v>
      </c>
      <c r="G44">
        <f>Portfolio!B$6*'CurrentPor-All Factor Movements'!F44</f>
        <v>3804.2622468290033</v>
      </c>
      <c r="H44">
        <f>Portfolio!B$7*'CurrentPor-All Factor Movements'!J44</f>
        <v>2064.4016868439726</v>
      </c>
      <c r="I44">
        <f t="shared" si="0"/>
        <v>96888.535094457446</v>
      </c>
      <c r="J44">
        <f t="shared" si="1"/>
        <v>-94.219376556618954</v>
      </c>
    </row>
    <row r="45" spans="1:10">
      <c r="A45" s="1">
        <v>45532</v>
      </c>
      <c r="B45">
        <f>(3/(1+('CurrentPor-All Factor Movements'!C45)/100)+103/POWER(1+('CurrentPor-All Factor Movements'!D45)/100,2))*100</f>
        <v>9708.2580078365845</v>
      </c>
      <c r="C45">
        <f>(3/(1+('CurrentPor-All Factor Movements'!C45+'CurrentPor-All Factor Movements'!G45)/100)+103/POWER(1+('CurrentPor-All Factor Movements'!D45+'CurrentPor-All Factor Movements'!G45)/100,2))*100</f>
        <v>9617.4332433844447</v>
      </c>
      <c r="D45">
        <f>(3/(1+('CurrentPor-All Factor Movements'!C45+'CurrentPor-All Factor Movements'!H45)/100)+103/POWER(1+('CurrentPor-All Factor Movements'!D45+'CurrentPor-All Factor Movements'!H45)/100,2))*100</f>
        <v>9605.3398620351763</v>
      </c>
      <c r="E45">
        <f>(3/(1+('CurrentPor-All Factor Movements'!C45+'CurrentPor-All Factor Movements'!I45)/100)+103/POWER(1+('CurrentPor-All Factor Movements'!D45+'CurrentPor-All Factor Movements'!I45)/100,2))*100</f>
        <v>9582.1974373501507</v>
      </c>
      <c r="F45">
        <f>Portfolio!B$5*'CurrentPor-All Factor Movements'!E45</f>
        <v>52153.93319237692</v>
      </c>
      <c r="G45">
        <f>Portfolio!B$6*'CurrentPor-All Factor Movements'!F45</f>
        <v>3668.3013583439156</v>
      </c>
      <c r="H45">
        <f>Portfolio!B$7*'CurrentPor-All Factor Movements'!J45</f>
        <v>2064.4029156304091</v>
      </c>
      <c r="I45">
        <f t="shared" si="0"/>
        <v>96399.866016957589</v>
      </c>
      <c r="J45">
        <f t="shared" si="1"/>
        <v>-442.79510823477176</v>
      </c>
    </row>
    <row r="46" spans="1:10">
      <c r="A46" s="1">
        <v>45533</v>
      </c>
      <c r="B46">
        <f>(3/(1+('CurrentPor-All Factor Movements'!C46)/100)+103/POWER(1+('CurrentPor-All Factor Movements'!D46)/100,2))*100</f>
        <v>9707.9590078079964</v>
      </c>
      <c r="C46">
        <f>(3/(1+('CurrentPor-All Factor Movements'!C46+'CurrentPor-All Factor Movements'!G46)/100)+103/POWER(1+('CurrentPor-All Factor Movements'!D46+'CurrentPor-All Factor Movements'!G46)/100,2))*100</f>
        <v>9622.5513360789046</v>
      </c>
      <c r="D46">
        <f>(3/(1+('CurrentPor-All Factor Movements'!C46+'CurrentPor-All Factor Movements'!H46)/100)+103/POWER(1+('CurrentPor-All Factor Movements'!D46+'CurrentPor-All Factor Movements'!H46)/100,2))*100</f>
        <v>9603.8808128416949</v>
      </c>
      <c r="E46">
        <f>(3/(1+('CurrentPor-All Factor Movements'!C46+'CurrentPor-All Factor Movements'!I46)/100)+103/POWER(1+('CurrentPor-All Factor Movements'!D46+'CurrentPor-All Factor Movements'!I46)/100,2))*100</f>
        <v>9581.0869348064425</v>
      </c>
      <c r="F46">
        <f>Portfolio!B$5*'CurrentPor-All Factor Movements'!E46</f>
        <v>52234.94829231879</v>
      </c>
      <c r="G46">
        <f>Portfolio!B$6*'CurrentPor-All Factor Movements'!F46</f>
        <v>3783.7513679821454</v>
      </c>
      <c r="H46">
        <f>Portfolio!B$7*'CurrentPor-All Factor Movements'!J46</f>
        <v>2064.4022762574691</v>
      </c>
      <c r="I46">
        <f t="shared" si="0"/>
        <v>96598.580028093449</v>
      </c>
      <c r="J46">
        <f t="shared" si="1"/>
        <v>22.040624860921525</v>
      </c>
    </row>
    <row r="47" spans="1:10">
      <c r="A47" s="1">
        <v>45534</v>
      </c>
      <c r="B47">
        <f>(3/(1+('CurrentPor-All Factor Movements'!C47)/100)+103/POWER(1+('CurrentPor-All Factor Movements'!D47)/100,2))*100</f>
        <v>9707.5388200819452</v>
      </c>
      <c r="C47">
        <f>(3/(1+('CurrentPor-All Factor Movements'!C47+'CurrentPor-All Factor Movements'!G47)/100)+103/POWER(1+('CurrentPor-All Factor Movements'!D47+'CurrentPor-All Factor Movements'!G47)/100,2))*100</f>
        <v>9620.3320524077008</v>
      </c>
      <c r="D47">
        <f>(3/(1+('CurrentPor-All Factor Movements'!C47+'CurrentPor-All Factor Movements'!H47)/100)+103/POWER(1+('CurrentPor-All Factor Movements'!D47+'CurrentPor-All Factor Movements'!H47)/100,2))*100</f>
        <v>9595.1248499305129</v>
      </c>
      <c r="E47">
        <f>(3/(1+('CurrentPor-All Factor Movements'!C47+'CurrentPor-All Factor Movements'!I47)/100)+103/POWER(1+('CurrentPor-All Factor Movements'!D47+'CurrentPor-All Factor Movements'!I47)/100,2))*100</f>
        <v>9580.8304979945678</v>
      </c>
      <c r="F47">
        <f>Portfolio!B$5*'CurrentPor-All Factor Movements'!E47</f>
        <v>52062.478782263031</v>
      </c>
      <c r="G47">
        <f>Portfolio!B$6*'CurrentPor-All Factor Movements'!F47</f>
        <v>3908.9866401090349</v>
      </c>
      <c r="H47">
        <f>Portfolio!B$7*'CurrentPor-All Factor Movements'!J47</f>
        <v>2064.3970254902647</v>
      </c>
      <c r="I47">
        <f t="shared" si="0"/>
        <v>96539.688668277056</v>
      </c>
      <c r="J47">
        <f t="shared" si="1"/>
        <v>-47.82258424583415</v>
      </c>
    </row>
    <row r="48" spans="1:10">
      <c r="A48" s="1">
        <v>45537</v>
      </c>
      <c r="B48">
        <f>(3/(1+('CurrentPor-All Factor Movements'!C48)/100)+103/POWER(1+('CurrentPor-All Factor Movements'!D48)/100,2))*100</f>
        <v>9706.3902971165498</v>
      </c>
      <c r="C48">
        <f>(3/(1+('CurrentPor-All Factor Movements'!C48+'CurrentPor-All Factor Movements'!G48)/100)+103/POWER(1+('CurrentPor-All Factor Movements'!D48+'CurrentPor-All Factor Movements'!G48)/100,2))*100</f>
        <v>9617.3952744038124</v>
      </c>
      <c r="D48">
        <f>(3/(1+('CurrentPor-All Factor Movements'!C48+'CurrentPor-All Factor Movements'!H48)/100)+103/POWER(1+('CurrentPor-All Factor Movements'!D48+'CurrentPor-All Factor Movements'!H48)/100,2))*100</f>
        <v>9595.7118647284842</v>
      </c>
      <c r="E48">
        <f>(3/(1+('CurrentPor-All Factor Movements'!C48+'CurrentPor-All Factor Movements'!I48)/100)+103/POWER(1+('CurrentPor-All Factor Movements'!D48+'CurrentPor-All Factor Movements'!I48)/100,2))*100</f>
        <v>9580.6964059343663</v>
      </c>
      <c r="F48">
        <f>Portfolio!B$5*'CurrentPor-All Factor Movements'!E48</f>
        <v>51998.679714320017</v>
      </c>
      <c r="G48">
        <f>Portfolio!B$6*'CurrentPor-All Factor Movements'!F48</f>
        <v>3386.9705422690827</v>
      </c>
      <c r="H48">
        <f>Portfolio!B$7*'CurrentPor-All Factor Movements'!J48</f>
        <v>2064.4041198476571</v>
      </c>
      <c r="I48">
        <f t="shared" si="0"/>
        <v>95950.248218619992</v>
      </c>
      <c r="J48">
        <f t="shared" si="1"/>
        <v>-668.94816706384881</v>
      </c>
    </row>
    <row r="49" spans="1:10">
      <c r="A49" s="1">
        <v>45538</v>
      </c>
      <c r="B49">
        <f>(3/(1+('CurrentPor-All Factor Movements'!C49)/100)+103/POWER(1+('CurrentPor-All Factor Movements'!D49)/100,2))*100</f>
        <v>9707.1502440868317</v>
      </c>
      <c r="C49">
        <f>(3/(1+('CurrentPor-All Factor Movements'!C49+'CurrentPor-All Factor Movements'!G49)/100)+103/POWER(1+('CurrentPor-All Factor Movements'!D49+'CurrentPor-All Factor Movements'!G49)/100,2))*100</f>
        <v>9623.5584140196734</v>
      </c>
      <c r="D49">
        <f>(3/(1+('CurrentPor-All Factor Movements'!C49+'CurrentPor-All Factor Movements'!H49)/100)+103/POWER(1+('CurrentPor-All Factor Movements'!D49+'CurrentPor-All Factor Movements'!H49)/100,2))*100</f>
        <v>9624.2731641862702</v>
      </c>
      <c r="E49">
        <f>(3/(1+('CurrentPor-All Factor Movements'!C49+'CurrentPor-All Factor Movements'!I49)/100)+103/POWER(1+('CurrentPor-All Factor Movements'!D49+'CurrentPor-All Factor Movements'!I49)/100,2))*100</f>
        <v>9580.0248220987487</v>
      </c>
      <c r="F49">
        <f>Portfolio!B$5*'CurrentPor-All Factor Movements'!E49</f>
        <v>52423.648089988455</v>
      </c>
      <c r="G49">
        <f>Portfolio!B$6*'CurrentPor-All Factor Movements'!F49</f>
        <v>3832.5033865439432</v>
      </c>
      <c r="H49">
        <f>Portfolio!B$7*'CurrentPor-All Factor Movements'!J49</f>
        <v>2064.3920819269679</v>
      </c>
      <c r="I49">
        <f t="shared" si="0"/>
        <v>96855.550202850907</v>
      </c>
      <c r="J49">
        <f t="shared" si="1"/>
        <v>141.10364846437005</v>
      </c>
    </row>
    <row r="50" spans="1:10">
      <c r="A50" s="1">
        <v>45539</v>
      </c>
      <c r="B50">
        <f>(3/(1+('CurrentPor-All Factor Movements'!C50)/100)+103/POWER(1+('CurrentPor-All Factor Movements'!D50)/100,2))*100</f>
        <v>9705.814713907941</v>
      </c>
      <c r="C50">
        <f>(3/(1+('CurrentPor-All Factor Movements'!C50+'CurrentPor-All Factor Movements'!G50)/100)+103/POWER(1+('CurrentPor-All Factor Movements'!D50+'CurrentPor-All Factor Movements'!G50)/100,2))*100</f>
        <v>9622.2402672373591</v>
      </c>
      <c r="D50">
        <f>(3/(1+('CurrentPor-All Factor Movements'!C50+'CurrentPor-All Factor Movements'!H50)/100)+103/POWER(1+('CurrentPor-All Factor Movements'!D50+'CurrentPor-All Factor Movements'!H50)/100,2))*100</f>
        <v>9609.0897478990319</v>
      </c>
      <c r="E50">
        <f>(3/(1+('CurrentPor-All Factor Movements'!C50+'CurrentPor-All Factor Movements'!I50)/100)+103/POWER(1+('CurrentPor-All Factor Movements'!D50+'CurrentPor-All Factor Movements'!I50)/100,2))*100</f>
        <v>9578.542867715496</v>
      </c>
      <c r="F50">
        <f>Portfolio!B$5*'CurrentPor-All Factor Movements'!E50</f>
        <v>51832.427129416144</v>
      </c>
      <c r="G50">
        <f>Portfolio!B$6*'CurrentPor-All Factor Movements'!F50</f>
        <v>3552.4660252360754</v>
      </c>
      <c r="H50">
        <f>Portfolio!B$7*'CurrentPor-All Factor Movements'!J50</f>
        <v>2064.3931413604037</v>
      </c>
      <c r="I50">
        <f t="shared" si="0"/>
        <v>95964.973892772454</v>
      </c>
      <c r="J50">
        <f t="shared" si="1"/>
        <v>-143.04560358416347</v>
      </c>
    </row>
    <row r="51" spans="1:10">
      <c r="A51" s="1">
        <v>45540</v>
      </c>
      <c r="B51">
        <f>(3/(1+('CurrentPor-All Factor Movements'!C51)/100)+103/POWER(1+('CurrentPor-All Factor Movements'!D51)/100,2))*100</f>
        <v>9707.5139483791427</v>
      </c>
      <c r="C51">
        <f>(3/(1+('CurrentPor-All Factor Movements'!C51+'CurrentPor-All Factor Movements'!G51)/100)+103/POWER(1+('CurrentPor-All Factor Movements'!D51+'CurrentPor-All Factor Movements'!G51)/100,2))*100</f>
        <v>9623.9173840904514</v>
      </c>
      <c r="D51">
        <f>(3/(1+('CurrentPor-All Factor Movements'!C51+'CurrentPor-All Factor Movements'!H51)/100)+103/POWER(1+('CurrentPor-All Factor Movements'!D51+'CurrentPor-All Factor Movements'!H51)/100,2))*100</f>
        <v>9591.8311966876754</v>
      </c>
      <c r="E51">
        <f>(3/(1+('CurrentPor-All Factor Movements'!C51+'CurrentPor-All Factor Movements'!I51)/100)+103/POWER(1+('CurrentPor-All Factor Movements'!D51+'CurrentPor-All Factor Movements'!I51)/100,2))*100</f>
        <v>9579.1139100964538</v>
      </c>
      <c r="F51">
        <f>Portfolio!B$5*'CurrentPor-All Factor Movements'!E51</f>
        <v>52346.646854768085</v>
      </c>
      <c r="G51">
        <f>Portfolio!B$6*'CurrentPor-All Factor Movements'!F51</f>
        <v>3836.6821599782356</v>
      </c>
      <c r="H51">
        <f>Portfolio!B$7*'CurrentPor-All Factor Movements'!J51</f>
        <v>2064.3958511403275</v>
      </c>
      <c r="I51">
        <f t="shared" si="0"/>
        <v>96750.101305140386</v>
      </c>
      <c r="J51">
        <f t="shared" si="1"/>
        <v>306.08835620329774</v>
      </c>
    </row>
    <row r="52" spans="1:10">
      <c r="A52" s="1">
        <v>45541</v>
      </c>
      <c r="B52">
        <f>(3/(1+('CurrentPor-All Factor Movements'!C52)/100)+103/POWER(1+('CurrentPor-All Factor Movements'!D52)/100,2))*100</f>
        <v>9706.3258806102112</v>
      </c>
      <c r="C52">
        <f>(3/(1+('CurrentPor-All Factor Movements'!C52+'CurrentPor-All Factor Movements'!G52)/100)+103/POWER(1+('CurrentPor-All Factor Movements'!D52+'CurrentPor-All Factor Movements'!G52)/100,2))*100</f>
        <v>9622.7447806847067</v>
      </c>
      <c r="D52">
        <f>(3/(1+('CurrentPor-All Factor Movements'!C52+'CurrentPor-All Factor Movements'!H52)/100)+103/POWER(1+('CurrentPor-All Factor Movements'!D52+'CurrentPor-All Factor Movements'!H52)/100,2))*100</f>
        <v>9601.3107320254712</v>
      </c>
      <c r="E52">
        <f>(3/(1+('CurrentPor-All Factor Movements'!C52+'CurrentPor-All Factor Movements'!I52)/100)+103/POWER(1+('CurrentPor-All Factor Movements'!D52+'CurrentPor-All Factor Movements'!I52)/100,2))*100</f>
        <v>9579.0132205194277</v>
      </c>
      <c r="F52">
        <f>Portfolio!B$5*'CurrentPor-All Factor Movements'!E52</f>
        <v>52397.777436901444</v>
      </c>
      <c r="G52">
        <f>Portfolio!B$6*'CurrentPor-All Factor Movements'!F52</f>
        <v>3864.2996514109095</v>
      </c>
      <c r="H52">
        <f>Portfolio!B$7*'CurrentPor-All Factor Movements'!J52</f>
        <v>2064.3956773830701</v>
      </c>
      <c r="I52">
        <f t="shared" si="0"/>
        <v>96835.867379535252</v>
      </c>
      <c r="J52">
        <f t="shared" si="1"/>
        <v>3.4246295970078791</v>
      </c>
    </row>
    <row r="53" spans="1:10">
      <c r="A53" s="1">
        <v>45544</v>
      </c>
      <c r="B53">
        <f>(3/(1+('CurrentPor-All Factor Movements'!C53)/100)+103/POWER(1+('CurrentPor-All Factor Movements'!D53)/100,2))*100</f>
        <v>9705.7013626677326</v>
      </c>
      <c r="C53">
        <f>(3/(1+('CurrentPor-All Factor Movements'!C53+'CurrentPor-All Factor Movements'!G53)/100)+103/POWER(1+('CurrentPor-All Factor Movements'!D53+'CurrentPor-All Factor Movements'!G53)/100,2))*100</f>
        <v>9627.5455126034522</v>
      </c>
      <c r="D53">
        <f>(3/(1+('CurrentPor-All Factor Movements'!C53+'CurrentPor-All Factor Movements'!H53)/100)+103/POWER(1+('CurrentPor-All Factor Movements'!D53+'CurrentPor-All Factor Movements'!H53)/100,2))*100</f>
        <v>9608.874293555411</v>
      </c>
      <c r="E53">
        <f>(3/(1+('CurrentPor-All Factor Movements'!C53+'CurrentPor-All Factor Movements'!I53)/100)+103/POWER(1+('CurrentPor-All Factor Movements'!D53+'CurrentPor-All Factor Movements'!I53)/100,2))*100</f>
        <v>9578.6695020483785</v>
      </c>
      <c r="F53">
        <f>Portfolio!B$5*'CurrentPor-All Factor Movements'!E53</f>
        <v>52451.402475999203</v>
      </c>
      <c r="G53">
        <f>Portfolio!B$6*'CurrentPor-All Factor Movements'!F53</f>
        <v>4037.0652805976397</v>
      </c>
      <c r="H53">
        <f>Portfolio!B$7*'CurrentPor-All Factor Movements'!J53</f>
        <v>2064.4061795338152</v>
      </c>
      <c r="I53">
        <f t="shared" si="0"/>
        <v>97073.664607005645</v>
      </c>
      <c r="J53">
        <f t="shared" si="1"/>
        <v>796.96276850298455</v>
      </c>
    </row>
    <row r="54" spans="1:10">
      <c r="A54" s="1">
        <v>45545</v>
      </c>
      <c r="B54">
        <f>(3/(1+('CurrentPor-All Factor Movements'!C54)/100)+103/POWER(1+('CurrentPor-All Factor Movements'!D54)/100,2))*100</f>
        <v>9708.3879134801427</v>
      </c>
      <c r="C54">
        <f>(3/(1+('CurrentPor-All Factor Movements'!C54+'CurrentPor-All Factor Movements'!G54)/100)+103/POWER(1+('CurrentPor-All Factor Movements'!D54+'CurrentPor-All Factor Movements'!G54)/100,2))*100</f>
        <v>9632.0068444016433</v>
      </c>
      <c r="D54">
        <f>(3/(1+('CurrentPor-All Factor Movements'!C54+'CurrentPor-All Factor Movements'!H54)/100)+103/POWER(1+('CurrentPor-All Factor Movements'!D54+'CurrentPor-All Factor Movements'!H54)/100,2))*100</f>
        <v>9582.8588217532542</v>
      </c>
      <c r="E54">
        <f>(3/(1+('CurrentPor-All Factor Movements'!C54+'CurrentPor-All Factor Movements'!I54)/100)+103/POWER(1+('CurrentPor-All Factor Movements'!D54+'CurrentPor-All Factor Movements'!I54)/100,2))*100</f>
        <v>9580.5673678101193</v>
      </c>
      <c r="F54">
        <f>Portfolio!B$5*'CurrentPor-All Factor Movements'!E54</f>
        <v>52527.244760521455</v>
      </c>
      <c r="G54">
        <f>Portfolio!B$6*'CurrentPor-All Factor Movements'!F54</f>
        <v>3889.2837776212646</v>
      </c>
      <c r="H54">
        <f>Portfolio!B$7*'CurrentPor-All Factor Movements'!J54</f>
        <v>2064.3975380410902</v>
      </c>
      <c r="I54">
        <f t="shared" si="0"/>
        <v>96984.747023628966</v>
      </c>
      <c r="J54">
        <f t="shared" si="1"/>
        <v>96.211929171520751</v>
      </c>
    </row>
    <row r="55" spans="1:10">
      <c r="A55" s="1">
        <v>45546</v>
      </c>
      <c r="B55">
        <f>(3/(1+('CurrentPor-All Factor Movements'!C55)/100)+103/POWER(1+('CurrentPor-All Factor Movements'!D55)/100,2))*100</f>
        <v>9707.9211561310185</v>
      </c>
      <c r="C55">
        <f>(3/(1+('CurrentPor-All Factor Movements'!C55+'CurrentPor-All Factor Movements'!G55)/100)+103/POWER(1+('CurrentPor-All Factor Movements'!D55+'CurrentPor-All Factor Movements'!G55)/100,2))*100</f>
        <v>9633.3535100703302</v>
      </c>
      <c r="D55">
        <f>(3/(1+('CurrentPor-All Factor Movements'!C55+'CurrentPor-All Factor Movements'!H55)/100)+103/POWER(1+('CurrentPor-All Factor Movements'!D55+'CurrentPor-All Factor Movements'!H55)/100,2))*100</f>
        <v>9591.0867445875119</v>
      </c>
      <c r="E55">
        <f>(3/(1+('CurrentPor-All Factor Movements'!C55+'CurrentPor-All Factor Movements'!I55)/100)+103/POWER(1+('CurrentPor-All Factor Movements'!D55+'CurrentPor-All Factor Movements'!I55)/100,2))*100</f>
        <v>9579.5017162565055</v>
      </c>
      <c r="F55">
        <f>Portfolio!B$5*'CurrentPor-All Factor Movements'!E55</f>
        <v>52457.527241600357</v>
      </c>
      <c r="G55">
        <f>Portfolio!B$6*'CurrentPor-All Factor Movements'!F55</f>
        <v>3757.7254049445992</v>
      </c>
      <c r="H55">
        <f>Portfolio!B$7*'CurrentPor-All Factor Movements'!J55</f>
        <v>2064.4061232333752</v>
      </c>
      <c r="I55">
        <f t="shared" si="0"/>
        <v>96791.521896823702</v>
      </c>
      <c r="J55">
        <f t="shared" si="1"/>
        <v>391.65587986611354</v>
      </c>
    </row>
    <row r="56" spans="1:10">
      <c r="A56" s="1">
        <v>45547</v>
      </c>
      <c r="B56">
        <f>(3/(1+('CurrentPor-All Factor Movements'!C56)/100)+103/POWER(1+('CurrentPor-All Factor Movements'!D56)/100,2))*100</f>
        <v>9706.9233817380355</v>
      </c>
      <c r="C56">
        <f>(3/(1+('CurrentPor-All Factor Movements'!C56+'CurrentPor-All Factor Movements'!G56)/100)+103/POWER(1+('CurrentPor-All Factor Movements'!D56+'CurrentPor-All Factor Movements'!G56)/100,2))*100</f>
        <v>9634.175427643173</v>
      </c>
      <c r="D56">
        <f>(3/(1+('CurrentPor-All Factor Movements'!C56+'CurrentPor-All Factor Movements'!H56)/100)+103/POWER(1+('CurrentPor-All Factor Movements'!D56+'CurrentPor-All Factor Movements'!H56)/100,2))*100</f>
        <v>9588.8371045420354</v>
      </c>
      <c r="E56">
        <f>(3/(1+('CurrentPor-All Factor Movements'!C56+'CurrentPor-All Factor Movements'!I56)/100)+103/POWER(1+('CurrentPor-All Factor Movements'!D56+'CurrentPor-All Factor Movements'!I56)/100,2))*100</f>
        <v>9579.0272627558807</v>
      </c>
      <c r="F56">
        <f>Portfolio!B$5*'CurrentPor-All Factor Movements'!E56</f>
        <v>52214.772269209308</v>
      </c>
      <c r="G56">
        <f>Portfolio!B$6*'CurrentPor-All Factor Movements'!F56</f>
        <v>3787.8281148289479</v>
      </c>
      <c r="H56">
        <f>Portfolio!B$7*'CurrentPor-All Factor Movements'!J56</f>
        <v>2064.404784304164</v>
      </c>
      <c r="I56">
        <f t="shared" si="0"/>
        <v>96575.968345021553</v>
      </c>
      <c r="J56">
        <f t="shared" si="1"/>
        <v>-22.61168307189655</v>
      </c>
    </row>
    <row r="57" spans="1:10">
      <c r="A57" s="1">
        <v>45548</v>
      </c>
      <c r="B57">
        <f>(3/(1+('CurrentPor-All Factor Movements'!C57)/100)+103/POWER(1+('CurrentPor-All Factor Movements'!D57)/100,2))*100</f>
        <v>9706.6996000382824</v>
      </c>
      <c r="C57">
        <f>(3/(1+('CurrentPor-All Factor Movements'!C57+'CurrentPor-All Factor Movements'!G57)/100)+103/POWER(1+('CurrentPor-All Factor Movements'!D57+'CurrentPor-All Factor Movements'!G57)/100,2))*100</f>
        <v>9637.5718085538174</v>
      </c>
      <c r="D57">
        <f>(3/(1+('CurrentPor-All Factor Movements'!C57+'CurrentPor-All Factor Movements'!H57)/100)+103/POWER(1+('CurrentPor-All Factor Movements'!D57+'CurrentPor-All Factor Movements'!H57)/100,2))*100</f>
        <v>9608.5706688054743</v>
      </c>
      <c r="E57">
        <f>(3/(1+('CurrentPor-All Factor Movements'!C57+'CurrentPor-All Factor Movements'!I57)/100)+103/POWER(1+('CurrentPor-All Factor Movements'!D57+'CurrentPor-All Factor Movements'!I57)/100,2))*100</f>
        <v>9579.7340870911503</v>
      </c>
      <c r="F57">
        <f>Portfolio!B$5*'CurrentPor-All Factor Movements'!E57</f>
        <v>52130.126530599184</v>
      </c>
      <c r="G57">
        <f>Portfolio!B$6*'CurrentPor-All Factor Movements'!F57</f>
        <v>3766.3861257791923</v>
      </c>
      <c r="H57">
        <f>Portfolio!B$7*'CurrentPor-All Factor Movements'!J57</f>
        <v>2064.3946000867727</v>
      </c>
      <c r="I57">
        <f t="shared" si="0"/>
        <v>96493.483420953868</v>
      </c>
      <c r="J57">
        <f t="shared" si="1"/>
        <v>-46.205247323188814</v>
      </c>
    </row>
    <row r="58" spans="1:10">
      <c r="A58" s="1">
        <v>45551</v>
      </c>
      <c r="B58">
        <f>(3/(1+('CurrentPor-All Factor Movements'!C58)/100)+103/POWER(1+('CurrentPor-All Factor Movements'!D58)/100,2))*100</f>
        <v>9707.312393201626</v>
      </c>
      <c r="C58">
        <f>(3/(1+('CurrentPor-All Factor Movements'!C58+'CurrentPor-All Factor Movements'!G58)/100)+103/POWER(1+('CurrentPor-All Factor Movements'!D58+'CurrentPor-All Factor Movements'!G58)/100,2))*100</f>
        <v>9639.9877601634926</v>
      </c>
      <c r="D58">
        <f>(3/(1+('CurrentPor-All Factor Movements'!C58+'CurrentPor-All Factor Movements'!H58)/100)+103/POWER(1+('CurrentPor-All Factor Movements'!D58+'CurrentPor-All Factor Movements'!H58)/100,2))*100</f>
        <v>9610.5578618312502</v>
      </c>
      <c r="E58">
        <f>(3/(1+('CurrentPor-All Factor Movements'!C58+'CurrentPor-All Factor Movements'!I58)/100)+103/POWER(1+('CurrentPor-All Factor Movements'!D58+'CurrentPor-All Factor Movements'!I58)/100,2))*100</f>
        <v>9582.1534311623327</v>
      </c>
      <c r="F58">
        <f>Portfolio!B$5*'CurrentPor-All Factor Movements'!E58</f>
        <v>52215.811750142006</v>
      </c>
      <c r="G58">
        <f>Portfolio!B$6*'CurrentPor-All Factor Movements'!F58</f>
        <v>3595.2669033673828</v>
      </c>
      <c r="H58">
        <f>Portfolio!B$7*'CurrentPor-All Factor Movements'!J58</f>
        <v>2064.3892518677608</v>
      </c>
      <c r="I58">
        <f t="shared" si="0"/>
        <v>96415.479351735863</v>
      </c>
      <c r="J58">
        <f t="shared" si="1"/>
        <v>465.23113311587076</v>
      </c>
    </row>
    <row r="59" spans="1:10">
      <c r="A59" s="1">
        <v>45552</v>
      </c>
      <c r="B59">
        <f>(3/(1+('CurrentPor-All Factor Movements'!C59)/100)+103/POWER(1+('CurrentPor-All Factor Movements'!D59)/100,2))*100</f>
        <v>9708.0886546015572</v>
      </c>
      <c r="C59">
        <f>(3/(1+('CurrentPor-All Factor Movements'!C59+'CurrentPor-All Factor Movements'!G59)/100)+103/POWER(1+('CurrentPor-All Factor Movements'!D59+'CurrentPor-All Factor Movements'!G59)/100,2))*100</f>
        <v>9642.5663711466859</v>
      </c>
      <c r="D59">
        <f>(3/(1+('CurrentPor-All Factor Movements'!C59+'CurrentPor-All Factor Movements'!H59)/100)+103/POWER(1+('CurrentPor-All Factor Movements'!D59+'CurrentPor-All Factor Movements'!H59)/100,2))*100</f>
        <v>9597.4089639516969</v>
      </c>
      <c r="E59">
        <f>(3/(1+('CurrentPor-All Factor Movements'!C59+'CurrentPor-All Factor Movements'!I59)/100)+103/POWER(1+('CurrentPor-All Factor Movements'!D59+'CurrentPor-All Factor Movements'!I59)/100,2))*100</f>
        <v>9583.0833375696875</v>
      </c>
      <c r="F59">
        <f>Portfolio!B$5*'CurrentPor-All Factor Movements'!E59</f>
        <v>52406.444026441182</v>
      </c>
      <c r="G59">
        <f>Portfolio!B$6*'CurrentPor-All Factor Movements'!F59</f>
        <v>3671.3326936927651</v>
      </c>
      <c r="H59">
        <f>Portfolio!B$7*'CurrentPor-All Factor Movements'!J59</f>
        <v>2064.3930626859515</v>
      </c>
      <c r="I59">
        <f t="shared" si="0"/>
        <v>96673.317110089527</v>
      </c>
      <c r="J59">
        <f t="shared" si="1"/>
        <v>-182.23309276138025</v>
      </c>
    </row>
    <row r="60" spans="1:10">
      <c r="A60" s="1">
        <v>45553</v>
      </c>
      <c r="B60">
        <f>(3/(1+('CurrentPor-All Factor Movements'!C60)/100)+103/POWER(1+('CurrentPor-All Factor Movements'!D60)/100,2))*100</f>
        <v>9707.5164895715516</v>
      </c>
      <c r="C60">
        <f>(3/(1+('CurrentPor-All Factor Movements'!C60+'CurrentPor-All Factor Movements'!G60)/100)+103/POWER(1+('CurrentPor-All Factor Movements'!D60+'CurrentPor-All Factor Movements'!G60)/100,2))*100</f>
        <v>9643.8108909902276</v>
      </c>
      <c r="D60">
        <f>(3/(1+('CurrentPor-All Factor Movements'!C60+'CurrentPor-All Factor Movements'!H60)/100)+103/POWER(1+('CurrentPor-All Factor Movements'!D60+'CurrentPor-All Factor Movements'!H60)/100,2))*100</f>
        <v>9593.0940772121667</v>
      </c>
      <c r="E60">
        <f>(3/(1+('CurrentPor-All Factor Movements'!C60+'CurrentPor-All Factor Movements'!I60)/100)+103/POWER(1+('CurrentPor-All Factor Movements'!D60+'CurrentPor-All Factor Movements'!I60)/100,2))*100</f>
        <v>9581.6362264082527</v>
      </c>
      <c r="F60">
        <f>Portfolio!B$5*'CurrentPor-All Factor Movements'!E60</f>
        <v>52285.558700307207</v>
      </c>
      <c r="G60">
        <f>Portfolio!B$6*'CurrentPor-All Factor Movements'!F60</f>
        <v>4087.129885999635</v>
      </c>
      <c r="H60">
        <f>Portfolio!B$7*'CurrentPor-All Factor Movements'!J60</f>
        <v>2064.4138610431737</v>
      </c>
      <c r="I60">
        <f t="shared" si="0"/>
        <v>96963.160131532204</v>
      </c>
      <c r="J60">
        <f t="shared" si="1"/>
        <v>998.18623875975027</v>
      </c>
    </row>
    <row r="61" spans="1:10">
      <c r="A61" s="1">
        <v>45554</v>
      </c>
      <c r="B61">
        <f>(3/(1+('CurrentPor-All Factor Movements'!C61)/100)+103/POWER(1+('CurrentPor-All Factor Movements'!D61)/100,2))*100</f>
        <v>9706.4253061503005</v>
      </c>
      <c r="C61">
        <f>(3/(1+('CurrentPor-All Factor Movements'!C61+'CurrentPor-All Factor Movements'!G61)/100)+103/POWER(1+('CurrentPor-All Factor Movements'!D61+'CurrentPor-All Factor Movements'!G61)/100,2))*100</f>
        <v>9640.919999290687</v>
      </c>
      <c r="D61">
        <f>(3/(1+('CurrentPor-All Factor Movements'!C61+'CurrentPor-All Factor Movements'!H61)/100)+103/POWER(1+('CurrentPor-All Factor Movements'!D61+'CurrentPor-All Factor Movements'!H61)/100,2))*100</f>
        <v>9603.8080014724728</v>
      </c>
      <c r="E61">
        <f>(3/(1+('CurrentPor-All Factor Movements'!C61+'CurrentPor-All Factor Movements'!I61)/100)+103/POWER(1+('CurrentPor-All Factor Movements'!D61+'CurrentPor-All Factor Movements'!I61)/100,2))*100</f>
        <v>9580.1748085965191</v>
      </c>
      <c r="F61">
        <f>Portfolio!B$5*'CurrentPor-All Factor Movements'!E61</f>
        <v>52161.732812575836</v>
      </c>
      <c r="G61">
        <f>Portfolio!B$6*'CurrentPor-All Factor Movements'!F61</f>
        <v>3862.4136825545293</v>
      </c>
      <c r="H61">
        <f>Portfolio!B$7*'CurrentPor-All Factor Movements'!J61</f>
        <v>2064.4003153731041</v>
      </c>
      <c r="I61">
        <f t="shared" si="0"/>
        <v>96619.87492601345</v>
      </c>
      <c r="J61">
        <f t="shared" si="1"/>
        <v>-130.22637912693608</v>
      </c>
    </row>
    <row r="62" spans="1:10">
      <c r="A62" s="1">
        <v>45555</v>
      </c>
      <c r="B62">
        <f>(3/(1+('CurrentPor-All Factor Movements'!C62)/100)+103/POWER(1+('CurrentPor-All Factor Movements'!D62)/100,2))*100</f>
        <v>9707.4990975426863</v>
      </c>
      <c r="C62">
        <f>(3/(1+('CurrentPor-All Factor Movements'!C62+'CurrentPor-All Factor Movements'!G62)/100)+103/POWER(1+('CurrentPor-All Factor Movements'!D62+'CurrentPor-All Factor Movements'!G62)/100,2))*100</f>
        <v>9640.1725063728627</v>
      </c>
      <c r="D62">
        <f>(3/(1+('CurrentPor-All Factor Movements'!C62+'CurrentPor-All Factor Movements'!H62)/100)+103/POWER(1+('CurrentPor-All Factor Movements'!D62+'CurrentPor-All Factor Movements'!H62)/100,2))*100</f>
        <v>9595.763545012318</v>
      </c>
      <c r="E62">
        <f>(3/(1+('CurrentPor-All Factor Movements'!C62+'CurrentPor-All Factor Movements'!I62)/100)+103/POWER(1+('CurrentPor-All Factor Movements'!D62+'CurrentPor-All Factor Movements'!I62)/100,2))*100</f>
        <v>9583.254561164289</v>
      </c>
      <c r="F62">
        <f>Portfolio!B$5*'CurrentPor-All Factor Movements'!E62</f>
        <v>52308.450110020727</v>
      </c>
      <c r="G62">
        <f>Portfolio!B$6*'CurrentPor-All Factor Movements'!F62</f>
        <v>3764.2189771669441</v>
      </c>
      <c r="H62">
        <f>Portfolio!B$7*'CurrentPor-All Factor Movements'!J62</f>
        <v>2064.4009638854195</v>
      </c>
      <c r="I62">
        <f t="shared" si="0"/>
        <v>96663.75976116526</v>
      </c>
      <c r="J62">
        <f t="shared" si="1"/>
        <v>-172.10761836999154</v>
      </c>
    </row>
    <row r="63" spans="1:10">
      <c r="A63" s="1">
        <v>45558</v>
      </c>
      <c r="B63">
        <f>(3/(1+('CurrentPor-All Factor Movements'!C63)/100)+103/POWER(1+('CurrentPor-All Factor Movements'!D63)/100,2))*100</f>
        <v>9705.5584843202196</v>
      </c>
      <c r="C63">
        <f>(3/(1+('CurrentPor-All Factor Movements'!C63+'CurrentPor-All Factor Movements'!G63)/100)+103/POWER(1+('CurrentPor-All Factor Movements'!D63+'CurrentPor-All Factor Movements'!G63)/100,2))*100</f>
        <v>9640.0620239003911</v>
      </c>
      <c r="D63">
        <f>(3/(1+('CurrentPor-All Factor Movements'!C63+'CurrentPor-All Factor Movements'!H63)/100)+103/POWER(1+('CurrentPor-All Factor Movements'!D63+'CurrentPor-All Factor Movements'!H63)/100,2))*100</f>
        <v>9604.8143716947416</v>
      </c>
      <c r="E63">
        <f>(3/(1+('CurrentPor-All Factor Movements'!C63+'CurrentPor-All Factor Movements'!I63)/100)+103/POWER(1+('CurrentPor-All Factor Movements'!D63+'CurrentPor-All Factor Movements'!I63)/100,2))*100</f>
        <v>9577.4891880260475</v>
      </c>
      <c r="F63">
        <f>Portfolio!B$5*'CurrentPor-All Factor Movements'!E63</f>
        <v>52125.428840619235</v>
      </c>
      <c r="G63">
        <f>Portfolio!B$6*'CurrentPor-All Factor Movements'!F63</f>
        <v>3757.8064240665603</v>
      </c>
      <c r="H63">
        <f>Portfolio!B$7*'CurrentPor-All Factor Movements'!J63</f>
        <v>2064.3870038489517</v>
      </c>
      <c r="I63">
        <f t="shared" si="0"/>
        <v>96475.546336476138</v>
      </c>
      <c r="J63">
        <f t="shared" si="1"/>
        <v>-598.11827052950684</v>
      </c>
    </row>
    <row r="64" spans="1:10">
      <c r="A64" s="1">
        <v>45559</v>
      </c>
      <c r="B64">
        <f>(3/(1+('CurrentPor-All Factor Movements'!C64)/100)+103/POWER(1+('CurrentPor-All Factor Movements'!D64)/100,2))*100</f>
        <v>9706.8456922385303</v>
      </c>
      <c r="C64">
        <f>(3/(1+('CurrentPor-All Factor Movements'!C64+'CurrentPor-All Factor Movements'!G64)/100)+103/POWER(1+('CurrentPor-All Factor Movements'!D64+'CurrentPor-All Factor Movements'!G64)/100,2))*100</f>
        <v>9643.1467510623697</v>
      </c>
      <c r="D64">
        <f>(3/(1+('CurrentPor-All Factor Movements'!C64+'CurrentPor-All Factor Movements'!H64)/100)+103/POWER(1+('CurrentPor-All Factor Movements'!D64+'CurrentPor-All Factor Movements'!H64)/100,2))*100</f>
        <v>9614.1666063717294</v>
      </c>
      <c r="E64">
        <f>(3/(1+('CurrentPor-All Factor Movements'!C64+'CurrentPor-All Factor Movements'!I64)/100)+103/POWER(1+('CurrentPor-All Factor Movements'!D64+'CurrentPor-All Factor Movements'!I64)/100,2))*100</f>
        <v>9580.5151492207006</v>
      </c>
      <c r="F64">
        <f>Portfolio!B$5*'CurrentPor-All Factor Movements'!E64</f>
        <v>52620.520880867341</v>
      </c>
      <c r="G64">
        <f>Portfolio!B$6*'CurrentPor-All Factor Movements'!F64</f>
        <v>4107.658540985226</v>
      </c>
      <c r="H64">
        <f>Portfolio!B$7*'CurrentPor-All Factor Movements'!J64</f>
        <v>2064.3922229463315</v>
      </c>
      <c r="I64">
        <f t="shared" si="0"/>
        <v>97337.245843692232</v>
      </c>
      <c r="J64">
        <f t="shared" si="1"/>
        <v>352.49882006326516</v>
      </c>
    </row>
    <row r="65" spans="1:10">
      <c r="A65" s="1">
        <v>45560</v>
      </c>
      <c r="B65">
        <f>(3/(1+('CurrentPor-All Factor Movements'!C65)/100)+103/POWER(1+('CurrentPor-All Factor Movements'!D65)/100,2))*100</f>
        <v>9706.2394948958954</v>
      </c>
      <c r="C65">
        <f>(3/(1+('CurrentPor-All Factor Movements'!C65+'CurrentPor-All Factor Movements'!G65)/100)+103/POWER(1+('CurrentPor-All Factor Movements'!D65+'CurrentPor-All Factor Movements'!G65)/100,2))*100</f>
        <v>9638.9261139107639</v>
      </c>
      <c r="D65">
        <f>(3/(1+('CurrentPor-All Factor Movements'!C65+'CurrentPor-All Factor Movements'!H65)/100)+103/POWER(1+('CurrentPor-All Factor Movements'!D65+'CurrentPor-All Factor Movements'!H65)/100,2))*100</f>
        <v>9606.373229411698</v>
      </c>
      <c r="E65">
        <f>(3/(1+('CurrentPor-All Factor Movements'!C65+'CurrentPor-All Factor Movements'!I65)/100)+103/POWER(1+('CurrentPor-All Factor Movements'!D65+'CurrentPor-All Factor Movements'!I65)/100,2))*100</f>
        <v>9580.6240849623609</v>
      </c>
      <c r="F65">
        <f>Portfolio!B$5*'CurrentPor-All Factor Movements'!E65</f>
        <v>52370.735317105151</v>
      </c>
      <c r="G65">
        <f>Portfolio!B$6*'CurrentPor-All Factor Movements'!F65</f>
        <v>3915.6882348825939</v>
      </c>
      <c r="H65">
        <f>Portfolio!B$7*'CurrentPor-All Factor Movements'!J65</f>
        <v>2064.4068414850276</v>
      </c>
      <c r="I65">
        <f t="shared" si="0"/>
        <v>96882.99331665349</v>
      </c>
      <c r="J65">
        <f t="shared" si="1"/>
        <v>91.471419829787919</v>
      </c>
    </row>
    <row r="66" spans="1:10">
      <c r="A66" s="1">
        <v>45561</v>
      </c>
      <c r="B66">
        <f>(3/(1+('CurrentPor-All Factor Movements'!C66)/100)+103/POWER(1+('CurrentPor-All Factor Movements'!D66)/100,2))*100</f>
        <v>9707.4653135457174</v>
      </c>
      <c r="C66">
        <f>(3/(1+('CurrentPor-All Factor Movements'!C66+'CurrentPor-All Factor Movements'!G66)/100)+103/POWER(1+('CurrentPor-All Factor Movements'!D66+'CurrentPor-All Factor Movements'!G66)/100,2))*100</f>
        <v>9638.329276012917</v>
      </c>
      <c r="D66">
        <f>(3/(1+('CurrentPor-All Factor Movements'!C66+'CurrentPor-All Factor Movements'!H66)/100)+103/POWER(1+('CurrentPor-All Factor Movements'!D66+'CurrentPor-All Factor Movements'!H66)/100,2))*100</f>
        <v>9610.4141730071478</v>
      </c>
      <c r="E66">
        <f>(3/(1+('CurrentPor-All Factor Movements'!C66+'CurrentPor-All Factor Movements'!I66)/100)+103/POWER(1+('CurrentPor-All Factor Movements'!D66+'CurrentPor-All Factor Movements'!I66)/100,2))*100</f>
        <v>9581.2344928897091</v>
      </c>
      <c r="F66">
        <f>Portfolio!B$5*'CurrentPor-All Factor Movements'!E66</f>
        <v>52567.794700102742</v>
      </c>
      <c r="G66">
        <f>Portfolio!B$6*'CurrentPor-All Factor Movements'!F66</f>
        <v>3850.6248095369274</v>
      </c>
      <c r="H66">
        <f>Portfolio!B$7*'CurrentPor-All Factor Movements'!J66</f>
        <v>2064.4055076078025</v>
      </c>
      <c r="I66">
        <f t="shared" si="0"/>
        <v>97020.268272702961</v>
      </c>
      <c r="J66">
        <f t="shared" si="1"/>
        <v>444.29992768140801</v>
      </c>
    </row>
    <row r="67" spans="1:10">
      <c r="A67" s="1">
        <v>45562</v>
      </c>
      <c r="B67">
        <f>(3/(1+('CurrentPor-All Factor Movements'!C67)/100)+103/POWER(1+('CurrentPor-All Factor Movements'!D67)/100,2))*100</f>
        <v>9707.5577455509574</v>
      </c>
      <c r="C67">
        <f>(3/(1+('CurrentPor-All Factor Movements'!C67+'CurrentPor-All Factor Movements'!G67)/100)+103/POWER(1+('CurrentPor-All Factor Movements'!D67+'CurrentPor-All Factor Movements'!G67)/100,2))*100</f>
        <v>9636.6114005706404</v>
      </c>
      <c r="D67">
        <f>(3/(1+('CurrentPor-All Factor Movements'!C67+'CurrentPor-All Factor Movements'!H67)/100)+103/POWER(1+('CurrentPor-All Factor Movements'!D67+'CurrentPor-All Factor Movements'!H67)/100,2))*100</f>
        <v>9597.3269328895622</v>
      </c>
      <c r="E67">
        <f>(3/(1+('CurrentPor-All Factor Movements'!C67+'CurrentPor-All Factor Movements'!I67)/100)+103/POWER(1+('CurrentPor-All Factor Movements'!D67+'CurrentPor-All Factor Movements'!I67)/100,2))*100</f>
        <v>9581.0509785308204</v>
      </c>
      <c r="F67">
        <f>Portfolio!B$5*'CurrentPor-All Factor Movements'!E67</f>
        <v>52373.723758741813</v>
      </c>
      <c r="G67">
        <f>Portfolio!B$6*'CurrentPor-All Factor Movements'!F67</f>
        <v>4104.8914534890027</v>
      </c>
      <c r="H67">
        <f>Portfolio!B$7*'CurrentPor-All Factor Movements'!J67</f>
        <v>2064.3987379215932</v>
      </c>
      <c r="I67">
        <f t="shared" si="0"/>
        <v>97065.561007694399</v>
      </c>
      <c r="J67">
        <f t="shared" si="1"/>
        <v>572.07758674053184</v>
      </c>
    </row>
    <row r="68" spans="1:10">
      <c r="A68" s="1">
        <v>45565</v>
      </c>
      <c r="B68">
        <f>(3/(1+('CurrentPor-All Factor Movements'!C68)/100)+103/POWER(1+('CurrentPor-All Factor Movements'!D68)/100,2))*100</f>
        <v>9706.4246219968263</v>
      </c>
      <c r="C68">
        <f>(3/(1+('CurrentPor-All Factor Movements'!C68+'CurrentPor-All Factor Movements'!G68)/100)+103/POWER(1+('CurrentPor-All Factor Movements'!D68+'CurrentPor-All Factor Movements'!G68)/100,2))*100</f>
        <v>9631.8743547922095</v>
      </c>
      <c r="D68">
        <f>(3/(1+('CurrentPor-All Factor Movements'!C68+'CurrentPor-All Factor Movements'!H68)/100)+103/POWER(1+('CurrentPor-All Factor Movements'!D68+'CurrentPor-All Factor Movements'!H68)/100,2))*100</f>
        <v>9593.6374167676986</v>
      </c>
      <c r="E68">
        <f>(3/(1+('CurrentPor-All Factor Movements'!C68+'CurrentPor-All Factor Movements'!I68)/100)+103/POWER(1+('CurrentPor-All Factor Movements'!D68+'CurrentPor-All Factor Movements'!I68)/100,2))*100</f>
        <v>9579.049491958498</v>
      </c>
      <c r="F68">
        <f>Portfolio!B$5*'CurrentPor-All Factor Movements'!E68</f>
        <v>52415.058145676529</v>
      </c>
      <c r="G68">
        <f>Portfolio!B$6*'CurrentPor-All Factor Movements'!F68</f>
        <v>4019.0107503835707</v>
      </c>
      <c r="H68">
        <f>Portfolio!B$7*'CurrentPor-All Factor Movements'!J68</f>
        <v>2064.3996631982095</v>
      </c>
      <c r="I68">
        <f t="shared" ref="I68:I131" si="2">SUM(B68:H68)</f>
        <v>97009.454444773553</v>
      </c>
      <c r="J68">
        <f t="shared" si="1"/>
        <v>593.97509303769039</v>
      </c>
    </row>
    <row r="69" spans="1:10">
      <c r="A69" s="1">
        <v>45566</v>
      </c>
      <c r="B69">
        <f>(3/(1+('CurrentPor-All Factor Movements'!C69)/100)+103/POWER(1+('CurrentPor-All Factor Movements'!D69)/100,2))*100</f>
        <v>9706.661569775988</v>
      </c>
      <c r="C69">
        <f>(3/(1+('CurrentPor-All Factor Movements'!C69+'CurrentPor-All Factor Movements'!G69)/100)+103/POWER(1+('CurrentPor-All Factor Movements'!D69+'CurrentPor-All Factor Movements'!G69)/100,2))*100</f>
        <v>9633.9165823835992</v>
      </c>
      <c r="D69">
        <f>(3/(1+('CurrentPor-All Factor Movements'!C69+'CurrentPor-All Factor Movements'!H69)/100)+103/POWER(1+('CurrentPor-All Factor Movements'!D69+'CurrentPor-All Factor Movements'!H69)/100,2))*100</f>
        <v>9595.8766136787344</v>
      </c>
      <c r="E69">
        <f>(3/(1+('CurrentPor-All Factor Movements'!C69+'CurrentPor-All Factor Movements'!I69)/100)+103/POWER(1+('CurrentPor-All Factor Movements'!D69+'CurrentPor-All Factor Movements'!I69)/100,2))*100</f>
        <v>9580.1471269667254</v>
      </c>
      <c r="F69">
        <f>Portfolio!B$5*'CurrentPor-All Factor Movements'!E69</f>
        <v>52148.429124777103</v>
      </c>
      <c r="G69">
        <f>Portfolio!B$6*'CurrentPor-All Factor Movements'!F69</f>
        <v>3764.2793540385428</v>
      </c>
      <c r="H69">
        <f>Portfolio!B$7*'CurrentPor-All Factor Movements'!J69</f>
        <v>2064.4030681102613</v>
      </c>
      <c r="I69">
        <f t="shared" si="2"/>
        <v>96493.713439730956</v>
      </c>
      <c r="J69">
        <f t="shared" si="1"/>
        <v>-179.60367035857053</v>
      </c>
    </row>
    <row r="70" spans="1:10">
      <c r="A70" s="1">
        <v>45567</v>
      </c>
      <c r="B70">
        <f>(3/(1+('CurrentPor-All Factor Movements'!C70)/100)+103/POWER(1+('CurrentPor-All Factor Movements'!D70)/100,2))*100</f>
        <v>9707.7810777160594</v>
      </c>
      <c r="C70">
        <f>(3/(1+('CurrentPor-All Factor Movements'!C70+'CurrentPor-All Factor Movements'!G70)/100)+103/POWER(1+('CurrentPor-All Factor Movements'!D70+'CurrentPor-All Factor Movements'!G70)/100,2))*100</f>
        <v>9635.0234044203407</v>
      </c>
      <c r="D70">
        <f>(3/(1+('CurrentPor-All Factor Movements'!C70+'CurrentPor-All Factor Movements'!H70)/100)+103/POWER(1+('CurrentPor-All Factor Movements'!D70+'CurrentPor-All Factor Movements'!H70)/100,2))*100</f>
        <v>9606.2261598253008</v>
      </c>
      <c r="E70">
        <f>(3/(1+('CurrentPor-All Factor Movements'!C70+'CurrentPor-All Factor Movements'!I70)/100)+103/POWER(1+('CurrentPor-All Factor Movements'!D70+'CurrentPor-All Factor Movements'!I70)/100,2))*100</f>
        <v>9580.5500131464305</v>
      </c>
      <c r="F70">
        <f>Portfolio!B$5*'CurrentPor-All Factor Movements'!E70</f>
        <v>52373.622978310232</v>
      </c>
      <c r="G70">
        <f>Portfolio!B$6*'CurrentPor-All Factor Movements'!F70</f>
        <v>3980.1205337959941</v>
      </c>
      <c r="H70">
        <f>Portfolio!B$7*'CurrentPor-All Factor Movements'!J70</f>
        <v>2064.4035631797342</v>
      </c>
      <c r="I70">
        <f t="shared" si="2"/>
        <v>96947.727730394094</v>
      </c>
      <c r="J70">
        <f t="shared" si="1"/>
        <v>-15.432401138110436</v>
      </c>
    </row>
    <row r="71" spans="1:10">
      <c r="A71" s="1">
        <v>45568</v>
      </c>
      <c r="B71">
        <f>(3/(1+('CurrentPor-All Factor Movements'!C71)/100)+103/POWER(1+('CurrentPor-All Factor Movements'!D71)/100,2))*100</f>
        <v>9707.3700557371212</v>
      </c>
      <c r="C71">
        <f>(3/(1+('CurrentPor-All Factor Movements'!C71+'CurrentPor-All Factor Movements'!G71)/100)+103/POWER(1+('CurrentPor-All Factor Movements'!D71+'CurrentPor-All Factor Movements'!G71)/100,2))*100</f>
        <v>9634.6170400960873</v>
      </c>
      <c r="D71">
        <f>(3/(1+('CurrentPor-All Factor Movements'!C71+'CurrentPor-All Factor Movements'!H71)/100)+103/POWER(1+('CurrentPor-All Factor Movements'!D71+'CurrentPor-All Factor Movements'!H71)/100,2))*100</f>
        <v>9585.2727588503476</v>
      </c>
      <c r="E71">
        <f>(3/(1+('CurrentPor-All Factor Movements'!C71+'CurrentPor-All Factor Movements'!I71)/100)+103/POWER(1+('CurrentPor-All Factor Movements'!D71+'CurrentPor-All Factor Movements'!I71)/100,2))*100</f>
        <v>9581.2149949303603</v>
      </c>
      <c r="F71">
        <f>Portfolio!B$5*'CurrentPor-All Factor Movements'!E71</f>
        <v>52534.018492684911</v>
      </c>
      <c r="G71">
        <f>Portfolio!B$6*'CurrentPor-All Factor Movements'!F71</f>
        <v>4010.403684684708</v>
      </c>
      <c r="H71">
        <f>Portfolio!B$7*'CurrentPor-All Factor Movements'!J71</f>
        <v>2064.3935563352966</v>
      </c>
      <c r="I71">
        <f t="shared" si="2"/>
        <v>97117.290583318842</v>
      </c>
      <c r="J71">
        <f t="shared" si="1"/>
        <v>497.41565730539151</v>
      </c>
    </row>
    <row r="72" spans="1:10">
      <c r="A72" s="1">
        <v>45569</v>
      </c>
      <c r="B72">
        <f>(3/(1+('CurrentPor-All Factor Movements'!C72)/100)+103/POWER(1+('CurrentPor-All Factor Movements'!D72)/100,2))*100</f>
        <v>9707.6634975854067</v>
      </c>
      <c r="C72">
        <f>(3/(1+('CurrentPor-All Factor Movements'!C72+'CurrentPor-All Factor Movements'!G72)/100)+103/POWER(1+('CurrentPor-All Factor Movements'!D72+'CurrentPor-All Factor Movements'!G72)/100,2))*100</f>
        <v>9631.2910448870189</v>
      </c>
      <c r="D72">
        <f>(3/(1+('CurrentPor-All Factor Movements'!C72+'CurrentPor-All Factor Movements'!H72)/100)+103/POWER(1+('CurrentPor-All Factor Movements'!D72+'CurrentPor-All Factor Movements'!H72)/100,2))*100</f>
        <v>9597.9169385143196</v>
      </c>
      <c r="E72">
        <f>(3/(1+('CurrentPor-All Factor Movements'!C72+'CurrentPor-All Factor Movements'!I72)/100)+103/POWER(1+('CurrentPor-All Factor Movements'!D72+'CurrentPor-All Factor Movements'!I72)/100,2))*100</f>
        <v>9582.1475805816681</v>
      </c>
      <c r="F72">
        <f>Portfolio!B$5*'CurrentPor-All Factor Movements'!E72</f>
        <v>52401.21215459724</v>
      </c>
      <c r="G72">
        <f>Portfolio!B$6*'CurrentPor-All Factor Movements'!F72</f>
        <v>4068.1437238657822</v>
      </c>
      <c r="H72">
        <f>Portfolio!B$7*'CurrentPor-All Factor Movements'!J72</f>
        <v>2064.4016396232923</v>
      </c>
      <c r="I72">
        <f t="shared" si="2"/>
        <v>97052.776579654717</v>
      </c>
      <c r="J72">
        <f t="shared" si="1"/>
        <v>389.01681848945736</v>
      </c>
    </row>
    <row r="73" spans="1:10">
      <c r="A73" s="1">
        <v>45572</v>
      </c>
      <c r="B73">
        <f>(3/(1+('CurrentPor-All Factor Movements'!C73)/100)+103/POWER(1+('CurrentPor-All Factor Movements'!D73)/100,2))*100</f>
        <v>9706.4460412775588</v>
      </c>
      <c r="C73">
        <f>(3/(1+('CurrentPor-All Factor Movements'!C73+'CurrentPor-All Factor Movements'!G73)/100)+103/POWER(1+('CurrentPor-All Factor Movements'!D73+'CurrentPor-All Factor Movements'!G73)/100,2))*100</f>
        <v>9628.2811255761026</v>
      </c>
      <c r="D73">
        <f>(3/(1+('CurrentPor-All Factor Movements'!C73+'CurrentPor-All Factor Movements'!H73)/100)+103/POWER(1+('CurrentPor-All Factor Movements'!D73+'CurrentPor-All Factor Movements'!H73)/100,2))*100</f>
        <v>9612.1415853073031</v>
      </c>
      <c r="E73">
        <f>(3/(1+('CurrentPor-All Factor Movements'!C73+'CurrentPor-All Factor Movements'!I73)/100)+103/POWER(1+('CurrentPor-All Factor Movements'!D73+'CurrentPor-All Factor Movements'!I73)/100,2))*100</f>
        <v>9579.4595497469309</v>
      </c>
      <c r="F73">
        <f>Portfolio!B$5*'CurrentPor-All Factor Movements'!E73</f>
        <v>52303.94464623752</v>
      </c>
      <c r="G73">
        <f>Portfolio!B$6*'CurrentPor-All Factor Movements'!F73</f>
        <v>4045.1407912892273</v>
      </c>
      <c r="H73">
        <f>Portfolio!B$7*'CurrentPor-All Factor Movements'!J73</f>
        <v>2064.4039858381548</v>
      </c>
      <c r="I73">
        <f t="shared" si="2"/>
        <v>96939.817725272806</v>
      </c>
      <c r="J73">
        <f t="shared" si="1"/>
        <v>464.27138879666745</v>
      </c>
    </row>
    <row r="74" spans="1:10">
      <c r="A74" s="1">
        <v>45573</v>
      </c>
      <c r="B74">
        <f>(3/(1+('CurrentPor-All Factor Movements'!C74)/100)+103/POWER(1+('CurrentPor-All Factor Movements'!D74)/100,2))*100</f>
        <v>9707.344809707125</v>
      </c>
      <c r="C74">
        <f>(3/(1+('CurrentPor-All Factor Movements'!C74+'CurrentPor-All Factor Movements'!G74)/100)+103/POWER(1+('CurrentPor-All Factor Movements'!D74+'CurrentPor-All Factor Movements'!G74)/100,2))*100</f>
        <v>9636.4008177990236</v>
      </c>
      <c r="D74">
        <f>(3/(1+('CurrentPor-All Factor Movements'!C74+'CurrentPor-All Factor Movements'!H74)/100)+103/POWER(1+('CurrentPor-All Factor Movements'!D74+'CurrentPor-All Factor Movements'!H74)/100,2))*100</f>
        <v>9584.9754573937444</v>
      </c>
      <c r="E74">
        <f>(3/(1+('CurrentPor-All Factor Movements'!C74+'CurrentPor-All Factor Movements'!I74)/100)+103/POWER(1+('CurrentPor-All Factor Movements'!D74+'CurrentPor-All Factor Movements'!I74)/100,2))*100</f>
        <v>9582.1056510340604</v>
      </c>
      <c r="F74">
        <f>Portfolio!B$5*'CurrentPor-All Factor Movements'!E74</f>
        <v>52078.089743474615</v>
      </c>
      <c r="G74">
        <f>Portfolio!B$6*'CurrentPor-All Factor Movements'!F74</f>
        <v>3584.7037306941429</v>
      </c>
      <c r="H74">
        <f>Portfolio!B$7*'CurrentPor-All Factor Movements'!J74</f>
        <v>2064.3920234427815</v>
      </c>
      <c r="I74">
        <f t="shared" si="2"/>
        <v>96238.012233545494</v>
      </c>
      <c r="J74">
        <f t="shared" si="1"/>
        <v>-1099.2336101467372</v>
      </c>
    </row>
    <row r="75" spans="1:10">
      <c r="A75" s="1">
        <v>45574</v>
      </c>
      <c r="B75">
        <f>(3/(1+('CurrentPor-All Factor Movements'!C75)/100)+103/POWER(1+('CurrentPor-All Factor Movements'!D75)/100,2))*100</f>
        <v>9706.5550796160533</v>
      </c>
      <c r="C75">
        <f>(3/(1+('CurrentPor-All Factor Movements'!C75+'CurrentPor-All Factor Movements'!G75)/100)+103/POWER(1+('CurrentPor-All Factor Movements'!D75+'CurrentPor-All Factor Movements'!G75)/100,2))*100</f>
        <v>9639.2383889921384</v>
      </c>
      <c r="D75">
        <f>(3/(1+('CurrentPor-All Factor Movements'!C75+'CurrentPor-All Factor Movements'!H75)/100)+103/POWER(1+('CurrentPor-All Factor Movements'!D75+'CurrentPor-All Factor Movements'!H75)/100,2))*100</f>
        <v>9588.7657392558303</v>
      </c>
      <c r="E75">
        <f>(3/(1+('CurrentPor-All Factor Movements'!C75+'CurrentPor-All Factor Movements'!I75)/100)+103/POWER(1+('CurrentPor-All Factor Movements'!D75+'CurrentPor-All Factor Movements'!I75)/100,2))*100</f>
        <v>9579.7744732871924</v>
      </c>
      <c r="F75">
        <f>Portfolio!B$5*'CurrentPor-All Factor Movements'!E75</f>
        <v>52165.040621568027</v>
      </c>
      <c r="G75">
        <f>Portfolio!B$6*'CurrentPor-All Factor Movements'!F75</f>
        <v>3516.7108353312456</v>
      </c>
      <c r="H75">
        <f>Portfolio!B$7*'CurrentPor-All Factor Movements'!J75</f>
        <v>2064.3945716985304</v>
      </c>
      <c r="I75">
        <f t="shared" si="2"/>
        <v>96260.479709749037</v>
      </c>
      <c r="J75">
        <f t="shared" si="1"/>
        <v>-622.5136069044529</v>
      </c>
    </row>
    <row r="76" spans="1:10">
      <c r="A76" s="1">
        <v>45575</v>
      </c>
      <c r="B76">
        <f>(3/(1+('CurrentPor-All Factor Movements'!C76)/100)+103/POWER(1+('CurrentPor-All Factor Movements'!D76)/100,2))*100</f>
        <v>9706.2284402844944</v>
      </c>
      <c r="C76">
        <f>(3/(1+('CurrentPor-All Factor Movements'!C76+'CurrentPor-All Factor Movements'!G76)/100)+103/POWER(1+('CurrentPor-All Factor Movements'!D76+'CurrentPor-All Factor Movements'!G76)/100,2))*100</f>
        <v>9640.7251425949435</v>
      </c>
      <c r="D76">
        <f>(3/(1+('CurrentPor-All Factor Movements'!C76+'CurrentPor-All Factor Movements'!H76)/100)+103/POWER(1+('CurrentPor-All Factor Movements'!D76+'CurrentPor-All Factor Movements'!H76)/100,2))*100</f>
        <v>9590.2435588804619</v>
      </c>
      <c r="E76">
        <f>(3/(1+('CurrentPor-All Factor Movements'!C76+'CurrentPor-All Factor Movements'!I76)/100)+103/POWER(1+('CurrentPor-All Factor Movements'!D76+'CurrentPor-All Factor Movements'!I76)/100,2))*100</f>
        <v>9579.1594887333977</v>
      </c>
      <c r="F76">
        <f>Portfolio!B$5*'CurrentPor-All Factor Movements'!E76</f>
        <v>52248.276815376252</v>
      </c>
      <c r="G76">
        <f>Portfolio!B$6*'CurrentPor-All Factor Movements'!F76</f>
        <v>3884.9298133862335</v>
      </c>
      <c r="H76">
        <f>Portfolio!B$7*'CurrentPor-All Factor Movements'!J76</f>
        <v>2064.4060339350531</v>
      </c>
      <c r="I76">
        <f t="shared" si="2"/>
        <v>96713.969293190836</v>
      </c>
      <c r="J76">
        <f t="shared" si="1"/>
        <v>-306.29897951212479</v>
      </c>
    </row>
    <row r="77" spans="1:10">
      <c r="A77" s="1">
        <v>45576</v>
      </c>
      <c r="B77">
        <f>(3/(1+('CurrentPor-All Factor Movements'!C77)/100)+103/POWER(1+('CurrentPor-All Factor Movements'!D77)/100,2))*100</f>
        <v>9707.9972737555672</v>
      </c>
      <c r="C77">
        <f>(3/(1+('CurrentPor-All Factor Movements'!C77+'CurrentPor-All Factor Movements'!G77)/100)+103/POWER(1+('CurrentPor-All Factor Movements'!D77+'CurrentPor-All Factor Movements'!G77)/100,2))*100</f>
        <v>9642.475922997186</v>
      </c>
      <c r="D77">
        <f>(3/(1+('CurrentPor-All Factor Movements'!C77+'CurrentPor-All Factor Movements'!H77)/100)+103/POWER(1+('CurrentPor-All Factor Movements'!D77+'CurrentPor-All Factor Movements'!H77)/100,2))*100</f>
        <v>9597.74362610139</v>
      </c>
      <c r="E77">
        <f>(3/(1+('CurrentPor-All Factor Movements'!C77+'CurrentPor-All Factor Movements'!I77)/100)+103/POWER(1+('CurrentPor-All Factor Movements'!D77+'CurrentPor-All Factor Movements'!I77)/100,2))*100</f>
        <v>9582.7991751961144</v>
      </c>
      <c r="F77">
        <f>Portfolio!B$5*'CurrentPor-All Factor Movements'!E77</f>
        <v>52089.588504040737</v>
      </c>
      <c r="G77">
        <f>Portfolio!B$6*'CurrentPor-All Factor Movements'!F77</f>
        <v>4082.9967992289858</v>
      </c>
      <c r="H77">
        <f>Portfolio!B$7*'CurrentPor-All Factor Movements'!J77</f>
        <v>2064.4022196267933</v>
      </c>
      <c r="I77">
        <f t="shared" si="2"/>
        <v>96768.003520946775</v>
      </c>
      <c r="J77">
        <f t="shared" si="1"/>
        <v>-297.55748674762435</v>
      </c>
    </row>
    <row r="78" spans="1:10">
      <c r="A78" s="1">
        <v>45579</v>
      </c>
      <c r="B78">
        <f>(3/(1+('CurrentPor-All Factor Movements'!C78)/100)+103/POWER(1+('CurrentPor-All Factor Movements'!D78)/100,2))*100</f>
        <v>9705.7105998198749</v>
      </c>
      <c r="C78">
        <f>(3/(1+('CurrentPor-All Factor Movements'!C78+'CurrentPor-All Factor Movements'!G78)/100)+103/POWER(1+('CurrentPor-All Factor Movements'!D78+'CurrentPor-All Factor Movements'!G78)/100,2))*100</f>
        <v>9640.2125869985375</v>
      </c>
      <c r="D78">
        <f>(3/(1+('CurrentPor-All Factor Movements'!C78+'CurrentPor-All Factor Movements'!H78)/100)+103/POWER(1+('CurrentPor-All Factor Movements'!D78+'CurrentPor-All Factor Movements'!H78)/100,2))*100</f>
        <v>9605.9283154063814</v>
      </c>
      <c r="E78">
        <f>(3/(1+('CurrentPor-All Factor Movements'!C78+'CurrentPor-All Factor Movements'!I78)/100)+103/POWER(1+('CurrentPor-All Factor Movements'!D78+'CurrentPor-All Factor Movements'!I78)/100,2))*100</f>
        <v>9577.5194722053911</v>
      </c>
      <c r="F78">
        <f>Portfolio!B$5*'CurrentPor-All Factor Movements'!E78</f>
        <v>52593.597347749252</v>
      </c>
      <c r="G78">
        <f>Portfolio!B$6*'CurrentPor-All Factor Movements'!F78</f>
        <v>4074.2954633723757</v>
      </c>
      <c r="H78">
        <f>Portfolio!B$7*'CurrentPor-All Factor Movements'!J78</f>
        <v>2064.3951727837352</v>
      </c>
      <c r="I78">
        <f t="shared" si="2"/>
        <v>97261.658958335553</v>
      </c>
      <c r="J78">
        <f t="shared" ref="J78:J141" si="3">I78-I68</f>
        <v>252.20451356199919</v>
      </c>
    </row>
    <row r="79" spans="1:10">
      <c r="A79" s="1">
        <v>45580</v>
      </c>
      <c r="B79">
        <f>(3/(1+('CurrentPor-All Factor Movements'!C79)/100)+103/POWER(1+('CurrentPor-All Factor Movements'!D79)/100,2))*100</f>
        <v>9707.6626028582214</v>
      </c>
      <c r="C79">
        <f>(3/(1+('CurrentPor-All Factor Movements'!C79+'CurrentPor-All Factor Movements'!G79)/100)+103/POWER(1+('CurrentPor-All Factor Movements'!D79+'CurrentPor-All Factor Movements'!G79)/100,2))*100</f>
        <v>9642.1446679458859</v>
      </c>
      <c r="D79">
        <f>(3/(1+('CurrentPor-All Factor Movements'!C79+'CurrentPor-All Factor Movements'!H79)/100)+103/POWER(1+('CurrentPor-All Factor Movements'!D79+'CurrentPor-All Factor Movements'!H79)/100,2))*100</f>
        <v>9621.0574376503664</v>
      </c>
      <c r="E79">
        <f>(3/(1+('CurrentPor-All Factor Movements'!C79+'CurrentPor-All Factor Movements'!I79)/100)+103/POWER(1+('CurrentPor-All Factor Movements'!D79+'CurrentPor-All Factor Movements'!I79)/100,2))*100</f>
        <v>9580.0779510249849</v>
      </c>
      <c r="F79">
        <f>Portfolio!B$5*'CurrentPor-All Factor Movements'!E79</f>
        <v>52222.394295245089</v>
      </c>
      <c r="G79">
        <f>Portfolio!B$6*'CurrentPor-All Factor Movements'!F79</f>
        <v>3667.3729324734977</v>
      </c>
      <c r="H79">
        <f>Portfolio!B$7*'CurrentPor-All Factor Movements'!J79</f>
        <v>2064.4024812796888</v>
      </c>
      <c r="I79">
        <f t="shared" si="2"/>
        <v>96505.112368477727</v>
      </c>
      <c r="J79">
        <f t="shared" si="3"/>
        <v>11.398928746770252</v>
      </c>
    </row>
    <row r="80" spans="1:10">
      <c r="A80" s="1">
        <v>45581</v>
      </c>
      <c r="B80">
        <f>(3/(1+('CurrentPor-All Factor Movements'!C80)/100)+103/POWER(1+('CurrentPor-All Factor Movements'!D80)/100,2))*100</f>
        <v>9707.4376257483418</v>
      </c>
      <c r="C80">
        <f>(3/(1+('CurrentPor-All Factor Movements'!C80+'CurrentPor-All Factor Movements'!G80)/100)+103/POWER(1+('CurrentPor-All Factor Movements'!D80+'CurrentPor-All Factor Movements'!G80)/100,2))*100</f>
        <v>9645.5441479519432</v>
      </c>
      <c r="D80">
        <f>(3/(1+('CurrentPor-All Factor Movements'!C80+'CurrentPor-All Factor Movements'!H80)/100)+103/POWER(1+('CurrentPor-All Factor Movements'!D80+'CurrentPor-All Factor Movements'!H80)/100,2))*100</f>
        <v>9601.0126524723109</v>
      </c>
      <c r="E80">
        <f>(3/(1+('CurrentPor-All Factor Movements'!C80+'CurrentPor-All Factor Movements'!I80)/100)+103/POWER(1+('CurrentPor-All Factor Movements'!D80+'CurrentPor-All Factor Movements'!I80)/100,2))*100</f>
        <v>9582.116019262312</v>
      </c>
      <c r="F80">
        <f>Portfolio!B$5*'CurrentPor-All Factor Movements'!E80</f>
        <v>52352.002485107849</v>
      </c>
      <c r="G80">
        <f>Portfolio!B$6*'CurrentPor-All Factor Movements'!F80</f>
        <v>4101.1450857868604</v>
      </c>
      <c r="H80">
        <f>Portfolio!B$7*'CurrentPor-All Factor Movements'!J80</f>
        <v>2064.406320895363</v>
      </c>
      <c r="I80">
        <f t="shared" si="2"/>
        <v>97053.664337224982</v>
      </c>
      <c r="J80">
        <f t="shared" si="3"/>
        <v>105.93660683088819</v>
      </c>
    </row>
    <row r="81" spans="1:10">
      <c r="A81" s="1">
        <v>45582</v>
      </c>
      <c r="B81">
        <f>(3/(1+('CurrentPor-All Factor Movements'!C81)/100)+103/POWER(1+('CurrentPor-All Factor Movements'!D81)/100,2))*100</f>
        <v>9708.5093651764291</v>
      </c>
      <c r="C81">
        <f>(3/(1+('CurrentPor-All Factor Movements'!C81+'CurrentPor-All Factor Movements'!G81)/100)+103/POWER(1+('CurrentPor-All Factor Movements'!D81+'CurrentPor-All Factor Movements'!G81)/100,2))*100</f>
        <v>9646.6055522915904</v>
      </c>
      <c r="D81">
        <f>(3/(1+('CurrentPor-All Factor Movements'!C81+'CurrentPor-All Factor Movements'!H81)/100)+103/POWER(1+('CurrentPor-All Factor Movements'!D81+'CurrentPor-All Factor Movements'!H81)/100,2))*100</f>
        <v>9588.2053122534744</v>
      </c>
      <c r="E81">
        <f>(3/(1+('CurrentPor-All Factor Movements'!C81+'CurrentPor-All Factor Movements'!I81)/100)+103/POWER(1+('CurrentPor-All Factor Movements'!D81+'CurrentPor-All Factor Movements'!I81)/100,2))*100</f>
        <v>9581.8437838320642</v>
      </c>
      <c r="F81">
        <f>Portfolio!B$5*'CurrentPor-All Factor Movements'!E81</f>
        <v>52267.863205164977</v>
      </c>
      <c r="G81">
        <f>Portfolio!B$6*'CurrentPor-All Factor Movements'!F81</f>
        <v>3923.1698459259378</v>
      </c>
      <c r="H81">
        <f>Portfolio!B$7*'CurrentPor-All Factor Movements'!J81</f>
        <v>2064.4027093819991</v>
      </c>
      <c r="I81">
        <f t="shared" si="2"/>
        <v>96780.599774026472</v>
      </c>
      <c r="J81">
        <f t="shared" si="3"/>
        <v>-336.69080929236952</v>
      </c>
    </row>
    <row r="82" spans="1:10">
      <c r="A82" s="1">
        <v>45583</v>
      </c>
      <c r="B82">
        <f>(3/(1+('CurrentPor-All Factor Movements'!C82)/100)+103/POWER(1+('CurrentPor-All Factor Movements'!D82)/100,2))*100</f>
        <v>9708.4709349838922</v>
      </c>
      <c r="C82">
        <f>(3/(1+('CurrentPor-All Factor Movements'!C82+'CurrentPor-All Factor Movements'!G82)/100)+103/POWER(1+('CurrentPor-All Factor Movements'!D82+'CurrentPor-All Factor Movements'!G82)/100,2))*100</f>
        <v>9641.1341509969861</v>
      </c>
      <c r="D82">
        <f>(3/(1+('CurrentPor-All Factor Movements'!C82+'CurrentPor-All Factor Movements'!H82)/100)+103/POWER(1+('CurrentPor-All Factor Movements'!D82+'CurrentPor-All Factor Movements'!H82)/100,2))*100</f>
        <v>9600.3363264734526</v>
      </c>
      <c r="E82">
        <f>(3/(1+('CurrentPor-All Factor Movements'!C82+'CurrentPor-All Factor Movements'!I82)/100)+103/POWER(1+('CurrentPor-All Factor Movements'!D82+'CurrentPor-All Factor Movements'!I82)/100,2))*100</f>
        <v>9581.228881017727</v>
      </c>
      <c r="F82">
        <f>Portfolio!B$5*'CurrentPor-All Factor Movements'!E82</f>
        <v>52132.948499339545</v>
      </c>
      <c r="G82">
        <f>Portfolio!B$6*'CurrentPor-All Factor Movements'!F82</f>
        <v>3417.310362951258</v>
      </c>
      <c r="H82">
        <f>Portfolio!B$7*'CurrentPor-All Factor Movements'!J82</f>
        <v>2064.4021091737432</v>
      </c>
      <c r="I82">
        <f t="shared" si="2"/>
        <v>96145.831264936613</v>
      </c>
      <c r="J82">
        <f t="shared" si="3"/>
        <v>-906.94531471810478</v>
      </c>
    </row>
    <row r="83" spans="1:10">
      <c r="A83" s="1">
        <v>45586</v>
      </c>
      <c r="B83">
        <f>(3/(1+('CurrentPor-All Factor Movements'!C83)/100)+103/POWER(1+('CurrentPor-All Factor Movements'!D83)/100,2))*100</f>
        <v>9706.8424014273551</v>
      </c>
      <c r="C83">
        <f>(3/(1+('CurrentPor-All Factor Movements'!C83+'CurrentPor-All Factor Movements'!G83)/100)+103/POWER(1+('CurrentPor-All Factor Movements'!D83+'CurrentPor-All Factor Movements'!G83)/100,2))*100</f>
        <v>9634.0953649590938</v>
      </c>
      <c r="D83">
        <f>(3/(1+('CurrentPor-All Factor Movements'!C83+'CurrentPor-All Factor Movements'!H83)/100)+103/POWER(1+('CurrentPor-All Factor Movements'!D83+'CurrentPor-All Factor Movements'!H83)/100,2))*100</f>
        <v>9610.9248989962052</v>
      </c>
      <c r="E83">
        <f>(3/(1+('CurrentPor-All Factor Movements'!C83+'CurrentPor-All Factor Movements'!I83)/100)+103/POWER(1+('CurrentPor-All Factor Movements'!D83+'CurrentPor-All Factor Movements'!I83)/100,2))*100</f>
        <v>9577.9059594079408</v>
      </c>
      <c r="F83">
        <f>Portfolio!B$5*'CurrentPor-All Factor Movements'!E83</f>
        <v>52336.036671364389</v>
      </c>
      <c r="G83">
        <f>Portfolio!B$6*'CurrentPor-All Factor Movements'!F83</f>
        <v>3563.9322231381157</v>
      </c>
      <c r="H83">
        <f>Portfolio!B$7*'CurrentPor-All Factor Movements'!J83</f>
        <v>2064.393607024052</v>
      </c>
      <c r="I83">
        <f t="shared" si="2"/>
        <v>96494.131126317137</v>
      </c>
      <c r="J83">
        <f t="shared" si="3"/>
        <v>-445.68659895566816</v>
      </c>
    </row>
    <row r="84" spans="1:10">
      <c r="A84" s="1">
        <v>45587</v>
      </c>
      <c r="B84">
        <f>(3/(1+('CurrentPor-All Factor Movements'!C84)/100)+103/POWER(1+('CurrentPor-All Factor Movements'!D84)/100,2))*100</f>
        <v>9706.7683248464346</v>
      </c>
      <c r="C84">
        <f>(3/(1+('CurrentPor-All Factor Movements'!C84+'CurrentPor-All Factor Movements'!G84)/100)+103/POWER(1+('CurrentPor-All Factor Movements'!D84+'CurrentPor-All Factor Movements'!G84)/100,2))*100</f>
        <v>9635.830703319949</v>
      </c>
      <c r="D84">
        <f>(3/(1+('CurrentPor-All Factor Movements'!C84+'CurrentPor-All Factor Movements'!H84)/100)+103/POWER(1+('CurrentPor-All Factor Movements'!D84+'CurrentPor-All Factor Movements'!H84)/100,2))*100</f>
        <v>9601.085768926343</v>
      </c>
      <c r="E84">
        <f>(3/(1+('CurrentPor-All Factor Movements'!C84+'CurrentPor-All Factor Movements'!I84)/100)+103/POWER(1+('CurrentPor-All Factor Movements'!D84+'CurrentPor-All Factor Movements'!I84)/100,2))*100</f>
        <v>9582.1031547885559</v>
      </c>
      <c r="F84">
        <f>Portfolio!B$5*'CurrentPor-All Factor Movements'!E84</f>
        <v>52547.498033619413</v>
      </c>
      <c r="G84">
        <f>Portfolio!B$6*'CurrentPor-All Factor Movements'!F84</f>
        <v>4033.1045093462408</v>
      </c>
      <c r="H84">
        <f>Portfolio!B$7*'CurrentPor-All Factor Movements'!J84</f>
        <v>2064.4054236826032</v>
      </c>
      <c r="I84">
        <f t="shared" si="2"/>
        <v>97170.795918529548</v>
      </c>
      <c r="J84">
        <f t="shared" si="3"/>
        <v>932.78368498405325</v>
      </c>
    </row>
    <row r="85" spans="1:10">
      <c r="A85" s="1">
        <v>45588</v>
      </c>
      <c r="B85">
        <f>(3/(1+('CurrentPor-All Factor Movements'!C85)/100)+103/POWER(1+('CurrentPor-All Factor Movements'!D85)/100,2))*100</f>
        <v>9707.6492690754476</v>
      </c>
      <c r="C85">
        <f>(3/(1+('CurrentPor-All Factor Movements'!C85+'CurrentPor-All Factor Movements'!G85)/100)+103/POWER(1+('CurrentPor-All Factor Movements'!D85+'CurrentPor-All Factor Movements'!G85)/100,2))*100</f>
        <v>9640.3211029116028</v>
      </c>
      <c r="D85">
        <f>(3/(1+('CurrentPor-All Factor Movements'!C85+'CurrentPor-All Factor Movements'!H85)/100)+103/POWER(1+('CurrentPor-All Factor Movements'!D85+'CurrentPor-All Factor Movements'!H85)/100,2))*100</f>
        <v>9587.7868006872468</v>
      </c>
      <c r="E85">
        <f>(3/(1+('CurrentPor-All Factor Movements'!C85+'CurrentPor-All Factor Movements'!I85)/100)+103/POWER(1+('CurrentPor-All Factor Movements'!D85+'CurrentPor-All Factor Movements'!I85)/100,2))*100</f>
        <v>9582.7151379935513</v>
      </c>
      <c r="F85">
        <f>Portfolio!B$5*'CurrentPor-All Factor Movements'!E85</f>
        <v>52021.590295737406</v>
      </c>
      <c r="G85">
        <f>Portfolio!B$6*'CurrentPor-All Factor Movements'!F85</f>
        <v>3762.2926369600473</v>
      </c>
      <c r="H85">
        <f>Portfolio!B$7*'CurrentPor-All Factor Movements'!J85</f>
        <v>2064.400221911565</v>
      </c>
      <c r="I85">
        <f t="shared" si="2"/>
        <v>96366.755465276874</v>
      </c>
      <c r="J85">
        <f t="shared" si="3"/>
        <v>106.27575552783674</v>
      </c>
    </row>
    <row r="86" spans="1:10">
      <c r="A86" s="1">
        <v>45589</v>
      </c>
      <c r="B86">
        <f>(3/(1+('CurrentPor-All Factor Movements'!C86)/100)+103/POWER(1+('CurrentPor-All Factor Movements'!D86)/100,2))*100</f>
        <v>9707.5560367861981</v>
      </c>
      <c r="C86">
        <f>(3/(1+('CurrentPor-All Factor Movements'!C86+'CurrentPor-All Factor Movements'!G86)/100)+103/POWER(1+('CurrentPor-All Factor Movements'!D86+'CurrentPor-All Factor Movements'!G86)/100,2))*100</f>
        <v>9638.419022223572</v>
      </c>
      <c r="D86">
        <f>(3/(1+('CurrentPor-All Factor Movements'!C86+'CurrentPor-All Factor Movements'!H86)/100)+103/POWER(1+('CurrentPor-All Factor Movements'!D86+'CurrentPor-All Factor Movements'!H86)/100,2))*100</f>
        <v>9603.0604136252623</v>
      </c>
      <c r="E86">
        <f>(3/(1+('CurrentPor-All Factor Movements'!C86+'CurrentPor-All Factor Movements'!I86)/100)+103/POWER(1+('CurrentPor-All Factor Movements'!D86+'CurrentPor-All Factor Movements'!I86)/100,2))*100</f>
        <v>9579.5739874064402</v>
      </c>
      <c r="F86">
        <f>Portfolio!B$5*'CurrentPor-All Factor Movements'!E86</f>
        <v>52229.017643570696</v>
      </c>
      <c r="G86">
        <f>Portfolio!B$6*'CurrentPor-All Factor Movements'!F86</f>
        <v>3872.5236458315708</v>
      </c>
      <c r="H86">
        <f>Portfolio!B$7*'CurrentPor-All Factor Movements'!J86</f>
        <v>2064.4021677275327</v>
      </c>
      <c r="I86">
        <f t="shared" si="2"/>
        <v>96694.552917171284</v>
      </c>
      <c r="J86">
        <f t="shared" si="3"/>
        <v>-19.416376019551535</v>
      </c>
    </row>
    <row r="87" spans="1:10">
      <c r="A87" s="1">
        <v>45590</v>
      </c>
      <c r="B87">
        <f>(3/(1+('CurrentPor-All Factor Movements'!C87)/100)+103/POWER(1+('CurrentPor-All Factor Movements'!D87)/100,2))*100</f>
        <v>9705.1107963903687</v>
      </c>
      <c r="C87">
        <f>(3/(1+('CurrentPor-All Factor Movements'!C87+'CurrentPor-All Factor Movements'!G87)/100)+103/POWER(1+('CurrentPor-All Factor Movements'!D87+'CurrentPor-All Factor Movements'!G87)/100,2))*100</f>
        <v>9634.1914901300534</v>
      </c>
      <c r="D87">
        <f>(3/(1+('CurrentPor-All Factor Movements'!C87+'CurrentPor-All Factor Movements'!H87)/100)+103/POWER(1+('CurrentPor-All Factor Movements'!D87+'CurrentPor-All Factor Movements'!H87)/100,2))*100</f>
        <v>9589.0996357219301</v>
      </c>
      <c r="E87">
        <f>(3/(1+('CurrentPor-All Factor Movements'!C87+'CurrentPor-All Factor Movements'!I87)/100)+103/POWER(1+('CurrentPor-All Factor Movements'!D87+'CurrentPor-All Factor Movements'!I87)/100,2))*100</f>
        <v>9578.9630439795019</v>
      </c>
      <c r="F87">
        <f>Portfolio!B$5*'CurrentPor-All Factor Movements'!E87</f>
        <v>52153.763729080616</v>
      </c>
      <c r="G87">
        <f>Portfolio!B$6*'CurrentPor-All Factor Movements'!F87</f>
        <v>4128.7693514467346</v>
      </c>
      <c r="H87">
        <f>Portfolio!B$7*'CurrentPor-All Factor Movements'!J87</f>
        <v>2064.3995738911249</v>
      </c>
      <c r="I87">
        <f t="shared" si="2"/>
        <v>96854.297620640325</v>
      </c>
      <c r="J87">
        <f t="shared" si="3"/>
        <v>86.294099693550379</v>
      </c>
    </row>
    <row r="88" spans="1:10">
      <c r="A88" s="1">
        <v>45593</v>
      </c>
      <c r="B88">
        <f>(3/(1+('CurrentPor-All Factor Movements'!C88)/100)+103/POWER(1+('CurrentPor-All Factor Movements'!D88)/100,2))*100</f>
        <v>9707.3269236378146</v>
      </c>
      <c r="C88">
        <f>(3/(1+('CurrentPor-All Factor Movements'!C88+'CurrentPor-All Factor Movements'!G88)/100)+103/POWER(1+('CurrentPor-All Factor Movements'!D88+'CurrentPor-All Factor Movements'!G88)/100,2))*100</f>
        <v>9640.0021382069735</v>
      </c>
      <c r="D88">
        <f>(3/(1+('CurrentPor-All Factor Movements'!C88+'CurrentPor-All Factor Movements'!H88)/100)+103/POWER(1+('CurrentPor-All Factor Movements'!D88+'CurrentPor-All Factor Movements'!H88)/100,2))*100</f>
        <v>9606.1444827622381</v>
      </c>
      <c r="E88">
        <f>(3/(1+('CurrentPor-All Factor Movements'!C88+'CurrentPor-All Factor Movements'!I88)/100)+103/POWER(1+('CurrentPor-All Factor Movements'!D88+'CurrentPor-All Factor Movements'!I88)/100,2))*100</f>
        <v>9580.6670705113393</v>
      </c>
      <c r="F88">
        <f>Portfolio!B$5*'CurrentPor-All Factor Movements'!E88</f>
        <v>52175.952422059432</v>
      </c>
      <c r="G88">
        <f>Portfolio!B$6*'CurrentPor-All Factor Movements'!F88</f>
        <v>4005.3404199661509</v>
      </c>
      <c r="H88">
        <f>Portfolio!B$7*'CurrentPor-All Factor Movements'!J88</f>
        <v>2064.394971975622</v>
      </c>
      <c r="I88">
        <f t="shared" si="2"/>
        <v>96779.82842911956</v>
      </c>
      <c r="J88">
        <f t="shared" si="3"/>
        <v>-481.83052921599301</v>
      </c>
    </row>
    <row r="89" spans="1:10">
      <c r="A89" s="1">
        <v>45594</v>
      </c>
      <c r="B89">
        <f>(3/(1+('CurrentPor-All Factor Movements'!C89)/100)+103/POWER(1+('CurrentPor-All Factor Movements'!D89)/100,2))*100</f>
        <v>9707.1201634363424</v>
      </c>
      <c r="C89">
        <f>(3/(1+('CurrentPor-All Factor Movements'!C89+'CurrentPor-All Factor Movements'!G89)/100)+103/POWER(1+('CurrentPor-All Factor Movements'!D89+'CurrentPor-All Factor Movements'!G89)/100,2))*100</f>
        <v>9639.7975464599258</v>
      </c>
      <c r="D89">
        <f>(3/(1+('CurrentPor-All Factor Movements'!C89+'CurrentPor-All Factor Movements'!H89)/100)+103/POWER(1+('CurrentPor-All Factor Movements'!D89+'CurrentPor-All Factor Movements'!H89)/100,2))*100</f>
        <v>9610.9682387002031</v>
      </c>
      <c r="E89">
        <f>(3/(1+('CurrentPor-All Factor Movements'!C89+'CurrentPor-All Factor Movements'!I89)/100)+103/POWER(1+('CurrentPor-All Factor Movements'!D89+'CurrentPor-All Factor Movements'!I89)/100,2))*100</f>
        <v>9579.0357058586414</v>
      </c>
      <c r="F89">
        <f>Portfolio!B$5*'CurrentPor-All Factor Movements'!E89</f>
        <v>52696.875265761541</v>
      </c>
      <c r="G89">
        <f>Portfolio!B$6*'CurrentPor-All Factor Movements'!F89</f>
        <v>3805.4365694868075</v>
      </c>
      <c r="H89">
        <f>Portfolio!B$7*'CurrentPor-All Factor Movements'!J89</f>
        <v>2064.39976547072</v>
      </c>
      <c r="I89">
        <f t="shared" si="2"/>
        <v>97103.63325517418</v>
      </c>
      <c r="J89">
        <f t="shared" si="3"/>
        <v>598.52088669645309</v>
      </c>
    </row>
    <row r="90" spans="1:10">
      <c r="A90" s="1">
        <v>45595</v>
      </c>
      <c r="B90">
        <f>(3/(1+('CurrentPor-All Factor Movements'!C90)/100)+103/POWER(1+('CurrentPor-All Factor Movements'!D90)/100,2))*100</f>
        <v>9707.1497775641528</v>
      </c>
      <c r="C90">
        <f>(3/(1+('CurrentPor-All Factor Movements'!C90+'CurrentPor-All Factor Movements'!G90)/100)+103/POWER(1+('CurrentPor-All Factor Movements'!D90+'CurrentPor-All Factor Movements'!G90)/100,2))*100</f>
        <v>9641.637076729643</v>
      </c>
      <c r="D90">
        <f>(3/(1+('CurrentPor-All Factor Movements'!C90+'CurrentPor-All Factor Movements'!H90)/100)+103/POWER(1+('CurrentPor-All Factor Movements'!D90+'CurrentPor-All Factor Movements'!H90)/100,2))*100</f>
        <v>9589.0253913272045</v>
      </c>
      <c r="E90">
        <f>(3/(1+('CurrentPor-All Factor Movements'!C90+'CurrentPor-All Factor Movements'!I90)/100)+103/POWER(1+('CurrentPor-All Factor Movements'!D90+'CurrentPor-All Factor Movements'!I90)/100,2))*100</f>
        <v>9580.6670662694196</v>
      </c>
      <c r="F90">
        <f>Portfolio!B$5*'CurrentPor-All Factor Movements'!E90</f>
        <v>52425.974874087333</v>
      </c>
      <c r="G90">
        <f>Portfolio!B$6*'CurrentPor-All Factor Movements'!F90</f>
        <v>4087.4245944671543</v>
      </c>
      <c r="H90">
        <f>Portfolio!B$7*'CurrentPor-All Factor Movements'!J90</f>
        <v>2064.3972408045024</v>
      </c>
      <c r="I90">
        <f t="shared" si="2"/>
        <v>97096.276021249418</v>
      </c>
      <c r="J90">
        <f t="shared" si="3"/>
        <v>42.611684024435817</v>
      </c>
    </row>
    <row r="91" spans="1:10">
      <c r="A91" s="1">
        <v>45596</v>
      </c>
      <c r="B91">
        <f>(3/(1+('CurrentPor-All Factor Movements'!C91)/100)+103/POWER(1+('CurrentPor-All Factor Movements'!D91)/100,2))*100</f>
        <v>9708.3861095042867</v>
      </c>
      <c r="C91">
        <f>(3/(1+('CurrentPor-All Factor Movements'!C91+'CurrentPor-All Factor Movements'!G91)/100)+103/POWER(1+('CurrentPor-All Factor Movements'!D91+'CurrentPor-All Factor Movements'!G91)/100,2))*100</f>
        <v>9644.6718799331466</v>
      </c>
      <c r="D91">
        <f>(3/(1+('CurrentPor-All Factor Movements'!C91+'CurrentPor-All Factor Movements'!H91)/100)+103/POWER(1+('CurrentPor-All Factor Movements'!D91+'CurrentPor-All Factor Movements'!H91)/100,2))*100</f>
        <v>9588.0365147780431</v>
      </c>
      <c r="E91">
        <f>(3/(1+('CurrentPor-All Factor Movements'!C91+'CurrentPor-All Factor Movements'!I91)/100)+103/POWER(1+('CurrentPor-All Factor Movements'!D91+'CurrentPor-All Factor Movements'!I91)/100,2))*100</f>
        <v>9582.6912842769634</v>
      </c>
      <c r="F91">
        <f>Portfolio!B$5*'CurrentPor-All Factor Movements'!E91</f>
        <v>52290.941476239561</v>
      </c>
      <c r="G91">
        <f>Portfolio!B$6*'CurrentPor-All Factor Movements'!F91</f>
        <v>4005.2019932884127</v>
      </c>
      <c r="H91">
        <f>Portfolio!B$7*'CurrentPor-All Factor Movements'!J91</f>
        <v>2064.406504101652</v>
      </c>
      <c r="I91">
        <f t="shared" si="2"/>
        <v>96884.335762122078</v>
      </c>
      <c r="J91">
        <f t="shared" si="3"/>
        <v>103.73598809560644</v>
      </c>
    </row>
    <row r="92" spans="1:10">
      <c r="A92" s="1">
        <v>45597</v>
      </c>
      <c r="B92">
        <f>(3/(1+('CurrentPor-All Factor Movements'!C92)/100)+103/POWER(1+('CurrentPor-All Factor Movements'!D92)/100,2))*100</f>
        <v>9707.4638785396346</v>
      </c>
      <c r="C92">
        <f>(3/(1+('CurrentPor-All Factor Movements'!C92+'CurrentPor-All Factor Movements'!G92)/100)+103/POWER(1+('CurrentPor-All Factor Movements'!D92+'CurrentPor-All Factor Movements'!G92)/100,2))*100</f>
        <v>9638.3278564608736</v>
      </c>
      <c r="D92">
        <f>(3/(1+('CurrentPor-All Factor Movements'!C92+'CurrentPor-All Factor Movements'!H92)/100)+103/POWER(1+('CurrentPor-All Factor Movements'!D92+'CurrentPor-All Factor Movements'!H92)/100,2))*100</f>
        <v>9601.8535912229308</v>
      </c>
      <c r="E92">
        <f>(3/(1+('CurrentPor-All Factor Movements'!C92+'CurrentPor-All Factor Movements'!I92)/100)+103/POWER(1+('CurrentPor-All Factor Movements'!D92+'CurrentPor-All Factor Movements'!I92)/100,2))*100</f>
        <v>9580.0367206557148</v>
      </c>
      <c r="F92">
        <f>Portfolio!B$5*'CurrentPor-All Factor Movements'!E92</f>
        <v>52283.393856032912</v>
      </c>
      <c r="G92">
        <f>Portfolio!B$6*'CurrentPor-All Factor Movements'!F92</f>
        <v>3761.5186545000306</v>
      </c>
      <c r="H92">
        <f>Portfolio!B$7*'CurrentPor-All Factor Movements'!J92</f>
        <v>2064.4009259765776</v>
      </c>
      <c r="I92">
        <f t="shared" si="2"/>
        <v>96636.995483388673</v>
      </c>
      <c r="J92">
        <f t="shared" si="3"/>
        <v>491.1642184520606</v>
      </c>
    </row>
    <row r="93" spans="1:10">
      <c r="A93" s="1">
        <v>45600</v>
      </c>
      <c r="B93">
        <f>(3/(1+('CurrentPor-All Factor Movements'!C93)/100)+103/POWER(1+('CurrentPor-All Factor Movements'!D93)/100,2))*100</f>
        <v>9707.5741088087216</v>
      </c>
      <c r="C93">
        <f>(3/(1+('CurrentPor-All Factor Movements'!C93+'CurrentPor-All Factor Movements'!G93)/100)+103/POWER(1+('CurrentPor-All Factor Movements'!D93+'CurrentPor-All Factor Movements'!G93)/100,2))*100</f>
        <v>9631.2027192997939</v>
      </c>
      <c r="D93">
        <f>(3/(1+('CurrentPor-All Factor Movements'!C93+'CurrentPor-All Factor Movements'!H93)/100)+103/POWER(1+('CurrentPor-All Factor Movements'!D93+'CurrentPor-All Factor Movements'!H93)/100,2))*100</f>
        <v>9592.6605011085394</v>
      </c>
      <c r="E93">
        <f>(3/(1+('CurrentPor-All Factor Movements'!C93+'CurrentPor-All Factor Movements'!I93)/100)+103/POWER(1+('CurrentPor-All Factor Movements'!D93+'CurrentPor-All Factor Movements'!I93)/100,2))*100</f>
        <v>9582.8267963331873</v>
      </c>
      <c r="F93">
        <f>Portfolio!B$5*'CurrentPor-All Factor Movements'!E93</f>
        <v>52208.446789866779</v>
      </c>
      <c r="G93">
        <f>Portfolio!B$6*'CurrentPor-All Factor Movements'!F93</f>
        <v>3911.2148494293747</v>
      </c>
      <c r="H93">
        <f>Portfolio!B$7*'CurrentPor-All Factor Movements'!J93</f>
        <v>2064.3930374524921</v>
      </c>
      <c r="I93">
        <f t="shared" si="2"/>
        <v>96698.318802298905</v>
      </c>
      <c r="J93">
        <f t="shared" si="3"/>
        <v>204.18767598176782</v>
      </c>
    </row>
    <row r="94" spans="1:10">
      <c r="A94" s="1">
        <v>45601</v>
      </c>
      <c r="B94">
        <f>(3/(1+('CurrentPor-All Factor Movements'!C94)/100)+103/POWER(1+('CurrentPor-All Factor Movements'!D94)/100,2))*100</f>
        <v>9707.4653411108393</v>
      </c>
      <c r="C94">
        <f>(3/(1+('CurrentPor-All Factor Movements'!C94+'CurrentPor-All Factor Movements'!G94)/100)+103/POWER(1+('CurrentPor-All Factor Movements'!D94+'CurrentPor-All Factor Movements'!G94)/100,2))*100</f>
        <v>9632.9029884533156</v>
      </c>
      <c r="D94">
        <f>(3/(1+('CurrentPor-All Factor Movements'!C94+'CurrentPor-All Factor Movements'!H94)/100)+103/POWER(1+('CurrentPor-All Factor Movements'!D94+'CurrentPor-All Factor Movements'!H94)/100,2))*100</f>
        <v>9572.8804855552498</v>
      </c>
      <c r="E94">
        <f>(3/(1+('CurrentPor-All Factor Movements'!C94+'CurrentPor-All Factor Movements'!I94)/100)+103/POWER(1+('CurrentPor-All Factor Movements'!D94+'CurrentPor-All Factor Movements'!I94)/100,2))*100</f>
        <v>9581.7444705190137</v>
      </c>
      <c r="F94">
        <f>Portfolio!B$5*'CurrentPor-All Factor Movements'!E94</f>
        <v>52128.978144168366</v>
      </c>
      <c r="G94">
        <f>Portfolio!B$6*'CurrentPor-All Factor Movements'!F94</f>
        <v>3884.5244214688973</v>
      </c>
      <c r="H94">
        <f>Portfolio!B$7*'CurrentPor-All Factor Movements'!J94</f>
        <v>2064.3966220986958</v>
      </c>
      <c r="I94">
        <f t="shared" si="2"/>
        <v>96572.892473374377</v>
      </c>
      <c r="J94">
        <f t="shared" si="3"/>
        <v>-597.90344515517063</v>
      </c>
    </row>
    <row r="95" spans="1:10">
      <c r="A95" s="1">
        <v>45602</v>
      </c>
      <c r="B95">
        <f>(3/(1+('CurrentPor-All Factor Movements'!C95)/100)+103/POWER(1+('CurrentPor-All Factor Movements'!D95)/100,2))*100</f>
        <v>9706.9340208064823</v>
      </c>
      <c r="C95">
        <f>(3/(1+('CurrentPor-All Factor Movements'!C95+'CurrentPor-All Factor Movements'!G95)/100)+103/POWER(1+('CurrentPor-All Factor Movements'!D95+'CurrentPor-All Factor Movements'!G95)/100,2))*100</f>
        <v>9630.5702443548726</v>
      </c>
      <c r="D95">
        <f>(3/(1+('CurrentPor-All Factor Movements'!C95+'CurrentPor-All Factor Movements'!H95)/100)+103/POWER(1+('CurrentPor-All Factor Movements'!D95+'CurrentPor-All Factor Movements'!H95)/100,2))*100</f>
        <v>9604.2851039333382</v>
      </c>
      <c r="E95">
        <f>(3/(1+('CurrentPor-All Factor Movements'!C95+'CurrentPor-All Factor Movements'!I95)/100)+103/POWER(1+('CurrentPor-All Factor Movements'!D95+'CurrentPor-All Factor Movements'!I95)/100,2))*100</f>
        <v>9580.8875721010245</v>
      </c>
      <c r="F95">
        <f>Portfolio!B$5*'CurrentPor-All Factor Movements'!E95</f>
        <v>52039.28707781175</v>
      </c>
      <c r="G95">
        <f>Portfolio!B$6*'CurrentPor-All Factor Movements'!F95</f>
        <v>3425.6592278303451</v>
      </c>
      <c r="H95">
        <f>Portfolio!B$7*'CurrentPor-All Factor Movements'!J95</f>
        <v>2064.3969671539653</v>
      </c>
      <c r="I95">
        <f t="shared" si="2"/>
        <v>96052.020213991782</v>
      </c>
      <c r="J95">
        <f t="shared" si="3"/>
        <v>-314.73525128509209</v>
      </c>
    </row>
    <row r="96" spans="1:10">
      <c r="A96" s="1">
        <v>45603</v>
      </c>
      <c r="B96">
        <f>(3/(1+('CurrentPor-All Factor Movements'!C96)/100)+103/POWER(1+('CurrentPor-All Factor Movements'!D96)/100,2))*100</f>
        <v>9707.0533855420199</v>
      </c>
      <c r="C96">
        <f>(3/(1+('CurrentPor-All Factor Movements'!C96+'CurrentPor-All Factor Movements'!G96)/100)+103/POWER(1+('CurrentPor-All Factor Movements'!D96+'CurrentPor-All Factor Movements'!G96)/100,2))*100</f>
        <v>9634.3039583038226</v>
      </c>
      <c r="D96">
        <f>(3/(1+('CurrentPor-All Factor Movements'!C96+'CurrentPor-All Factor Movements'!H96)/100)+103/POWER(1+('CurrentPor-All Factor Movements'!D96+'CurrentPor-All Factor Movements'!H96)/100,2))*100</f>
        <v>9596.8565484067658</v>
      </c>
      <c r="E96">
        <f>(3/(1+('CurrentPor-All Factor Movements'!C96+'CurrentPor-All Factor Movements'!I96)/100)+103/POWER(1+('CurrentPor-All Factor Movements'!D96+'CurrentPor-All Factor Movements'!I96)/100,2))*100</f>
        <v>9581.0188574791246</v>
      </c>
      <c r="F96">
        <f>Portfolio!B$5*'CurrentPor-All Factor Movements'!E96</f>
        <v>52145.280033661256</v>
      </c>
      <c r="G96">
        <f>Portfolio!B$6*'CurrentPor-All Factor Movements'!F96</f>
        <v>3785.3019053041562</v>
      </c>
      <c r="H96">
        <f>Portfolio!B$7*'CurrentPor-All Factor Movements'!J96</f>
        <v>2064.4037007726315</v>
      </c>
      <c r="I96">
        <f t="shared" si="2"/>
        <v>96514.218389469766</v>
      </c>
      <c r="J96">
        <f t="shared" si="3"/>
        <v>-180.3345277015178</v>
      </c>
    </row>
    <row r="97" spans="1:10">
      <c r="A97" s="1">
        <v>45604</v>
      </c>
      <c r="B97">
        <f>(3/(1+('CurrentPor-All Factor Movements'!C97)/100)+103/POWER(1+('CurrentPor-All Factor Movements'!D97)/100,2))*100</f>
        <v>9707.5689441535324</v>
      </c>
      <c r="C97">
        <f>(3/(1+('CurrentPor-All Factor Movements'!C97+'CurrentPor-All Factor Movements'!G97)/100)+103/POWER(1+('CurrentPor-All Factor Movements'!D97+'CurrentPor-All Factor Movements'!G97)/100,2))*100</f>
        <v>9634.8136747438712</v>
      </c>
      <c r="D97">
        <f>(3/(1+('CurrentPor-All Factor Movements'!C97+'CurrentPor-All Factor Movements'!H97)/100)+103/POWER(1+('CurrentPor-All Factor Movements'!D97+'CurrentPor-All Factor Movements'!H97)/100,2))*100</f>
        <v>9593.3376655861211</v>
      </c>
      <c r="E97">
        <f>(3/(1+('CurrentPor-All Factor Movements'!C97+'CurrentPor-All Factor Movements'!I97)/100)+103/POWER(1+('CurrentPor-All Factor Movements'!D97+'CurrentPor-All Factor Movements'!I97)/100,2))*100</f>
        <v>9579.1981412005225</v>
      </c>
      <c r="F97">
        <f>Portfolio!B$5*'CurrentPor-All Factor Movements'!E97</f>
        <v>52517.899490181182</v>
      </c>
      <c r="G97">
        <f>Portfolio!B$6*'CurrentPor-All Factor Movements'!F97</f>
        <v>3810.8639553585072</v>
      </c>
      <c r="H97">
        <f>Portfolio!B$7*'CurrentPor-All Factor Movements'!J97</f>
        <v>2064.4041371549511</v>
      </c>
      <c r="I97">
        <f t="shared" si="2"/>
        <v>96908.086008378697</v>
      </c>
      <c r="J97">
        <f t="shared" si="3"/>
        <v>53.788387738371966</v>
      </c>
    </row>
    <row r="98" spans="1:10">
      <c r="A98" s="1">
        <v>45607</v>
      </c>
      <c r="B98">
        <f>(3/(1+('CurrentPor-All Factor Movements'!C98)/100)+103/POWER(1+('CurrentPor-All Factor Movements'!D98)/100,2))*100</f>
        <v>9707.1821712494984</v>
      </c>
      <c r="C98">
        <f>(3/(1+('CurrentPor-All Factor Movements'!C98+'CurrentPor-All Factor Movements'!G98)/100)+103/POWER(1+('CurrentPor-All Factor Movements'!D98+'CurrentPor-All Factor Movements'!G98)/100,2))*100</f>
        <v>9641.6691397976283</v>
      </c>
      <c r="D98">
        <f>(3/(1+('CurrentPor-All Factor Movements'!C98+'CurrentPor-All Factor Movements'!H98)/100)+103/POWER(1+('CurrentPor-All Factor Movements'!D98+'CurrentPor-All Factor Movements'!H98)/100,2))*100</f>
        <v>9603.3624406910931</v>
      </c>
      <c r="E98">
        <f>(3/(1+('CurrentPor-All Factor Movements'!C98+'CurrentPor-All Factor Movements'!I98)/100)+103/POWER(1+('CurrentPor-All Factor Movements'!D98+'CurrentPor-All Factor Movements'!I98)/100,2))*100</f>
        <v>9578.7762913292136</v>
      </c>
      <c r="F98">
        <f>Portfolio!B$5*'CurrentPor-All Factor Movements'!E98</f>
        <v>52209.22697385506</v>
      </c>
      <c r="G98">
        <f>Portfolio!B$6*'CurrentPor-All Factor Movements'!F98</f>
        <v>3634.9820159151377</v>
      </c>
      <c r="H98">
        <f>Portfolio!B$7*'CurrentPor-All Factor Movements'!J98</f>
        <v>2064.390173213525</v>
      </c>
      <c r="I98">
        <f t="shared" si="2"/>
        <v>96439.589206051154</v>
      </c>
      <c r="J98">
        <f t="shared" si="3"/>
        <v>-340.23922306840541</v>
      </c>
    </row>
    <row r="99" spans="1:10">
      <c r="A99" s="1">
        <v>45608</v>
      </c>
      <c r="B99">
        <f>(3/(1+('CurrentPor-All Factor Movements'!C99)/100)+103/POWER(1+('CurrentPor-All Factor Movements'!D99)/100,2))*100</f>
        <v>9706.3356342140778</v>
      </c>
      <c r="C99">
        <f>(3/(1+('CurrentPor-All Factor Movements'!C99+'CurrentPor-All Factor Movements'!G99)/100)+103/POWER(1+('CurrentPor-All Factor Movements'!D99+'CurrentPor-All Factor Movements'!G99)/100,2))*100</f>
        <v>9642.6417550113638</v>
      </c>
      <c r="D99">
        <f>(3/(1+('CurrentPor-All Factor Movements'!C99+'CurrentPor-All Factor Movements'!H99)/100)+103/POWER(1+('CurrentPor-All Factor Movements'!D99+'CurrentPor-All Factor Movements'!H99)/100,2))*100</f>
        <v>9603.7981486338813</v>
      </c>
      <c r="E99">
        <f>(3/(1+('CurrentPor-All Factor Movements'!C99+'CurrentPor-All Factor Movements'!I99)/100)+103/POWER(1+('CurrentPor-All Factor Movements'!D99+'CurrentPor-All Factor Movements'!I99)/100,2))*100</f>
        <v>9578.5004199064897</v>
      </c>
      <c r="F99">
        <f>Portfolio!B$5*'CurrentPor-All Factor Movements'!E99</f>
        <v>52219.679416442377</v>
      </c>
      <c r="G99">
        <f>Portfolio!B$6*'CurrentPor-All Factor Movements'!F99</f>
        <v>4249.1132569922283</v>
      </c>
      <c r="H99">
        <f>Portfolio!B$7*'CurrentPor-All Factor Movements'!J99</f>
        <v>2064.3967280868042</v>
      </c>
      <c r="I99">
        <f t="shared" si="2"/>
        <v>97064.465359287235</v>
      </c>
      <c r="J99">
        <f t="shared" si="3"/>
        <v>-39.167895886945189</v>
      </c>
    </row>
    <row r="100" spans="1:10">
      <c r="A100" s="1">
        <v>45609</v>
      </c>
      <c r="B100">
        <f>(3/(1+('CurrentPor-All Factor Movements'!C100)/100)+103/POWER(1+('CurrentPor-All Factor Movements'!D100)/100,2))*100</f>
        <v>9707.8942368729258</v>
      </c>
      <c r="C100">
        <f>(3/(1+('CurrentPor-All Factor Movements'!C100+'CurrentPor-All Factor Movements'!G100)/100)+103/POWER(1+('CurrentPor-All Factor Movements'!D100+'CurrentPor-All Factor Movements'!G100)/100,2))*100</f>
        <v>9642.3739377753191</v>
      </c>
      <c r="D100">
        <f>(3/(1+('CurrentPor-All Factor Movements'!C100+'CurrentPor-All Factor Movements'!H100)/100)+103/POWER(1+('CurrentPor-All Factor Movements'!D100+'CurrentPor-All Factor Movements'!H100)/100,2))*100</f>
        <v>9592.3192335859931</v>
      </c>
      <c r="E100">
        <f>(3/(1+('CurrentPor-All Factor Movements'!C100+'CurrentPor-All Factor Movements'!I100)/100)+103/POWER(1+('CurrentPor-All Factor Movements'!D100+'CurrentPor-All Factor Movements'!I100)/100,2))*100</f>
        <v>9580.4745328613972</v>
      </c>
      <c r="F100">
        <f>Portfolio!B$5*'CurrentPor-All Factor Movements'!E100</f>
        <v>52429.98532646511</v>
      </c>
      <c r="G100">
        <f>Portfolio!B$6*'CurrentPor-All Factor Movements'!F100</f>
        <v>3787.7433597978561</v>
      </c>
      <c r="H100">
        <f>Portfolio!B$7*'CurrentPor-All Factor Movements'!J100</f>
        <v>2064.3958789029325</v>
      </c>
      <c r="I100">
        <f t="shared" si="2"/>
        <v>96805.186506261525</v>
      </c>
      <c r="J100">
        <f t="shared" si="3"/>
        <v>-291.08951498789247</v>
      </c>
    </row>
    <row r="101" spans="1:10">
      <c r="A101" s="1">
        <v>45610</v>
      </c>
      <c r="B101">
        <f>(3/(1+('CurrentPor-All Factor Movements'!C101)/100)+103/POWER(1+('CurrentPor-All Factor Movements'!D101)/100,2))*100</f>
        <v>9706.9846552321378</v>
      </c>
      <c r="C101">
        <f>(3/(1+('CurrentPor-All Factor Movements'!C101+'CurrentPor-All Factor Movements'!G101)/100)+103/POWER(1+('CurrentPor-All Factor Movements'!D101+'CurrentPor-All Factor Movements'!G101)/100,2))*100</f>
        <v>9641.4736396652224</v>
      </c>
      <c r="D101">
        <f>(3/(1+('CurrentPor-All Factor Movements'!C101+'CurrentPor-All Factor Movements'!H101)/100)+103/POWER(1+('CurrentPor-All Factor Movements'!D101+'CurrentPor-All Factor Movements'!H101)/100,2))*100</f>
        <v>9611.1425243890189</v>
      </c>
      <c r="E101">
        <f>(3/(1+('CurrentPor-All Factor Movements'!C101+'CurrentPor-All Factor Movements'!I101)/100)+103/POWER(1+('CurrentPor-All Factor Movements'!D101+'CurrentPor-All Factor Movements'!I101)/100,2))*100</f>
        <v>9578.7746672451776</v>
      </c>
      <c r="F101">
        <f>Portfolio!B$5*'CurrentPor-All Factor Movements'!E101</f>
        <v>52541.539983883536</v>
      </c>
      <c r="G101">
        <f>Portfolio!B$6*'CurrentPor-All Factor Movements'!F101</f>
        <v>3921.7832920561355</v>
      </c>
      <c r="H101">
        <f>Portfolio!B$7*'CurrentPor-All Factor Movements'!J101</f>
        <v>2064.402176245459</v>
      </c>
      <c r="I101">
        <f t="shared" si="2"/>
        <v>97066.100938716685</v>
      </c>
      <c r="J101">
        <f t="shared" si="3"/>
        <v>181.7651765946066</v>
      </c>
    </row>
    <row r="102" spans="1:10">
      <c r="A102" s="1">
        <v>45611</v>
      </c>
      <c r="B102">
        <f>(3/(1+('CurrentPor-All Factor Movements'!C102)/100)+103/POWER(1+('CurrentPor-All Factor Movements'!D102)/100,2))*100</f>
        <v>9708.2762804584127</v>
      </c>
      <c r="C102">
        <f>(3/(1+('CurrentPor-All Factor Movements'!C102+'CurrentPor-All Factor Movements'!G102)/100)+103/POWER(1+('CurrentPor-All Factor Movements'!D102+'CurrentPor-All Factor Movements'!G102)/100,2))*100</f>
        <v>9642.7520819495767</v>
      </c>
      <c r="D102">
        <f>(3/(1+('CurrentPor-All Factor Movements'!C102+'CurrentPor-All Factor Movements'!H102)/100)+103/POWER(1+('CurrentPor-All Factor Movements'!D102+'CurrentPor-All Factor Movements'!H102)/100,2))*100</f>
        <v>9607.3184441535395</v>
      </c>
      <c r="E102">
        <f>(3/(1+('CurrentPor-All Factor Movements'!C102+'CurrentPor-All Factor Movements'!I102)/100)+103/POWER(1+('CurrentPor-All Factor Movements'!D102+'CurrentPor-All Factor Movements'!I102)/100,2))*100</f>
        <v>9582.0812301356964</v>
      </c>
      <c r="F102">
        <f>Portfolio!B$5*'CurrentPor-All Factor Movements'!E102</f>
        <v>52128.099113062141</v>
      </c>
      <c r="G102">
        <f>Portfolio!B$6*'CurrentPor-All Factor Movements'!F102</f>
        <v>3818.9835399805679</v>
      </c>
      <c r="H102">
        <f>Portfolio!B$7*'CurrentPor-All Factor Movements'!J102</f>
        <v>2064.4066716143293</v>
      </c>
      <c r="I102">
        <f t="shared" si="2"/>
        <v>96551.917361354266</v>
      </c>
      <c r="J102">
        <f t="shared" si="3"/>
        <v>-85.078122034406988</v>
      </c>
    </row>
    <row r="103" spans="1:10">
      <c r="A103" s="1">
        <v>45614</v>
      </c>
      <c r="B103">
        <f>(3/(1+('CurrentPor-All Factor Movements'!C103)/100)+103/POWER(1+('CurrentPor-All Factor Movements'!D103)/100,2))*100</f>
        <v>9707.895253282657</v>
      </c>
      <c r="C103">
        <f>(3/(1+('CurrentPor-All Factor Movements'!C103+'CurrentPor-All Factor Movements'!G103)/100)+103/POWER(1+('CurrentPor-All Factor Movements'!D103+'CurrentPor-All Factor Movements'!G103)/100,2))*100</f>
        <v>9640.5645072180014</v>
      </c>
      <c r="D103">
        <f>(3/(1+('CurrentPor-All Factor Movements'!C103+'CurrentPor-All Factor Movements'!H103)/100)+103/POWER(1+('CurrentPor-All Factor Movements'!D103+'CurrentPor-All Factor Movements'!H103)/100,2))*100</f>
        <v>9599.516568498384</v>
      </c>
      <c r="E103">
        <f>(3/(1+('CurrentPor-All Factor Movements'!C103+'CurrentPor-All Factor Movements'!I103)/100)+103/POWER(1+('CurrentPor-All Factor Movements'!D103+'CurrentPor-All Factor Movements'!I103)/100,2))*100</f>
        <v>9581.764172105848</v>
      </c>
      <c r="F103">
        <f>Portfolio!B$5*'CurrentPor-All Factor Movements'!E103</f>
        <v>52180.388524598777</v>
      </c>
      <c r="G103">
        <f>Portfolio!B$6*'CurrentPor-All Factor Movements'!F103</f>
        <v>4051.8475222776019</v>
      </c>
      <c r="H103">
        <f>Portfolio!B$7*'CurrentPor-All Factor Movements'!J103</f>
        <v>2064.3932089984551</v>
      </c>
      <c r="I103">
        <f t="shared" si="2"/>
        <v>96826.369756979737</v>
      </c>
      <c r="J103">
        <f t="shared" si="3"/>
        <v>128.05095468083164</v>
      </c>
    </row>
    <row r="104" spans="1:10">
      <c r="A104" s="1">
        <v>45615</v>
      </c>
      <c r="B104">
        <f>(3/(1+('CurrentPor-All Factor Movements'!C104)/100)+103/POWER(1+('CurrentPor-All Factor Movements'!D104)/100,2))*100</f>
        <v>9705.3274031366436</v>
      </c>
      <c r="C104">
        <f>(3/(1+('CurrentPor-All Factor Movements'!C104+'CurrentPor-All Factor Movements'!G104)/100)+103/POWER(1+('CurrentPor-All Factor Movements'!D104+'CurrentPor-All Factor Movements'!G104)/100,2))*100</f>
        <v>9636.2143881592146</v>
      </c>
      <c r="D104">
        <f>(3/(1+('CurrentPor-All Factor Movements'!C104+'CurrentPor-All Factor Movements'!H104)/100)+103/POWER(1+('CurrentPor-All Factor Movements'!D104+'CurrentPor-All Factor Movements'!H104)/100,2))*100</f>
        <v>9602.011202431906</v>
      </c>
      <c r="E104">
        <f>(3/(1+('CurrentPor-All Factor Movements'!C104+'CurrentPor-All Factor Movements'!I104)/100)+103/POWER(1+('CurrentPor-All Factor Movements'!D104+'CurrentPor-All Factor Movements'!I104)/100,2))*100</f>
        <v>9577.1259724446481</v>
      </c>
      <c r="F104">
        <f>Portfolio!B$5*'CurrentPor-All Factor Movements'!E104</f>
        <v>52239.25577210608</v>
      </c>
      <c r="G104">
        <f>Portfolio!B$6*'CurrentPor-All Factor Movements'!F104</f>
        <v>3632.5281636166465</v>
      </c>
      <c r="H104">
        <f>Portfolio!B$7*'CurrentPor-All Factor Movements'!J104</f>
        <v>2064.3920766689193</v>
      </c>
      <c r="I104">
        <f t="shared" si="2"/>
        <v>96456.854978564064</v>
      </c>
      <c r="J104">
        <f t="shared" si="3"/>
        <v>-116.03749481031264</v>
      </c>
    </row>
    <row r="105" spans="1:10">
      <c r="A105" s="1">
        <v>45616</v>
      </c>
      <c r="B105">
        <f>(3/(1+('CurrentPor-All Factor Movements'!C105)/100)+103/POWER(1+('CurrentPor-All Factor Movements'!D105)/100,2))*100</f>
        <v>9708.108495600005</v>
      </c>
      <c r="C105">
        <f>(3/(1+('CurrentPor-All Factor Movements'!C105+'CurrentPor-All Factor Movements'!G105)/100)+103/POWER(1+('CurrentPor-All Factor Movements'!D105+'CurrentPor-All Factor Movements'!G105)/100,2))*100</f>
        <v>9640.7755130071473</v>
      </c>
      <c r="D105">
        <f>(3/(1+('CurrentPor-All Factor Movements'!C105+'CurrentPor-All Factor Movements'!H105)/100)+103/POWER(1+('CurrentPor-All Factor Movements'!D105+'CurrentPor-All Factor Movements'!H105)/100,2))*100</f>
        <v>9620.8957134499124</v>
      </c>
      <c r="E105">
        <f>(3/(1+('CurrentPor-All Factor Movements'!C105+'CurrentPor-All Factor Movements'!I105)/100)+103/POWER(1+('CurrentPor-All Factor Movements'!D105+'CurrentPor-All Factor Movements'!I105)/100,2))*100</f>
        <v>9583.0612847264238</v>
      </c>
      <c r="F105">
        <f>Portfolio!B$5*'CurrentPor-All Factor Movements'!E105</f>
        <v>52505.469508964532</v>
      </c>
      <c r="G105">
        <f>Portfolio!B$6*'CurrentPor-All Factor Movements'!F105</f>
        <v>3768.113507081925</v>
      </c>
      <c r="H105">
        <f>Portfolio!B$7*'CurrentPor-All Factor Movements'!J105</f>
        <v>2064.3930394018639</v>
      </c>
      <c r="I105">
        <f t="shared" si="2"/>
        <v>96890.817062231814</v>
      </c>
      <c r="J105">
        <f t="shared" si="3"/>
        <v>838.79684824003198</v>
      </c>
    </row>
    <row r="106" spans="1:10">
      <c r="A106" s="1">
        <v>45617</v>
      </c>
      <c r="B106">
        <f>(3/(1+('CurrentPor-All Factor Movements'!C106)/100)+103/POWER(1+('CurrentPor-All Factor Movements'!D106)/100,2))*100</f>
        <v>9706.2214748400038</v>
      </c>
      <c r="C106">
        <f>(3/(1+('CurrentPor-All Factor Movements'!C106+'CurrentPor-All Factor Movements'!G106)/100)+103/POWER(1+('CurrentPor-All Factor Movements'!D106+'CurrentPor-All Factor Movements'!G106)/100,2))*100</f>
        <v>9640.7182482378867</v>
      </c>
      <c r="D106">
        <f>(3/(1+('CurrentPor-All Factor Movements'!C106+'CurrentPor-All Factor Movements'!H106)/100)+103/POWER(1+('CurrentPor-All Factor Movements'!D106+'CurrentPor-All Factor Movements'!H106)/100,2))*100</f>
        <v>9617.5789859546421</v>
      </c>
      <c r="E106">
        <f>(3/(1+('CurrentPor-All Factor Movements'!C106+'CurrentPor-All Factor Movements'!I106)/100)+103/POWER(1+('CurrentPor-All Factor Movements'!D106+'CurrentPor-All Factor Movements'!I106)/100,2))*100</f>
        <v>9577.0739823014355</v>
      </c>
      <c r="F106">
        <f>Portfolio!B$5*'CurrentPor-All Factor Movements'!E106</f>
        <v>52162.004555104912</v>
      </c>
      <c r="G106">
        <f>Portfolio!B$6*'CurrentPor-All Factor Movements'!F106</f>
        <v>3659.295152485116</v>
      </c>
      <c r="H106">
        <f>Portfolio!B$7*'CurrentPor-All Factor Movements'!J106</f>
        <v>2064.4092716094724</v>
      </c>
      <c r="I106">
        <f t="shared" si="2"/>
        <v>96427.301670533459</v>
      </c>
      <c r="J106">
        <f t="shared" si="3"/>
        <v>-86.916718936307007</v>
      </c>
    </row>
    <row r="107" spans="1:10">
      <c r="A107" s="1">
        <v>45618</v>
      </c>
      <c r="B107">
        <f>(3/(1+('CurrentPor-All Factor Movements'!C107)/100)+103/POWER(1+('CurrentPor-All Factor Movements'!D107)/100,2))*100</f>
        <v>9706.8924049158031</v>
      </c>
      <c r="C107">
        <f>(3/(1+('CurrentPor-All Factor Movements'!C107+'CurrentPor-All Factor Movements'!G107)/100)+103/POWER(1+('CurrentPor-All Factor Movements'!D107+'CurrentPor-All Factor Movements'!G107)/100,2))*100</f>
        <v>9641.3823308655319</v>
      </c>
      <c r="D107">
        <f>(3/(1+('CurrentPor-All Factor Movements'!C107+'CurrentPor-All Factor Movements'!H107)/100)+103/POWER(1+('CurrentPor-All Factor Movements'!D107+'CurrentPor-All Factor Movements'!H107)/100,2))*100</f>
        <v>9595.0600007491521</v>
      </c>
      <c r="E107">
        <f>(3/(1+('CurrentPor-All Factor Movements'!C107+'CurrentPor-All Factor Movements'!I107)/100)+103/POWER(1+('CurrentPor-All Factor Movements'!D107+'CurrentPor-All Factor Movements'!I107)/100,2))*100</f>
        <v>9581.0025200178861</v>
      </c>
      <c r="F107">
        <f>Portfolio!B$5*'CurrentPor-All Factor Movements'!E107</f>
        <v>52190.621135045527</v>
      </c>
      <c r="G107">
        <f>Portfolio!B$6*'CurrentPor-All Factor Movements'!F107</f>
        <v>3950.8227843590312</v>
      </c>
      <c r="H107">
        <f>Portfolio!B$7*'CurrentPor-All Factor Movements'!J107</f>
        <v>2064.3992300317977</v>
      </c>
      <c r="I107">
        <f t="shared" si="2"/>
        <v>96730.18040598472</v>
      </c>
      <c r="J107">
        <f t="shared" si="3"/>
        <v>-177.90560239397746</v>
      </c>
    </row>
    <row r="108" spans="1:10">
      <c r="A108" s="1">
        <v>45621</v>
      </c>
      <c r="B108">
        <f>(3/(1+('CurrentPor-All Factor Movements'!C108)/100)+103/POWER(1+('CurrentPor-All Factor Movements'!D108)/100,2))*100</f>
        <v>9707.3656360312179</v>
      </c>
      <c r="C108">
        <f>(3/(1+('CurrentPor-All Factor Movements'!C108+'CurrentPor-All Factor Movements'!G108)/100)+103/POWER(1+('CurrentPor-All Factor Movements'!D108+'CurrentPor-All Factor Movements'!G108)/100,2))*100</f>
        <v>9641.8507320852877</v>
      </c>
      <c r="D108">
        <f>(3/(1+('CurrentPor-All Factor Movements'!C108+'CurrentPor-All Factor Movements'!H108)/100)+103/POWER(1+('CurrentPor-All Factor Movements'!D108+'CurrentPor-All Factor Movements'!H108)/100,2))*100</f>
        <v>9580.0131114840078</v>
      </c>
      <c r="E108">
        <f>(3/(1+('CurrentPor-All Factor Movements'!C108+'CurrentPor-All Factor Movements'!I108)/100)+103/POWER(1+('CurrentPor-All Factor Movements'!D108+'CurrentPor-All Factor Movements'!I108)/100,2))*100</f>
        <v>9580.0863190806813</v>
      </c>
      <c r="F108">
        <f>Portfolio!B$5*'CurrentPor-All Factor Movements'!E108</f>
        <v>52019.675030168153</v>
      </c>
      <c r="G108">
        <f>Portfolio!B$6*'CurrentPor-All Factor Movements'!F108</f>
        <v>3723.9814681946696</v>
      </c>
      <c r="H108">
        <f>Portfolio!B$7*'CurrentPor-All Factor Movements'!J108</f>
        <v>2064.4025659666636</v>
      </c>
      <c r="I108">
        <f t="shared" si="2"/>
        <v>96317.374863010686</v>
      </c>
      <c r="J108">
        <f t="shared" si="3"/>
        <v>-122.21434304046852</v>
      </c>
    </row>
    <row r="109" spans="1:10">
      <c r="A109" s="1">
        <v>45622</v>
      </c>
      <c r="B109">
        <f>(3/(1+('CurrentPor-All Factor Movements'!C109)/100)+103/POWER(1+('CurrentPor-All Factor Movements'!D109)/100,2))*100</f>
        <v>9707.2749570566593</v>
      </c>
      <c r="C109">
        <f>(3/(1+('CurrentPor-All Factor Movements'!C109+'CurrentPor-All Factor Movements'!G109)/100)+103/POWER(1+('CurrentPor-All Factor Movements'!D109+'CurrentPor-All Factor Movements'!G109)/100,2))*100</f>
        <v>9643.5717556193686</v>
      </c>
      <c r="D109">
        <f>(3/(1+('CurrentPor-All Factor Movements'!C109+'CurrentPor-All Factor Movements'!H109)/100)+103/POWER(1+('CurrentPor-All Factor Movements'!D109+'CurrentPor-All Factor Movements'!H109)/100,2))*100</f>
        <v>9604.210810473638</v>
      </c>
      <c r="E109">
        <f>(3/(1+('CurrentPor-All Factor Movements'!C109+'CurrentPor-All Factor Movements'!I109)/100)+103/POWER(1+('CurrentPor-All Factor Movements'!D109+'CurrentPor-All Factor Movements'!I109)/100,2))*100</f>
        <v>9579.9641275439244</v>
      </c>
      <c r="F109">
        <f>Portfolio!B$5*'CurrentPor-All Factor Movements'!E109</f>
        <v>52649.115688828817</v>
      </c>
      <c r="G109">
        <f>Portfolio!B$6*'CurrentPor-All Factor Movements'!F109</f>
        <v>3974.6146283121484</v>
      </c>
      <c r="H109">
        <f>Portfolio!B$7*'CurrentPor-All Factor Movements'!J109</f>
        <v>2064.3963647347382</v>
      </c>
      <c r="I109">
        <f t="shared" si="2"/>
        <v>97223.148332569312</v>
      </c>
      <c r="J109">
        <f t="shared" si="3"/>
        <v>158.682973282077</v>
      </c>
    </row>
    <row r="110" spans="1:10">
      <c r="A110" s="1">
        <v>45623</v>
      </c>
      <c r="B110">
        <f>(3/(1+('CurrentPor-All Factor Movements'!C110)/100)+103/POWER(1+('CurrentPor-All Factor Movements'!D110)/100,2))*100</f>
        <v>9707.983083727715</v>
      </c>
      <c r="C110">
        <f>(3/(1+('CurrentPor-All Factor Movements'!C110+'CurrentPor-All Factor Movements'!G110)/100)+103/POWER(1+('CurrentPor-All Factor Movements'!D110+'CurrentPor-All Factor Movements'!G110)/100,2))*100</f>
        <v>9638.8414700873709</v>
      </c>
      <c r="D110">
        <f>(3/(1+('CurrentPor-All Factor Movements'!C110+'CurrentPor-All Factor Movements'!H110)/100)+103/POWER(1+('CurrentPor-All Factor Movements'!D110+'CurrentPor-All Factor Movements'!H110)/100,2))*100</f>
        <v>9586.8753349997278</v>
      </c>
      <c r="E110">
        <f>(3/(1+('CurrentPor-All Factor Movements'!C110+'CurrentPor-All Factor Movements'!I110)/100)+103/POWER(1+('CurrentPor-All Factor Movements'!D110+'CurrentPor-All Factor Movements'!I110)/100,2))*100</f>
        <v>9580.6364667983235</v>
      </c>
      <c r="F110">
        <f>Portfolio!B$5*'CurrentPor-All Factor Movements'!E110</f>
        <v>52391.616491160275</v>
      </c>
      <c r="G110">
        <f>Portfolio!B$6*'CurrentPor-All Factor Movements'!F110</f>
        <v>3514.8238917170902</v>
      </c>
      <c r="H110">
        <f>Portfolio!B$7*'CurrentPor-All Factor Movements'!J110</f>
        <v>2064.4021619338159</v>
      </c>
      <c r="I110">
        <f t="shared" si="2"/>
        <v>96485.178900424318</v>
      </c>
      <c r="J110">
        <f t="shared" si="3"/>
        <v>-320.00760583720694</v>
      </c>
    </row>
    <row r="111" spans="1:10">
      <c r="A111" s="1">
        <v>45624</v>
      </c>
      <c r="B111">
        <f>(3/(1+('CurrentPor-All Factor Movements'!C111)/100)+103/POWER(1+('CurrentPor-All Factor Movements'!D111)/100,2))*100</f>
        <v>9707.8276680193048</v>
      </c>
      <c r="C111">
        <f>(3/(1+('CurrentPor-All Factor Movements'!C111+'CurrentPor-All Factor Movements'!G111)/100)+103/POWER(1+('CurrentPor-All Factor Movements'!D111+'CurrentPor-All Factor Movements'!G111)/100,2))*100</f>
        <v>9638.6877281387224</v>
      </c>
      <c r="D111">
        <f>(3/(1+('CurrentPor-All Factor Movements'!C111+'CurrentPor-All Factor Movements'!H111)/100)+103/POWER(1+('CurrentPor-All Factor Movements'!D111+'CurrentPor-All Factor Movements'!H111)/100,2))*100</f>
        <v>9603.3568252158329</v>
      </c>
      <c r="E111">
        <f>(3/(1+('CurrentPor-All Factor Movements'!C111+'CurrentPor-All Factor Movements'!I111)/100)+103/POWER(1+('CurrentPor-All Factor Movements'!D111+'CurrentPor-All Factor Movements'!I111)/100,2))*100</f>
        <v>9580.7966305520204</v>
      </c>
      <c r="F111">
        <f>Portfolio!B$5*'CurrentPor-All Factor Movements'!E111</f>
        <v>51983.47772701965</v>
      </c>
      <c r="G111">
        <f>Portfolio!B$6*'CurrentPor-All Factor Movements'!F111</f>
        <v>3502.3257169214025</v>
      </c>
      <c r="H111">
        <f>Portfolio!B$7*'CurrentPor-All Factor Movements'!J111</f>
        <v>2064.3967222474307</v>
      </c>
      <c r="I111">
        <f t="shared" si="2"/>
        <v>96080.869018114376</v>
      </c>
      <c r="J111">
        <f t="shared" si="3"/>
        <v>-985.2319206023094</v>
      </c>
    </row>
    <row r="112" spans="1:10">
      <c r="A112" s="1">
        <v>45625</v>
      </c>
      <c r="B112">
        <f>(3/(1+('CurrentPor-All Factor Movements'!C112)/100)+103/POWER(1+('CurrentPor-All Factor Movements'!D112)/100,2))*100</f>
        <v>9707.1982439078256</v>
      </c>
      <c r="C112">
        <f>(3/(1+('CurrentPor-All Factor Movements'!C112+'CurrentPor-All Factor Movements'!G112)/100)+103/POWER(1+('CurrentPor-All Factor Movements'!D112+'CurrentPor-All Factor Movements'!G112)/100,2))*100</f>
        <v>9638.0650825131179</v>
      </c>
      <c r="D112">
        <f>(3/(1+('CurrentPor-All Factor Movements'!C112+'CurrentPor-All Factor Movements'!H112)/100)+103/POWER(1+('CurrentPor-All Factor Movements'!D112+'CurrentPor-All Factor Movements'!H112)/100,2))*100</f>
        <v>9604.3755777524439</v>
      </c>
      <c r="E112">
        <f>(3/(1+('CurrentPor-All Factor Movements'!C112+'CurrentPor-All Factor Movements'!I112)/100)+103/POWER(1+('CurrentPor-All Factor Movements'!D112+'CurrentPor-All Factor Movements'!I112)/100,2))*100</f>
        <v>9579.8958697938215</v>
      </c>
      <c r="F112">
        <f>Portfolio!B$5*'CurrentPor-All Factor Movements'!E112</f>
        <v>52414.959558184521</v>
      </c>
      <c r="G112">
        <f>Portfolio!B$6*'CurrentPor-All Factor Movements'!F112</f>
        <v>3745.951740984046</v>
      </c>
      <c r="H112">
        <f>Portfolio!B$7*'CurrentPor-All Factor Movements'!J112</f>
        <v>2064.3965398619125</v>
      </c>
      <c r="I112">
        <f t="shared" si="2"/>
        <v>96754.842612997687</v>
      </c>
      <c r="J112">
        <f t="shared" si="3"/>
        <v>202.92525164342078</v>
      </c>
    </row>
    <row r="113" spans="1:10">
      <c r="A113" s="1">
        <v>45628</v>
      </c>
      <c r="B113">
        <f>(3/(1+('CurrentPor-All Factor Movements'!C113)/100)+103/POWER(1+('CurrentPor-All Factor Movements'!D113)/100,2))*100</f>
        <v>9706.3124626676308</v>
      </c>
      <c r="C113">
        <f>(3/(1+('CurrentPor-All Factor Movements'!C113+'CurrentPor-All Factor Movements'!G113)/100)+103/POWER(1+('CurrentPor-All Factor Movements'!D113+'CurrentPor-All Factor Movements'!G113)/100,2))*100</f>
        <v>9638.9983164507776</v>
      </c>
      <c r="D113">
        <f>(3/(1+('CurrentPor-All Factor Movements'!C113+'CurrentPor-All Factor Movements'!H113)/100)+103/POWER(1+('CurrentPor-All Factor Movements'!D113+'CurrentPor-All Factor Movements'!H113)/100,2))*100</f>
        <v>9609.4661316383772</v>
      </c>
      <c r="E113">
        <f>(3/(1+('CurrentPor-All Factor Movements'!C113+'CurrentPor-All Factor Movements'!I113)/100)+103/POWER(1+('CurrentPor-All Factor Movements'!D113+'CurrentPor-All Factor Movements'!I113)/100,2))*100</f>
        <v>9579.713761207855</v>
      </c>
      <c r="F113">
        <f>Portfolio!B$5*'CurrentPor-All Factor Movements'!E113</f>
        <v>52423.196489642498</v>
      </c>
      <c r="G113">
        <f>Portfolio!B$6*'CurrentPor-All Factor Movements'!F113</f>
        <v>3669.0748769064498</v>
      </c>
      <c r="H113">
        <f>Portfolio!B$7*'CurrentPor-All Factor Movements'!J113</f>
        <v>2064.3959598012989</v>
      </c>
      <c r="I113">
        <f t="shared" si="2"/>
        <v>96691.157998314899</v>
      </c>
      <c r="J113">
        <f t="shared" si="3"/>
        <v>-135.21175866483827</v>
      </c>
    </row>
    <row r="114" spans="1:10">
      <c r="A114" s="1">
        <v>45629</v>
      </c>
      <c r="B114">
        <f>(3/(1+('CurrentPor-All Factor Movements'!C114)/100)+103/POWER(1+('CurrentPor-All Factor Movements'!D114)/100,2))*100</f>
        <v>9705.1700119135385</v>
      </c>
      <c r="C114">
        <f>(3/(1+('CurrentPor-All Factor Movements'!C114+'CurrentPor-All Factor Movements'!G114)/100)+103/POWER(1+('CurrentPor-All Factor Movements'!D114+'CurrentPor-All Factor Movements'!G114)/100,2))*100</f>
        <v>9639.677515959138</v>
      </c>
      <c r="D114">
        <f>(3/(1+('CurrentPor-All Factor Movements'!C114+'CurrentPor-All Factor Movements'!H114)/100)+103/POWER(1+('CurrentPor-All Factor Movements'!D114+'CurrentPor-All Factor Movements'!H114)/100,2))*100</f>
        <v>9603.5134589800582</v>
      </c>
      <c r="E114">
        <f>(3/(1+('CurrentPor-All Factor Movements'!C114+'CurrentPor-All Factor Movements'!I114)/100)+103/POWER(1+('CurrentPor-All Factor Movements'!D114+'CurrentPor-All Factor Movements'!I114)/100,2))*100</f>
        <v>9578.4017970353325</v>
      </c>
      <c r="F114">
        <f>Portfolio!B$5*'CurrentPor-All Factor Movements'!E114</f>
        <v>52411.162128613185</v>
      </c>
      <c r="G114">
        <f>Portfolio!B$6*'CurrentPor-All Factor Movements'!F114</f>
        <v>4014.6892107563717</v>
      </c>
      <c r="H114">
        <f>Portfolio!B$7*'CurrentPor-All Factor Movements'!J114</f>
        <v>2064.3909810344235</v>
      </c>
      <c r="I114">
        <f t="shared" si="2"/>
        <v>97017.005104292039</v>
      </c>
      <c r="J114">
        <f t="shared" si="3"/>
        <v>560.15012572797423</v>
      </c>
    </row>
    <row r="115" spans="1:10">
      <c r="A115" s="1">
        <v>45630</v>
      </c>
      <c r="B115">
        <f>(3/(1+('CurrentPor-All Factor Movements'!C115)/100)+103/POWER(1+('CurrentPor-All Factor Movements'!D115)/100,2))*100</f>
        <v>9707.4930561750352</v>
      </c>
      <c r="C115">
        <f>(3/(1+('CurrentPor-All Factor Movements'!C115+'CurrentPor-All Factor Movements'!G115)/100)+103/POWER(1+('CurrentPor-All Factor Movements'!D115+'CurrentPor-All Factor Movements'!G115)/100,2))*100</f>
        <v>9641.9768517321063</v>
      </c>
      <c r="D115">
        <f>(3/(1+('CurrentPor-All Factor Movements'!C115+'CurrentPor-All Factor Movements'!H115)/100)+103/POWER(1+('CurrentPor-All Factor Movements'!D115+'CurrentPor-All Factor Movements'!H115)/100,2))*100</f>
        <v>9621.7677002013643</v>
      </c>
      <c r="E115">
        <f>(3/(1+('CurrentPor-All Factor Movements'!C115+'CurrentPor-All Factor Movements'!I115)/100)+103/POWER(1+('CurrentPor-All Factor Movements'!D115+'CurrentPor-All Factor Movements'!I115)/100,2))*100</f>
        <v>9579.2000657534063</v>
      </c>
      <c r="F115">
        <f>Portfolio!B$5*'CurrentPor-All Factor Movements'!E115</f>
        <v>52244.628796070188</v>
      </c>
      <c r="G115">
        <f>Portfolio!B$6*'CurrentPor-All Factor Movements'!F115</f>
        <v>3661.9191076732513</v>
      </c>
      <c r="H115">
        <f>Portfolio!B$7*'CurrentPor-All Factor Movements'!J115</f>
        <v>2064.4009040157584</v>
      </c>
      <c r="I115">
        <f t="shared" si="2"/>
        <v>96521.386481621113</v>
      </c>
      <c r="J115">
        <f t="shared" si="3"/>
        <v>-369.43058061070042</v>
      </c>
    </row>
    <row r="116" spans="1:10">
      <c r="A116" s="1">
        <v>45631</v>
      </c>
      <c r="B116">
        <f>(3/(1+('CurrentPor-All Factor Movements'!C116)/100)+103/POWER(1+('CurrentPor-All Factor Movements'!D116)/100,2))*100</f>
        <v>9707.9549562341235</v>
      </c>
      <c r="C116">
        <f>(3/(1+('CurrentPor-All Factor Movements'!C116+'CurrentPor-All Factor Movements'!G116)/100)+103/POWER(1+('CurrentPor-All Factor Movements'!D116+'CurrentPor-All Factor Movements'!G116)/100,2))*100</f>
        <v>9642.4340373963005</v>
      </c>
      <c r="D116">
        <f>(3/(1+('CurrentPor-All Factor Movements'!C116+'CurrentPor-All Factor Movements'!H116)/100)+103/POWER(1+('CurrentPor-All Factor Movements'!D116+'CurrentPor-All Factor Movements'!H116)/100,2))*100</f>
        <v>9601.7201835884116</v>
      </c>
      <c r="E116">
        <f>(3/(1+('CurrentPor-All Factor Movements'!C116+'CurrentPor-All Factor Movements'!I116)/100)+103/POWER(1+('CurrentPor-All Factor Movements'!D116+'CurrentPor-All Factor Movements'!I116)/100,2))*100</f>
        <v>9581.2476321266695</v>
      </c>
      <c r="F116">
        <f>Portfolio!B$5*'CurrentPor-All Factor Movements'!E116</f>
        <v>51909.87726956579</v>
      </c>
      <c r="G116">
        <f>Portfolio!B$6*'CurrentPor-All Factor Movements'!F116</f>
        <v>3767.6700025158198</v>
      </c>
      <c r="H116">
        <f>Portfolio!B$7*'CurrentPor-All Factor Movements'!J116</f>
        <v>2064.399450359444</v>
      </c>
      <c r="I116">
        <f t="shared" si="2"/>
        <v>96275.303531786572</v>
      </c>
      <c r="J116">
        <f t="shared" si="3"/>
        <v>-151.99813874688698</v>
      </c>
    </row>
    <row r="117" spans="1:10">
      <c r="A117" s="1">
        <v>45632</v>
      </c>
      <c r="B117">
        <f>(3/(1+('CurrentPor-All Factor Movements'!C117)/100)+103/POWER(1+('CurrentPor-All Factor Movements'!D117)/100,2))*100</f>
        <v>9707.4116633024496</v>
      </c>
      <c r="C117">
        <f>(3/(1+('CurrentPor-All Factor Movements'!C117+'CurrentPor-All Factor Movements'!G117)/100)+103/POWER(1+('CurrentPor-All Factor Movements'!D117+'CurrentPor-All Factor Movements'!G117)/100,2))*100</f>
        <v>9643.7071050968352</v>
      </c>
      <c r="D117">
        <f>(3/(1+('CurrentPor-All Factor Movements'!C117+'CurrentPor-All Factor Movements'!H117)/100)+103/POWER(1+('CurrentPor-All Factor Movements'!D117+'CurrentPor-All Factor Movements'!H117)/100,2))*100</f>
        <v>9599.0456867465546</v>
      </c>
      <c r="E117">
        <f>(3/(1+('CurrentPor-All Factor Movements'!C117+'CurrentPor-All Factor Movements'!I117)/100)+103/POWER(1+('CurrentPor-All Factor Movements'!D117+'CurrentPor-All Factor Movements'!I117)/100,2))*100</f>
        <v>9581.0721305252227</v>
      </c>
      <c r="F117">
        <f>Portfolio!B$5*'CurrentPor-All Factor Movements'!E117</f>
        <v>52302.160761590923</v>
      </c>
      <c r="G117">
        <f>Portfolio!B$6*'CurrentPor-All Factor Movements'!F117</f>
        <v>3785.8644612565085</v>
      </c>
      <c r="H117">
        <f>Portfolio!B$7*'CurrentPor-All Factor Movements'!J117</f>
        <v>2064.404463834047</v>
      </c>
      <c r="I117">
        <f t="shared" si="2"/>
        <v>96683.666272352537</v>
      </c>
      <c r="J117">
        <f t="shared" si="3"/>
        <v>-46.514133632183075</v>
      </c>
    </row>
    <row r="118" spans="1:10">
      <c r="A118" s="1">
        <v>45635</v>
      </c>
      <c r="B118">
        <f>(3/(1+('CurrentPor-All Factor Movements'!C118)/100)+103/POWER(1+('CurrentPor-All Factor Movements'!D118)/100,2))*100</f>
        <v>9705.5657220976464</v>
      </c>
      <c r="C118">
        <f>(3/(1+('CurrentPor-All Factor Movements'!C118+'CurrentPor-All Factor Movements'!G118)/100)+103/POWER(1+('CurrentPor-All Factor Movements'!D118+'CurrentPor-All Factor Movements'!G118)/100,2))*100</f>
        <v>9641.8794834854471</v>
      </c>
      <c r="D118">
        <f>(3/(1+('CurrentPor-All Factor Movements'!C118+'CurrentPor-All Factor Movements'!H118)/100)+103/POWER(1+('CurrentPor-All Factor Movements'!D118+'CurrentPor-All Factor Movements'!H118)/100,2))*100</f>
        <v>9605.1793893612939</v>
      </c>
      <c r="E118">
        <f>(3/(1+('CurrentPor-All Factor Movements'!C118+'CurrentPor-All Factor Movements'!I118)/100)+103/POWER(1+('CurrentPor-All Factor Movements'!D118+'CurrentPor-All Factor Movements'!I118)/100,2))*100</f>
        <v>9578.6740348491567</v>
      </c>
      <c r="F118">
        <f>Portfolio!B$5*'CurrentPor-All Factor Movements'!E118</f>
        <v>52318.27070209782</v>
      </c>
      <c r="G118">
        <f>Portfolio!B$6*'CurrentPor-All Factor Movements'!F118</f>
        <v>3730.2931398484916</v>
      </c>
      <c r="H118">
        <f>Portfolio!B$7*'CurrentPor-All Factor Movements'!J118</f>
        <v>2064.403386116257</v>
      </c>
      <c r="I118">
        <f t="shared" si="2"/>
        <v>96644.265857856124</v>
      </c>
      <c r="J118">
        <f t="shared" si="3"/>
        <v>326.8909948454384</v>
      </c>
    </row>
    <row r="119" spans="1:10">
      <c r="A119" s="1">
        <v>45636</v>
      </c>
      <c r="B119">
        <f>(3/(1+('CurrentPor-All Factor Movements'!C119)/100)+103/POWER(1+('CurrentPor-All Factor Movements'!D119)/100,2))*100</f>
        <v>9706.965693361677</v>
      </c>
      <c r="C119">
        <f>(3/(1+('CurrentPor-All Factor Movements'!C119+'CurrentPor-All Factor Movements'!G119)/100)+103/POWER(1+('CurrentPor-All Factor Movements'!D119+'CurrentPor-All Factor Movements'!G119)/100,2))*100</f>
        <v>9643.2655612377075</v>
      </c>
      <c r="D119">
        <f>(3/(1+('CurrentPor-All Factor Movements'!C119+'CurrentPor-All Factor Movements'!H119)/100)+103/POWER(1+('CurrentPor-All Factor Movements'!D119+'CurrentPor-All Factor Movements'!H119)/100,2))*100</f>
        <v>9598.7311724522369</v>
      </c>
      <c r="E119">
        <f>(3/(1+('CurrentPor-All Factor Movements'!C119+'CurrentPor-All Factor Movements'!I119)/100)+103/POWER(1+('CurrentPor-All Factor Movements'!D119+'CurrentPor-All Factor Movements'!I119)/100,2))*100</f>
        <v>9579.7486553470208</v>
      </c>
      <c r="F119">
        <f>Portfolio!B$5*'CurrentPor-All Factor Movements'!E119</f>
        <v>52193.780247822324</v>
      </c>
      <c r="G119">
        <f>Portfolio!B$6*'CurrentPor-All Factor Movements'!F119</f>
        <v>3859.9090797585709</v>
      </c>
      <c r="H119">
        <f>Portfolio!B$7*'CurrentPor-All Factor Movements'!J119</f>
        <v>2064.3985851334978</v>
      </c>
      <c r="I119">
        <f t="shared" si="2"/>
        <v>96646.798995113044</v>
      </c>
      <c r="J119">
        <f t="shared" si="3"/>
        <v>-576.34933745626768</v>
      </c>
    </row>
    <row r="120" spans="1:10">
      <c r="A120" s="1">
        <v>45637</v>
      </c>
      <c r="B120">
        <f>(3/(1+('CurrentPor-All Factor Movements'!C120)/100)+103/POWER(1+('CurrentPor-All Factor Movements'!D120)/100,2))*100</f>
        <v>9706.3210785471074</v>
      </c>
      <c r="C120">
        <f>(3/(1+('CurrentPor-All Factor Movements'!C120+'CurrentPor-All Factor Movements'!G120)/100)+103/POWER(1+('CurrentPor-All Factor Movements'!D120+'CurrentPor-All Factor Movements'!G120)/100,2))*100</f>
        <v>9640.8168354142417</v>
      </c>
      <c r="D120">
        <f>(3/(1+('CurrentPor-All Factor Movements'!C120+'CurrentPor-All Factor Movements'!H120)/100)+103/POWER(1+('CurrentPor-All Factor Movements'!D120+'CurrentPor-All Factor Movements'!H120)/100,2))*100</f>
        <v>9580.7412246474687</v>
      </c>
      <c r="E120">
        <f>(3/(1+('CurrentPor-All Factor Movements'!C120+'CurrentPor-All Factor Movements'!I120)/100)+103/POWER(1+('CurrentPor-All Factor Movements'!D120+'CurrentPor-All Factor Movements'!I120)/100,2))*100</f>
        <v>9579.3078555439679</v>
      </c>
      <c r="F120">
        <f>Portfolio!B$5*'CurrentPor-All Factor Movements'!E120</f>
        <v>52639.593058755585</v>
      </c>
      <c r="G120">
        <f>Portfolio!B$6*'CurrentPor-All Factor Movements'!F120</f>
        <v>4127.1419081241074</v>
      </c>
      <c r="H120">
        <f>Portfolio!B$7*'CurrentPor-All Factor Movements'!J120</f>
        <v>2064.3956705839864</v>
      </c>
      <c r="I120">
        <f t="shared" si="2"/>
        <v>97338.317631616461</v>
      </c>
      <c r="J120">
        <f t="shared" si="3"/>
        <v>853.13873119214259</v>
      </c>
    </row>
    <row r="121" spans="1:10">
      <c r="A121" s="1">
        <v>45638</v>
      </c>
      <c r="B121">
        <f>(3/(1+('CurrentPor-All Factor Movements'!C121)/100)+103/POWER(1+('CurrentPor-All Factor Movements'!D121)/100,2))*100</f>
        <v>9706.9748362839237</v>
      </c>
      <c r="C121">
        <f>(3/(1+('CurrentPor-All Factor Movements'!C121+'CurrentPor-All Factor Movements'!G121)/100)+103/POWER(1+('CurrentPor-All Factor Movements'!D121+'CurrentPor-All Factor Movements'!G121)/100,2))*100</f>
        <v>9639.6537434519469</v>
      </c>
      <c r="D121">
        <f>(3/(1+('CurrentPor-All Factor Movements'!C121+'CurrentPor-All Factor Movements'!H121)/100)+103/POWER(1+('CurrentPor-All Factor Movements'!D121+'CurrentPor-All Factor Movements'!H121)/100,2))*100</f>
        <v>9597.6004041947544</v>
      </c>
      <c r="E121">
        <f>(3/(1+('CurrentPor-All Factor Movements'!C121+'CurrentPor-All Factor Movements'!I121)/100)+103/POWER(1+('CurrentPor-All Factor Movements'!D121+'CurrentPor-All Factor Movements'!I121)/100,2))*100</f>
        <v>9580.5624534333801</v>
      </c>
      <c r="F121">
        <f>Portfolio!B$5*'CurrentPor-All Factor Movements'!E121</f>
        <v>52668.263784012292</v>
      </c>
      <c r="G121">
        <f>Portfolio!B$6*'CurrentPor-All Factor Movements'!F121</f>
        <v>3554.8894772535618</v>
      </c>
      <c r="H121">
        <f>Portfolio!B$7*'CurrentPor-All Factor Movements'!J121</f>
        <v>2064.4012486245815</v>
      </c>
      <c r="I121">
        <f t="shared" si="2"/>
        <v>96812.345947254435</v>
      </c>
      <c r="J121">
        <f t="shared" si="3"/>
        <v>731.47692914005893</v>
      </c>
    </row>
    <row r="122" spans="1:10">
      <c r="A122" s="1">
        <v>45639</v>
      </c>
      <c r="B122">
        <f>(3/(1+('CurrentPor-All Factor Movements'!C122)/100)+103/POWER(1+('CurrentPor-All Factor Movements'!D122)/100,2))*100</f>
        <v>9707.2216732544766</v>
      </c>
      <c r="C122">
        <f>(3/(1+('CurrentPor-All Factor Movements'!C122+'CurrentPor-All Factor Movements'!G122)/100)+103/POWER(1+('CurrentPor-All Factor Movements'!D122+'CurrentPor-All Factor Movements'!G122)/100,2))*100</f>
        <v>9639.8979916688713</v>
      </c>
      <c r="D122">
        <f>(3/(1+('CurrentPor-All Factor Movements'!C122+'CurrentPor-All Factor Movements'!H122)/100)+103/POWER(1+('CurrentPor-All Factor Movements'!D122+'CurrentPor-All Factor Movements'!H122)/100,2))*100</f>
        <v>9606.3747462321771</v>
      </c>
      <c r="E122">
        <f>(3/(1+('CurrentPor-All Factor Movements'!C122+'CurrentPor-All Factor Movements'!I122)/100)+103/POWER(1+('CurrentPor-All Factor Movements'!D122+'CurrentPor-All Factor Movements'!I122)/100,2))*100</f>
        <v>9579.3942484906474</v>
      </c>
      <c r="F122">
        <f>Portfolio!B$5*'CurrentPor-All Factor Movements'!E122</f>
        <v>52165.182017666055</v>
      </c>
      <c r="G122">
        <f>Portfolio!B$6*'CurrentPor-All Factor Movements'!F122</f>
        <v>3842.7265043070079</v>
      </c>
      <c r="H122">
        <f>Portfolio!B$7*'CurrentPor-All Factor Movements'!J122</f>
        <v>2064.3981839429825</v>
      </c>
      <c r="I122">
        <f t="shared" si="2"/>
        <v>96605.195365562206</v>
      </c>
      <c r="J122">
        <f t="shared" si="3"/>
        <v>-149.6472474354814</v>
      </c>
    </row>
    <row r="123" spans="1:10">
      <c r="A123" s="1">
        <v>45642</v>
      </c>
      <c r="B123">
        <f>(3/(1+('CurrentPor-All Factor Movements'!C123)/100)+103/POWER(1+('CurrentPor-All Factor Movements'!D123)/100,2))*100</f>
        <v>9707.8110796042238</v>
      </c>
      <c r="C123">
        <f>(3/(1+('CurrentPor-All Factor Movements'!C123+'CurrentPor-All Factor Movements'!G123)/100)+103/POWER(1+('CurrentPor-All Factor Movements'!D123+'CurrentPor-All Factor Movements'!G123)/100,2))*100</f>
        <v>9640.4812163631468</v>
      </c>
      <c r="D123">
        <f>(3/(1+('CurrentPor-All Factor Movements'!C123+'CurrentPor-All Factor Movements'!H123)/100)+103/POWER(1+('CurrentPor-All Factor Movements'!D123+'CurrentPor-All Factor Movements'!H123)/100,2))*100</f>
        <v>9594.6652020031343</v>
      </c>
      <c r="E123">
        <f>(3/(1+('CurrentPor-All Factor Movements'!C123+'CurrentPor-All Factor Movements'!I123)/100)+103/POWER(1+('CurrentPor-All Factor Movements'!D123+'CurrentPor-All Factor Movements'!I123)/100,2))*100</f>
        <v>9580.8055429725846</v>
      </c>
      <c r="F123">
        <f>Portfolio!B$5*'CurrentPor-All Factor Movements'!E123</f>
        <v>52178.846073333669</v>
      </c>
      <c r="G123">
        <f>Portfolio!B$6*'CurrentPor-All Factor Movements'!F123</f>
        <v>4023.7074590321017</v>
      </c>
      <c r="H123">
        <f>Portfolio!B$7*'CurrentPor-All Factor Movements'!J123</f>
        <v>2064.3936384060316</v>
      </c>
      <c r="I123">
        <f t="shared" si="2"/>
        <v>96790.710211714904</v>
      </c>
      <c r="J123">
        <f t="shared" si="3"/>
        <v>99.552213400005712</v>
      </c>
    </row>
    <row r="124" spans="1:10">
      <c r="A124" s="1">
        <v>45643</v>
      </c>
      <c r="B124">
        <f>(3/(1+('CurrentPor-All Factor Movements'!C124)/100)+103/POWER(1+('CurrentPor-All Factor Movements'!D124)/100,2))*100</f>
        <v>9707.2063579188343</v>
      </c>
      <c r="C124">
        <f>(3/(1+('CurrentPor-All Factor Movements'!C124+'CurrentPor-All Factor Movements'!G124)/100)+103/POWER(1+('CurrentPor-All Factor Movements'!D124+'CurrentPor-All Factor Movements'!G124)/100,2))*100</f>
        <v>9638.0731091429479</v>
      </c>
      <c r="D124">
        <f>(3/(1+('CurrentPor-All Factor Movements'!C124+'CurrentPor-All Factor Movements'!H124)/100)+103/POWER(1+('CurrentPor-All Factor Movements'!D124+'CurrentPor-All Factor Movements'!H124)/100,2))*100</f>
        <v>9593.4967227134784</v>
      </c>
      <c r="E124">
        <f>(3/(1+('CurrentPor-All Factor Movements'!C124+'CurrentPor-All Factor Movements'!I124)/100)+103/POWER(1+('CurrentPor-All Factor Movements'!D124+'CurrentPor-All Factor Movements'!I124)/100,2))*100</f>
        <v>9580.3797151567924</v>
      </c>
      <c r="F124">
        <f>Portfolio!B$5*'CurrentPor-All Factor Movements'!E124</f>
        <v>52086.540834987769</v>
      </c>
      <c r="G124">
        <f>Portfolio!B$6*'CurrentPor-All Factor Movements'!F124</f>
        <v>3844.8690462919708</v>
      </c>
      <c r="H124">
        <f>Portfolio!B$7*'CurrentPor-All Factor Movements'!J124</f>
        <v>2064.403583945671</v>
      </c>
      <c r="I124">
        <f t="shared" si="2"/>
        <v>96514.969370157472</v>
      </c>
      <c r="J124">
        <f t="shared" si="3"/>
        <v>-502.03573413456616</v>
      </c>
    </row>
    <row r="125" spans="1:10">
      <c r="A125" s="1">
        <v>45644</v>
      </c>
      <c r="B125">
        <f>(3/(1+('CurrentPor-All Factor Movements'!C125)/100)+103/POWER(1+('CurrentPor-All Factor Movements'!D125)/100,2))*100</f>
        <v>9707.2544805198104</v>
      </c>
      <c r="C125">
        <f>(3/(1+('CurrentPor-All Factor Movements'!C125+'CurrentPor-All Factor Movements'!G125)/100)+103/POWER(1+('CurrentPor-All Factor Movements'!D125+'CurrentPor-All Factor Movements'!G125)/100,2))*100</f>
        <v>9638.120713502638</v>
      </c>
      <c r="D125">
        <f>(3/(1+('CurrentPor-All Factor Movements'!C125+'CurrentPor-All Factor Movements'!H125)/100)+103/POWER(1+('CurrentPor-All Factor Movements'!D125+'CurrentPor-All Factor Movements'!H125)/100,2))*100</f>
        <v>9590.4057456470036</v>
      </c>
      <c r="E125">
        <f>(3/(1+('CurrentPor-All Factor Movements'!C125+'CurrentPor-All Factor Movements'!I125)/100)+103/POWER(1+('CurrentPor-All Factor Movements'!D125+'CurrentPor-All Factor Movements'!I125)/100,2))*100</f>
        <v>9580.2077213116918</v>
      </c>
      <c r="F125">
        <f>Portfolio!B$5*'CurrentPor-All Factor Movements'!E125</f>
        <v>52112.923237691175</v>
      </c>
      <c r="G125">
        <f>Portfolio!B$6*'CurrentPor-All Factor Movements'!F125</f>
        <v>3641.9309090376055</v>
      </c>
      <c r="H125">
        <f>Portfolio!B$7*'CurrentPor-All Factor Movements'!J125</f>
        <v>2064.4092970001088</v>
      </c>
      <c r="I125">
        <f t="shared" si="2"/>
        <v>96335.252104710031</v>
      </c>
      <c r="J125">
        <f t="shared" si="3"/>
        <v>-186.13437691108265</v>
      </c>
    </row>
    <row r="126" spans="1:10">
      <c r="A126" s="1">
        <v>45645</v>
      </c>
      <c r="B126">
        <f>(3/(1+('CurrentPor-All Factor Movements'!C126)/100)+103/POWER(1+('CurrentPor-All Factor Movements'!D126)/100,2))*100</f>
        <v>9706.3141937511082</v>
      </c>
      <c r="C126">
        <f>(3/(1+('CurrentPor-All Factor Movements'!C126+'CurrentPor-All Factor Movements'!G126)/100)+103/POWER(1+('CurrentPor-All Factor Movements'!D126+'CurrentPor-All Factor Movements'!G126)/100,2))*100</f>
        <v>9639.0000293799021</v>
      </c>
      <c r="D126">
        <f>(3/(1+('CurrentPor-All Factor Movements'!C126+'CurrentPor-All Factor Movements'!H126)/100)+103/POWER(1+('CurrentPor-All Factor Movements'!D126+'CurrentPor-All Factor Movements'!H126)/100,2))*100</f>
        <v>9590.5043301224759</v>
      </c>
      <c r="E126">
        <f>(3/(1+('CurrentPor-All Factor Movements'!C126+'CurrentPor-All Factor Movements'!I126)/100)+103/POWER(1+('CurrentPor-All Factor Movements'!D126+'CurrentPor-All Factor Movements'!I126)/100,2))*100</f>
        <v>9578.8310621157416</v>
      </c>
      <c r="F126">
        <f>Portfolio!B$5*'CurrentPor-All Factor Movements'!E126</f>
        <v>51815.079073052097</v>
      </c>
      <c r="G126">
        <f>Portfolio!B$6*'CurrentPor-All Factor Movements'!F126</f>
        <v>3802.4981128383984</v>
      </c>
      <c r="H126">
        <f>Portfolio!B$7*'CurrentPor-All Factor Movements'!J126</f>
        <v>2064.4041420369822</v>
      </c>
      <c r="I126">
        <f t="shared" si="2"/>
        <v>96196.630943296695</v>
      </c>
      <c r="J126">
        <f t="shared" si="3"/>
        <v>-78.672588489876944</v>
      </c>
    </row>
    <row r="127" spans="1:10">
      <c r="A127" s="1">
        <v>45646</v>
      </c>
      <c r="B127">
        <f>(3/(1+('CurrentPor-All Factor Movements'!C127)/100)+103/POWER(1+('CurrentPor-All Factor Movements'!D127)/100,2))*100</f>
        <v>9706.4451218418781</v>
      </c>
      <c r="C127">
        <f>(3/(1+('CurrentPor-All Factor Movements'!C127+'CurrentPor-All Factor Movements'!G127)/100)+103/POWER(1+('CurrentPor-All Factor Movements'!D127+'CurrentPor-All Factor Movements'!G127)/100,2))*100</f>
        <v>9639.1295843868029</v>
      </c>
      <c r="D127">
        <f>(3/(1+('CurrentPor-All Factor Movements'!C127+'CurrentPor-All Factor Movements'!H127)/100)+103/POWER(1+('CurrentPor-All Factor Movements'!D127+'CurrentPor-All Factor Movements'!H127)/100,2))*100</f>
        <v>9602.9379518265778</v>
      </c>
      <c r="E127">
        <f>(3/(1+('CurrentPor-All Factor Movements'!C127+'CurrentPor-All Factor Movements'!I127)/100)+103/POWER(1+('CurrentPor-All Factor Movements'!D127+'CurrentPor-All Factor Movements'!I127)/100,2))*100</f>
        <v>9579.8073475017645</v>
      </c>
      <c r="F127">
        <f>Portfolio!B$5*'CurrentPor-All Factor Movements'!E127</f>
        <v>52266.345031351353</v>
      </c>
      <c r="G127">
        <f>Portfolio!B$6*'CurrentPor-All Factor Movements'!F127</f>
        <v>3993.868243705303</v>
      </c>
      <c r="H127">
        <f>Portfolio!B$7*'CurrentPor-All Factor Movements'!J127</f>
        <v>2064.4053678486748</v>
      </c>
      <c r="I127">
        <f t="shared" si="2"/>
        <v>96852.938648462368</v>
      </c>
      <c r="J127">
        <f t="shared" si="3"/>
        <v>169.27237610983138</v>
      </c>
    </row>
    <row r="128" spans="1:10">
      <c r="A128" s="1">
        <v>45649</v>
      </c>
      <c r="B128">
        <f>(3/(1+('CurrentPor-All Factor Movements'!C128)/100)+103/POWER(1+('CurrentPor-All Factor Movements'!D128)/100,2))*100</f>
        <v>9707.4737465342751</v>
      </c>
      <c r="C128">
        <f>(3/(1+('CurrentPor-All Factor Movements'!C128+'CurrentPor-All Factor Movements'!G128)/100)+103/POWER(1+('CurrentPor-All Factor Movements'!D128+'CurrentPor-All Factor Movements'!G128)/100,2))*100</f>
        <v>9638.3376181839139</v>
      </c>
      <c r="D128">
        <f>(3/(1+('CurrentPor-All Factor Movements'!C128+'CurrentPor-All Factor Movements'!H128)/100)+103/POWER(1+('CurrentPor-All Factor Movements'!D128+'CurrentPor-All Factor Movements'!H128)/100,2))*100</f>
        <v>9593.4642632727919</v>
      </c>
      <c r="E128">
        <f>(3/(1+('CurrentPor-All Factor Movements'!C128+'CurrentPor-All Factor Movements'!I128)/100)+103/POWER(1+('CurrentPor-All Factor Movements'!D128+'CurrentPor-All Factor Movements'!I128)/100,2))*100</f>
        <v>9578.0868967044935</v>
      </c>
      <c r="F128">
        <f>Portfolio!B$5*'CurrentPor-All Factor Movements'!E128</f>
        <v>52484.764329405756</v>
      </c>
      <c r="G128">
        <f>Portfolio!B$6*'CurrentPor-All Factor Movements'!F128</f>
        <v>3850.8732974342656</v>
      </c>
      <c r="H128">
        <f>Portfolio!B$7*'CurrentPor-All Factor Movements'!J128</f>
        <v>2064.4065108838204</v>
      </c>
      <c r="I128">
        <f t="shared" si="2"/>
        <v>96917.406662419322</v>
      </c>
      <c r="J128">
        <f t="shared" si="3"/>
        <v>273.14080456319789</v>
      </c>
    </row>
    <row r="129" spans="1:10">
      <c r="A129" s="1">
        <v>45650</v>
      </c>
      <c r="B129">
        <f>(3/(1+('CurrentPor-All Factor Movements'!C129)/100)+103/POWER(1+('CurrentPor-All Factor Movements'!D129)/100,2))*100</f>
        <v>9707.4356354276679</v>
      </c>
      <c r="C129">
        <f>(3/(1+('CurrentPor-All Factor Movements'!C129+'CurrentPor-All Factor Movements'!G129)/100)+103/POWER(1+('CurrentPor-All Factor Movements'!D129+'CurrentPor-All Factor Movements'!G129)/100,2))*100</f>
        <v>9636.4906398426137</v>
      </c>
      <c r="D129">
        <f>(3/(1+('CurrentPor-All Factor Movements'!C129+'CurrentPor-All Factor Movements'!H129)/100)+103/POWER(1+('CurrentPor-All Factor Movements'!D129+'CurrentPor-All Factor Movements'!H129)/100,2))*100</f>
        <v>9615.8062957284947</v>
      </c>
      <c r="E129">
        <f>(3/(1+('CurrentPor-All Factor Movements'!C129+'CurrentPor-All Factor Movements'!I129)/100)+103/POWER(1+('CurrentPor-All Factor Movements'!D129+'CurrentPor-All Factor Movements'!I129)/100,2))*100</f>
        <v>9579.663660281125</v>
      </c>
      <c r="F129">
        <f>Portfolio!B$5*'CurrentPor-All Factor Movements'!E129</f>
        <v>52440.729265562615</v>
      </c>
      <c r="G129">
        <f>Portfolio!B$6*'CurrentPor-All Factor Movements'!F129</f>
        <v>3780.0996324488146</v>
      </c>
      <c r="H129">
        <f>Portfolio!B$7*'CurrentPor-All Factor Movements'!J129</f>
        <v>2064.4046351425077</v>
      </c>
      <c r="I129">
        <f t="shared" si="2"/>
        <v>96824.629764433834</v>
      </c>
      <c r="J129">
        <f t="shared" si="3"/>
        <v>177.83076932078984</v>
      </c>
    </row>
    <row r="130" spans="1:10">
      <c r="A130" s="1">
        <v>45651</v>
      </c>
      <c r="B130">
        <f>(3/(1+('CurrentPor-All Factor Movements'!C130)/100)+103/POWER(1+('CurrentPor-All Factor Movements'!D130)/100,2))*100</f>
        <v>9707.992455735106</v>
      </c>
      <c r="C130">
        <f>(3/(1+('CurrentPor-All Factor Movements'!C130+'CurrentPor-All Factor Movements'!G130)/100)+103/POWER(1+('CurrentPor-All Factor Movements'!D130+'CurrentPor-All Factor Movements'!G130)/100,2))*100</f>
        <v>9637.0413068584094</v>
      </c>
      <c r="D130">
        <f>(3/(1+('CurrentPor-All Factor Movements'!C130+'CurrentPor-All Factor Movements'!H130)/100)+103/POWER(1+('CurrentPor-All Factor Movements'!D130+'CurrentPor-All Factor Movements'!H130)/100,2))*100</f>
        <v>9604.8627907231185</v>
      </c>
      <c r="E130">
        <f>(3/(1+('CurrentPor-All Factor Movements'!C130+'CurrentPor-All Factor Movements'!I130)/100)+103/POWER(1+('CurrentPor-All Factor Movements'!D130+'CurrentPor-All Factor Movements'!I130)/100,2))*100</f>
        <v>9580.6344162067962</v>
      </c>
      <c r="F130">
        <f>Portfolio!B$5*'CurrentPor-All Factor Movements'!E130</f>
        <v>52019.810349354222</v>
      </c>
      <c r="G130">
        <f>Portfolio!B$6*'CurrentPor-All Factor Movements'!F130</f>
        <v>3652.1273293568152</v>
      </c>
      <c r="H130">
        <f>Portfolio!B$7*'CurrentPor-All Factor Movements'!J130</f>
        <v>2064.3877631634914</v>
      </c>
      <c r="I130">
        <f t="shared" si="2"/>
        <v>96266.856411397952</v>
      </c>
      <c r="J130">
        <f t="shared" si="3"/>
        <v>-1071.461220218509</v>
      </c>
    </row>
    <row r="131" spans="1:10">
      <c r="A131" s="1">
        <v>45652</v>
      </c>
      <c r="B131">
        <f>(3/(1+('CurrentPor-All Factor Movements'!C131)/100)+103/POWER(1+('CurrentPor-All Factor Movements'!D131)/100,2))*100</f>
        <v>9706.9837123449033</v>
      </c>
      <c r="C131">
        <f>(3/(1+('CurrentPor-All Factor Movements'!C131+'CurrentPor-All Factor Movements'!G131)/100)+103/POWER(1+('CurrentPor-All Factor Movements'!D131+'CurrentPor-All Factor Movements'!G131)/100,2))*100</f>
        <v>9637.8528612639147</v>
      </c>
      <c r="D131">
        <f>(3/(1+('CurrentPor-All Factor Movements'!C131+'CurrentPor-All Factor Movements'!H131)/100)+103/POWER(1+('CurrentPor-All Factor Movements'!D131+'CurrentPor-All Factor Movements'!H131)/100,2))*100</f>
        <v>9606.5212594659042</v>
      </c>
      <c r="E131">
        <f>(3/(1+('CurrentPor-All Factor Movements'!C131+'CurrentPor-All Factor Movements'!I131)/100)+103/POWER(1+('CurrentPor-All Factor Movements'!D131+'CurrentPor-All Factor Movements'!I131)/100,2))*100</f>
        <v>9580.4304558346121</v>
      </c>
      <c r="F131">
        <f>Portfolio!B$5*'CurrentPor-All Factor Movements'!E131</f>
        <v>52055.120407152855</v>
      </c>
      <c r="G131">
        <f>Portfolio!B$6*'CurrentPor-All Factor Movements'!F131</f>
        <v>3940.3099782904151</v>
      </c>
      <c r="H131">
        <f>Portfolio!B$7*'CurrentPor-All Factor Movements'!J131</f>
        <v>2064.3994233655199</v>
      </c>
      <c r="I131">
        <f t="shared" si="2"/>
        <v>96591.618097718136</v>
      </c>
      <c r="J131">
        <f t="shared" si="3"/>
        <v>-220.72784953629889</v>
      </c>
    </row>
    <row r="132" spans="1:10">
      <c r="A132" s="1">
        <v>45653</v>
      </c>
      <c r="B132">
        <f>(3/(1+('CurrentPor-All Factor Movements'!C132)/100)+103/POWER(1+('CurrentPor-All Factor Movements'!D132)/100,2))*100</f>
        <v>9705.5889666530256</v>
      </c>
      <c r="C132">
        <f>(3/(1+('CurrentPor-All Factor Movements'!C132+'CurrentPor-All Factor Movements'!G132)/100)+103/POWER(1+('CurrentPor-All Factor Movements'!D132+'CurrentPor-All Factor Movements'!G132)/100,2))*100</f>
        <v>9636.4731351095725</v>
      </c>
      <c r="D132">
        <f>(3/(1+('CurrentPor-All Factor Movements'!C132+'CurrentPor-All Factor Movements'!H132)/100)+103/POWER(1+('CurrentPor-All Factor Movements'!D132+'CurrentPor-All Factor Movements'!H132)/100,2))*100</f>
        <v>9595.3471802581407</v>
      </c>
      <c r="E132">
        <f>(3/(1+('CurrentPor-All Factor Movements'!C132+'CurrentPor-All Factor Movements'!I132)/100)+103/POWER(1+('CurrentPor-All Factor Movements'!D132+'CurrentPor-All Factor Movements'!I132)/100,2))*100</f>
        <v>9579.6662930912371</v>
      </c>
      <c r="F132">
        <f>Portfolio!B$5*'CurrentPor-All Factor Movements'!E132</f>
        <v>52152.286780527982</v>
      </c>
      <c r="G132">
        <f>Portfolio!B$6*'CurrentPor-All Factor Movements'!F132</f>
        <v>4086.6505759867337</v>
      </c>
      <c r="H132">
        <f>Portfolio!B$7*'CurrentPor-All Factor Movements'!J132</f>
        <v>2064.3967342419933</v>
      </c>
      <c r="I132">
        <f t="shared" ref="I132:I187" si="4">SUM(B132:H132)</f>
        <v>96820.409665868676</v>
      </c>
      <c r="J132">
        <f t="shared" si="3"/>
        <v>215.21430030647025</v>
      </c>
    </row>
    <row r="133" spans="1:10">
      <c r="A133" s="1">
        <v>45656</v>
      </c>
      <c r="B133">
        <f>(3/(1+('CurrentPor-All Factor Movements'!C133)/100)+103/POWER(1+('CurrentPor-All Factor Movements'!D133)/100,2))*100</f>
        <v>9708.2387962218781</v>
      </c>
      <c r="C133">
        <f>(3/(1+('CurrentPor-All Factor Movements'!C133+'CurrentPor-All Factor Movements'!G133)/100)+103/POWER(1+('CurrentPor-All Factor Movements'!D133+'CurrentPor-All Factor Movements'!G133)/100,2))*100</f>
        <v>9631.8595008071661</v>
      </c>
      <c r="D133">
        <f>(3/(1+('CurrentPor-All Factor Movements'!C133+'CurrentPor-All Factor Movements'!H133)/100)+103/POWER(1+('CurrentPor-All Factor Movements'!D133+'CurrentPor-All Factor Movements'!H133)/100,2))*100</f>
        <v>9610.3371401817731</v>
      </c>
      <c r="E133">
        <f>(3/(1+('CurrentPor-All Factor Movements'!C133+'CurrentPor-All Factor Movements'!I133)/100)+103/POWER(1+('CurrentPor-All Factor Movements'!D133+'CurrentPor-All Factor Movements'!I133)/100,2))*100</f>
        <v>9581.2025986876706</v>
      </c>
      <c r="F133">
        <f>Portfolio!B$5*'CurrentPor-All Factor Movements'!E133</f>
        <v>52401.855682716719</v>
      </c>
      <c r="G133">
        <f>Portfolio!B$6*'CurrentPor-All Factor Movements'!F133</f>
        <v>4005.6264353140828</v>
      </c>
      <c r="H133">
        <f>Portfolio!B$7*'CurrentPor-All Factor Movements'!J133</f>
        <v>2064.4012710093903</v>
      </c>
      <c r="I133">
        <f t="shared" si="4"/>
        <v>97003.521424938692</v>
      </c>
      <c r="J133">
        <f t="shared" si="3"/>
        <v>212.81121322378749</v>
      </c>
    </row>
    <row r="134" spans="1:10">
      <c r="A134" s="1">
        <v>45657</v>
      </c>
      <c r="B134">
        <f>(3/(1+('CurrentPor-All Factor Movements'!C134)/100)+103/POWER(1+('CurrentPor-All Factor Movements'!D134)/100,2))*100</f>
        <v>9706.3906632906292</v>
      </c>
      <c r="C134">
        <f>(3/(1+('CurrentPor-All Factor Movements'!C134+'CurrentPor-All Factor Movements'!G134)/100)+103/POWER(1+('CurrentPor-All Factor Movements'!D134+'CurrentPor-All Factor Movements'!G134)/100,2))*100</f>
        <v>9630.0333492071895</v>
      </c>
      <c r="D134">
        <f>(3/(1+('CurrentPor-All Factor Movements'!C134+'CurrentPor-All Factor Movements'!H134)/100)+103/POWER(1+('CurrentPor-All Factor Movements'!D134+'CurrentPor-All Factor Movements'!H134)/100,2))*100</f>
        <v>9601.5988836574434</v>
      </c>
      <c r="E134">
        <f>(3/(1+('CurrentPor-All Factor Movements'!C134+'CurrentPor-All Factor Movements'!I134)/100)+103/POWER(1+('CurrentPor-All Factor Movements'!D134+'CurrentPor-All Factor Movements'!I134)/100,2))*100</f>
        <v>9579.6131427268228</v>
      </c>
      <c r="F134">
        <f>Portfolio!B$5*'CurrentPor-All Factor Movements'!E134</f>
        <v>52408.457741395367</v>
      </c>
      <c r="G134">
        <f>Portfolio!B$6*'CurrentPor-All Factor Movements'!F134</f>
        <v>3923.0602871281926</v>
      </c>
      <c r="H134">
        <f>Portfolio!B$7*'CurrentPor-All Factor Movements'!J134</f>
        <v>2064.3896998929049</v>
      </c>
      <c r="I134">
        <f t="shared" si="4"/>
        <v>96913.543767298543</v>
      </c>
      <c r="J134">
        <f t="shared" si="3"/>
        <v>398.57439714107022</v>
      </c>
    </row>
    <row r="135" spans="1:10">
      <c r="A135" s="1">
        <v>45658</v>
      </c>
      <c r="B135">
        <f>(3/(1+('CurrentPor-All Factor Movements'!C135)/100)+103/POWER(1+('CurrentPor-All Factor Movements'!D135)/100,2))*100</f>
        <v>9706.5699559300774</v>
      </c>
      <c r="C135">
        <f>(3/(1+('CurrentPor-All Factor Movements'!C135+'CurrentPor-All Factor Movements'!G135)/100)+103/POWER(1+('CurrentPor-All Factor Movements'!D135+'CurrentPor-All Factor Movements'!G135)/100,2))*100</f>
        <v>9628.4035316708432</v>
      </c>
      <c r="D135">
        <f>(3/(1+('CurrentPor-All Factor Movements'!C135+'CurrentPor-All Factor Movements'!H135)/100)+103/POWER(1+('CurrentPor-All Factor Movements'!D135+'CurrentPor-All Factor Movements'!H135)/100,2))*100</f>
        <v>9592.0992767879179</v>
      </c>
      <c r="E135">
        <f>(3/(1+('CurrentPor-All Factor Movements'!C135+'CurrentPor-All Factor Movements'!I135)/100)+103/POWER(1+('CurrentPor-All Factor Movements'!D135+'CurrentPor-All Factor Movements'!I135)/100,2))*100</f>
        <v>9578.0111162774865</v>
      </c>
      <c r="F135">
        <f>Portfolio!B$5*'CurrentPor-All Factor Movements'!E135</f>
        <v>52386.625004328336</v>
      </c>
      <c r="G135">
        <f>Portfolio!B$6*'CurrentPor-All Factor Movements'!F135</f>
        <v>3578.884813527231</v>
      </c>
      <c r="H135">
        <f>Portfolio!B$7*'CurrentPor-All Factor Movements'!J135</f>
        <v>2064.3971753801011</v>
      </c>
      <c r="I135">
        <f t="shared" si="4"/>
        <v>96534.990873901988</v>
      </c>
      <c r="J135">
        <f t="shared" si="3"/>
        <v>199.73876919195754</v>
      </c>
    </row>
    <row r="136" spans="1:10">
      <c r="A136" s="1">
        <v>45659</v>
      </c>
      <c r="B136">
        <f>(3/(1+('CurrentPor-All Factor Movements'!C136)/100)+103/POWER(1+('CurrentPor-All Factor Movements'!D136)/100,2))*100</f>
        <v>9705.4541873964281</v>
      </c>
      <c r="C136">
        <f>(3/(1+('CurrentPor-All Factor Movements'!C136+'CurrentPor-All Factor Movements'!G136)/100)+103/POWER(1+('CurrentPor-All Factor Movements'!D136+'CurrentPor-All Factor Movements'!G136)/100,2))*100</f>
        <v>9629.1080107656235</v>
      </c>
      <c r="D136">
        <f>(3/(1+('CurrentPor-All Factor Movements'!C136+'CurrentPor-All Factor Movements'!H136)/100)+103/POWER(1+('CurrentPor-All Factor Movements'!D136+'CurrentPor-All Factor Movements'!H136)/100,2))*100</f>
        <v>9590.9048391700053</v>
      </c>
      <c r="E136">
        <f>(3/(1+('CurrentPor-All Factor Movements'!C136+'CurrentPor-All Factor Movements'!I136)/100)+103/POWER(1+('CurrentPor-All Factor Movements'!D136+'CurrentPor-All Factor Movements'!I136)/100,2))*100</f>
        <v>9578.4591637038611</v>
      </c>
      <c r="F136">
        <f>Portfolio!B$5*'CurrentPor-All Factor Movements'!E136</f>
        <v>52296.567945975483</v>
      </c>
      <c r="G136">
        <f>Portfolio!B$6*'CurrentPor-All Factor Movements'!F136</f>
        <v>3988.4877731058396</v>
      </c>
      <c r="H136">
        <f>Portfolio!B$7*'CurrentPor-All Factor Movements'!J136</f>
        <v>2064.395508961396</v>
      </c>
      <c r="I136">
        <f t="shared" si="4"/>
        <v>96853.377429078639</v>
      </c>
      <c r="J136">
        <f t="shared" si="3"/>
        <v>656.74648578194319</v>
      </c>
    </row>
    <row r="137" spans="1:10">
      <c r="A137" s="1">
        <v>45660</v>
      </c>
      <c r="B137">
        <f>(3/(1+('CurrentPor-All Factor Movements'!C137)/100)+103/POWER(1+('CurrentPor-All Factor Movements'!D137)/100,2))*100</f>
        <v>9708.5506234648947</v>
      </c>
      <c r="C137">
        <f>(3/(1+('CurrentPor-All Factor Movements'!C137+'CurrentPor-All Factor Movements'!G137)/100)+103/POWER(1+('CurrentPor-All Factor Movements'!D137+'CurrentPor-All Factor Movements'!G137)/100,2))*100</f>
        <v>9630.3600849043469</v>
      </c>
      <c r="D137">
        <f>(3/(1+('CurrentPor-All Factor Movements'!C137+'CurrentPor-All Factor Movements'!H137)/100)+103/POWER(1+('CurrentPor-All Factor Movements'!D137+'CurrentPor-All Factor Movements'!H137)/100,2))*100</f>
        <v>9606.7154415599416</v>
      </c>
      <c r="E137">
        <f>(3/(1+('CurrentPor-All Factor Movements'!C137+'CurrentPor-All Factor Movements'!I137)/100)+103/POWER(1+('CurrentPor-All Factor Movements'!D137+'CurrentPor-All Factor Movements'!I137)/100,2))*100</f>
        <v>9583.2970179484946</v>
      </c>
      <c r="F137">
        <f>Portfolio!B$5*'CurrentPor-All Factor Movements'!E137</f>
        <v>52046.230278938288</v>
      </c>
      <c r="G137">
        <f>Portfolio!B$6*'CurrentPor-All Factor Movements'!F137</f>
        <v>3758.6863675624249</v>
      </c>
      <c r="H137">
        <f>Portfolio!B$7*'CurrentPor-All Factor Movements'!J137</f>
        <v>2064.3960092795583</v>
      </c>
      <c r="I137">
        <f t="shared" si="4"/>
        <v>96398.235823657946</v>
      </c>
      <c r="J137">
        <f t="shared" si="3"/>
        <v>-454.70282480442256</v>
      </c>
    </row>
    <row r="138" spans="1:10">
      <c r="A138" s="1">
        <v>45663</v>
      </c>
      <c r="B138">
        <f>(3/(1+('CurrentPor-All Factor Movements'!C138)/100)+103/POWER(1+('CurrentPor-All Factor Movements'!D138)/100,2))*100</f>
        <v>9706.971036773577</v>
      </c>
      <c r="C138">
        <f>(3/(1+('CurrentPor-All Factor Movements'!C138+'CurrentPor-All Factor Movements'!G138)/100)+103/POWER(1+('CurrentPor-All Factor Movements'!D138+'CurrentPor-All Factor Movements'!G138)/100,2))*100</f>
        <v>9637.8403221963836</v>
      </c>
      <c r="D138">
        <f>(3/(1+('CurrentPor-All Factor Movements'!C138+'CurrentPor-All Factor Movements'!H138)/100)+103/POWER(1+('CurrentPor-All Factor Movements'!D138+'CurrentPor-All Factor Movements'!H138)/100,2))*100</f>
        <v>9602.5703268428933</v>
      </c>
      <c r="E138">
        <f>(3/(1+('CurrentPor-All Factor Movements'!C138+'CurrentPor-All Factor Movements'!I138)/100)+103/POWER(1+('CurrentPor-All Factor Movements'!D138+'CurrentPor-All Factor Movements'!I138)/100,2))*100</f>
        <v>9579.7479349216228</v>
      </c>
      <c r="F138">
        <f>Portfolio!B$5*'CurrentPor-All Factor Movements'!E138</f>
        <v>52482.433392443025</v>
      </c>
      <c r="G138">
        <f>Portfolio!B$6*'CurrentPor-All Factor Movements'!F138</f>
        <v>4217.4990877408127</v>
      </c>
      <c r="H138">
        <f>Portfolio!B$7*'CurrentPor-All Factor Movements'!J138</f>
        <v>2064.4037681970558</v>
      </c>
      <c r="I138">
        <f t="shared" si="4"/>
        <v>97291.465869115375</v>
      </c>
      <c r="J138">
        <f t="shared" si="3"/>
        <v>374.05920669605257</v>
      </c>
    </row>
    <row r="139" spans="1:10">
      <c r="A139" s="1">
        <v>45664</v>
      </c>
      <c r="B139">
        <f>(3/(1+('CurrentPor-All Factor Movements'!C139)/100)+103/POWER(1+('CurrentPor-All Factor Movements'!D139)/100,2))*100</f>
        <v>9707.4980650506986</v>
      </c>
      <c r="C139">
        <f>(3/(1+('CurrentPor-All Factor Movements'!C139+'CurrentPor-All Factor Movements'!G139)/100)+103/POWER(1+('CurrentPor-All Factor Movements'!D139+'CurrentPor-All Factor Movements'!G139)/100,2))*100</f>
        <v>9640.1714847095755</v>
      </c>
      <c r="D139">
        <f>(3/(1+('CurrentPor-All Factor Movements'!C139+'CurrentPor-All Factor Movements'!H139)/100)+103/POWER(1+('CurrentPor-All Factor Movements'!D139+'CurrentPor-All Factor Movements'!H139)/100,2))*100</f>
        <v>9592.8670434831311</v>
      </c>
      <c r="E139">
        <f>(3/(1+('CurrentPor-All Factor Movements'!C139+'CurrentPor-All Factor Movements'!I139)/100)+103/POWER(1+('CurrentPor-All Factor Movements'!D139+'CurrentPor-All Factor Movements'!I139)/100,2))*100</f>
        <v>9580.4584021423361</v>
      </c>
      <c r="F139">
        <f>Portfolio!B$5*'CurrentPor-All Factor Movements'!E139</f>
        <v>52137.936080735621</v>
      </c>
      <c r="G139">
        <f>Portfolio!B$6*'CurrentPor-All Factor Movements'!F139</f>
        <v>3933.6292654132862</v>
      </c>
      <c r="H139">
        <f>Portfolio!B$7*'CurrentPor-All Factor Movements'!J139</f>
        <v>2064.4019222576876</v>
      </c>
      <c r="I139">
        <f t="shared" si="4"/>
        <v>96656.962263792346</v>
      </c>
      <c r="J139">
        <f t="shared" si="3"/>
        <v>-167.667500641488</v>
      </c>
    </row>
    <row r="140" spans="1:10">
      <c r="A140" s="1">
        <v>45665</v>
      </c>
      <c r="B140">
        <f>(3/(1+('CurrentPor-All Factor Movements'!C140)/100)+103/POWER(1+('CurrentPor-All Factor Movements'!D140)/100,2))*100</f>
        <v>9707.407041115217</v>
      </c>
      <c r="C140">
        <f>(3/(1+('CurrentPor-All Factor Movements'!C140+'CurrentPor-All Factor Movements'!G140)/100)+103/POWER(1+('CurrentPor-All Factor Movements'!D140+'CurrentPor-All Factor Movements'!G140)/100,2))*100</f>
        <v>9638.2716311358563</v>
      </c>
      <c r="D140">
        <f>(3/(1+('CurrentPor-All Factor Movements'!C140+'CurrentPor-All Factor Movements'!H140)/100)+103/POWER(1+('CurrentPor-All Factor Movements'!D140+'CurrentPor-All Factor Movements'!H140)/100,2))*100</f>
        <v>9590.3681646943242</v>
      </c>
      <c r="E140">
        <f>(3/(1+('CurrentPor-All Factor Movements'!C140+'CurrentPor-All Factor Movements'!I140)/100)+103/POWER(1+('CurrentPor-All Factor Movements'!D140+'CurrentPor-All Factor Movements'!I140)/100,2))*100</f>
        <v>9580.6037444882295</v>
      </c>
      <c r="F140">
        <f>Portfolio!B$5*'CurrentPor-All Factor Movements'!E140</f>
        <v>52070.057240949791</v>
      </c>
      <c r="G140">
        <f>Portfolio!B$6*'CurrentPor-All Factor Movements'!F140</f>
        <v>3962.4263608637316</v>
      </c>
      <c r="H140">
        <f>Portfolio!B$7*'CurrentPor-All Factor Movements'!J140</f>
        <v>2064.400303984829</v>
      </c>
      <c r="I140">
        <f t="shared" si="4"/>
        <v>96613.534487231969</v>
      </c>
      <c r="J140">
        <f t="shared" si="3"/>
        <v>346.67807583401736</v>
      </c>
    </row>
    <row r="141" spans="1:10">
      <c r="A141" s="1">
        <v>45666</v>
      </c>
      <c r="B141">
        <f>(3/(1+('CurrentPor-All Factor Movements'!C141)/100)+103/POWER(1+('CurrentPor-All Factor Movements'!D141)/100,2))*100</f>
        <v>9706.6219447703679</v>
      </c>
      <c r="C141">
        <f>(3/(1+('CurrentPor-All Factor Movements'!C141+'CurrentPor-All Factor Movements'!G141)/100)+103/POWER(1+('CurrentPor-All Factor Movements'!D141+'CurrentPor-All Factor Movements'!G141)/100,2))*100</f>
        <v>9637.4949895451573</v>
      </c>
      <c r="D141">
        <f>(3/(1+('CurrentPor-All Factor Movements'!C141+'CurrentPor-All Factor Movements'!H141)/100)+103/POWER(1+('CurrentPor-All Factor Movements'!D141+'CurrentPor-All Factor Movements'!H141)/100,2))*100</f>
        <v>9597.0145599706848</v>
      </c>
      <c r="E141">
        <f>(3/(1+('CurrentPor-All Factor Movements'!C141+'CurrentPor-All Factor Movements'!I141)/100)+103/POWER(1+('CurrentPor-All Factor Movements'!D141+'CurrentPor-All Factor Movements'!I141)/100,2))*100</f>
        <v>9579.9414946735178</v>
      </c>
      <c r="F141">
        <f>Portfolio!B$5*'CurrentPor-All Factor Movements'!E141</f>
        <v>52056.119762462651</v>
      </c>
      <c r="G141">
        <f>Portfolio!B$6*'CurrentPor-All Factor Movements'!F141</f>
        <v>3664.4967472681733</v>
      </c>
      <c r="H141">
        <f>Portfolio!B$7*'CurrentPor-All Factor Movements'!J141</f>
        <v>2064.4045349314647</v>
      </c>
      <c r="I141">
        <f t="shared" si="4"/>
        <v>96306.094033622023</v>
      </c>
      <c r="J141">
        <f t="shared" si="3"/>
        <v>-285.52406409611285</v>
      </c>
    </row>
    <row r="142" spans="1:10">
      <c r="A142" s="1">
        <v>45667</v>
      </c>
      <c r="B142">
        <f>(3/(1+('CurrentPor-All Factor Movements'!C142)/100)+103/POWER(1+('CurrentPor-All Factor Movements'!D142)/100,2))*100</f>
        <v>9708.3922141996045</v>
      </c>
      <c r="C142">
        <f>(3/(1+('CurrentPor-All Factor Movements'!C142+'CurrentPor-All Factor Movements'!G142)/100)+103/POWER(1+('CurrentPor-All Factor Movements'!D142+'CurrentPor-All Factor Movements'!G142)/100,2))*100</f>
        <v>9641.0562558705788</v>
      </c>
      <c r="D142">
        <f>(3/(1+('CurrentPor-All Factor Movements'!C142+'CurrentPor-All Factor Movements'!H142)/100)+103/POWER(1+('CurrentPor-All Factor Movements'!D142+'CurrentPor-All Factor Movements'!H142)/100,2))*100</f>
        <v>9602.5968888505631</v>
      </c>
      <c r="E142">
        <f>(3/(1+('CurrentPor-All Factor Movements'!C142+'CurrentPor-All Factor Movements'!I142)/100)+103/POWER(1+('CurrentPor-All Factor Movements'!D142+'CurrentPor-All Factor Movements'!I142)/100,2))*100</f>
        <v>9581.3099331338017</v>
      </c>
      <c r="F142">
        <f>Portfolio!B$5*'CurrentPor-All Factor Movements'!E142</f>
        <v>52495.571710855525</v>
      </c>
      <c r="G142">
        <f>Portfolio!B$6*'CurrentPor-All Factor Movements'!F142</f>
        <v>3857.8860272020534</v>
      </c>
      <c r="H142">
        <f>Portfolio!B$7*'CurrentPor-All Factor Movements'!J142</f>
        <v>2064.4023080235784</v>
      </c>
      <c r="I142">
        <f t="shared" si="4"/>
        <v>96951.215338135706</v>
      </c>
      <c r="J142">
        <f t="shared" ref="J142:J187" si="5">I142-I132</f>
        <v>130.80567226702988</v>
      </c>
    </row>
    <row r="143" spans="1:10">
      <c r="A143" s="1">
        <v>45670</v>
      </c>
      <c r="B143">
        <f>(3/(1+('CurrentPor-All Factor Movements'!C143)/100)+103/POWER(1+('CurrentPor-All Factor Movements'!D143)/100,2))*100</f>
        <v>9707.6734630677074</v>
      </c>
      <c r="C143">
        <f>(3/(1+('CurrentPor-All Factor Movements'!C143+'CurrentPor-All Factor Movements'!G143)/100)+103/POWER(1+('CurrentPor-All Factor Movements'!D143+'CurrentPor-All Factor Movements'!G143)/100,2))*100</f>
        <v>9640.3450431569254</v>
      </c>
      <c r="D143">
        <f>(3/(1+('CurrentPor-All Factor Movements'!C143+'CurrentPor-All Factor Movements'!H143)/100)+103/POWER(1+('CurrentPor-All Factor Movements'!D143+'CurrentPor-All Factor Movements'!H143)/100,2))*100</f>
        <v>9593.0017893474796</v>
      </c>
      <c r="E143">
        <f>(3/(1+('CurrentPor-All Factor Movements'!C143+'CurrentPor-All Factor Movements'!I143)/100)+103/POWER(1+('CurrentPor-All Factor Movements'!D143+'CurrentPor-All Factor Movements'!I143)/100,2))*100</f>
        <v>9579.9637185895808</v>
      </c>
      <c r="F143">
        <f>Portfolio!B$5*'CurrentPor-All Factor Movements'!E143</f>
        <v>52149.794065867696</v>
      </c>
      <c r="G143">
        <f>Portfolio!B$6*'CurrentPor-All Factor Movements'!F143</f>
        <v>3766.1755673273874</v>
      </c>
      <c r="H143">
        <f>Portfolio!B$7*'CurrentPor-All Factor Movements'!J143</f>
        <v>2064.401855281028</v>
      </c>
      <c r="I143">
        <f t="shared" si="4"/>
        <v>96501.355502637802</v>
      </c>
      <c r="J143">
        <f t="shared" si="5"/>
        <v>-502.16592230089009</v>
      </c>
    </row>
    <row r="144" spans="1:10">
      <c r="A144" s="1">
        <v>45671</v>
      </c>
      <c r="B144">
        <f>(3/(1+('CurrentPor-All Factor Movements'!C144)/100)+103/POWER(1+('CurrentPor-All Factor Movements'!D144)/100,2))*100</f>
        <v>9708.3077382654847</v>
      </c>
      <c r="C144">
        <f>(3/(1+('CurrentPor-All Factor Movements'!C144+'CurrentPor-All Factor Movements'!G144)/100)+103/POWER(1+('CurrentPor-All Factor Movements'!D144+'CurrentPor-All Factor Movements'!G144)/100,2))*100</f>
        <v>9640.9726659531007</v>
      </c>
      <c r="D144">
        <f>(3/(1+('CurrentPor-All Factor Movements'!C144+'CurrentPor-All Factor Movements'!H144)/100)+103/POWER(1+('CurrentPor-All Factor Movements'!D144+'CurrentPor-All Factor Movements'!H144)/100,2))*100</f>
        <v>9593.5406322668296</v>
      </c>
      <c r="E144">
        <f>(3/(1+('CurrentPor-All Factor Movements'!C144+'CurrentPor-All Factor Movements'!I144)/100)+103/POWER(1+('CurrentPor-All Factor Movements'!D144+'CurrentPor-All Factor Movements'!I144)/100,2))*100</f>
        <v>9582.804565968594</v>
      </c>
      <c r="F144">
        <f>Portfolio!B$5*'CurrentPor-All Factor Movements'!E144</f>
        <v>52445.390938947196</v>
      </c>
      <c r="G144">
        <f>Portfolio!B$6*'CurrentPor-All Factor Movements'!F144</f>
        <v>3955.9510474418817</v>
      </c>
      <c r="H144">
        <f>Portfolio!B$7*'CurrentPor-All Factor Movements'!J144</f>
        <v>2064.396078251058</v>
      </c>
      <c r="I144">
        <f t="shared" si="4"/>
        <v>96991.363667094149</v>
      </c>
      <c r="J144">
        <f t="shared" si="5"/>
        <v>77.819899795606034</v>
      </c>
    </row>
    <row r="145" spans="1:10">
      <c r="A145" s="1">
        <v>45672</v>
      </c>
      <c r="B145">
        <f>(3/(1+('CurrentPor-All Factor Movements'!C145)/100)+103/POWER(1+('CurrentPor-All Factor Movements'!D145)/100,2))*100</f>
        <v>9707.3903149475846</v>
      </c>
      <c r="C145">
        <f>(3/(1+('CurrentPor-All Factor Movements'!C145+'CurrentPor-All Factor Movements'!G145)/100)+103/POWER(1+('CurrentPor-All Factor Movements'!D145+'CurrentPor-All Factor Movements'!G145)/100,2))*100</f>
        <v>9638.2550850970329</v>
      </c>
      <c r="D145">
        <f>(3/(1+('CurrentPor-All Factor Movements'!C145+'CurrentPor-All Factor Movements'!H145)/100)+103/POWER(1+('CurrentPor-All Factor Movements'!D145+'CurrentPor-All Factor Movements'!H145)/100,2))*100</f>
        <v>9595.370101750108</v>
      </c>
      <c r="E145">
        <f>(3/(1+('CurrentPor-All Factor Movements'!C145+'CurrentPor-All Factor Movements'!I145)/100)+103/POWER(1+('CurrentPor-All Factor Movements'!D145+'CurrentPor-All Factor Movements'!I145)/100,2))*100</f>
        <v>9580.1454505677139</v>
      </c>
      <c r="F145">
        <f>Portfolio!B$5*'CurrentPor-All Factor Movements'!E145</f>
        <v>52446.467042873359</v>
      </c>
      <c r="G145">
        <f>Portfolio!B$6*'CurrentPor-All Factor Movements'!F145</f>
        <v>3502.3321013707891</v>
      </c>
      <c r="H145">
        <f>Portfolio!B$7*'CurrentPor-All Factor Movements'!J145</f>
        <v>2064.4037943858766</v>
      </c>
      <c r="I145">
        <f t="shared" si="4"/>
        <v>96534.363890992448</v>
      </c>
      <c r="J145">
        <f t="shared" si="5"/>
        <v>-0.62698290953994729</v>
      </c>
    </row>
    <row r="146" spans="1:10">
      <c r="A146" s="1">
        <v>45673</v>
      </c>
      <c r="B146">
        <f>(3/(1+('CurrentPor-All Factor Movements'!C146)/100)+103/POWER(1+('CurrentPor-All Factor Movements'!D146)/100,2))*100</f>
        <v>9706.998424171361</v>
      </c>
      <c r="C146">
        <f>(3/(1+('CurrentPor-All Factor Movements'!C146+'CurrentPor-All Factor Movements'!G146)/100)+103/POWER(1+('CurrentPor-All Factor Movements'!D146+'CurrentPor-All Factor Movements'!G146)/100,2))*100</f>
        <v>9637.8674146579378</v>
      </c>
      <c r="D146">
        <f>(3/(1+('CurrentPor-All Factor Movements'!C146+'CurrentPor-All Factor Movements'!H146)/100)+103/POWER(1+('CurrentPor-All Factor Movements'!D146+'CurrentPor-All Factor Movements'!H146)/100,2))*100</f>
        <v>9596.1708178848803</v>
      </c>
      <c r="E146">
        <f>(3/(1+('CurrentPor-All Factor Movements'!C146+'CurrentPor-All Factor Movements'!I146)/100)+103/POWER(1+('CurrentPor-All Factor Movements'!D146+'CurrentPor-All Factor Movements'!I146)/100,2))*100</f>
        <v>9578.6540543544725</v>
      </c>
      <c r="F146">
        <f>Portfolio!B$5*'CurrentPor-All Factor Movements'!E146</f>
        <v>52591.554478698061</v>
      </c>
      <c r="G146">
        <f>Portfolio!B$6*'CurrentPor-All Factor Movements'!F146</f>
        <v>3667.9769006030738</v>
      </c>
      <c r="H146">
        <f>Portfolio!B$7*'CurrentPor-All Factor Movements'!J146</f>
        <v>2064.3992776707141</v>
      </c>
      <c r="I146">
        <f t="shared" si="4"/>
        <v>96843.621368040491</v>
      </c>
      <c r="J146">
        <f t="shared" si="5"/>
        <v>-9.7560610381478909</v>
      </c>
    </row>
    <row r="147" spans="1:10">
      <c r="A147" s="1">
        <v>45674</v>
      </c>
      <c r="B147">
        <f>(3/(1+('CurrentPor-All Factor Movements'!C147)/100)+103/POWER(1+('CurrentPor-All Factor Movements'!D147)/100,2))*100</f>
        <v>9708.6296529320571</v>
      </c>
      <c r="C147">
        <f>(3/(1+('CurrentPor-All Factor Movements'!C147+'CurrentPor-All Factor Movements'!G147)/100)+103/POWER(1+('CurrentPor-All Factor Movements'!D147+'CurrentPor-All Factor Movements'!G147)/100,2))*100</f>
        <v>9639.4810758762487</v>
      </c>
      <c r="D147">
        <f>(3/(1+('CurrentPor-All Factor Movements'!C147+'CurrentPor-All Factor Movements'!H147)/100)+103/POWER(1+('CurrentPor-All Factor Movements'!D147+'CurrentPor-All Factor Movements'!H147)/100,2))*100</f>
        <v>9599.268956277303</v>
      </c>
      <c r="E147">
        <f>(3/(1+('CurrentPor-All Factor Movements'!C147+'CurrentPor-All Factor Movements'!I147)/100)+103/POWER(1+('CurrentPor-All Factor Movements'!D147+'CurrentPor-All Factor Movements'!I147)/100,2))*100</f>
        <v>9581.8869635943975</v>
      </c>
      <c r="F147">
        <f>Portfolio!B$5*'CurrentPor-All Factor Movements'!E147</f>
        <v>52306.610036809783</v>
      </c>
      <c r="G147">
        <f>Portfolio!B$6*'CurrentPor-All Factor Movements'!F147</f>
        <v>3839.4891800654714</v>
      </c>
      <c r="H147">
        <f>Portfolio!B$7*'CurrentPor-All Factor Movements'!J147</f>
        <v>2064.3995465197372</v>
      </c>
      <c r="I147">
        <f t="shared" si="4"/>
        <v>96739.765412074994</v>
      </c>
      <c r="J147">
        <f t="shared" si="5"/>
        <v>341.52958841704822</v>
      </c>
    </row>
    <row r="148" spans="1:10">
      <c r="A148" s="1">
        <v>45677</v>
      </c>
      <c r="B148">
        <f>(3/(1+('CurrentPor-All Factor Movements'!C148)/100)+103/POWER(1+('CurrentPor-All Factor Movements'!D148)/100,2))*100</f>
        <v>9708.3883412818741</v>
      </c>
      <c r="C148">
        <f>(3/(1+('CurrentPor-All Factor Movements'!C148+'CurrentPor-All Factor Movements'!G148)/100)+103/POWER(1+('CurrentPor-All Factor Movements'!D148+'CurrentPor-All Factor Movements'!G148)/100,2))*100</f>
        <v>9635.6237863612823</v>
      </c>
      <c r="D148">
        <f>(3/(1+('CurrentPor-All Factor Movements'!C148+'CurrentPor-All Factor Movements'!H148)/100)+103/POWER(1+('CurrentPor-All Factor Movements'!D148+'CurrentPor-All Factor Movements'!H148)/100,2))*100</f>
        <v>9580.531411344311</v>
      </c>
      <c r="E148">
        <f>(3/(1+('CurrentPor-All Factor Movements'!C148+'CurrentPor-All Factor Movements'!I148)/100)+103/POWER(1+('CurrentPor-All Factor Movements'!D148+'CurrentPor-All Factor Movements'!I148)/100,2))*100</f>
        <v>9583.6606294118774</v>
      </c>
      <c r="F148">
        <f>Portfolio!B$5*'CurrentPor-All Factor Movements'!E148</f>
        <v>52236.504338774874</v>
      </c>
      <c r="G148">
        <f>Portfolio!B$6*'CurrentPor-All Factor Movements'!F148</f>
        <v>3966.9532717202378</v>
      </c>
      <c r="H148">
        <f>Portfolio!B$7*'CurrentPor-All Factor Movements'!J148</f>
        <v>2064.4070024337816</v>
      </c>
      <c r="I148">
        <f t="shared" si="4"/>
        <v>96776.068781328242</v>
      </c>
      <c r="J148">
        <f t="shared" si="5"/>
        <v>-515.39708778713248</v>
      </c>
    </row>
    <row r="149" spans="1:10">
      <c r="A149" s="1">
        <v>45678</v>
      </c>
      <c r="B149">
        <f>(3/(1+('CurrentPor-All Factor Movements'!C149)/100)+103/POWER(1+('CurrentPor-All Factor Movements'!D149)/100,2))*100</f>
        <v>9704.7098579263711</v>
      </c>
      <c r="C149">
        <f>(3/(1+('CurrentPor-All Factor Movements'!C149+'CurrentPor-All Factor Movements'!G149)/100)+103/POWER(1+('CurrentPor-All Factor Movements'!D149+'CurrentPor-All Factor Movements'!G149)/100,2))*100</f>
        <v>9630.1795021575963</v>
      </c>
      <c r="D149">
        <f>(3/(1+('CurrentPor-All Factor Movements'!C149+'CurrentPor-All Factor Movements'!H149)/100)+103/POWER(1+('CurrentPor-All Factor Movements'!D149+'CurrentPor-All Factor Movements'!H149)/100,2))*100</f>
        <v>9603.3727528713207</v>
      </c>
      <c r="E149">
        <f>(3/(1+('CurrentPor-All Factor Movements'!C149+'CurrentPor-All Factor Movements'!I149)/100)+103/POWER(1+('CurrentPor-All Factor Movements'!D149+'CurrentPor-All Factor Movements'!I149)/100,2))*100</f>
        <v>9578.3699927193629</v>
      </c>
      <c r="F149">
        <f>Portfolio!B$5*'CurrentPor-All Factor Movements'!E149</f>
        <v>52506.524949710118</v>
      </c>
      <c r="G149">
        <f>Portfolio!B$6*'CurrentPor-All Factor Movements'!F149</f>
        <v>3926.5814607785792</v>
      </c>
      <c r="H149">
        <f>Portfolio!B$7*'CurrentPor-All Factor Movements'!J149</f>
        <v>2064.4042552645456</v>
      </c>
      <c r="I149">
        <f t="shared" si="4"/>
        <v>97014.142771427883</v>
      </c>
      <c r="J149">
        <f t="shared" si="5"/>
        <v>357.18050763553765</v>
      </c>
    </row>
    <row r="150" spans="1:10">
      <c r="A150" s="1">
        <v>45679</v>
      </c>
      <c r="B150">
        <f>(3/(1+('CurrentPor-All Factor Movements'!C150)/100)+103/POWER(1+('CurrentPor-All Factor Movements'!D150)/100,2))*100</f>
        <v>9707.9386713504427</v>
      </c>
      <c r="C150">
        <f>(3/(1+('CurrentPor-All Factor Movements'!C150+'CurrentPor-All Factor Movements'!G150)/100)+103/POWER(1+('CurrentPor-All Factor Movements'!D150+'CurrentPor-All Factor Movements'!G150)/100,2))*100</f>
        <v>9635.1792121949711</v>
      </c>
      <c r="D150">
        <f>(3/(1+('CurrentPor-All Factor Movements'!C150+'CurrentPor-All Factor Movements'!H150)/100)+103/POWER(1+('CurrentPor-All Factor Movements'!D150+'CurrentPor-All Factor Movements'!H150)/100,2))*100</f>
        <v>9600.949483746439</v>
      </c>
      <c r="E150">
        <f>(3/(1+('CurrentPor-All Factor Movements'!C150+'CurrentPor-All Factor Movements'!I150)/100)+103/POWER(1+('CurrentPor-All Factor Movements'!D150+'CurrentPor-All Factor Movements'!I150)/100,2))*100</f>
        <v>9580.6257887371466</v>
      </c>
      <c r="F150">
        <f>Portfolio!B$5*'CurrentPor-All Factor Movements'!E150</f>
        <v>52429.697422786521</v>
      </c>
      <c r="G150">
        <f>Portfolio!B$6*'CurrentPor-All Factor Movements'!F150</f>
        <v>3519.3889131801193</v>
      </c>
      <c r="H150">
        <f>Portfolio!B$7*'CurrentPor-All Factor Movements'!J150</f>
        <v>2064.3934211587507</v>
      </c>
      <c r="I150">
        <f t="shared" si="4"/>
        <v>96538.172913154383</v>
      </c>
      <c r="J150">
        <f t="shared" si="5"/>
        <v>-75.361574077585828</v>
      </c>
    </row>
    <row r="151" spans="1:10">
      <c r="A151" s="1">
        <v>45680</v>
      </c>
      <c r="B151">
        <f>(3/(1+('CurrentPor-All Factor Movements'!C151)/100)+103/POWER(1+('CurrentPor-All Factor Movements'!D151)/100,2))*100</f>
        <v>9708.9654030820784</v>
      </c>
      <c r="C151">
        <f>(3/(1+('CurrentPor-All Factor Movements'!C151+'CurrentPor-All Factor Movements'!G151)/100)+103/POWER(1+('CurrentPor-All Factor Movements'!D151+'CurrentPor-All Factor Movements'!G151)/100,2))*100</f>
        <v>9630.7698143327816</v>
      </c>
      <c r="D151">
        <f>(3/(1+('CurrentPor-All Factor Movements'!C151+'CurrentPor-All Factor Movements'!H151)/100)+103/POWER(1+('CurrentPor-All Factor Movements'!D151+'CurrentPor-All Factor Movements'!H151)/100,2))*100</f>
        <v>9604.9273408608406</v>
      </c>
      <c r="E151">
        <f>(3/(1+('CurrentPor-All Factor Movements'!C151+'CurrentPor-All Factor Movements'!I151)/100)+103/POWER(1+('CurrentPor-All Factor Movements'!D151+'CurrentPor-All Factor Movements'!I151)/100,2))*100</f>
        <v>9581.6167507125701</v>
      </c>
      <c r="F151">
        <f>Portfolio!B$5*'CurrentPor-All Factor Movements'!E151</f>
        <v>52645.156567689279</v>
      </c>
      <c r="G151">
        <f>Portfolio!B$6*'CurrentPor-All Factor Movements'!F151</f>
        <v>3718.3653279079672</v>
      </c>
      <c r="H151">
        <f>Portfolio!B$7*'CurrentPor-All Factor Movements'!J151</f>
        <v>2064.404633826015</v>
      </c>
      <c r="I151">
        <f t="shared" si="4"/>
        <v>96954.205838411537</v>
      </c>
      <c r="J151">
        <f t="shared" si="5"/>
        <v>648.11180478951428</v>
      </c>
    </row>
    <row r="152" spans="1:10">
      <c r="A152" s="1">
        <v>45681</v>
      </c>
      <c r="B152">
        <f>(3/(1+('CurrentPor-All Factor Movements'!C152)/100)+103/POWER(1+('CurrentPor-All Factor Movements'!D152)/100,2))*100</f>
        <v>9707.3002195278132</v>
      </c>
      <c r="C152">
        <f>(3/(1+('CurrentPor-All Factor Movements'!C152+'CurrentPor-All Factor Movements'!G152)/100)+103/POWER(1+('CurrentPor-All Factor Movements'!D152+'CurrentPor-All Factor Movements'!G152)/100,2))*100</f>
        <v>9621.9013079257202</v>
      </c>
      <c r="D152">
        <f>(3/(1+('CurrentPor-All Factor Movements'!C152+'CurrentPor-All Factor Movements'!H152)/100)+103/POWER(1+('CurrentPor-All Factor Movements'!D152+'CurrentPor-All Factor Movements'!H152)/100,2))*100</f>
        <v>9597.3347438511246</v>
      </c>
      <c r="E152">
        <f>(3/(1+('CurrentPor-All Factor Movements'!C152+'CurrentPor-All Factor Movements'!I152)/100)+103/POWER(1+('CurrentPor-All Factor Movements'!D152+'CurrentPor-All Factor Movements'!I152)/100,2))*100</f>
        <v>9579.9421266843256</v>
      </c>
      <c r="F152">
        <f>Portfolio!B$5*'CurrentPor-All Factor Movements'!E152</f>
        <v>52394.584337096901</v>
      </c>
      <c r="G152">
        <f>Portfolio!B$6*'CurrentPor-All Factor Movements'!F152</f>
        <v>3757.8035467797586</v>
      </c>
      <c r="H152">
        <f>Portfolio!B$7*'CurrentPor-All Factor Movements'!J152</f>
        <v>2064.4083084986014</v>
      </c>
      <c r="I152">
        <f t="shared" si="4"/>
        <v>96723.27459036425</v>
      </c>
      <c r="J152">
        <f t="shared" si="5"/>
        <v>-227.94074777145579</v>
      </c>
    </row>
    <row r="153" spans="1:10">
      <c r="A153" s="1">
        <v>45684</v>
      </c>
      <c r="B153">
        <f>(3/(1+('CurrentPor-All Factor Movements'!C153)/100)+103/POWER(1+('CurrentPor-All Factor Movements'!D153)/100,2))*100</f>
        <v>9706.7418957991886</v>
      </c>
      <c r="C153">
        <f>(3/(1+('CurrentPor-All Factor Movements'!C153+'CurrentPor-All Factor Movements'!G153)/100)+103/POWER(1+('CurrentPor-All Factor Movements'!D153+'CurrentPor-All Factor Movements'!G153)/100,2))*100</f>
        <v>9624.9608667816592</v>
      </c>
      <c r="D153">
        <f>(3/(1+('CurrentPor-All Factor Movements'!C153+'CurrentPor-All Factor Movements'!H153)/100)+103/POWER(1+('CurrentPor-All Factor Movements'!D153+'CurrentPor-All Factor Movements'!H153)/100,2))*100</f>
        <v>9584.8383630243079</v>
      </c>
      <c r="E153">
        <f>(3/(1+('CurrentPor-All Factor Movements'!C153+'CurrentPor-All Factor Movements'!I153)/100)+103/POWER(1+('CurrentPor-All Factor Movements'!D153+'CurrentPor-All Factor Movements'!I153)/100,2))*100</f>
        <v>9580.1090239504556</v>
      </c>
      <c r="F153">
        <f>Portfolio!B$5*'CurrentPor-All Factor Movements'!E153</f>
        <v>52338.72140792042</v>
      </c>
      <c r="G153">
        <f>Portfolio!B$6*'CurrentPor-All Factor Movements'!F153</f>
        <v>3670.2880927446367</v>
      </c>
      <c r="H153">
        <f>Portfolio!B$7*'CurrentPor-All Factor Movements'!J153</f>
        <v>2064.403100425694</v>
      </c>
      <c r="I153">
        <f t="shared" si="4"/>
        <v>96570.062750646364</v>
      </c>
      <c r="J153">
        <f t="shared" si="5"/>
        <v>68.707248008562601</v>
      </c>
    </row>
    <row r="154" spans="1:10">
      <c r="A154" s="1">
        <v>45685</v>
      </c>
      <c r="B154">
        <f>(3/(1+('CurrentPor-All Factor Movements'!C154)/100)+103/POWER(1+('CurrentPor-All Factor Movements'!D154)/100,2))*100</f>
        <v>9707.1971433615126</v>
      </c>
      <c r="C154">
        <f>(3/(1+('CurrentPor-All Factor Movements'!C154+'CurrentPor-All Factor Movements'!G154)/100)+103/POWER(1+('CurrentPor-All Factor Movements'!D154+'CurrentPor-All Factor Movements'!G154)/100,2))*100</f>
        <v>9623.6047028266512</v>
      </c>
      <c r="D154">
        <f>(3/(1+('CurrentPor-All Factor Movements'!C154+'CurrentPor-All Factor Movements'!H154)/100)+103/POWER(1+('CurrentPor-All Factor Movements'!D154+'CurrentPor-All Factor Movements'!H154)/100,2))*100</f>
        <v>9596.8102889139554</v>
      </c>
      <c r="E154">
        <f>(3/(1+('CurrentPor-All Factor Movements'!C154+'CurrentPor-All Factor Movements'!I154)/100)+103/POWER(1+('CurrentPor-All Factor Movements'!D154+'CurrentPor-All Factor Movements'!I154)/100,2))*100</f>
        <v>9579.7378995377476</v>
      </c>
      <c r="F154">
        <f>Portfolio!B$5*'CurrentPor-All Factor Movements'!E154</f>
        <v>52421.3650448521</v>
      </c>
      <c r="G154">
        <f>Portfolio!B$6*'CurrentPor-All Factor Movements'!F154</f>
        <v>3710.7910988322083</v>
      </c>
      <c r="H154">
        <f>Portfolio!B$7*'CurrentPor-All Factor Movements'!J154</f>
        <v>2064.3991270014781</v>
      </c>
      <c r="I154">
        <f t="shared" si="4"/>
        <v>96703.90530532565</v>
      </c>
      <c r="J154">
        <f t="shared" si="5"/>
        <v>-287.45836176849843</v>
      </c>
    </row>
    <row r="155" spans="1:10">
      <c r="A155" s="1">
        <v>45686</v>
      </c>
      <c r="B155">
        <f>(3/(1+('CurrentPor-All Factor Movements'!C155)/100)+103/POWER(1+('CurrentPor-All Factor Movements'!D155)/100,2))*100</f>
        <v>9706.4344997345561</v>
      </c>
      <c r="C155">
        <f>(3/(1+('CurrentPor-All Factor Movements'!C155+'CurrentPor-All Factor Movements'!G155)/100)+103/POWER(1+('CurrentPor-All Factor Movements'!D155+'CurrentPor-All Factor Movements'!G155)/100,2))*100</f>
        <v>9624.6573855990791</v>
      </c>
      <c r="D155">
        <f>(3/(1+('CurrentPor-All Factor Movements'!C155+'CurrentPor-All Factor Movements'!H155)/100)+103/POWER(1+('CurrentPor-All Factor Movements'!D155+'CurrentPor-All Factor Movements'!H155)/100,2))*100</f>
        <v>9582.0211234173839</v>
      </c>
      <c r="E155">
        <f>(3/(1+('CurrentPor-All Factor Movements'!C155+'CurrentPor-All Factor Movements'!I155)/100)+103/POWER(1+('CurrentPor-All Factor Movements'!D155+'CurrentPor-All Factor Movements'!I155)/100,2))*100</f>
        <v>9578.5610197454153</v>
      </c>
      <c r="F155">
        <f>Portfolio!B$5*'CurrentPor-All Factor Movements'!E155</f>
        <v>52799.850111173611</v>
      </c>
      <c r="G155">
        <f>Portfolio!B$6*'CurrentPor-All Factor Movements'!F155</f>
        <v>3674.6581876585319</v>
      </c>
      <c r="H155">
        <f>Portfolio!B$7*'CurrentPor-All Factor Movements'!J155</f>
        <v>2064.4000078542563</v>
      </c>
      <c r="I155">
        <f t="shared" si="4"/>
        <v>97030.582335182829</v>
      </c>
      <c r="J155">
        <f t="shared" si="5"/>
        <v>496.21844419038098</v>
      </c>
    </row>
    <row r="156" spans="1:10">
      <c r="A156" s="1">
        <v>45687</v>
      </c>
      <c r="B156">
        <f>(3/(1+('CurrentPor-All Factor Movements'!C156)/100)+103/POWER(1+('CurrentPor-All Factor Movements'!D156)/100,2))*100</f>
        <v>9707.980767122519</v>
      </c>
      <c r="C156">
        <f>(3/(1+('CurrentPor-All Factor Movements'!C156+'CurrentPor-All Factor Movements'!G156)/100)+103/POWER(1+('CurrentPor-All Factor Movements'!D156+'CurrentPor-All Factor Movements'!G156)/100,2))*100</f>
        <v>9627.9903064166338</v>
      </c>
      <c r="D156">
        <f>(3/(1+('CurrentPor-All Factor Movements'!C156+'CurrentPor-All Factor Movements'!H156)/100)+103/POWER(1+('CurrentPor-All Factor Movements'!D156+'CurrentPor-All Factor Movements'!H156)/100,2))*100</f>
        <v>9591.8370935001149</v>
      </c>
      <c r="E156">
        <f>(3/(1+('CurrentPor-All Factor Movements'!C156+'CurrentPor-All Factor Movements'!I156)/100)+103/POWER(1+('CurrentPor-All Factor Movements'!D156+'CurrentPor-All Factor Movements'!I156)/100,2))*100</f>
        <v>9580.9438084958565</v>
      </c>
      <c r="F156">
        <f>Portfolio!B$5*'CurrentPor-All Factor Movements'!E156</f>
        <v>52496.09251190412</v>
      </c>
      <c r="G156">
        <f>Portfolio!B$6*'CurrentPor-All Factor Movements'!F156</f>
        <v>3841.2275788079191</v>
      </c>
      <c r="H156">
        <f>Portfolio!B$7*'CurrentPor-All Factor Movements'!J156</f>
        <v>2064.4073513154121</v>
      </c>
      <c r="I156">
        <f t="shared" si="4"/>
        <v>96910.479417562572</v>
      </c>
      <c r="J156">
        <f t="shared" si="5"/>
        <v>66.858049522081274</v>
      </c>
    </row>
    <row r="157" spans="1:10">
      <c r="A157" s="1">
        <v>45688</v>
      </c>
      <c r="B157">
        <f>(3/(1+('CurrentPor-All Factor Movements'!C157)/100)+103/POWER(1+('CurrentPor-All Factor Movements'!D157)/100,2))*100</f>
        <v>9706.4590719945463</v>
      </c>
      <c r="C157">
        <f>(3/(1+('CurrentPor-All Factor Movements'!C157+'CurrentPor-All Factor Movements'!G157)/100)+103/POWER(1+('CurrentPor-All Factor Movements'!D157+'CurrentPor-All Factor Movements'!G157)/100,2))*100</f>
        <v>9633.7163791626954</v>
      </c>
      <c r="D157">
        <f>(3/(1+('CurrentPor-All Factor Movements'!C157+'CurrentPor-All Factor Movements'!H157)/100)+103/POWER(1+('CurrentPor-All Factor Movements'!D157+'CurrentPor-All Factor Movements'!H157)/100,2))*100</f>
        <v>9584.2097348613461</v>
      </c>
      <c r="E157">
        <f>(3/(1+('CurrentPor-All Factor Movements'!C157+'CurrentPor-All Factor Movements'!I157)/100)+103/POWER(1+('CurrentPor-All Factor Movements'!D157+'CurrentPor-All Factor Movements'!I157)/100,2))*100</f>
        <v>9580.071873836243</v>
      </c>
      <c r="F157">
        <f>Portfolio!B$5*'CurrentPor-All Factor Movements'!E157</f>
        <v>52242.474022815892</v>
      </c>
      <c r="G157">
        <f>Portfolio!B$6*'CurrentPor-All Factor Movements'!F157</f>
        <v>3594.2773939735607</v>
      </c>
      <c r="H157">
        <f>Portfolio!B$7*'CurrentPor-All Factor Movements'!J157</f>
        <v>2064.4049988255447</v>
      </c>
      <c r="I157">
        <f t="shared" si="4"/>
        <v>96405.613475469829</v>
      </c>
      <c r="J157">
        <f t="shared" si="5"/>
        <v>-334.15193660516525</v>
      </c>
    </row>
    <row r="158" spans="1:10">
      <c r="A158" s="1">
        <v>45691</v>
      </c>
      <c r="B158">
        <f>(3/(1+('CurrentPor-All Factor Movements'!C158)/100)+103/POWER(1+('CurrentPor-All Factor Movements'!D158)/100,2))*100</f>
        <v>9707.3510581428218</v>
      </c>
      <c r="C158">
        <f>(3/(1+('CurrentPor-All Factor Movements'!C158+'CurrentPor-All Factor Movements'!G158)/100)+103/POWER(1+('CurrentPor-All Factor Movements'!D158+'CurrentPor-All Factor Movements'!G158)/100,2))*100</f>
        <v>9636.4069971860281</v>
      </c>
      <c r="D158">
        <f>(3/(1+('CurrentPor-All Factor Movements'!C158+'CurrentPor-All Factor Movements'!H158)/100)+103/POWER(1+('CurrentPor-All Factor Movements'!D158+'CurrentPor-All Factor Movements'!H158)/100,2))*100</f>
        <v>9589.0981568670177</v>
      </c>
      <c r="E158">
        <f>(3/(1+('CurrentPor-All Factor Movements'!C158+'CurrentPor-All Factor Movements'!I158)/100)+103/POWER(1+('CurrentPor-All Factor Movements'!D158+'CurrentPor-All Factor Movements'!I158)/100,2))*100</f>
        <v>9579.7904743819327</v>
      </c>
      <c r="F158">
        <f>Portfolio!B$5*'CurrentPor-All Factor Movements'!E158</f>
        <v>52250.617241383137</v>
      </c>
      <c r="G158">
        <f>Portfolio!B$6*'CurrentPor-All Factor Movements'!F158</f>
        <v>3650.6292976882264</v>
      </c>
      <c r="H158">
        <f>Portfolio!B$7*'CurrentPor-All Factor Movements'!J158</f>
        <v>2064.4049882061327</v>
      </c>
      <c r="I158">
        <f t="shared" si="4"/>
        <v>96478.298213855305</v>
      </c>
      <c r="J158">
        <f t="shared" si="5"/>
        <v>-297.77056747293682</v>
      </c>
    </row>
    <row r="159" spans="1:10">
      <c r="A159" s="1">
        <v>45692</v>
      </c>
      <c r="B159">
        <f>(3/(1+('CurrentPor-All Factor Movements'!C159)/100)+103/POWER(1+('CurrentPor-All Factor Movements'!D159)/100,2))*100</f>
        <v>9706.1351851088839</v>
      </c>
      <c r="C159">
        <f>(3/(1+('CurrentPor-All Factor Movements'!C159+'CurrentPor-All Factor Movements'!G159)/100)+103/POWER(1+('CurrentPor-All Factor Movements'!D159+'CurrentPor-All Factor Movements'!G159)/100,2))*100</f>
        <v>9637.013471656579</v>
      </c>
      <c r="D159">
        <f>(3/(1+('CurrentPor-All Factor Movements'!C159+'CurrentPor-All Factor Movements'!H159)/100)+103/POWER(1+('CurrentPor-All Factor Movements'!D159+'CurrentPor-All Factor Movements'!H159)/100,2))*100</f>
        <v>9600.3714977413238</v>
      </c>
      <c r="E159">
        <f>(3/(1+('CurrentPor-All Factor Movements'!C159+'CurrentPor-All Factor Movements'!I159)/100)+103/POWER(1+('CurrentPor-All Factor Movements'!D159+'CurrentPor-All Factor Movements'!I159)/100,2))*100</f>
        <v>9580.0046330585465</v>
      </c>
      <c r="F159">
        <f>Portfolio!B$5*'CurrentPor-All Factor Movements'!E159</f>
        <v>52383.103271300402</v>
      </c>
      <c r="G159">
        <f>Portfolio!B$6*'CurrentPor-All Factor Movements'!F159</f>
        <v>3826.0420693580018</v>
      </c>
      <c r="H159">
        <f>Portfolio!B$7*'CurrentPor-All Factor Movements'!J159</f>
        <v>2064.4113981340711</v>
      </c>
      <c r="I159">
        <f t="shared" si="4"/>
        <v>96797.081526357826</v>
      </c>
      <c r="J159">
        <f t="shared" si="5"/>
        <v>-217.06124507005734</v>
      </c>
    </row>
    <row r="160" spans="1:10">
      <c r="A160" s="1">
        <v>45693</v>
      </c>
      <c r="B160">
        <f>(3/(1+('CurrentPor-All Factor Movements'!C160)/100)+103/POWER(1+('CurrentPor-All Factor Movements'!D160)/100,2))*100</f>
        <v>9707.9428060996015</v>
      </c>
      <c r="C160">
        <f>(3/(1+('CurrentPor-All Factor Movements'!C160+'CurrentPor-All Factor Movements'!G160)/100)+103/POWER(1+('CurrentPor-All Factor Movements'!D160+'CurrentPor-All Factor Movements'!G160)/100,2))*100</f>
        <v>9638.8016262331403</v>
      </c>
      <c r="D160">
        <f>(3/(1+('CurrentPor-All Factor Movements'!C160+'CurrentPor-All Factor Movements'!H160)/100)+103/POWER(1+('CurrentPor-All Factor Movements'!D160+'CurrentPor-All Factor Movements'!H160)/100,2))*100</f>
        <v>9601.6690668051615</v>
      </c>
      <c r="E160">
        <f>(3/(1+('CurrentPor-All Factor Movements'!C160+'CurrentPor-All Factor Movements'!I160)/100)+103/POWER(1+('CurrentPor-All Factor Movements'!D160+'CurrentPor-All Factor Movements'!I160)/100,2))*100</f>
        <v>9581.6839950510184</v>
      </c>
      <c r="F160">
        <f>Portfolio!B$5*'CurrentPor-All Factor Movements'!E160</f>
        <v>52176.741643085428</v>
      </c>
      <c r="G160">
        <f>Portfolio!B$6*'CurrentPor-All Factor Movements'!F160</f>
        <v>3988.4040633546797</v>
      </c>
      <c r="H160">
        <f>Portfolio!B$7*'CurrentPor-All Factor Movements'!J160</f>
        <v>2064.4089617617151</v>
      </c>
      <c r="I160">
        <f t="shared" si="4"/>
        <v>96759.652162390747</v>
      </c>
      <c r="J160">
        <f t="shared" si="5"/>
        <v>221.4792492363631</v>
      </c>
    </row>
    <row r="161" spans="1:10">
      <c r="A161" s="1">
        <v>45694</v>
      </c>
      <c r="B161">
        <f>(3/(1+('CurrentPor-All Factor Movements'!C161)/100)+103/POWER(1+('CurrentPor-All Factor Movements'!D161)/100,2))*100</f>
        <v>9707.9848167251148</v>
      </c>
      <c r="C161">
        <f>(3/(1+('CurrentPor-All Factor Movements'!C161+'CurrentPor-All Factor Movements'!G161)/100)+103/POWER(1+('CurrentPor-All Factor Movements'!D161+'CurrentPor-All Factor Movements'!G161)/100,2))*100</f>
        <v>9638.8431844210645</v>
      </c>
      <c r="D161">
        <f>(3/(1+('CurrentPor-All Factor Movements'!C161+'CurrentPor-All Factor Movements'!H161)/100)+103/POWER(1+('CurrentPor-All Factor Movements'!D161+'CurrentPor-All Factor Movements'!H161)/100,2))*100</f>
        <v>9602.3900013236562</v>
      </c>
      <c r="E161">
        <f>(3/(1+('CurrentPor-All Factor Movements'!C161+'CurrentPor-All Factor Movements'!I161)/100)+103/POWER(1+('CurrentPor-All Factor Movements'!D161+'CurrentPor-All Factor Movements'!I161)/100,2))*100</f>
        <v>9581.7307461738401</v>
      </c>
      <c r="F161">
        <f>Portfolio!B$5*'CurrentPor-All Factor Movements'!E161</f>
        <v>52097.989346156224</v>
      </c>
      <c r="G161">
        <f>Portfolio!B$6*'CurrentPor-All Factor Movements'!F161</f>
        <v>3982.9245529061559</v>
      </c>
      <c r="H161">
        <f>Portfolio!B$7*'CurrentPor-All Factor Movements'!J161</f>
        <v>2064.4066717147507</v>
      </c>
      <c r="I161">
        <f t="shared" si="4"/>
        <v>96676.269319420811</v>
      </c>
      <c r="J161">
        <f t="shared" si="5"/>
        <v>-277.93651899072574</v>
      </c>
    </row>
    <row r="162" spans="1:10">
      <c r="A162" s="1">
        <v>45695</v>
      </c>
      <c r="B162">
        <f>(3/(1+('CurrentPor-All Factor Movements'!C162)/100)+103/POWER(1+('CurrentPor-All Factor Movements'!D162)/100,2))*100</f>
        <v>9707.4148970770239</v>
      </c>
      <c r="C162">
        <f>(3/(1+('CurrentPor-All Factor Movements'!C162+'CurrentPor-All Factor Movements'!G162)/100)+103/POWER(1+('CurrentPor-All Factor Movements'!D162+'CurrentPor-All Factor Movements'!G162)/100,2))*100</f>
        <v>9640.0891889934737</v>
      </c>
      <c r="D162">
        <f>(3/(1+('CurrentPor-All Factor Movements'!C162+'CurrentPor-All Factor Movements'!H162)/100)+103/POWER(1+('CurrentPor-All Factor Movements'!D162+'CurrentPor-All Factor Movements'!H162)/100,2))*100</f>
        <v>9596.5888832842247</v>
      </c>
      <c r="E162">
        <f>(3/(1+('CurrentPor-All Factor Movements'!C162+'CurrentPor-All Factor Movements'!I162)/100)+103/POWER(1+('CurrentPor-All Factor Movements'!D162+'CurrentPor-All Factor Movements'!I162)/100,2))*100</f>
        <v>9581.6730704188394</v>
      </c>
      <c r="F162">
        <f>Portfolio!B$5*'CurrentPor-All Factor Movements'!E162</f>
        <v>52254.877020022504</v>
      </c>
      <c r="G162">
        <f>Portfolio!B$6*'CurrentPor-All Factor Movements'!F162</f>
        <v>3858.0959769281108</v>
      </c>
      <c r="H162">
        <f>Portfolio!B$7*'CurrentPor-All Factor Movements'!J162</f>
        <v>2064.400037489871</v>
      </c>
      <c r="I162">
        <f t="shared" si="4"/>
        <v>96703.13907421405</v>
      </c>
      <c r="J162">
        <f t="shared" si="5"/>
        <v>-20.135516150199692</v>
      </c>
    </row>
    <row r="163" spans="1:10">
      <c r="A163" s="1">
        <v>45698</v>
      </c>
      <c r="B163">
        <f>(3/(1+('CurrentPor-All Factor Movements'!C163)/100)+103/POWER(1+('CurrentPor-All Factor Movements'!D163)/100,2))*100</f>
        <v>9707.8161750971958</v>
      </c>
      <c r="C163">
        <f>(3/(1+('CurrentPor-All Factor Movements'!C163+'CurrentPor-All Factor Movements'!G163)/100)+103/POWER(1+('CurrentPor-All Factor Movements'!D163+'CurrentPor-All Factor Movements'!G163)/100,2))*100</f>
        <v>9635.0581040772904</v>
      </c>
      <c r="D163">
        <f>(3/(1+('CurrentPor-All Factor Movements'!C163+'CurrentPor-All Factor Movements'!H163)/100)+103/POWER(1+('CurrentPor-All Factor Movements'!D163+'CurrentPor-All Factor Movements'!H163)/100,2))*100</f>
        <v>9593.512370626755</v>
      </c>
      <c r="E163">
        <f>(3/(1+('CurrentPor-All Factor Movements'!C163+'CurrentPor-All Factor Movements'!I163)/100)+103/POWER(1+('CurrentPor-All Factor Movements'!D163+'CurrentPor-All Factor Movements'!I163)/100,2))*100</f>
        <v>9580.3111633976332</v>
      </c>
      <c r="F163">
        <f>Portfolio!B$5*'CurrentPor-All Factor Movements'!E163</f>
        <v>52014.983205002398</v>
      </c>
      <c r="G163">
        <f>Portfolio!B$6*'CurrentPor-All Factor Movements'!F163</f>
        <v>3691.8427607626945</v>
      </c>
      <c r="H163">
        <f>Portfolio!B$7*'CurrentPor-All Factor Movements'!J163</f>
        <v>2064.394227569433</v>
      </c>
      <c r="I163">
        <f t="shared" si="4"/>
        <v>96287.918006533393</v>
      </c>
      <c r="J163">
        <f t="shared" si="5"/>
        <v>-282.14474411297124</v>
      </c>
    </row>
    <row r="164" spans="1:10">
      <c r="A164" s="1">
        <v>45699</v>
      </c>
      <c r="B164">
        <f>(3/(1+('CurrentPor-All Factor Movements'!C164)/100)+103/POWER(1+('CurrentPor-All Factor Movements'!D164)/100,2))*100</f>
        <v>9707.3574014322767</v>
      </c>
      <c r="C164">
        <f>(3/(1+('CurrentPor-All Factor Movements'!C164+'CurrentPor-All Factor Movements'!G164)/100)+103/POWER(1+('CurrentPor-All Factor Movements'!D164+'CurrentPor-All Factor Movements'!G164)/100,2))*100</f>
        <v>9634.6045291868122</v>
      </c>
      <c r="D164">
        <f>(3/(1+('CurrentPor-All Factor Movements'!C164+'CurrentPor-All Factor Movements'!H164)/100)+103/POWER(1+('CurrentPor-All Factor Movements'!D164+'CurrentPor-All Factor Movements'!H164)/100,2))*100</f>
        <v>9596.8050764865638</v>
      </c>
      <c r="E164">
        <f>(3/(1+('CurrentPor-All Factor Movements'!C164+'CurrentPor-All Factor Movements'!I164)/100)+103/POWER(1+('CurrentPor-All Factor Movements'!D164+'CurrentPor-All Factor Movements'!I164)/100,2))*100</f>
        <v>9580.9291291162535</v>
      </c>
      <c r="F164">
        <f>Portfolio!B$5*'CurrentPor-All Factor Movements'!E164</f>
        <v>52235.641011277832</v>
      </c>
      <c r="G164">
        <f>Portfolio!B$6*'CurrentPor-All Factor Movements'!F164</f>
        <v>3564.3903609148069</v>
      </c>
      <c r="H164">
        <f>Portfolio!B$7*'CurrentPor-All Factor Movements'!J164</f>
        <v>2064.4040351235335</v>
      </c>
      <c r="I164">
        <f t="shared" si="4"/>
        <v>96384.131543538067</v>
      </c>
      <c r="J164">
        <f t="shared" si="5"/>
        <v>-319.77376178758277</v>
      </c>
    </row>
    <row r="165" spans="1:10">
      <c r="A165" s="1">
        <v>45700</v>
      </c>
      <c r="B165">
        <f>(3/(1+('CurrentPor-All Factor Movements'!C165)/100)+103/POWER(1+('CurrentPor-All Factor Movements'!D165)/100,2))*100</f>
        <v>9707.0769799817572</v>
      </c>
      <c r="C165">
        <f>(3/(1+('CurrentPor-All Factor Movements'!C165+'CurrentPor-All Factor Movements'!G165)/100)+103/POWER(1+('CurrentPor-All Factor Movements'!D165+'CurrentPor-All Factor Movements'!G165)/100,2))*100</f>
        <v>9634.3272853811468</v>
      </c>
      <c r="D165">
        <f>(3/(1+('CurrentPor-All Factor Movements'!C165+'CurrentPor-All Factor Movements'!H165)/100)+103/POWER(1+('CurrentPor-All Factor Movements'!D165+'CurrentPor-All Factor Movements'!H165)/100,2))*100</f>
        <v>9590.7357202778021</v>
      </c>
      <c r="E165">
        <f>(3/(1+('CurrentPor-All Factor Movements'!C165+'CurrentPor-All Factor Movements'!I165)/100)+103/POWER(1+('CurrentPor-All Factor Movements'!D165+'CurrentPor-All Factor Movements'!I165)/100,2))*100</f>
        <v>9580.7129140417401</v>
      </c>
      <c r="F165">
        <f>Portfolio!B$5*'CurrentPor-All Factor Movements'!E165</f>
        <v>52465.903313861665</v>
      </c>
      <c r="G165">
        <f>Portfolio!B$6*'CurrentPor-All Factor Movements'!F165</f>
        <v>3982.9802683924363</v>
      </c>
      <c r="H165">
        <f>Portfolio!B$7*'CurrentPor-All Factor Movements'!J165</f>
        <v>2064.3956683754477</v>
      </c>
      <c r="I165">
        <f t="shared" si="4"/>
        <v>97026.132150311998</v>
      </c>
      <c r="J165">
        <f t="shared" si="5"/>
        <v>-4.4501848708314355</v>
      </c>
    </row>
    <row r="166" spans="1:10">
      <c r="A166" s="1">
        <v>45701</v>
      </c>
      <c r="B166">
        <f>(3/(1+('CurrentPor-All Factor Movements'!C166)/100)+103/POWER(1+('CurrentPor-All Factor Movements'!D166)/100,2))*100</f>
        <v>9706.5713527613407</v>
      </c>
      <c r="C166">
        <f>(3/(1+('CurrentPor-All Factor Movements'!C166+'CurrentPor-All Factor Movements'!G166)/100)+103/POWER(1+('CurrentPor-All Factor Movements'!D166+'CurrentPor-All Factor Movements'!G166)/100,2))*100</f>
        <v>9633.8273876468556</v>
      </c>
      <c r="D166">
        <f>(3/(1+('CurrentPor-All Factor Movements'!C166+'CurrentPor-All Factor Movements'!H166)/100)+103/POWER(1+('CurrentPor-All Factor Movements'!D166+'CurrentPor-All Factor Movements'!H166)/100,2))*100</f>
        <v>9602.8206729854355</v>
      </c>
      <c r="E166">
        <f>(3/(1+('CurrentPor-All Factor Movements'!C166+'CurrentPor-All Factor Movements'!I166)/100)+103/POWER(1+('CurrentPor-All Factor Movements'!D166+'CurrentPor-All Factor Movements'!I166)/100,2))*100</f>
        <v>9579.5365878719167</v>
      </c>
      <c r="F166">
        <f>Portfolio!B$5*'CurrentPor-All Factor Movements'!E166</f>
        <v>52288.245746908317</v>
      </c>
      <c r="G166">
        <f>Portfolio!B$6*'CurrentPor-All Factor Movements'!F166</f>
        <v>3745.6347189316498</v>
      </c>
      <c r="H166">
        <f>Portfolio!B$7*'CurrentPor-All Factor Movements'!J166</f>
        <v>2064.4037793221833</v>
      </c>
      <c r="I166">
        <f t="shared" si="4"/>
        <v>96621.040246427685</v>
      </c>
      <c r="J166">
        <f t="shared" si="5"/>
        <v>-289.43917113488715</v>
      </c>
    </row>
    <row r="167" spans="1:10">
      <c r="A167" s="1">
        <v>45702</v>
      </c>
      <c r="B167">
        <f>(3/(1+('CurrentPor-All Factor Movements'!C167)/100)+103/POWER(1+('CurrentPor-All Factor Movements'!D167)/100,2))*100</f>
        <v>9706.9404175004129</v>
      </c>
      <c r="C167">
        <f>(3/(1+('CurrentPor-All Factor Movements'!C167+'CurrentPor-All Factor Movements'!G167)/100)+103/POWER(1+('CurrentPor-All Factor Movements'!D167+'CurrentPor-All Factor Movements'!G167)/100,2))*100</f>
        <v>9632.3841606518181</v>
      </c>
      <c r="D167">
        <f>(3/(1+('CurrentPor-All Factor Movements'!C167+'CurrentPor-All Factor Movements'!H167)/100)+103/POWER(1+('CurrentPor-All Factor Movements'!D167+'CurrentPor-All Factor Movements'!H167)/100,2))*100</f>
        <v>9600.6343795239936</v>
      </c>
      <c r="E167">
        <f>(3/(1+('CurrentPor-All Factor Movements'!C167+'CurrentPor-All Factor Movements'!I167)/100)+103/POWER(1+('CurrentPor-All Factor Movements'!D167+'CurrentPor-All Factor Movements'!I167)/100,2))*100</f>
        <v>9580.4939405309451</v>
      </c>
      <c r="F167">
        <f>Portfolio!B$5*'CurrentPor-All Factor Movements'!E167</f>
        <v>52301.058844510771</v>
      </c>
      <c r="G167">
        <f>Portfolio!B$6*'CurrentPor-All Factor Movements'!F167</f>
        <v>4219.7316525834776</v>
      </c>
      <c r="H167">
        <f>Portfolio!B$7*'CurrentPor-All Factor Movements'!J167</f>
        <v>2064.4042275078041</v>
      </c>
      <c r="I167">
        <f t="shared" si="4"/>
        <v>97105.647622809222</v>
      </c>
      <c r="J167">
        <f t="shared" si="5"/>
        <v>700.0341473393928</v>
      </c>
    </row>
    <row r="168" spans="1:10">
      <c r="A168" s="1">
        <v>45705</v>
      </c>
      <c r="B168">
        <f>(3/(1+('CurrentPor-All Factor Movements'!C168)/100)+103/POWER(1+('CurrentPor-All Factor Movements'!D168)/100,2))*100</f>
        <v>9706.1777769019845</v>
      </c>
      <c r="C168">
        <f>(3/(1+('CurrentPor-All Factor Movements'!C168+'CurrentPor-All Factor Movements'!G168)/100)+103/POWER(1+('CurrentPor-All Factor Movements'!D168+'CurrentPor-All Factor Movements'!G168)/100,2))*100</f>
        <v>9638.8650431669976</v>
      </c>
      <c r="D168">
        <f>(3/(1+('CurrentPor-All Factor Movements'!C168+'CurrentPor-All Factor Movements'!H168)/100)+103/POWER(1+('CurrentPor-All Factor Movements'!D168+'CurrentPor-All Factor Movements'!H168)/100,2))*100</f>
        <v>9598.1485591432556</v>
      </c>
      <c r="E168">
        <f>(3/(1+('CurrentPor-All Factor Movements'!C168+'CurrentPor-All Factor Movements'!I168)/100)+103/POWER(1+('CurrentPor-All Factor Movements'!D168+'CurrentPor-All Factor Movements'!I168)/100,2))*100</f>
        <v>9579.0381748210075</v>
      </c>
      <c r="F168">
        <f>Portfolio!B$5*'CurrentPor-All Factor Movements'!E168</f>
        <v>52272.993690842733</v>
      </c>
      <c r="G168">
        <f>Portfolio!B$6*'CurrentPor-All Factor Movements'!F168</f>
        <v>3765.111129868837</v>
      </c>
      <c r="H168">
        <f>Portfolio!B$7*'CurrentPor-All Factor Movements'!J168</f>
        <v>2064.3962955537681</v>
      </c>
      <c r="I168">
        <f t="shared" si="4"/>
        <v>96624.730670298581</v>
      </c>
      <c r="J168">
        <f t="shared" si="5"/>
        <v>146.43245644327544</v>
      </c>
    </row>
    <row r="169" spans="1:10">
      <c r="A169" s="1">
        <v>45706</v>
      </c>
      <c r="B169">
        <f>(3/(1+('CurrentPor-All Factor Movements'!C169)/100)+103/POWER(1+('CurrentPor-All Factor Movements'!D169)/100,2))*100</f>
        <v>9706.3227520233559</v>
      </c>
      <c r="C169">
        <f>(3/(1+('CurrentPor-All Factor Movements'!C169+'CurrentPor-All Factor Movements'!G169)/100)+103/POWER(1+('CurrentPor-All Factor Movements'!D169+'CurrentPor-All Factor Movements'!G169)/100,2))*100</f>
        <v>9640.8184918113566</v>
      </c>
      <c r="D169">
        <f>(3/(1+('CurrentPor-All Factor Movements'!C169+'CurrentPor-All Factor Movements'!H169)/100)+103/POWER(1+('CurrentPor-All Factor Movements'!D169+'CurrentPor-All Factor Movements'!H169)/100,2))*100</f>
        <v>9595.0445395133411</v>
      </c>
      <c r="E169">
        <f>(3/(1+('CurrentPor-All Factor Movements'!C169+'CurrentPor-All Factor Movements'!I169)/100)+103/POWER(1+('CurrentPor-All Factor Movements'!D169+'CurrentPor-All Factor Movements'!I169)/100,2))*100</f>
        <v>9580.8822880107746</v>
      </c>
      <c r="F169">
        <f>Portfolio!B$5*'CurrentPor-All Factor Movements'!E169</f>
        <v>51783.651909426786</v>
      </c>
      <c r="G169">
        <f>Portfolio!B$6*'CurrentPor-All Factor Movements'!F169</f>
        <v>3962.7840589556131</v>
      </c>
      <c r="H169">
        <f>Portfolio!B$7*'CurrentPor-All Factor Movements'!J169</f>
        <v>2064.405935637893</v>
      </c>
      <c r="I169">
        <f t="shared" si="4"/>
        <v>96333.909975379123</v>
      </c>
      <c r="J169">
        <f t="shared" si="5"/>
        <v>-463.17155097870273</v>
      </c>
    </row>
    <row r="170" spans="1:10">
      <c r="A170" s="1">
        <v>45707</v>
      </c>
      <c r="B170">
        <f>(3/(1+('CurrentPor-All Factor Movements'!C170)/100)+103/POWER(1+('CurrentPor-All Factor Movements'!D170)/100,2))*100</f>
        <v>9706.2039994580209</v>
      </c>
      <c r="C170">
        <f>(3/(1+('CurrentPor-All Factor Movements'!C170+'CurrentPor-All Factor Movements'!G170)/100)+103/POWER(1+('CurrentPor-All Factor Movements'!D170+'CurrentPor-All Factor Movements'!G170)/100,2))*100</f>
        <v>9644.3224171553811</v>
      </c>
      <c r="D170">
        <f>(3/(1+('CurrentPor-All Factor Movements'!C170+'CurrentPor-All Factor Movements'!H170)/100)+103/POWER(1+('CurrentPor-All Factor Movements'!D170+'CurrentPor-All Factor Movements'!H170)/100,2))*100</f>
        <v>9588.636648971351</v>
      </c>
      <c r="E170">
        <f>(3/(1+('CurrentPor-All Factor Movements'!C170+'CurrentPor-All Factor Movements'!I170)/100)+103/POWER(1+('CurrentPor-All Factor Movements'!D170+'CurrentPor-All Factor Movements'!I170)/100,2))*100</f>
        <v>9579.3836082653506</v>
      </c>
      <c r="F170">
        <f>Portfolio!B$5*'CurrentPor-All Factor Movements'!E170</f>
        <v>52573.209776268093</v>
      </c>
      <c r="G170">
        <f>Portfolio!B$6*'CurrentPor-All Factor Movements'!F170</f>
        <v>4336.1256602718113</v>
      </c>
      <c r="H170">
        <f>Portfolio!B$7*'CurrentPor-All Factor Movements'!J170</f>
        <v>2064.4019144532094</v>
      </c>
      <c r="I170">
        <f t="shared" si="4"/>
        <v>97492.284024843204</v>
      </c>
      <c r="J170">
        <f t="shared" si="5"/>
        <v>732.63186245245743</v>
      </c>
    </row>
    <row r="171" spans="1:10">
      <c r="A171" s="1">
        <v>45708</v>
      </c>
      <c r="B171">
        <f>(3/(1+('CurrentPor-All Factor Movements'!C171)/100)+103/POWER(1+('CurrentPor-All Factor Movements'!D171)/100,2))*100</f>
        <v>9708.6826925258774</v>
      </c>
      <c r="C171">
        <f>(3/(1+('CurrentPor-All Factor Movements'!C171+'CurrentPor-All Factor Movements'!G171)/100)+103/POWER(1+('CurrentPor-All Factor Movements'!D171+'CurrentPor-All Factor Movements'!G171)/100,2))*100</f>
        <v>9648.5894125957893</v>
      </c>
      <c r="D171">
        <f>(3/(1+('CurrentPor-All Factor Movements'!C171+'CurrentPor-All Factor Movements'!H171)/100)+103/POWER(1+('CurrentPor-All Factor Movements'!D171+'CurrentPor-All Factor Movements'!H171)/100,2))*100</f>
        <v>9598.5124769883605</v>
      </c>
      <c r="E171">
        <f>(3/(1+('CurrentPor-All Factor Movements'!C171+'CurrentPor-All Factor Movements'!I171)/100)+103/POWER(1+('CurrentPor-All Factor Movements'!D171+'CurrentPor-All Factor Movements'!I171)/100,2))*100</f>
        <v>9581.8780532847177</v>
      </c>
      <c r="F171">
        <f>Portfolio!B$5*'CurrentPor-All Factor Movements'!E171</f>
        <v>52364.612727698754</v>
      </c>
      <c r="G171">
        <f>Portfolio!B$6*'CurrentPor-All Factor Movements'!F171</f>
        <v>3731.1306901897219</v>
      </c>
      <c r="H171">
        <f>Portfolio!B$7*'CurrentPor-All Factor Movements'!J171</f>
        <v>2064.4027087500576</v>
      </c>
      <c r="I171">
        <f t="shared" si="4"/>
        <v>96697.808762033281</v>
      </c>
      <c r="J171">
        <f t="shared" si="5"/>
        <v>21.539442612469429</v>
      </c>
    </row>
    <row r="172" spans="1:10">
      <c r="A172" s="1">
        <v>45709</v>
      </c>
      <c r="B172">
        <f>(3/(1+('CurrentPor-All Factor Movements'!C172)/100)+103/POWER(1+('CurrentPor-All Factor Movements'!D172)/100,2))*100</f>
        <v>9706.4930016342696</v>
      </c>
      <c r="C172">
        <f>(3/(1+('CurrentPor-All Factor Movements'!C172+'CurrentPor-All Factor Movements'!G172)/100)+103/POWER(1+('CurrentPor-All Factor Movements'!D172+'CurrentPor-All Factor Movements'!G172)/100,2))*100</f>
        <v>9644.6086326377626</v>
      </c>
      <c r="D172">
        <f>(3/(1+('CurrentPor-All Factor Movements'!C172+'CurrentPor-All Factor Movements'!H172)/100)+103/POWER(1+('CurrentPor-All Factor Movements'!D172+'CurrentPor-All Factor Movements'!H172)/100,2))*100</f>
        <v>9586.9832132863867</v>
      </c>
      <c r="E172">
        <f>(3/(1+('CurrentPor-All Factor Movements'!C172+'CurrentPor-All Factor Movements'!I172)/100)+103/POWER(1+('CurrentPor-All Factor Movements'!D172+'CurrentPor-All Factor Movements'!I172)/100,2))*100</f>
        <v>9579.7534433782967</v>
      </c>
      <c r="F172">
        <f>Portfolio!B$5*'CurrentPor-All Factor Movements'!E172</f>
        <v>52155.464997171155</v>
      </c>
      <c r="G172">
        <f>Portfolio!B$6*'CurrentPor-All Factor Movements'!F172</f>
        <v>3790.9911058844687</v>
      </c>
      <c r="H172">
        <f>Portfolio!B$7*'CurrentPor-All Factor Movements'!J172</f>
        <v>2064.3964103880935</v>
      </c>
      <c r="I172">
        <f t="shared" si="4"/>
        <v>96528.690804380458</v>
      </c>
      <c r="J172">
        <f t="shared" si="5"/>
        <v>-174.44826983359235</v>
      </c>
    </row>
    <row r="173" spans="1:10">
      <c r="A173" s="1">
        <v>45712</v>
      </c>
      <c r="B173">
        <f>(3/(1+('CurrentPor-All Factor Movements'!C173)/100)+103/POWER(1+('CurrentPor-All Factor Movements'!D173)/100,2))*100</f>
        <v>9707.2923936049738</v>
      </c>
      <c r="C173">
        <f>(3/(1+('CurrentPor-All Factor Movements'!C173+'CurrentPor-All Factor Movements'!G173)/100)+103/POWER(1+('CurrentPor-All Factor Movements'!D173+'CurrentPor-All Factor Movements'!G173)/100,2))*100</f>
        <v>9645.4003162789922</v>
      </c>
      <c r="D173">
        <f>(3/(1+('CurrentPor-All Factor Movements'!C173+'CurrentPor-All Factor Movements'!H173)/100)+103/POWER(1+('CurrentPor-All Factor Movements'!D173+'CurrentPor-All Factor Movements'!H173)/100,2))*100</f>
        <v>9601.2307569245786</v>
      </c>
      <c r="E173">
        <f>(3/(1+('CurrentPor-All Factor Movements'!C173+'CurrentPor-All Factor Movements'!I173)/100)+103/POWER(1+('CurrentPor-All Factor Movements'!D173+'CurrentPor-All Factor Movements'!I173)/100,2))*100</f>
        <v>9579.9325379527327</v>
      </c>
      <c r="F173">
        <f>Portfolio!B$5*'CurrentPor-All Factor Movements'!E173</f>
        <v>52350.007388650491</v>
      </c>
      <c r="G173">
        <f>Portfolio!B$6*'CurrentPor-All Factor Movements'!F173</f>
        <v>3600.5265554345747</v>
      </c>
      <c r="H173">
        <f>Portfolio!B$7*'CurrentPor-All Factor Movements'!J173</f>
        <v>2064.3939018549245</v>
      </c>
      <c r="I173">
        <f t="shared" si="4"/>
        <v>96548.783850701264</v>
      </c>
      <c r="J173">
        <f t="shared" si="5"/>
        <v>260.86584416787082</v>
      </c>
    </row>
    <row r="174" spans="1:10">
      <c r="A174" s="1">
        <v>45713</v>
      </c>
      <c r="B174">
        <f>(3/(1+('CurrentPor-All Factor Movements'!C174)/100)+103/POWER(1+('CurrentPor-All Factor Movements'!D174)/100,2))*100</f>
        <v>9708.4493331220328</v>
      </c>
      <c r="C174">
        <f>(3/(1+('CurrentPor-All Factor Movements'!C174+'CurrentPor-All Factor Movements'!G174)/100)+103/POWER(1+('CurrentPor-All Factor Movements'!D174+'CurrentPor-All Factor Movements'!G174)/100,2))*100</f>
        <v>9648.3582378388692</v>
      </c>
      <c r="D174">
        <f>(3/(1+('CurrentPor-All Factor Movements'!C174+'CurrentPor-All Factor Movements'!H174)/100)+103/POWER(1+('CurrentPor-All Factor Movements'!D174+'CurrentPor-All Factor Movements'!H174)/100,2))*100</f>
        <v>9602.8644544491581</v>
      </c>
      <c r="E174">
        <f>(3/(1+('CurrentPor-All Factor Movements'!C174+'CurrentPor-All Factor Movements'!I174)/100)+103/POWER(1+('CurrentPor-All Factor Movements'!D174+'CurrentPor-All Factor Movements'!I174)/100,2))*100</f>
        <v>9581.823454387848</v>
      </c>
      <c r="F174">
        <f>Portfolio!B$5*'CurrentPor-All Factor Movements'!E174</f>
        <v>52430.594496455044</v>
      </c>
      <c r="G174">
        <f>Portfolio!B$6*'CurrentPor-All Factor Movements'!F174</f>
        <v>3598.6783872828814</v>
      </c>
      <c r="H174">
        <f>Portfolio!B$7*'CurrentPor-All Factor Movements'!J174</f>
        <v>2064.3893241583969</v>
      </c>
      <c r="I174">
        <f t="shared" si="4"/>
        <v>96635.157687694242</v>
      </c>
      <c r="J174">
        <f t="shared" si="5"/>
        <v>251.02614415617427</v>
      </c>
    </row>
    <row r="175" spans="1:10">
      <c r="A175" s="1">
        <v>45714</v>
      </c>
      <c r="B175">
        <f>(3/(1+('CurrentPor-All Factor Movements'!C175)/100)+103/POWER(1+('CurrentPor-All Factor Movements'!D175)/100,2))*100</f>
        <v>9708.1630795546716</v>
      </c>
      <c r="C175">
        <f>(3/(1+('CurrentPor-All Factor Movements'!C175+'CurrentPor-All Factor Movements'!G175)/100)+103/POWER(1+('CurrentPor-All Factor Movements'!D175+'CurrentPor-All Factor Movements'!G175)/100,2))*100</f>
        <v>9651.7003274386789</v>
      </c>
      <c r="D175">
        <f>(3/(1+('CurrentPor-All Factor Movements'!C175+'CurrentPor-All Factor Movements'!H175)/100)+103/POWER(1+('CurrentPor-All Factor Movements'!D175+'CurrentPor-All Factor Movements'!H175)/100,2))*100</f>
        <v>9605.0594370238905</v>
      </c>
      <c r="E175">
        <f>(3/(1+('CurrentPor-All Factor Movements'!C175+'CurrentPor-All Factor Movements'!I175)/100)+103/POWER(1+('CurrentPor-All Factor Movements'!D175+'CurrentPor-All Factor Movements'!I175)/100,2))*100</f>
        <v>9582.2191401287237</v>
      </c>
      <c r="F175">
        <f>Portfolio!B$5*'CurrentPor-All Factor Movements'!E175</f>
        <v>51947.901648494495</v>
      </c>
      <c r="G175">
        <f>Portfolio!B$6*'CurrentPor-All Factor Movements'!F175</f>
        <v>3419.7800336460623</v>
      </c>
      <c r="H175">
        <f>Portfolio!B$7*'CurrentPor-All Factor Movements'!J175</f>
        <v>2064.4019725805838</v>
      </c>
      <c r="I175">
        <f t="shared" si="4"/>
        <v>95979.225638867109</v>
      </c>
      <c r="J175">
        <f t="shared" si="5"/>
        <v>-1046.9065114448895</v>
      </c>
    </row>
    <row r="176" spans="1:10">
      <c r="A176" s="1">
        <v>45715</v>
      </c>
      <c r="B176">
        <f>(3/(1+('CurrentPor-All Factor Movements'!C176)/100)+103/POWER(1+('CurrentPor-All Factor Movements'!D176)/100,2))*100</f>
        <v>9708.6931029803418</v>
      </c>
      <c r="C176">
        <f>(3/(1+('CurrentPor-All Factor Movements'!C176+'CurrentPor-All Factor Movements'!G176)/100)+103/POWER(1+('CurrentPor-All Factor Movements'!D176+'CurrentPor-All Factor Movements'!G176)/100,2))*100</f>
        <v>9650.4124487622557</v>
      </c>
      <c r="D176">
        <f>(3/(1+('CurrentPor-All Factor Movements'!C176+'CurrentPor-All Factor Movements'!H176)/100)+103/POWER(1+('CurrentPor-All Factor Movements'!D176+'CurrentPor-All Factor Movements'!H176)/100,2))*100</f>
        <v>9583.6963391845456</v>
      </c>
      <c r="E176">
        <f>(3/(1+('CurrentPor-All Factor Movements'!C176+'CurrentPor-All Factor Movements'!I176)/100)+103/POWER(1+('CurrentPor-All Factor Movements'!D176+'CurrentPor-All Factor Movements'!I176)/100,2))*100</f>
        <v>9580.4804001931407</v>
      </c>
      <c r="F176">
        <f>Portfolio!B$5*'CurrentPor-All Factor Movements'!E176</f>
        <v>52217.475505332492</v>
      </c>
      <c r="G176">
        <f>Portfolio!B$6*'CurrentPor-All Factor Movements'!F176</f>
        <v>3673.3701929380636</v>
      </c>
      <c r="H176">
        <f>Portfolio!B$7*'CurrentPor-All Factor Movements'!J176</f>
        <v>2064.3958265949764</v>
      </c>
      <c r="I176">
        <f t="shared" si="4"/>
        <v>96478.523815985813</v>
      </c>
      <c r="J176">
        <f t="shared" si="5"/>
        <v>-142.51643044187222</v>
      </c>
    </row>
    <row r="177" spans="1:10">
      <c r="A177" s="1">
        <v>45716</v>
      </c>
      <c r="B177">
        <f>(3/(1+('CurrentPor-All Factor Movements'!C177)/100)+103/POWER(1+('CurrentPor-All Factor Movements'!D177)/100,2))*100</f>
        <v>9705.5891521751328</v>
      </c>
      <c r="C177">
        <f>(3/(1+('CurrentPor-All Factor Movements'!C177+'CurrentPor-All Factor Movements'!G177)/100)+103/POWER(1+('CurrentPor-All Factor Movements'!D177+'CurrentPor-All Factor Movements'!G177)/100,2))*100</f>
        <v>9647.3366789975225</v>
      </c>
      <c r="D177">
        <f>(3/(1+('CurrentPor-All Factor Movements'!C177+'CurrentPor-All Factor Movements'!H177)/100)+103/POWER(1+('CurrentPor-All Factor Movements'!D177+'CurrentPor-All Factor Movements'!H177)/100,2))*100</f>
        <v>9613.5216574151636</v>
      </c>
      <c r="E177">
        <f>(3/(1+('CurrentPor-All Factor Movements'!C177+'CurrentPor-All Factor Movements'!I177)/100)+103/POWER(1+('CurrentPor-All Factor Movements'!D177+'CurrentPor-All Factor Movements'!I177)/100,2))*100</f>
        <v>9577.187024535815</v>
      </c>
      <c r="F177">
        <f>Portfolio!B$5*'CurrentPor-All Factor Movements'!E177</f>
        <v>51931.181622931283</v>
      </c>
      <c r="G177">
        <f>Portfolio!B$6*'CurrentPor-All Factor Movements'!F177</f>
        <v>3710.3281191503443</v>
      </c>
      <c r="H177">
        <f>Portfolio!B$7*'CurrentPor-All Factor Movements'!J177</f>
        <v>2064.4024192813299</v>
      </c>
      <c r="I177">
        <f t="shared" si="4"/>
        <v>96249.546674486584</v>
      </c>
      <c r="J177">
        <f t="shared" si="5"/>
        <v>-856.10094832263712</v>
      </c>
    </row>
    <row r="178" spans="1:10">
      <c r="A178" s="1">
        <v>45719</v>
      </c>
      <c r="B178">
        <f>(3/(1+('CurrentPor-All Factor Movements'!C178)/100)+103/POWER(1+('CurrentPor-All Factor Movements'!D178)/100,2))*100</f>
        <v>9706.1560428805878</v>
      </c>
      <c r="C178">
        <f>(3/(1+('CurrentPor-All Factor Movements'!C178+'CurrentPor-All Factor Movements'!G178)/100)+103/POWER(1+('CurrentPor-All Factor Movements'!D178+'CurrentPor-All Factor Movements'!G178)/100,2))*100</f>
        <v>9649.710946758054</v>
      </c>
      <c r="D178">
        <f>(3/(1+('CurrentPor-All Factor Movements'!C178+'CurrentPor-All Factor Movements'!H178)/100)+103/POWER(1+('CurrentPor-All Factor Movements'!D178+'CurrentPor-All Factor Movements'!H178)/100,2))*100</f>
        <v>9596.4911070297712</v>
      </c>
      <c r="E178">
        <f>(3/(1+('CurrentPor-All Factor Movements'!C178+'CurrentPor-All Factor Movements'!I178)/100)+103/POWER(1+('CurrentPor-All Factor Movements'!D178+'CurrentPor-All Factor Movements'!I178)/100,2))*100</f>
        <v>9579.8656595409266</v>
      </c>
      <c r="F178">
        <f>Portfolio!B$5*'CurrentPor-All Factor Movements'!E178</f>
        <v>52221.812675650835</v>
      </c>
      <c r="G178">
        <f>Portfolio!B$6*'CurrentPor-All Factor Movements'!F178</f>
        <v>3361.3887001263811</v>
      </c>
      <c r="H178">
        <f>Portfolio!B$7*'CurrentPor-All Factor Movements'!J178</f>
        <v>2064.3991559766087</v>
      </c>
      <c r="I178">
        <f t="shared" si="4"/>
        <v>96179.824287963173</v>
      </c>
      <c r="J178">
        <f t="shared" si="5"/>
        <v>-444.90638233540813</v>
      </c>
    </row>
    <row r="179" spans="1:10">
      <c r="A179" s="1">
        <v>45720</v>
      </c>
      <c r="B179">
        <f>(3/(1+('CurrentPor-All Factor Movements'!C179)/100)+103/POWER(1+('CurrentPor-All Factor Movements'!D179)/100,2))*100</f>
        <v>9706.2043662200049</v>
      </c>
      <c r="C179">
        <f>(3/(1+('CurrentPor-All Factor Movements'!C179+'CurrentPor-All Factor Movements'!G179)/100)+103/POWER(1+('CurrentPor-All Factor Movements'!D179+'CurrentPor-All Factor Movements'!G179)/100,2))*100</f>
        <v>9651.5718981194914</v>
      </c>
      <c r="D179">
        <f>(3/(1+('CurrentPor-All Factor Movements'!C179+'CurrentPor-All Factor Movements'!H179)/100)+103/POWER(1+('CurrentPor-All Factor Movements'!D179+'CurrentPor-All Factor Movements'!H179)/100,2))*100</f>
        <v>9590.2873785599022</v>
      </c>
      <c r="E179">
        <f>(3/(1+('CurrentPor-All Factor Movements'!C179+'CurrentPor-All Factor Movements'!I179)/100)+103/POWER(1+('CurrentPor-All Factor Movements'!D179+'CurrentPor-All Factor Movements'!I179)/100,2))*100</f>
        <v>9578.5509064856869</v>
      </c>
      <c r="F179">
        <f>Portfolio!B$5*'CurrentPor-All Factor Movements'!E179</f>
        <v>52243.110385895059</v>
      </c>
      <c r="G179">
        <f>Portfolio!B$6*'CurrentPor-All Factor Movements'!F179</f>
        <v>3834.6311860868495</v>
      </c>
      <c r="H179">
        <f>Portfolio!B$7*'CurrentPor-All Factor Movements'!J179</f>
        <v>2064.403627923532</v>
      </c>
      <c r="I179">
        <f t="shared" si="4"/>
        <v>96668.759749290519</v>
      </c>
      <c r="J179">
        <f t="shared" si="5"/>
        <v>334.84977391139546</v>
      </c>
    </row>
    <row r="180" spans="1:10">
      <c r="A180" s="1">
        <v>45721</v>
      </c>
      <c r="B180">
        <f>(3/(1+('CurrentPor-All Factor Movements'!C180)/100)+103/POWER(1+('CurrentPor-All Factor Movements'!D180)/100,2))*100</f>
        <v>9706.0397590979192</v>
      </c>
      <c r="C180">
        <f>(3/(1+('CurrentPor-All Factor Movements'!C180+'CurrentPor-All Factor Movements'!G180)/100)+103/POWER(1+('CurrentPor-All Factor Movements'!D180+'CurrentPor-All Factor Movements'!G180)/100,2))*100</f>
        <v>9651.408692532661</v>
      </c>
      <c r="D180">
        <f>(3/(1+('CurrentPor-All Factor Movements'!C180+'CurrentPor-All Factor Movements'!H180)/100)+103/POWER(1+('CurrentPor-All Factor Movements'!D180+'CurrentPor-All Factor Movements'!H180)/100,2))*100</f>
        <v>9601.0829171223322</v>
      </c>
      <c r="E180">
        <f>(3/(1+('CurrentPor-All Factor Movements'!C180+'CurrentPor-All Factor Movements'!I180)/100)+103/POWER(1+('CurrentPor-All Factor Movements'!D180+'CurrentPor-All Factor Movements'!I180)/100,2))*100</f>
        <v>9578.4276288618275</v>
      </c>
      <c r="F180">
        <f>Portfolio!B$5*'CurrentPor-All Factor Movements'!E180</f>
        <v>52293.565410377254</v>
      </c>
      <c r="G180">
        <f>Portfolio!B$6*'CurrentPor-All Factor Movements'!F180</f>
        <v>4053.1227983629797</v>
      </c>
      <c r="H180">
        <f>Portfolio!B$7*'CurrentPor-All Factor Movements'!J180</f>
        <v>2064.3957304970641</v>
      </c>
      <c r="I180">
        <f t="shared" si="4"/>
        <v>96948.042936852042</v>
      </c>
      <c r="J180">
        <f t="shared" si="5"/>
        <v>-544.2410879911622</v>
      </c>
    </row>
    <row r="181" spans="1:10">
      <c r="A181" s="1">
        <v>45722</v>
      </c>
      <c r="B181">
        <f>(3/(1+('CurrentPor-All Factor Movements'!C181)/100)+103/POWER(1+('CurrentPor-All Factor Movements'!D181)/100,2))*100</f>
        <v>9707.6643715442788</v>
      </c>
      <c r="C181">
        <f>(3/(1+('CurrentPor-All Factor Movements'!C181+'CurrentPor-All Factor Movements'!G181)/100)+103/POWER(1+('CurrentPor-All Factor Movements'!D181+'CurrentPor-All Factor Movements'!G181)/100,2))*100</f>
        <v>9653.0194718080438</v>
      </c>
      <c r="D181">
        <f>(3/(1+('CurrentPor-All Factor Movements'!C181+'CurrentPor-All Factor Movements'!H181)/100)+103/POWER(1+('CurrentPor-All Factor Movements'!D181+'CurrentPor-All Factor Movements'!H181)/100,2))*100</f>
        <v>9606.9636387649261</v>
      </c>
      <c r="E181">
        <f>(3/(1+('CurrentPor-All Factor Movements'!C181+'CurrentPor-All Factor Movements'!I181)/100)+103/POWER(1+('CurrentPor-All Factor Movements'!D181+'CurrentPor-All Factor Movements'!I181)/100,2))*100</f>
        <v>9579.7438952703269</v>
      </c>
      <c r="F181">
        <f>Portfolio!B$5*'CurrentPor-All Factor Movements'!E181</f>
        <v>52021.657066204803</v>
      </c>
      <c r="G181">
        <f>Portfolio!B$6*'CurrentPor-All Factor Movements'!F181</f>
        <v>3850.2623328837872</v>
      </c>
      <c r="H181">
        <f>Portfolio!B$7*'CurrentPor-All Factor Movements'!J181</f>
        <v>2064.4071729945736</v>
      </c>
      <c r="I181">
        <f t="shared" si="4"/>
        <v>96483.717949470738</v>
      </c>
      <c r="J181">
        <f t="shared" si="5"/>
        <v>-214.09081256254285</v>
      </c>
    </row>
    <row r="182" spans="1:10">
      <c r="A182" s="1">
        <v>45723</v>
      </c>
      <c r="B182">
        <f>(3/(1+('CurrentPor-All Factor Movements'!C182)/100)+103/POWER(1+('CurrentPor-All Factor Movements'!D182)/100,2))*100</f>
        <v>9706.8078811854812</v>
      </c>
      <c r="C182">
        <f>(3/(1+('CurrentPor-All Factor Movements'!C182+'CurrentPor-All Factor Movements'!G182)/100)+103/POWER(1+('CurrentPor-All Factor Movements'!D182+'CurrentPor-All Factor Movements'!G182)/100,2))*100</f>
        <v>9646.7321519744582</v>
      </c>
      <c r="D182">
        <f>(3/(1+('CurrentPor-All Factor Movements'!C182+'CurrentPor-All Factor Movements'!H182)/100)+103/POWER(1+('CurrentPor-All Factor Movements'!D182+'CurrentPor-All Factor Movements'!H182)/100,2))*100</f>
        <v>9599.808053460114</v>
      </c>
      <c r="E182">
        <f>(3/(1+('CurrentPor-All Factor Movements'!C182+'CurrentPor-All Factor Movements'!I182)/100)+103/POWER(1+('CurrentPor-All Factor Movements'!D182+'CurrentPor-All Factor Movements'!I182)/100,2))*100</f>
        <v>9580.7121993669407</v>
      </c>
      <c r="F182">
        <f>Portfolio!B$5*'CurrentPor-All Factor Movements'!E182</f>
        <v>52385.64569140035</v>
      </c>
      <c r="G182">
        <f>Portfolio!B$6*'CurrentPor-All Factor Movements'!F182</f>
        <v>3622.4264361618802</v>
      </c>
      <c r="H182">
        <f>Portfolio!B$7*'CurrentPor-All Factor Movements'!J182</f>
        <v>2064.3972918057912</v>
      </c>
      <c r="I182">
        <f t="shared" si="4"/>
        <v>96606.529705355017</v>
      </c>
      <c r="J182">
        <f t="shared" si="5"/>
        <v>77.838900974558783</v>
      </c>
    </row>
    <row r="183" spans="1:10">
      <c r="A183" s="1">
        <v>45726</v>
      </c>
      <c r="B183">
        <f>(3/(1+('CurrentPor-All Factor Movements'!C183)/100)+103/POWER(1+('CurrentPor-All Factor Movements'!D183)/100,2))*100</f>
        <v>9707.1052610875831</v>
      </c>
      <c r="C183">
        <f>(3/(1+('CurrentPor-All Factor Movements'!C183+'CurrentPor-All Factor Movements'!G183)/100)+103/POWER(1+('CurrentPor-All Factor Movements'!D183+'CurrentPor-All Factor Movements'!G183)/100,2))*100</f>
        <v>9648.8390235954175</v>
      </c>
      <c r="D183">
        <f>(3/(1+('CurrentPor-All Factor Movements'!C183+'CurrentPor-All Factor Movements'!H183)/100)+103/POWER(1+('CurrentPor-All Factor Movements'!D183+'CurrentPor-All Factor Movements'!H183)/100,2))*100</f>
        <v>9597.1057850899469</v>
      </c>
      <c r="E183">
        <f>(3/(1+('CurrentPor-All Factor Movements'!C183+'CurrentPor-All Factor Movements'!I183)/100)+103/POWER(1+('CurrentPor-All Factor Movements'!D183+'CurrentPor-All Factor Movements'!I183)/100,2))*100</f>
        <v>9581.5639321329672</v>
      </c>
      <c r="F183">
        <f>Portfolio!B$5*'CurrentPor-All Factor Movements'!E183</f>
        <v>52570.009468101976</v>
      </c>
      <c r="G183">
        <f>Portfolio!B$6*'CurrentPor-All Factor Movements'!F183</f>
        <v>3478.0610886981704</v>
      </c>
      <c r="H183">
        <f>Portfolio!B$7*'CurrentPor-All Factor Movements'!J183</f>
        <v>2064.3986874549742</v>
      </c>
      <c r="I183">
        <f t="shared" si="4"/>
        <v>96647.083246161026</v>
      </c>
      <c r="J183">
        <f t="shared" si="5"/>
        <v>98.299395459762309</v>
      </c>
    </row>
    <row r="184" spans="1:10">
      <c r="A184" s="1">
        <v>45727</v>
      </c>
      <c r="B184">
        <f>(3/(1+('CurrentPor-All Factor Movements'!C184)/100)+103/POWER(1+('CurrentPor-All Factor Movements'!D184)/100,2))*100</f>
        <v>9706.9651958477079</v>
      </c>
      <c r="C184">
        <f>(3/(1+('CurrentPor-All Factor Movements'!C184+'CurrentPor-All Factor Movements'!G184)/100)+103/POWER(1+('CurrentPor-All Factor Movements'!D184+'CurrentPor-All Factor Movements'!G184)/100,2))*100</f>
        <v>9648.7002300130589</v>
      </c>
      <c r="D184">
        <f>(3/(1+('CurrentPor-All Factor Movements'!C184+'CurrentPor-All Factor Movements'!H184)/100)+103/POWER(1+('CurrentPor-All Factor Movements'!D184+'CurrentPor-All Factor Movements'!H184)/100,2))*100</f>
        <v>9605.0475849114027</v>
      </c>
      <c r="E184">
        <f>(3/(1+('CurrentPor-All Factor Movements'!C184+'CurrentPor-All Factor Movements'!I184)/100)+103/POWER(1+('CurrentPor-All Factor Movements'!D184+'CurrentPor-All Factor Movements'!I184)/100,2))*100</f>
        <v>9578.994501625868</v>
      </c>
      <c r="F184">
        <f>Portfolio!B$5*'CurrentPor-All Factor Movements'!E184</f>
        <v>52226.538645597488</v>
      </c>
      <c r="G184">
        <f>Portfolio!B$6*'CurrentPor-All Factor Movements'!F184</f>
        <v>4158.5620539728179</v>
      </c>
      <c r="H184">
        <f>Portfolio!B$7*'CurrentPor-All Factor Movements'!J184</f>
        <v>2064.3958519049738</v>
      </c>
      <c r="I184">
        <f t="shared" si="4"/>
        <v>96989.204063873301</v>
      </c>
      <c r="J184">
        <f t="shared" si="5"/>
        <v>354.04637617905973</v>
      </c>
    </row>
    <row r="185" spans="1:10">
      <c r="A185" s="1">
        <v>45728</v>
      </c>
      <c r="B185">
        <f>(3/(1+('CurrentPor-All Factor Movements'!C185)/100)+103/POWER(1+('CurrentPor-All Factor Movements'!D185)/100,2))*100</f>
        <v>9706.4304878069106</v>
      </c>
      <c r="C185">
        <f>(3/(1+('CurrentPor-All Factor Movements'!C185+'CurrentPor-All Factor Movements'!G185)/100)+103/POWER(1+('CurrentPor-All Factor Movements'!D185+'CurrentPor-All Factor Movements'!G185)/100,2))*100</f>
        <v>9642.7356672580318</v>
      </c>
      <c r="D185">
        <f>(3/(1+('CurrentPor-All Factor Movements'!C185+'CurrentPor-All Factor Movements'!H185)/100)+103/POWER(1+('CurrentPor-All Factor Movements'!D185+'CurrentPor-All Factor Movements'!H185)/100,2))*100</f>
        <v>9591.5728348322773</v>
      </c>
      <c r="E185">
        <f>(3/(1+('CurrentPor-All Factor Movements'!C185+'CurrentPor-All Factor Movements'!I185)/100)+103/POWER(1+('CurrentPor-All Factor Movements'!D185+'CurrentPor-All Factor Movements'!I185)/100,2))*100</f>
        <v>9580.2824194650129</v>
      </c>
      <c r="F185">
        <f>Portfolio!B$5*'CurrentPor-All Factor Movements'!E185</f>
        <v>52331.473692130297</v>
      </c>
      <c r="G185">
        <f>Portfolio!B$6*'CurrentPor-All Factor Movements'!F185</f>
        <v>3561.6393307862731</v>
      </c>
      <c r="H185">
        <f>Portfolio!B$7*'CurrentPor-All Factor Movements'!J185</f>
        <v>2064.3992355957321</v>
      </c>
      <c r="I185">
        <f t="shared" si="4"/>
        <v>96478.533667874537</v>
      </c>
      <c r="J185">
        <f t="shared" si="5"/>
        <v>499.30802900742856</v>
      </c>
    </row>
    <row r="186" spans="1:10">
      <c r="A186" s="1">
        <v>45729</v>
      </c>
      <c r="B186">
        <f>(3/(1+('CurrentPor-All Factor Movements'!C186)/100)+103/POWER(1+('CurrentPor-All Factor Movements'!D186)/100,2))*100</f>
        <v>9708.2725446045133</v>
      </c>
      <c r="C186">
        <f>(3/(1+('CurrentPor-All Factor Movements'!C186+'CurrentPor-All Factor Movements'!G186)/100)+103/POWER(1+('CurrentPor-All Factor Movements'!D186+'CurrentPor-All Factor Movements'!G186)/100,2))*100</f>
        <v>9646.3710154976343</v>
      </c>
      <c r="D186">
        <f>(3/(1+('CurrentPor-All Factor Movements'!C186+'CurrentPor-All Factor Movements'!H186)/100)+103/POWER(1+('CurrentPor-All Factor Movements'!D186+'CurrentPor-All Factor Movements'!H186)/100,2))*100</f>
        <v>9593.7754236702476</v>
      </c>
      <c r="E186">
        <f>(3/(1+('CurrentPor-All Factor Movements'!C186+'CurrentPor-All Factor Movements'!I186)/100)+103/POWER(1+('CurrentPor-All Factor Movements'!D186+'CurrentPor-All Factor Movements'!I186)/100,2))*100</f>
        <v>9580.6119229534725</v>
      </c>
      <c r="F186">
        <f>Portfolio!B$5*'CurrentPor-All Factor Movements'!E186</f>
        <v>52070.56534001133</v>
      </c>
      <c r="G186">
        <f>Portfolio!B$6*'CurrentPor-All Factor Movements'!F186</f>
        <v>3774.8604757338321</v>
      </c>
      <c r="H186">
        <f>Portfolio!B$7*'CurrentPor-All Factor Movements'!J186</f>
        <v>2064.3963092917661</v>
      </c>
      <c r="I186">
        <f t="shared" si="4"/>
        <v>96438.853031762803</v>
      </c>
      <c r="J186">
        <f t="shared" si="5"/>
        <v>-39.670784223009832</v>
      </c>
    </row>
    <row r="187" spans="1:10">
      <c r="A187" s="1">
        <v>45730</v>
      </c>
      <c r="B187">
        <f>(3/(1+('CurrentPor-All Factor Movements'!C187)/100)+103/POWER(1+('CurrentPor-All Factor Movements'!D187)/100,2))*100</f>
        <v>9707.222412988127</v>
      </c>
      <c r="C187">
        <f>(3/(1+('CurrentPor-All Factor Movements'!C187+'CurrentPor-All Factor Movements'!G187)/100)+103/POWER(1+('CurrentPor-All Factor Movements'!D187+'CurrentPor-All Factor Movements'!G187)/100,2))*100</f>
        <v>9645.3310104799421</v>
      </c>
      <c r="D187">
        <f>(3/(1+('CurrentPor-All Factor Movements'!C187+'CurrentPor-All Factor Movements'!H187)/100)+103/POWER(1+('CurrentPor-All Factor Movements'!D187+'CurrentPor-All Factor Movements'!H187)/100,2))*100</f>
        <v>9598.4413261907994</v>
      </c>
      <c r="E187">
        <f>(3/(1+('CurrentPor-All Factor Movements'!C187+'CurrentPor-All Factor Movements'!I187)/100)+103/POWER(1+('CurrentPor-All Factor Movements'!D187+'CurrentPor-All Factor Movements'!I187)/100,2))*100</f>
        <v>9580.0082944028909</v>
      </c>
      <c r="F187">
        <f>Portfolio!B$5*'CurrentPor-All Factor Movements'!E187</f>
        <v>52141.368527819599</v>
      </c>
      <c r="G187">
        <f>Portfolio!B$6*'CurrentPor-All Factor Movements'!F187</f>
        <v>3942.8223153789604</v>
      </c>
      <c r="H187">
        <f>Portfolio!B$7*'CurrentPor-All Factor Movements'!J187</f>
        <v>2064.3989210591103</v>
      </c>
      <c r="I187">
        <f t="shared" si="4"/>
        <v>96679.592808319416</v>
      </c>
      <c r="J187">
        <f t="shared" si="5"/>
        <v>430.0461338328314</v>
      </c>
    </row>
    <row r="188" spans="1:10">
      <c r="A188" s="14">
        <v>45733</v>
      </c>
      <c r="B188">
        <f>(3/(1+('CurrentPor-All Factor Movements'!C188)/100)+103/POWER(1+('CurrentPor-All Factor Movements'!D188)/100,2))*100</f>
        <v>9707.2183947784943</v>
      </c>
      <c r="C188">
        <f>(3/(1+('CurrentPor-All Factor Movements'!C188+'CurrentPor-All Factor Movements'!G188)/100)+103/POWER(1+('CurrentPor-All Factor Movements'!D188+'CurrentPor-All Factor Movements'!G188)/100,2))*100</f>
        <v>9647.1389829126438</v>
      </c>
      <c r="D188">
        <f>(3/(1+('CurrentPor-All Factor Movements'!C188+'CurrentPor-All Factor Movements'!H188)/100)+103/POWER(1+('CurrentPor-All Factor Movements'!D188+'CurrentPor-All Factor Movements'!H188)/100,2))*100</f>
        <v>9628.7599238886378</v>
      </c>
      <c r="E188">
        <f>(3/(1+('CurrentPor-All Factor Movements'!C188+'CurrentPor-All Factor Movements'!I188)/100)+103/POWER(1+('CurrentPor-All Factor Movements'!D188+'CurrentPor-All Factor Movements'!I188)/100,2))*100</f>
        <v>9580.2854427485781</v>
      </c>
      <c r="F188">
        <f>Portfolio!B$5*'CurrentPor-All Factor Movements'!E188</f>
        <v>52166.335662633457</v>
      </c>
      <c r="G188">
        <f>Portfolio!B$6*'CurrentPor-All Factor Movements'!F188</f>
        <v>3678.8676583152264</v>
      </c>
      <c r="H188">
        <f>Portfolio!B$7*'CurrentPor-All Factor Movements'!J188</f>
        <v>2064.4006531118903</v>
      </c>
      <c r="I188">
        <f t="shared" ref="I188:I251" si="6">SUM(B188:H188)</f>
        <v>96473.006718388933</v>
      </c>
      <c r="J188">
        <f t="shared" ref="J188:J251" si="7">I188-I178</f>
        <v>293.18243042576069</v>
      </c>
    </row>
    <row r="189" spans="1:10">
      <c r="A189" s="1">
        <v>45734</v>
      </c>
      <c r="B189">
        <f>(3/(1+('CurrentPor-All Factor Movements'!C189)/100)+103/POWER(1+('CurrentPor-All Factor Movements'!D189)/100,2))*100</f>
        <v>9706.7061948135106</v>
      </c>
      <c r="C189">
        <f>(3/(1+('CurrentPor-All Factor Movements'!C189+'CurrentPor-All Factor Movements'!G189)/100)+103/POWER(1+('CurrentPor-All Factor Movements'!D189+'CurrentPor-All Factor Movements'!G189)/100,2))*100</f>
        <v>9644.4707256642905</v>
      </c>
      <c r="D189">
        <f>(3/(1+('CurrentPor-All Factor Movements'!C189+'CurrentPor-All Factor Movements'!H189)/100)+103/POWER(1+('CurrentPor-All Factor Movements'!D189+'CurrentPor-All Factor Movements'!H189)/100,2))*100</f>
        <v>9586.5934024470243</v>
      </c>
      <c r="E189">
        <f>(3/(1+('CurrentPor-All Factor Movements'!C189+'CurrentPor-All Factor Movements'!I189)/100)+103/POWER(1+('CurrentPor-All Factor Movements'!D189+'CurrentPor-All Factor Movements'!I189)/100,2))*100</f>
        <v>9579.52670292722</v>
      </c>
      <c r="F189">
        <f>Portfolio!B$5*'CurrentPor-All Factor Movements'!E189</f>
        <v>51960.386923171369</v>
      </c>
      <c r="G189">
        <f>Portfolio!B$6*'CurrentPor-All Factor Movements'!F189</f>
        <v>3717.9453045289606</v>
      </c>
      <c r="H189">
        <f>Portfolio!B$7*'CurrentPor-All Factor Movements'!J189</f>
        <v>2064.4023156184312</v>
      </c>
      <c r="I189">
        <f t="shared" si="6"/>
        <v>96260.031569170809</v>
      </c>
      <c r="J189">
        <f t="shared" si="7"/>
        <v>-408.72818011970958</v>
      </c>
    </row>
    <row r="190" spans="1:10">
      <c r="A190" s="1">
        <v>45735</v>
      </c>
      <c r="B190">
        <f>(3/(1+('CurrentPor-All Factor Movements'!C190)/100)+103/POWER(1+('CurrentPor-All Factor Movements'!D190)/100,2))*100</f>
        <v>9707.9406296521847</v>
      </c>
      <c r="C190">
        <f>(3/(1+('CurrentPor-All Factor Movements'!C190+'CurrentPor-All Factor Movements'!G190)/100)+103/POWER(1+('CurrentPor-All Factor Movements'!D190+'CurrentPor-All Factor Movements'!G190)/100,2))*100</f>
        <v>9645.0230279741445</v>
      </c>
      <c r="D190">
        <f>(3/(1+('CurrentPor-All Factor Movements'!C190+'CurrentPor-All Factor Movements'!H190)/100)+103/POWER(1+('CurrentPor-All Factor Movements'!D190+'CurrentPor-All Factor Movements'!H190)/100,2))*100</f>
        <v>9615.6079962165077</v>
      </c>
      <c r="E190">
        <f>(3/(1+('CurrentPor-All Factor Movements'!C190+'CurrentPor-All Factor Movements'!I190)/100)+103/POWER(1+('CurrentPor-All Factor Movements'!D190+'CurrentPor-All Factor Movements'!I190)/100,2))*100</f>
        <v>9582.4598848705191</v>
      </c>
      <c r="F190">
        <f>Portfolio!B$5*'CurrentPor-All Factor Movements'!E190</f>
        <v>52247.536498208123</v>
      </c>
      <c r="G190">
        <f>Portfolio!B$6*'CurrentPor-All Factor Movements'!F190</f>
        <v>3891.2529309305555</v>
      </c>
      <c r="H190">
        <f>Portfolio!B$7*'CurrentPor-All Factor Movements'!J190</f>
        <v>2064.4019801724662</v>
      </c>
      <c r="I190">
        <f t="shared" si="6"/>
        <v>96754.222948024501</v>
      </c>
      <c r="J190">
        <f t="shared" si="7"/>
        <v>-193.81998882754124</v>
      </c>
    </row>
    <row r="191" spans="1:10">
      <c r="A191" s="1">
        <v>45736</v>
      </c>
      <c r="B191">
        <f>(3/(1+('CurrentPor-All Factor Movements'!C191)/100)+103/POWER(1+('CurrentPor-All Factor Movements'!D191)/100,2))*100</f>
        <v>9705.8492751011836</v>
      </c>
      <c r="C191">
        <f>(3/(1+('CurrentPor-All Factor Movements'!C191+'CurrentPor-All Factor Movements'!G191)/100)+103/POWER(1+('CurrentPor-All Factor Movements'!D191+'CurrentPor-All Factor Movements'!G191)/100,2))*100</f>
        <v>9664.1836822125406</v>
      </c>
      <c r="D191">
        <f>(3/(1+('CurrentPor-All Factor Movements'!C191+'CurrentPor-All Factor Movements'!H191)/100)+103/POWER(1+('CurrentPor-All Factor Movements'!D191+'CurrentPor-All Factor Movements'!H191)/100,2))*100</f>
        <v>9602.2649410674549</v>
      </c>
      <c r="E191">
        <f>(3/(1+('CurrentPor-All Factor Movements'!C191+'CurrentPor-All Factor Movements'!I191)/100)+103/POWER(1+('CurrentPor-All Factor Movements'!D191+'CurrentPor-All Factor Movements'!I191)/100,2))*100</f>
        <v>9579.8393348422487</v>
      </c>
      <c r="F191">
        <f>Portfolio!B$5*'CurrentPor-All Factor Movements'!E191</f>
        <v>52258.611055917347</v>
      </c>
      <c r="G191">
        <f>Portfolio!B$6*'CurrentPor-All Factor Movements'!F191</f>
        <v>3951.4015476447285</v>
      </c>
      <c r="H191">
        <f>Portfolio!B$7*'CurrentPor-All Factor Movements'!J191</f>
        <v>2064.4058666861629</v>
      </c>
      <c r="I191">
        <f t="shared" si="6"/>
        <v>96826.555703471662</v>
      </c>
      <c r="J191">
        <f t="shared" si="7"/>
        <v>342.83775400092418</v>
      </c>
    </row>
    <row r="192" spans="1:10">
      <c r="A192" s="1">
        <v>45737</v>
      </c>
      <c r="B192">
        <f>(3/(1+('CurrentPor-All Factor Movements'!C192)/100)+103/POWER(1+('CurrentPor-All Factor Movements'!D192)/100,2))*100</f>
        <v>9707.2364845676602</v>
      </c>
      <c r="C192">
        <f>(3/(1+('CurrentPor-All Factor Movements'!C192+'CurrentPor-All Factor Movements'!G192)/100)+103/POWER(1+('CurrentPor-All Factor Movements'!D192+'CurrentPor-All Factor Movements'!G192)/100,2))*100</f>
        <v>9640.902173020324</v>
      </c>
      <c r="D192">
        <f>(3/(1+('CurrentPor-All Factor Movements'!C192+'CurrentPor-All Factor Movements'!H192)/100)+103/POWER(1+('CurrentPor-All Factor Movements'!D192+'CurrentPor-All Factor Movements'!H192)/100,2))*100</f>
        <v>9605.7113693436695</v>
      </c>
      <c r="E192">
        <f>(3/(1+('CurrentPor-All Factor Movements'!C192+'CurrentPor-All Factor Movements'!I192)/100)+103/POWER(1+('CurrentPor-All Factor Movements'!D192+'CurrentPor-All Factor Movements'!I192)/100,2))*100</f>
        <v>9577.9578215838974</v>
      </c>
      <c r="F192">
        <f>Portfolio!B$5*'CurrentPor-All Factor Movements'!E192</f>
        <v>51920.488540172446</v>
      </c>
      <c r="G192">
        <f>Portfolio!B$6*'CurrentPor-All Factor Movements'!F192</f>
        <v>3841.0664876675419</v>
      </c>
      <c r="H192">
        <f>Portfolio!B$7*'CurrentPor-All Factor Movements'!J192</f>
        <v>2064.3956387099715</v>
      </c>
      <c r="I192">
        <f t="shared" si="6"/>
        <v>96357.758515065521</v>
      </c>
      <c r="J192">
        <f t="shared" si="7"/>
        <v>-248.77119028949528</v>
      </c>
    </row>
    <row r="193" spans="1:10">
      <c r="A193" s="1">
        <v>45740</v>
      </c>
      <c r="B193">
        <f>(3/(1+('CurrentPor-All Factor Movements'!C193)/100)+103/POWER(1+('CurrentPor-All Factor Movements'!D193)/100,2))*100</f>
        <v>9706.8851115378275</v>
      </c>
      <c r="C193">
        <f>(3/(1+('CurrentPor-All Factor Movements'!C193+'CurrentPor-All Factor Movements'!G193)/100)+103/POWER(1+('CurrentPor-All Factor Movements'!D193+'CurrentPor-All Factor Movements'!G193)/100,2))*100</f>
        <v>9646.9072153427205</v>
      </c>
      <c r="D193">
        <f>(3/(1+('CurrentPor-All Factor Movements'!C193+'CurrentPor-All Factor Movements'!H193)/100)+103/POWER(1+('CurrentPor-All Factor Movements'!D193+'CurrentPor-All Factor Movements'!H193)/100,2))*100</f>
        <v>9600.1527767410571</v>
      </c>
      <c r="E193">
        <f>(3/(1+('CurrentPor-All Factor Movements'!C193+'CurrentPor-All Factor Movements'!I193)/100)+103/POWER(1+('CurrentPor-All Factor Movements'!D193+'CurrentPor-All Factor Movements'!I193)/100,2))*100</f>
        <v>9580.3926201144641</v>
      </c>
      <c r="F193">
        <f>Portfolio!B$5*'CurrentPor-All Factor Movements'!E193</f>
        <v>52247.112582625559</v>
      </c>
      <c r="G193">
        <f>Portfolio!B$6*'CurrentPor-All Factor Movements'!F193</f>
        <v>3616.0978471508292</v>
      </c>
      <c r="H193">
        <f>Portfolio!B$7*'CurrentPor-All Factor Movements'!J193</f>
        <v>2064.4060753178123</v>
      </c>
      <c r="I193">
        <f t="shared" si="6"/>
        <v>96461.954228830262</v>
      </c>
      <c r="J193">
        <f t="shared" si="7"/>
        <v>-185.12901733076433</v>
      </c>
    </row>
    <row r="194" spans="1:10">
      <c r="A194" s="1">
        <v>45741</v>
      </c>
      <c r="B194">
        <f>(3/(1+('CurrentPor-All Factor Movements'!C194)/100)+103/POWER(1+('CurrentPor-All Factor Movements'!D194)/100,2))*100</f>
        <v>9706.5357176940197</v>
      </c>
      <c r="C194">
        <f>(3/(1+('CurrentPor-All Factor Movements'!C194+'CurrentPor-All Factor Movements'!G194)/100)+103/POWER(1+('CurrentPor-All Factor Movements'!D194+'CurrentPor-All Factor Movements'!G194)/100,2))*100</f>
        <v>9647.5252914356624</v>
      </c>
      <c r="D194">
        <f>(3/(1+('CurrentPor-All Factor Movements'!C194+'CurrentPor-All Factor Movements'!H194)/100)+103/POWER(1+('CurrentPor-All Factor Movements'!D194+'CurrentPor-All Factor Movements'!H194)/100,2))*100</f>
        <v>9605.5912555545001</v>
      </c>
      <c r="E194">
        <f>(3/(1+('CurrentPor-All Factor Movements'!C194+'CurrentPor-All Factor Movements'!I194)/100)+103/POWER(1+('CurrentPor-All Factor Movements'!D194+'CurrentPor-All Factor Movements'!I194)/100,2))*100</f>
        <v>9579.8167414160544</v>
      </c>
      <c r="F194">
        <f>Portfolio!B$5*'CurrentPor-All Factor Movements'!E194</f>
        <v>52055.265042493011</v>
      </c>
      <c r="G194">
        <f>Portfolio!B$6*'CurrentPor-All Factor Movements'!F194</f>
        <v>3892.6970373150702</v>
      </c>
      <c r="H194">
        <f>Portfolio!B$7*'CurrentPor-All Factor Movements'!J194</f>
        <v>2064.3919272177909</v>
      </c>
      <c r="I194">
        <f t="shared" si="6"/>
        <v>96551.823013126108</v>
      </c>
      <c r="J194">
        <f t="shared" si="7"/>
        <v>-437.38105074719351</v>
      </c>
    </row>
    <row r="195" spans="1:10">
      <c r="A195" s="1">
        <v>45742</v>
      </c>
      <c r="B195">
        <f>(3/(1+('CurrentPor-All Factor Movements'!C195)/100)+103/POWER(1+('CurrentPor-All Factor Movements'!D195)/100,2))*100</f>
        <v>9707.3169958699073</v>
      </c>
      <c r="C195">
        <f>(3/(1+('CurrentPor-All Factor Movements'!C195+'CurrentPor-All Factor Movements'!G195)/100)+103/POWER(1+('CurrentPor-All Factor Movements'!D195+'CurrentPor-All Factor Movements'!G195)/100,2))*100</f>
        <v>9649.3016453379751</v>
      </c>
      <c r="D195">
        <f>(3/(1+('CurrentPor-All Factor Movements'!C195+'CurrentPor-All Factor Movements'!H195)/100)+103/POWER(1+('CurrentPor-All Factor Movements'!D195+'CurrentPor-All Factor Movements'!H195)/100,2))*100</f>
        <v>9597.0015882259322</v>
      </c>
      <c r="E195">
        <f>(3/(1+('CurrentPor-All Factor Movements'!C195+'CurrentPor-All Factor Movements'!I195)/100)+103/POWER(1+('CurrentPor-All Factor Movements'!D195+'CurrentPor-All Factor Movements'!I195)/100,2))*100</f>
        <v>9578.0683364596771</v>
      </c>
      <c r="F195">
        <f>Portfolio!B$5*'CurrentPor-All Factor Movements'!E195</f>
        <v>52097.434950845854</v>
      </c>
      <c r="G195">
        <f>Portfolio!B$6*'CurrentPor-All Factor Movements'!F195</f>
        <v>4213.52226831605</v>
      </c>
      <c r="H195">
        <f>Portfolio!B$7*'CurrentPor-All Factor Movements'!J195</f>
        <v>2064.4030907355468</v>
      </c>
      <c r="I195">
        <f t="shared" si="6"/>
        <v>96907.048875790948</v>
      </c>
      <c r="J195">
        <f t="shared" si="7"/>
        <v>428.51520791641087</v>
      </c>
    </row>
    <row r="196" spans="1:10">
      <c r="A196" s="1">
        <v>45743</v>
      </c>
      <c r="B196">
        <f>(3/(1+('CurrentPor-All Factor Movements'!C196)/100)+103/POWER(1+('CurrentPor-All Factor Movements'!D196)/100,2))*100</f>
        <v>9707.3029911409358</v>
      </c>
      <c r="C196">
        <f>(3/(1+('CurrentPor-All Factor Movements'!C196+'CurrentPor-All Factor Movements'!G196)/100)+103/POWER(1+('CurrentPor-All Factor Movements'!D196+'CurrentPor-All Factor Movements'!G196)/100,2))*100</f>
        <v>9650.1894485459325</v>
      </c>
      <c r="D196">
        <f>(3/(1+('CurrentPor-All Factor Movements'!C196+'CurrentPor-All Factor Movements'!H196)/100)+103/POWER(1+('CurrentPor-All Factor Movements'!D196+'CurrentPor-All Factor Movements'!H196)/100,2))*100</f>
        <v>9601.723743200173</v>
      </c>
      <c r="E196">
        <f>(3/(1+('CurrentPor-All Factor Movements'!C196+'CurrentPor-All Factor Movements'!I196)/100)+103/POWER(1+('CurrentPor-All Factor Movements'!D196+'CurrentPor-All Factor Movements'!I196)/100,2))*100</f>
        <v>9580.1860534567331</v>
      </c>
      <c r="F196">
        <f>Portfolio!B$5*'CurrentPor-All Factor Movements'!E196</f>
        <v>52222.383890520417</v>
      </c>
      <c r="G196">
        <f>Portfolio!B$6*'CurrentPor-All Factor Movements'!F196</f>
        <v>3949.9950888085536</v>
      </c>
      <c r="H196">
        <f>Portfolio!B$7*'CurrentPor-All Factor Movements'!J196</f>
        <v>2064.3986998262872</v>
      </c>
      <c r="I196">
        <f t="shared" si="6"/>
        <v>96776.179915499029</v>
      </c>
      <c r="J196">
        <f t="shared" si="7"/>
        <v>337.32688373622659</v>
      </c>
    </row>
    <row r="197" spans="1:10">
      <c r="A197" s="1">
        <v>45744</v>
      </c>
      <c r="B197">
        <f>(3/(1+('CurrentPor-All Factor Movements'!C197)/100)+103/POWER(1+('CurrentPor-All Factor Movements'!D197)/100,2))*100</f>
        <v>9707.0934284312898</v>
      </c>
      <c r="C197">
        <f>(3/(1+('CurrentPor-All Factor Movements'!C197+'CurrentPor-All Factor Movements'!G197)/100)+103/POWER(1+('CurrentPor-All Factor Movements'!D197+'CurrentPor-All Factor Movements'!G197)/100,2))*100</f>
        <v>9637.6445052594445</v>
      </c>
      <c r="D197">
        <f>(3/(1+('CurrentPor-All Factor Movements'!C197+'CurrentPor-All Factor Movements'!H197)/100)+103/POWER(1+('CurrentPor-All Factor Movements'!D197+'CurrentPor-All Factor Movements'!H197)/100,2))*100</f>
        <v>9597.9259756253086</v>
      </c>
      <c r="E197">
        <f>(3/(1+('CurrentPor-All Factor Movements'!C197+'CurrentPor-All Factor Movements'!I197)/100)+103/POWER(1+('CurrentPor-All Factor Movements'!D197+'CurrentPor-All Factor Movements'!I197)/100,2))*100</f>
        <v>9579.4786647143173</v>
      </c>
      <c r="F197">
        <f>Portfolio!B$5*'CurrentPor-All Factor Movements'!E197</f>
        <v>52226.817419865096</v>
      </c>
      <c r="G197">
        <f>Portfolio!B$6*'CurrentPor-All Factor Movements'!F197</f>
        <v>3923.0106236215024</v>
      </c>
      <c r="H197">
        <f>Portfolio!B$7*'CurrentPor-All Factor Movements'!J197</f>
        <v>2064.4045443978703</v>
      </c>
      <c r="I197">
        <f t="shared" si="6"/>
        <v>96736.375161914839</v>
      </c>
      <c r="J197">
        <f t="shared" si="7"/>
        <v>56.782353595423046</v>
      </c>
    </row>
    <row r="198" spans="1:10">
      <c r="A198" s="1">
        <v>45747</v>
      </c>
      <c r="B198">
        <f>(3/(1+('CurrentPor-All Factor Movements'!C198)/100)+103/POWER(1+('CurrentPor-All Factor Movements'!D198)/100,2))*100</f>
        <v>9707.0137898301527</v>
      </c>
      <c r="C198">
        <f>(3/(1+('CurrentPor-All Factor Movements'!C198+'CurrentPor-All Factor Movements'!G198)/100)+103/POWER(1+('CurrentPor-All Factor Movements'!D198+'CurrentPor-All Factor Movements'!G198)/100,2))*100</f>
        <v>9633.1931597370476</v>
      </c>
      <c r="D198">
        <f>(3/(1+('CurrentPor-All Factor Movements'!C198+'CurrentPor-All Factor Movements'!H198)/100)+103/POWER(1+('CurrentPor-All Factor Movements'!D198+'CurrentPor-All Factor Movements'!H198)/100,2))*100</f>
        <v>9613.2478474176005</v>
      </c>
      <c r="E198">
        <f>(3/(1+('CurrentPor-All Factor Movements'!C198+'CurrentPor-All Factor Movements'!I198)/100)+103/POWER(1+('CurrentPor-All Factor Movements'!D198+'CurrentPor-All Factor Movements'!I198)/100,2))*100</f>
        <v>9581.8253081765233</v>
      </c>
      <c r="F198">
        <f>Portfolio!B$5*'CurrentPor-All Factor Movements'!E198</f>
        <v>52041.585784357048</v>
      </c>
      <c r="G198">
        <f>Portfolio!B$6*'CurrentPor-All Factor Movements'!F198</f>
        <v>3767.2144883307128</v>
      </c>
      <c r="H198">
        <f>Portfolio!B$7*'CurrentPor-All Factor Movements'!J198</f>
        <v>2064.4005592961284</v>
      </c>
      <c r="I198">
        <f t="shared" si="6"/>
        <v>96408.480937145228</v>
      </c>
      <c r="J198">
        <f t="shared" si="7"/>
        <v>-64.525781243704841</v>
      </c>
    </row>
    <row r="199" spans="1:10">
      <c r="A199" s="1">
        <v>45748</v>
      </c>
      <c r="B199">
        <f>(3/(1+('CurrentPor-All Factor Movements'!C199)/100)+103/POWER(1+('CurrentPor-All Factor Movements'!D199)/100,2))*100</f>
        <v>9706.6271985976891</v>
      </c>
      <c r="C199">
        <f>(3/(1+('CurrentPor-All Factor Movements'!C199+'CurrentPor-All Factor Movements'!G199)/100)+103/POWER(1+('CurrentPor-All Factor Movements'!D199+'CurrentPor-All Factor Movements'!G199)/100,2))*100</f>
        <v>9641.1234054740962</v>
      </c>
      <c r="D199">
        <f>(3/(1+('CurrentPor-All Factor Movements'!C199+'CurrentPor-All Factor Movements'!H199)/100)+103/POWER(1+('CurrentPor-All Factor Movements'!D199+'CurrentPor-All Factor Movements'!H199)/100,2))*100</f>
        <v>9591.3493515421724</v>
      </c>
      <c r="E199">
        <f>(3/(1+('CurrentPor-All Factor Movements'!C199+'CurrentPor-All Factor Movements'!I199)/100)+103/POWER(1+('CurrentPor-All Factor Movements'!D199+'CurrentPor-All Factor Movements'!I199)/100,2))*100</f>
        <v>9578.9220949435439</v>
      </c>
      <c r="F199">
        <f>Portfolio!B$5*'CurrentPor-All Factor Movements'!E199</f>
        <v>52039.557784709628</v>
      </c>
      <c r="G199">
        <f>Portfolio!B$6*'CurrentPor-All Factor Movements'!F199</f>
        <v>3727.3830308702372</v>
      </c>
      <c r="H199">
        <f>Portfolio!B$7*'CurrentPor-All Factor Movements'!J199</f>
        <v>2064.4073903897424</v>
      </c>
      <c r="I199">
        <f t="shared" si="6"/>
        <v>96349.370256527094</v>
      </c>
      <c r="J199">
        <f t="shared" si="7"/>
        <v>89.338687356284936</v>
      </c>
    </row>
    <row r="200" spans="1:10">
      <c r="A200" s="1">
        <v>45749</v>
      </c>
      <c r="B200">
        <f>(3/(1+('CurrentPor-All Factor Movements'!C200)/100)+103/POWER(1+('CurrentPor-All Factor Movements'!D200)/100,2))*100</f>
        <v>9708.0457381509277</v>
      </c>
      <c r="C200">
        <f>(3/(1+('CurrentPor-All Factor Movements'!C200+'CurrentPor-All Factor Movements'!G200)/100)+103/POWER(1+('CurrentPor-All Factor Movements'!D200+'CurrentPor-All Factor Movements'!G200)/100,2))*100</f>
        <v>9646.2609227629528</v>
      </c>
      <c r="D200">
        <f>(3/(1+('CurrentPor-All Factor Movements'!C200+'CurrentPor-All Factor Movements'!H200)/100)+103/POWER(1+('CurrentPor-All Factor Movements'!D200+'CurrentPor-All Factor Movements'!H200)/100,2))*100</f>
        <v>9585.789538955607</v>
      </c>
      <c r="E200">
        <f>(3/(1+('CurrentPor-All Factor Movements'!C200+'CurrentPor-All Factor Movements'!I200)/100)+103/POWER(1+('CurrentPor-All Factor Movements'!D200+'CurrentPor-All Factor Movements'!I200)/100,2))*100</f>
        <v>9579.397749350941</v>
      </c>
      <c r="F200">
        <f>Portfolio!B$5*'CurrentPor-All Factor Movements'!E200</f>
        <v>52297.250168598352</v>
      </c>
      <c r="G200">
        <f>Portfolio!B$6*'CurrentPor-All Factor Movements'!F200</f>
        <v>4057.9109261382791</v>
      </c>
      <c r="H200">
        <f>Portfolio!B$7*'CurrentPor-All Factor Movements'!J200</f>
        <v>2064.3930144591172</v>
      </c>
      <c r="I200">
        <f t="shared" si="6"/>
        <v>96939.048058416171</v>
      </c>
      <c r="J200">
        <f t="shared" si="7"/>
        <v>184.82511039167002</v>
      </c>
    </row>
    <row r="201" spans="1:10">
      <c r="A201" s="1">
        <v>45750</v>
      </c>
      <c r="B201">
        <f>(3/(1+('CurrentPor-All Factor Movements'!C201)/100)+103/POWER(1+('CurrentPor-All Factor Movements'!D201)/100,2))*100</f>
        <v>9707.1346678615992</v>
      </c>
      <c r="C201">
        <f>(3/(1+('CurrentPor-All Factor Movements'!C201+'CurrentPor-All Factor Movements'!G201)/100)+103/POWER(1+('CurrentPor-All Factor Movements'!D201+'CurrentPor-All Factor Movements'!G201)/100,2))*100</f>
        <v>9649.5431720368979</v>
      </c>
      <c r="D201">
        <f>(3/(1+('CurrentPor-All Factor Movements'!C201+'CurrentPor-All Factor Movements'!H201)/100)+103/POWER(1+('CurrentPor-All Factor Movements'!D201+'CurrentPor-All Factor Movements'!H201)/100,2))*100</f>
        <v>9604.2367357938238</v>
      </c>
      <c r="E201">
        <f>(3/(1+('CurrentPor-All Factor Movements'!C201+'CurrentPor-All Factor Movements'!I201)/100)+103/POWER(1+('CurrentPor-All Factor Movements'!D201+'CurrentPor-All Factor Movements'!I201)/100,2))*100</f>
        <v>9580.1508508262195</v>
      </c>
      <c r="F201">
        <f>Portfolio!B$5*'CurrentPor-All Factor Movements'!E201</f>
        <v>51800.527875778644</v>
      </c>
      <c r="G201">
        <f>Portfolio!B$6*'CurrentPor-All Factor Movements'!F201</f>
        <v>4385.1217201868149</v>
      </c>
      <c r="H201">
        <f>Portfolio!B$7*'CurrentPor-All Factor Movements'!J201</f>
        <v>2064.4023558379804</v>
      </c>
      <c r="I201">
        <f t="shared" si="6"/>
        <v>96791.117378321986</v>
      </c>
      <c r="J201">
        <f t="shared" si="7"/>
        <v>-35.43832514967653</v>
      </c>
    </row>
    <row r="202" spans="1:10">
      <c r="A202" s="1">
        <v>45751</v>
      </c>
      <c r="B202">
        <f>(3/(1+('CurrentPor-All Factor Movements'!C202)/100)+103/POWER(1+('CurrentPor-All Factor Movements'!D202)/100,2))*100</f>
        <v>9707.0463338972768</v>
      </c>
      <c r="C202">
        <f>(3/(1+('CurrentPor-All Factor Movements'!C202+'CurrentPor-All Factor Movements'!G202)/100)+103/POWER(1+('CurrentPor-All Factor Movements'!D202+'CurrentPor-All Factor Movements'!G202)/100,2))*100</f>
        <v>9654.6656442670665</v>
      </c>
      <c r="D202">
        <f>(3/(1+('CurrentPor-All Factor Movements'!C202+'CurrentPor-All Factor Movements'!H202)/100)+103/POWER(1+('CurrentPor-All Factor Movements'!D202+'CurrentPor-All Factor Movements'!H202)/100,2))*100</f>
        <v>9593.9176883585187</v>
      </c>
      <c r="E202">
        <f>(3/(1+('CurrentPor-All Factor Movements'!C202+'CurrentPor-All Factor Movements'!I202)/100)+103/POWER(1+('CurrentPor-All Factor Movements'!D202+'CurrentPor-All Factor Movements'!I202)/100,2))*100</f>
        <v>9579.0519748729876</v>
      </c>
      <c r="F202">
        <f>Portfolio!B$5*'CurrentPor-All Factor Movements'!E202</f>
        <v>52192.028545489891</v>
      </c>
      <c r="G202">
        <f>Portfolio!B$6*'CurrentPor-All Factor Movements'!F202</f>
        <v>3745.5625606481412</v>
      </c>
      <c r="H202">
        <f>Portfolio!B$7*'CurrentPor-All Factor Movements'!J202</f>
        <v>2064.4019950456754</v>
      </c>
      <c r="I202">
        <f t="shared" si="6"/>
        <v>96536.674742579547</v>
      </c>
      <c r="J202">
        <f t="shared" si="7"/>
        <v>178.9162275140261</v>
      </c>
    </row>
    <row r="203" spans="1:10">
      <c r="A203" s="1">
        <v>45754</v>
      </c>
      <c r="B203">
        <f>(3/(1+('CurrentPor-All Factor Movements'!C203)/100)+103/POWER(1+('CurrentPor-All Factor Movements'!D203)/100,2))*100</f>
        <v>9707.7604136304999</v>
      </c>
      <c r="C203">
        <f>(3/(1+('CurrentPor-All Factor Movements'!C203+'CurrentPor-All Factor Movements'!G203)/100)+103/POWER(1+('CurrentPor-All Factor Movements'!D203+'CurrentPor-All Factor Movements'!G203)/100,2))*100</f>
        <v>9647.5853819518234</v>
      </c>
      <c r="D203">
        <f>(3/(1+('CurrentPor-All Factor Movements'!C203+'CurrentPor-All Factor Movements'!H203)/100)+103/POWER(1+('CurrentPor-All Factor Movements'!D203+'CurrentPor-All Factor Movements'!H203)/100,2))*100</f>
        <v>9592.3259280433776</v>
      </c>
      <c r="E203">
        <f>(3/(1+('CurrentPor-All Factor Movements'!C203+'CurrentPor-All Factor Movements'!I203)/100)+103/POWER(1+('CurrentPor-All Factor Movements'!D203+'CurrentPor-All Factor Movements'!I203)/100,2))*100</f>
        <v>9580.260097833494</v>
      </c>
      <c r="F203">
        <f>Portfolio!B$5*'CurrentPor-All Factor Movements'!E203</f>
        <v>52058.940886971723</v>
      </c>
      <c r="G203">
        <f>Portfolio!B$6*'CurrentPor-All Factor Movements'!F203</f>
        <v>4234.3124436103753</v>
      </c>
      <c r="H203">
        <f>Portfolio!B$7*'CurrentPor-All Factor Movements'!J203</f>
        <v>2064.3981450224614</v>
      </c>
      <c r="I203">
        <f t="shared" si="6"/>
        <v>96885.583297063757</v>
      </c>
      <c r="J203">
        <f t="shared" si="7"/>
        <v>423.62906823349476</v>
      </c>
    </row>
    <row r="204" spans="1:10">
      <c r="A204" s="1">
        <v>45755</v>
      </c>
      <c r="B204">
        <f>(3/(1+('CurrentPor-All Factor Movements'!C204)/100)+103/POWER(1+('CurrentPor-All Factor Movements'!D204)/100,2))*100</f>
        <v>9707.2474700251114</v>
      </c>
      <c r="C204">
        <f>(3/(1+('CurrentPor-All Factor Movements'!C204+'CurrentPor-All Factor Movements'!G204)/100)+103/POWER(1+('CurrentPor-All Factor Movements'!D204+'CurrentPor-All Factor Movements'!G204)/100,2))*100</f>
        <v>9654.1844065366258</v>
      </c>
      <c r="D204">
        <f>(3/(1+('CurrentPor-All Factor Movements'!C204+'CurrentPor-All Factor Movements'!H204)/100)+103/POWER(1+('CurrentPor-All Factor Movements'!D204+'CurrentPor-All Factor Movements'!H204)/100,2))*100</f>
        <v>9601.8777361251305</v>
      </c>
      <c r="E204">
        <f>(3/(1+('CurrentPor-All Factor Movements'!C204+'CurrentPor-All Factor Movements'!I204)/100)+103/POWER(1+('CurrentPor-All Factor Movements'!D204+'CurrentPor-All Factor Movements'!I204)/100,2))*100</f>
        <v>9577.1430942031766</v>
      </c>
      <c r="F204">
        <f>Portfolio!B$5*'CurrentPor-All Factor Movements'!E204</f>
        <v>51990.094887880718</v>
      </c>
      <c r="G204">
        <f>Portfolio!B$6*'CurrentPor-All Factor Movements'!F204</f>
        <v>3908.0311188484038</v>
      </c>
      <c r="H204">
        <f>Portfolio!B$7*'CurrentPor-All Factor Movements'!J204</f>
        <v>2064.397130628272</v>
      </c>
      <c r="I204">
        <f t="shared" si="6"/>
        <v>96502.975844247441</v>
      </c>
      <c r="J204">
        <f t="shared" si="7"/>
        <v>-48.847168878666707</v>
      </c>
    </row>
    <row r="205" spans="1:10">
      <c r="A205" s="1">
        <v>45756</v>
      </c>
      <c r="B205">
        <f>(3/(1+('CurrentPor-All Factor Movements'!C205)/100)+103/POWER(1+('CurrentPor-All Factor Movements'!D205)/100,2))*100</f>
        <v>9707.1494145291745</v>
      </c>
      <c r="C205">
        <f>(3/(1+('CurrentPor-All Factor Movements'!C205+'CurrentPor-All Factor Movements'!G205)/100)+103/POWER(1+('CurrentPor-All Factor Movements'!D205+'CurrentPor-All Factor Movements'!G205)/100,2))*100</f>
        <v>9646.1883720795395</v>
      </c>
      <c r="D205">
        <f>(3/(1+('CurrentPor-All Factor Movements'!C205+'CurrentPor-All Factor Movements'!H205)/100)+103/POWER(1+('CurrentPor-All Factor Movements'!D205+'CurrentPor-All Factor Movements'!H205)/100,2))*100</f>
        <v>9575.2620292312622</v>
      </c>
      <c r="E205">
        <f>(3/(1+('CurrentPor-All Factor Movements'!C205+'CurrentPor-All Factor Movements'!I205)/100)+103/POWER(1+('CurrentPor-All Factor Movements'!D205+'CurrentPor-All Factor Movements'!I205)/100,2))*100</f>
        <v>9578.9040903364257</v>
      </c>
      <c r="F205">
        <f>Portfolio!B$5*'CurrentPor-All Factor Movements'!E205</f>
        <v>51995.654334860628</v>
      </c>
      <c r="G205">
        <f>Portfolio!B$6*'CurrentPor-All Factor Movements'!F205</f>
        <v>4098.0438811190925</v>
      </c>
      <c r="H205">
        <f>Portfolio!B$7*'CurrentPor-All Factor Movements'!J205</f>
        <v>2064.3936442014797</v>
      </c>
      <c r="I205">
        <f t="shared" si="6"/>
        <v>96665.595766357597</v>
      </c>
      <c r="J205">
        <f t="shared" si="7"/>
        <v>-241.45310943335062</v>
      </c>
    </row>
    <row r="206" spans="1:10">
      <c r="A206" s="1">
        <v>45757</v>
      </c>
      <c r="B206">
        <f>(3/(1+('CurrentPor-All Factor Movements'!C206)/100)+103/POWER(1+('CurrentPor-All Factor Movements'!D206)/100,2))*100</f>
        <v>9707.7086223891692</v>
      </c>
      <c r="C206">
        <f>(3/(1+('CurrentPor-All Factor Movements'!C206+'CurrentPor-All Factor Movements'!G206)/100)+103/POWER(1+('CurrentPor-All Factor Movements'!D206+'CurrentPor-All Factor Movements'!G206)/100,2))*100</f>
        <v>9634.8247281747299</v>
      </c>
      <c r="D206">
        <f>(3/(1+('CurrentPor-All Factor Movements'!C206+'CurrentPor-All Factor Movements'!H206)/100)+103/POWER(1+('CurrentPor-All Factor Movements'!D206+'CurrentPor-All Factor Movements'!H206)/100,2))*100</f>
        <v>9599.2677254303726</v>
      </c>
      <c r="E206">
        <f>(3/(1+('CurrentPor-All Factor Movements'!C206+'CurrentPor-All Factor Movements'!I206)/100)+103/POWER(1+('CurrentPor-All Factor Movements'!D206+'CurrentPor-All Factor Movements'!I206)/100,2))*100</f>
        <v>9579.9529762001803</v>
      </c>
      <c r="F206">
        <f>Portfolio!B$5*'CurrentPor-All Factor Movements'!E206</f>
        <v>51784.315289754886</v>
      </c>
      <c r="G206">
        <f>Portfolio!B$6*'CurrentPor-All Factor Movements'!F206</f>
        <v>3909.8899805357964</v>
      </c>
      <c r="H206">
        <f>Portfolio!B$7*'CurrentPor-All Factor Movements'!J206</f>
        <v>2064.408110306716</v>
      </c>
      <c r="I206">
        <f t="shared" si="6"/>
        <v>96280.367432791842</v>
      </c>
      <c r="J206">
        <f t="shared" si="7"/>
        <v>-495.81248270718788</v>
      </c>
    </row>
    <row r="207" spans="1:10">
      <c r="A207" s="1">
        <v>45758</v>
      </c>
      <c r="B207">
        <f>(3/(1+('CurrentPor-All Factor Movements'!C207)/100)+103/POWER(1+('CurrentPor-All Factor Movements'!D207)/100,2))*100</f>
        <v>9705.8609145188784</v>
      </c>
      <c r="C207">
        <f>(3/(1+('CurrentPor-All Factor Movements'!C207+'CurrentPor-All Factor Movements'!G207)/100)+103/POWER(1+('CurrentPor-All Factor Movements'!D207+'CurrentPor-All Factor Movements'!G207)/100,2))*100</f>
        <v>9645.484643485268</v>
      </c>
      <c r="D207">
        <f>(3/(1+('CurrentPor-All Factor Movements'!C207+'CurrentPor-All Factor Movements'!H207)/100)+103/POWER(1+('CurrentPor-All Factor Movements'!D207+'CurrentPor-All Factor Movements'!H207)/100,2))*100</f>
        <v>9607.1109283092319</v>
      </c>
      <c r="E207">
        <f>(3/(1+('CurrentPor-All Factor Movements'!C207+'CurrentPor-All Factor Movements'!I207)/100)+103/POWER(1+('CurrentPor-All Factor Movements'!D207+'CurrentPor-All Factor Movements'!I207)/100,2))*100</f>
        <v>9578.7978733320506</v>
      </c>
      <c r="F207">
        <f>Portfolio!B$5*'CurrentPor-All Factor Movements'!E207</f>
        <v>52100.084169816168</v>
      </c>
      <c r="G207">
        <f>Portfolio!B$6*'CurrentPor-All Factor Movements'!F207</f>
        <v>3566.9878262774309</v>
      </c>
      <c r="H207">
        <f>Portfolio!B$7*'CurrentPor-All Factor Movements'!J207</f>
        <v>2064.4090961173033</v>
      </c>
      <c r="I207">
        <f t="shared" si="6"/>
        <v>96268.735451856322</v>
      </c>
      <c r="J207">
        <f t="shared" si="7"/>
        <v>-467.63971005851636</v>
      </c>
    </row>
    <row r="208" spans="1:10">
      <c r="A208" s="1">
        <v>45761</v>
      </c>
      <c r="B208">
        <f>(3/(1+('CurrentPor-All Factor Movements'!C208)/100)+103/POWER(1+('CurrentPor-All Factor Movements'!D208)/100,2))*100</f>
        <v>9705.7984368621619</v>
      </c>
      <c r="C208">
        <f>(3/(1+('CurrentPor-All Factor Movements'!C208+'CurrentPor-All Factor Movements'!G208)/100)+103/POWER(1+('CurrentPor-All Factor Movements'!D208+'CurrentPor-All Factor Movements'!G208)/100,2))*100</f>
        <v>9631.6702884143324</v>
      </c>
      <c r="D208">
        <f>(3/(1+('CurrentPor-All Factor Movements'!C208+'CurrentPor-All Factor Movements'!H208)/100)+103/POWER(1+('CurrentPor-All Factor Movements'!D208+'CurrentPor-All Factor Movements'!H208)/100,2))*100</f>
        <v>9585.5274783169298</v>
      </c>
      <c r="E208">
        <f>(3/(1+('CurrentPor-All Factor Movements'!C208+'CurrentPor-All Factor Movements'!I208)/100)+103/POWER(1+('CurrentPor-All Factor Movements'!D208+'CurrentPor-All Factor Movements'!I208)/100,2))*100</f>
        <v>9580.5387712242828</v>
      </c>
      <c r="F208">
        <f>Portfolio!B$5*'CurrentPor-All Factor Movements'!E208</f>
        <v>52327.661059875616</v>
      </c>
      <c r="G208">
        <f>Portfolio!B$6*'CurrentPor-All Factor Movements'!F208</f>
        <v>3795.181444228976</v>
      </c>
      <c r="H208">
        <f>Portfolio!B$7*'CurrentPor-All Factor Movements'!J208</f>
        <v>2064.4002881265824</v>
      </c>
      <c r="I208">
        <f t="shared" si="6"/>
        <v>96690.777767048872</v>
      </c>
      <c r="J208">
        <f t="shared" si="7"/>
        <v>282.29682990364381</v>
      </c>
    </row>
    <row r="209" spans="1:10">
      <c r="A209" s="1">
        <v>45762</v>
      </c>
      <c r="B209">
        <f>(3/(1+('CurrentPor-All Factor Movements'!C209)/100)+103/POWER(1+('CurrentPor-All Factor Movements'!D209)/100,2))*100</f>
        <v>9706.5387241171993</v>
      </c>
      <c r="C209">
        <f>(3/(1+('CurrentPor-All Factor Movements'!C209+'CurrentPor-All Factor Movements'!G209)/100)+103/POWER(1+('CurrentPor-All Factor Movements'!D209+'CurrentPor-All Factor Movements'!G209)/100,2))*100</f>
        <v>9648.767199801865</v>
      </c>
      <c r="D209">
        <f>(3/(1+('CurrentPor-All Factor Movements'!C209+'CurrentPor-All Factor Movements'!H209)/100)+103/POWER(1+('CurrentPor-All Factor Movements'!D209+'CurrentPor-All Factor Movements'!H209)/100,2))*100</f>
        <v>9596.2099749029439</v>
      </c>
      <c r="E209">
        <f>(3/(1+('CurrentPor-All Factor Movements'!C209+'CurrentPor-All Factor Movements'!I209)/100)+103/POWER(1+('CurrentPor-All Factor Movements'!D209+'CurrentPor-All Factor Movements'!I209)/100,2))*100</f>
        <v>9581.2601928608892</v>
      </c>
      <c r="F209">
        <f>Portfolio!B$5*'CurrentPor-All Factor Movements'!E209</f>
        <v>51910.199411193149</v>
      </c>
      <c r="G209">
        <f>Portfolio!B$6*'CurrentPor-All Factor Movements'!F209</f>
        <v>4167.2692791357822</v>
      </c>
      <c r="H209">
        <f>Portfolio!B$7*'CurrentPor-All Factor Movements'!J209</f>
        <v>2064.3999012969766</v>
      </c>
      <c r="I209">
        <f t="shared" si="6"/>
        <v>96674.644683308798</v>
      </c>
      <c r="J209">
        <f t="shared" si="7"/>
        <v>325.27442678170337</v>
      </c>
    </row>
    <row r="210" spans="1:10">
      <c r="A210" s="1">
        <v>45763</v>
      </c>
      <c r="B210">
        <f>(3/(1+('CurrentPor-All Factor Movements'!C210)/100)+103/POWER(1+('CurrentPor-All Factor Movements'!D210)/100,2))*100</f>
        <v>9707.2762279307281</v>
      </c>
      <c r="C210">
        <f>(3/(1+('CurrentPor-All Factor Movements'!C210+'CurrentPor-All Factor Movements'!G210)/100)+103/POWER(1+('CurrentPor-All Factor Movements'!D210+'CurrentPor-All Factor Movements'!G210)/100,2))*100</f>
        <v>9643.6914418323177</v>
      </c>
      <c r="D210">
        <f>(3/(1+('CurrentPor-All Factor Movements'!C210+'CurrentPor-All Factor Movements'!H210)/100)+103/POWER(1+('CurrentPor-All Factor Movements'!D210+'CurrentPor-All Factor Movements'!H210)/100,2))*100</f>
        <v>9608.9644194792891</v>
      </c>
      <c r="E210">
        <f>(3/(1+('CurrentPor-All Factor Movements'!C210+'CurrentPor-All Factor Movements'!I210)/100)+103/POWER(1+('CurrentPor-All Factor Movements'!D210+'CurrentPor-All Factor Movements'!I210)/100,2))*100</f>
        <v>9580.1332377681993</v>
      </c>
      <c r="F210">
        <f>Portfolio!B$5*'CurrentPor-All Factor Movements'!E210</f>
        <v>51979.213011874264</v>
      </c>
      <c r="G210">
        <f>Portfolio!B$6*'CurrentPor-All Factor Movements'!F210</f>
        <v>4025.7779805410573</v>
      </c>
      <c r="H210">
        <f>Portfolio!B$7*'CurrentPor-All Factor Movements'!J210</f>
        <v>2064.3949062206511</v>
      </c>
      <c r="I210">
        <f t="shared" si="6"/>
        <v>96609.451225646495</v>
      </c>
      <c r="J210">
        <f t="shared" si="7"/>
        <v>-329.59683276967553</v>
      </c>
    </row>
    <row r="211" spans="1:10">
      <c r="A211" s="1">
        <v>45764</v>
      </c>
      <c r="B211">
        <f>(3/(1+('CurrentPor-All Factor Movements'!C211)/100)+103/POWER(1+('CurrentPor-All Factor Movements'!D211)/100,2))*100</f>
        <v>9707.3251708186581</v>
      </c>
      <c r="C211">
        <f>(3/(1+('CurrentPor-All Factor Movements'!C211+'CurrentPor-All Factor Movements'!G211)/100)+103/POWER(1+('CurrentPor-All Factor Movements'!D211+'CurrentPor-All Factor Movements'!G211)/100,2))*100</f>
        <v>9639.7401871450984</v>
      </c>
      <c r="D211">
        <f>(3/(1+('CurrentPor-All Factor Movements'!C211+'CurrentPor-All Factor Movements'!H211)/100)+103/POWER(1+('CurrentPor-All Factor Movements'!D211+'CurrentPor-All Factor Movements'!H211)/100,2))*100</f>
        <v>9607.0051991000419</v>
      </c>
      <c r="E211">
        <f>(3/(1+('CurrentPor-All Factor Movements'!C211+'CurrentPor-All Factor Movements'!I211)/100)+103/POWER(1+('CurrentPor-All Factor Movements'!D211+'CurrentPor-All Factor Movements'!I211)/100,2))*100</f>
        <v>9580.5893472317075</v>
      </c>
      <c r="F211">
        <f>Portfolio!B$5*'CurrentPor-All Factor Movements'!E211</f>
        <v>51904.213303766643</v>
      </c>
      <c r="G211">
        <f>Portfolio!B$6*'CurrentPor-All Factor Movements'!F211</f>
        <v>4023.3589083071442</v>
      </c>
      <c r="H211">
        <f>Portfolio!B$7*'CurrentPor-All Factor Movements'!J211</f>
        <v>2064.3990050773032</v>
      </c>
      <c r="I211">
        <f t="shared" si="6"/>
        <v>96526.631121446582</v>
      </c>
      <c r="J211">
        <f t="shared" si="7"/>
        <v>-264.48625687540334</v>
      </c>
    </row>
    <row r="212" spans="1:10">
      <c r="A212" s="1">
        <v>45765</v>
      </c>
      <c r="B212">
        <f>(3/(1+('CurrentPor-All Factor Movements'!C212)/100)+103/POWER(1+('CurrentPor-All Factor Movements'!D212)/100,2))*100</f>
        <v>9706.5666979574926</v>
      </c>
      <c r="C212">
        <f>(3/(1+('CurrentPor-All Factor Movements'!C212+'CurrentPor-All Factor Movements'!G212)/100)+103/POWER(1+('CurrentPor-All Factor Movements'!D212+'CurrentPor-All Factor Movements'!G212)/100,2))*100</f>
        <v>9638.4952720318197</v>
      </c>
      <c r="D212">
        <f>(3/(1+('CurrentPor-All Factor Movements'!C212+'CurrentPor-All Factor Movements'!H212)/100)+103/POWER(1+('CurrentPor-All Factor Movements'!D212+'CurrentPor-All Factor Movements'!H212)/100,2))*100</f>
        <v>9597.8357390612182</v>
      </c>
      <c r="E212">
        <f>(3/(1+('CurrentPor-All Factor Movements'!C212+'CurrentPor-All Factor Movements'!I212)/100)+103/POWER(1+('CurrentPor-All Factor Movements'!D212+'CurrentPor-All Factor Movements'!I212)/100,2))*100</f>
        <v>9578.5145155998234</v>
      </c>
      <c r="F212">
        <f>Portfolio!B$5*'CurrentPor-All Factor Movements'!E212</f>
        <v>52124.386535227619</v>
      </c>
      <c r="G212">
        <f>Portfolio!B$6*'CurrentPor-All Factor Movements'!F212</f>
        <v>3940.2654572025613</v>
      </c>
      <c r="H212">
        <f>Portfolio!B$7*'CurrentPor-All Factor Movements'!J212</f>
        <v>2064.4091608983817</v>
      </c>
      <c r="I212">
        <f t="shared" si="6"/>
        <v>96650.473377978924</v>
      </c>
      <c r="J212">
        <f t="shared" si="7"/>
        <v>113.79863539937651</v>
      </c>
    </row>
    <row r="213" spans="1:10">
      <c r="A213" s="1">
        <v>45768</v>
      </c>
      <c r="B213">
        <f>(3/(1+('CurrentPor-All Factor Movements'!C213)/100)+103/POWER(1+('CurrentPor-All Factor Movements'!D213)/100,2))*100</f>
        <v>9708.2975231253404</v>
      </c>
      <c r="C213">
        <f>(3/(1+('CurrentPor-All Factor Movements'!C213+'CurrentPor-All Factor Movements'!G213)/100)+103/POWER(1+('CurrentPor-All Factor Movements'!D213+'CurrentPor-All Factor Movements'!G213)/100,2))*100</f>
        <v>9642.7553881525</v>
      </c>
      <c r="D213">
        <f>(3/(1+('CurrentPor-All Factor Movements'!C213+'CurrentPor-All Factor Movements'!H213)/100)+103/POWER(1+('CurrentPor-All Factor Movements'!D213+'CurrentPor-All Factor Movements'!H213)/100,2))*100</f>
        <v>9606.1463050895873</v>
      </c>
      <c r="E213">
        <f>(3/(1+('CurrentPor-All Factor Movements'!C213+'CurrentPor-All Factor Movements'!I213)/100)+103/POWER(1+('CurrentPor-All Factor Movements'!D213+'CurrentPor-All Factor Movements'!I213)/100,2))*100</f>
        <v>9580.7135667498296</v>
      </c>
      <c r="F213">
        <f>Portfolio!B$5*'CurrentPor-All Factor Movements'!E213</f>
        <v>51999.069557974748</v>
      </c>
      <c r="G213">
        <f>Portfolio!B$6*'CurrentPor-All Factor Movements'!F213</f>
        <v>3678.1724701447374</v>
      </c>
      <c r="H213">
        <f>Portfolio!B$7*'CurrentPor-All Factor Movements'!J213</f>
        <v>2064.3972181152649</v>
      </c>
      <c r="I213">
        <f t="shared" si="6"/>
        <v>96279.552029351995</v>
      </c>
      <c r="J213">
        <f t="shared" si="7"/>
        <v>-606.03126771176176</v>
      </c>
    </row>
    <row r="214" spans="1:10">
      <c r="A214" s="1">
        <v>45769</v>
      </c>
      <c r="B214">
        <f>(3/(1+('CurrentPor-All Factor Movements'!C214)/100)+103/POWER(1+('CurrentPor-All Factor Movements'!D214)/100,2))*100</f>
        <v>9707.1995766964683</v>
      </c>
      <c r="C214">
        <f>(3/(1+('CurrentPor-All Factor Movements'!C214+'CurrentPor-All Factor Movements'!G214)/100)+103/POWER(1+('CurrentPor-All Factor Movements'!D214+'CurrentPor-All Factor Movements'!G214)/100,2))*100</f>
        <v>9652.2747044330481</v>
      </c>
      <c r="D214">
        <f>(3/(1+('CurrentPor-All Factor Movements'!C214+'CurrentPor-All Factor Movements'!H214)/100)+103/POWER(1+('CurrentPor-All Factor Movements'!D214+'CurrentPor-All Factor Movements'!H214)/100,2))*100</f>
        <v>9612.2950571676301</v>
      </c>
      <c r="E214">
        <f>(3/(1+('CurrentPor-All Factor Movements'!C214+'CurrentPor-All Factor Movements'!I214)/100)+103/POWER(1+('CurrentPor-All Factor Movements'!D214+'CurrentPor-All Factor Movements'!I214)/100,2))*100</f>
        <v>9580.2676871874246</v>
      </c>
      <c r="F214">
        <f>Portfolio!B$5*'CurrentPor-All Factor Movements'!E214</f>
        <v>51898.677147448143</v>
      </c>
      <c r="G214">
        <f>Portfolio!B$6*'CurrentPor-All Factor Movements'!F214</f>
        <v>3878.3904800033029</v>
      </c>
      <c r="H214">
        <f>Portfolio!B$7*'CurrentPor-All Factor Movements'!J214</f>
        <v>2064.3942880008622</v>
      </c>
      <c r="I214">
        <f t="shared" si="6"/>
        <v>96393.498940936886</v>
      </c>
      <c r="J214">
        <f t="shared" si="7"/>
        <v>-109.47690331055492</v>
      </c>
    </row>
    <row r="215" spans="1:10">
      <c r="A215" s="1">
        <v>45770</v>
      </c>
      <c r="B215">
        <f>(3/(1+('CurrentPor-All Factor Movements'!C215)/100)+103/POWER(1+('CurrentPor-All Factor Movements'!D215)/100,2))*100</f>
        <v>9707.3978517353898</v>
      </c>
      <c r="C215">
        <f>(3/(1+('CurrentPor-All Factor Movements'!C215+'CurrentPor-All Factor Movements'!G215)/100)+103/POWER(1+('CurrentPor-All Factor Movements'!D215+'CurrentPor-All Factor Movements'!G215)/100,2))*100</f>
        <v>9644.3440980600662</v>
      </c>
      <c r="D215">
        <f>(3/(1+('CurrentPor-All Factor Movements'!C215+'CurrentPor-All Factor Movements'!H215)/100)+103/POWER(1+('CurrentPor-All Factor Movements'!D215+'CurrentPor-All Factor Movements'!H215)/100,2))*100</f>
        <v>9590.87582576364</v>
      </c>
      <c r="E215">
        <f>(3/(1+('CurrentPor-All Factor Movements'!C215+'CurrentPor-All Factor Movements'!I215)/100)+103/POWER(1+('CurrentPor-All Factor Movements'!D215+'CurrentPor-All Factor Movements'!I215)/100,2))*100</f>
        <v>9580.9217978355791</v>
      </c>
      <c r="F215">
        <f>Portfolio!B$5*'CurrentPor-All Factor Movements'!E215</f>
        <v>52057.703395003271</v>
      </c>
      <c r="G215">
        <f>Portfolio!B$6*'CurrentPor-All Factor Movements'!F215</f>
        <v>3704.0182037063773</v>
      </c>
      <c r="H215">
        <f>Portfolio!B$7*'CurrentPor-All Factor Movements'!J215</f>
        <v>2064.4027107376464</v>
      </c>
      <c r="I215">
        <f t="shared" si="6"/>
        <v>96349.663882841967</v>
      </c>
      <c r="J215">
        <f t="shared" si="7"/>
        <v>-315.93188351563003</v>
      </c>
    </row>
    <row r="216" spans="1:10">
      <c r="A216" s="1">
        <v>45771</v>
      </c>
      <c r="B216">
        <f>(3/(1+('CurrentPor-All Factor Movements'!C216)/100)+103/POWER(1+('CurrentPor-All Factor Movements'!D216)/100,2))*100</f>
        <v>9705.8651025275103</v>
      </c>
      <c r="C216">
        <f>(3/(1+('CurrentPor-All Factor Movements'!C216+'CurrentPor-All Factor Movements'!G216)/100)+103/POWER(1+('CurrentPor-All Factor Movements'!D216+'CurrentPor-All Factor Movements'!G216)/100,2))*100</f>
        <v>9624.4894657716377</v>
      </c>
      <c r="D216">
        <f>(3/(1+('CurrentPor-All Factor Movements'!C216+'CurrentPor-All Factor Movements'!H216)/100)+103/POWER(1+('CurrentPor-All Factor Movements'!D216+'CurrentPor-All Factor Movements'!H216)/100,2))*100</f>
        <v>9612.0159717601873</v>
      </c>
      <c r="E216">
        <f>(3/(1+('CurrentPor-All Factor Movements'!C216+'CurrentPor-All Factor Movements'!I216)/100)+103/POWER(1+('CurrentPor-All Factor Movements'!D216+'CurrentPor-All Factor Movements'!I216)/100,2))*100</f>
        <v>9578.2779901764497</v>
      </c>
      <c r="F216">
        <f>Portfolio!B$5*'CurrentPor-All Factor Movements'!E216</f>
        <v>52498.264055185995</v>
      </c>
      <c r="G216">
        <f>Portfolio!B$6*'CurrentPor-All Factor Movements'!F216</f>
        <v>4100.7438467643278</v>
      </c>
      <c r="H216">
        <f>Portfolio!B$7*'CurrentPor-All Factor Movements'!J216</f>
        <v>2064.4064033664572</v>
      </c>
      <c r="I216">
        <f t="shared" si="6"/>
        <v>97184.06283555257</v>
      </c>
      <c r="J216">
        <f t="shared" si="7"/>
        <v>903.69540276072803</v>
      </c>
    </row>
    <row r="217" spans="1:10">
      <c r="A217" s="1">
        <v>45772</v>
      </c>
      <c r="B217">
        <f>(3/(1+('CurrentPor-All Factor Movements'!C217)/100)+103/POWER(1+('CurrentPor-All Factor Movements'!D217)/100,2))*100</f>
        <v>9706.0495759685036</v>
      </c>
      <c r="C217">
        <f>(3/(1+('CurrentPor-All Factor Movements'!C217+'CurrentPor-All Factor Movements'!G217)/100)+103/POWER(1+('CurrentPor-All Factor Movements'!D217+'CurrentPor-All Factor Movements'!G217)/100,2))*100</f>
        <v>9640.3500521798396</v>
      </c>
      <c r="D217">
        <f>(3/(1+('CurrentPor-All Factor Movements'!C217+'CurrentPor-All Factor Movements'!H217)/100)+103/POWER(1+('CurrentPor-All Factor Movements'!D217+'CurrentPor-All Factor Movements'!H217)/100,2))*100</f>
        <v>9593.0555810299502</v>
      </c>
      <c r="E217">
        <f>(3/(1+('CurrentPor-All Factor Movements'!C217+'CurrentPor-All Factor Movements'!I217)/100)+103/POWER(1+('CurrentPor-All Factor Movements'!D217+'CurrentPor-All Factor Movements'!I217)/100,2))*100</f>
        <v>9579.7678584464211</v>
      </c>
      <c r="F217">
        <f>Portfolio!B$5*'CurrentPor-All Factor Movements'!E217</f>
        <v>51976.152644961701</v>
      </c>
      <c r="G217">
        <f>Portfolio!B$6*'CurrentPor-All Factor Movements'!F217</f>
        <v>3591.9388340784103</v>
      </c>
      <c r="H217">
        <f>Portfolio!B$7*'CurrentPor-All Factor Movements'!J217</f>
        <v>2064.4105189824886</v>
      </c>
      <c r="I217">
        <f t="shared" si="6"/>
        <v>96151.725065647319</v>
      </c>
      <c r="J217">
        <f t="shared" si="7"/>
        <v>-117.01038620900363</v>
      </c>
    </row>
    <row r="218" spans="1:10">
      <c r="A218" s="1">
        <v>45775</v>
      </c>
      <c r="B218">
        <f>(3/(1+('CurrentPor-All Factor Movements'!C218)/100)+103/POWER(1+('CurrentPor-All Factor Movements'!D218)/100,2))*100</f>
        <v>9707.1838929446003</v>
      </c>
      <c r="C218">
        <f>(3/(1+('CurrentPor-All Factor Movements'!C218+'CurrentPor-All Factor Movements'!G218)/100)+103/POWER(1+('CurrentPor-All Factor Movements'!D218+'CurrentPor-All Factor Movements'!G218)/100,2))*100</f>
        <v>9647.4409129491014</v>
      </c>
      <c r="D218">
        <f>(3/(1+('CurrentPor-All Factor Movements'!C218+'CurrentPor-All Factor Movements'!H218)/100)+103/POWER(1+('CurrentPor-All Factor Movements'!D218+'CurrentPor-All Factor Movements'!H218)/100,2))*100</f>
        <v>9610.0518600716678</v>
      </c>
      <c r="E218">
        <f>(3/(1+('CurrentPor-All Factor Movements'!C218+'CurrentPor-All Factor Movements'!I218)/100)+103/POWER(1+('CurrentPor-All Factor Movements'!D218+'CurrentPor-All Factor Movements'!I218)/100,2))*100</f>
        <v>9581.352231221168</v>
      </c>
      <c r="F218">
        <f>Portfolio!B$5*'CurrentPor-All Factor Movements'!E218</f>
        <v>51925.847661918226</v>
      </c>
      <c r="G218">
        <f>Portfolio!B$6*'CurrentPor-All Factor Movements'!F218</f>
        <v>3989.3904010214833</v>
      </c>
      <c r="H218">
        <f>Portfolio!B$7*'CurrentPor-All Factor Movements'!J218</f>
        <v>2064.4041079474327</v>
      </c>
      <c r="I218">
        <f t="shared" si="6"/>
        <v>96525.671068073687</v>
      </c>
      <c r="J218">
        <f t="shared" si="7"/>
        <v>-165.10669897518528</v>
      </c>
    </row>
    <row r="219" spans="1:10">
      <c r="A219" s="1">
        <v>45776</v>
      </c>
      <c r="B219">
        <f>(3/(1+('CurrentPor-All Factor Movements'!C219)/100)+103/POWER(1+('CurrentPor-All Factor Movements'!D219)/100,2))*100</f>
        <v>9706.9418470477194</v>
      </c>
      <c r="C219">
        <f>(3/(1+('CurrentPor-All Factor Movements'!C219+'CurrentPor-All Factor Movements'!G219)/100)+103/POWER(1+('CurrentPor-All Factor Movements'!D219+'CurrentPor-All Factor Movements'!G219)/100,2))*100</f>
        <v>9638.9535532239115</v>
      </c>
      <c r="D219">
        <f>(3/(1+('CurrentPor-All Factor Movements'!C219+'CurrentPor-All Factor Movements'!H219)/100)+103/POWER(1+('CurrentPor-All Factor Movements'!D219+'CurrentPor-All Factor Movements'!H219)/100,2))*100</f>
        <v>9610.7376734794252</v>
      </c>
      <c r="E219">
        <f>(3/(1+('CurrentPor-All Factor Movements'!C219+'CurrentPor-All Factor Movements'!I219)/100)+103/POWER(1+('CurrentPor-All Factor Movements'!D219+'CurrentPor-All Factor Movements'!I219)/100,2))*100</f>
        <v>9579.5538037452043</v>
      </c>
      <c r="F219">
        <f>Portfolio!B$5*'CurrentPor-All Factor Movements'!E219</f>
        <v>52024.181025291226</v>
      </c>
      <c r="G219">
        <f>Portfolio!B$6*'CurrentPor-All Factor Movements'!F219</f>
        <v>3753.1649267574821</v>
      </c>
      <c r="H219">
        <f>Portfolio!B$7*'CurrentPor-All Factor Movements'!J219</f>
        <v>2064.4021603528699</v>
      </c>
      <c r="I219">
        <f t="shared" si="6"/>
        <v>96377.93498989784</v>
      </c>
      <c r="J219">
        <f t="shared" si="7"/>
        <v>-296.7096934109577</v>
      </c>
    </row>
    <row r="220" spans="1:10">
      <c r="A220" s="1">
        <v>45777</v>
      </c>
      <c r="B220">
        <f>(3/(1+('CurrentPor-All Factor Movements'!C220)/100)+103/POWER(1+('CurrentPor-All Factor Movements'!D220)/100,2))*100</f>
        <v>9706.9156079741715</v>
      </c>
      <c r="C220">
        <f>(3/(1+('CurrentPor-All Factor Movements'!C220+'CurrentPor-All Factor Movements'!G220)/100)+103/POWER(1+('CurrentPor-All Factor Movements'!D220+'CurrentPor-All Factor Movements'!G220)/100,2))*100</f>
        <v>9644.4378386528024</v>
      </c>
      <c r="D220">
        <f>(3/(1+('CurrentPor-All Factor Movements'!C220+'CurrentPor-All Factor Movements'!H220)/100)+103/POWER(1+('CurrentPor-All Factor Movements'!D220+'CurrentPor-All Factor Movements'!H220)/100,2))*100</f>
        <v>9609.9771189466537</v>
      </c>
      <c r="E220">
        <f>(3/(1+('CurrentPor-All Factor Movements'!C220+'CurrentPor-All Factor Movements'!I220)/100)+103/POWER(1+('CurrentPor-All Factor Movements'!D220+'CurrentPor-All Factor Movements'!I220)/100,2))*100</f>
        <v>9579.1627522607632</v>
      </c>
      <c r="F220">
        <f>Portfolio!B$5*'CurrentPor-All Factor Movements'!E220</f>
        <v>52436.354533128841</v>
      </c>
      <c r="G220">
        <f>Portfolio!B$6*'CurrentPor-All Factor Movements'!F220</f>
        <v>3617.6039156038555</v>
      </c>
      <c r="H220">
        <f>Portfolio!B$7*'CurrentPor-All Factor Movements'!J220</f>
        <v>2064.4094707316713</v>
      </c>
      <c r="I220">
        <f t="shared" si="6"/>
        <v>96658.86123729877</v>
      </c>
      <c r="J220">
        <f t="shared" si="7"/>
        <v>49.410011652274989</v>
      </c>
    </row>
    <row r="221" spans="1:10">
      <c r="A221" s="1">
        <v>45778</v>
      </c>
      <c r="B221">
        <f>(3/(1+('CurrentPor-All Factor Movements'!C221)/100)+103/POWER(1+('CurrentPor-All Factor Movements'!D221)/100,2))*100</f>
        <v>9707.3099350924422</v>
      </c>
      <c r="C221">
        <f>(3/(1+('CurrentPor-All Factor Movements'!C221+'CurrentPor-All Factor Movements'!G221)/100)+103/POWER(1+('CurrentPor-All Factor Movements'!D221+'CurrentPor-All Factor Movements'!G221)/100,2))*100</f>
        <v>9644.2065169840389</v>
      </c>
      <c r="D221">
        <f>(3/(1+('CurrentPor-All Factor Movements'!C221+'CurrentPor-All Factor Movements'!H221)/100)+103/POWER(1+('CurrentPor-All Factor Movements'!D221+'CurrentPor-All Factor Movements'!H221)/100,2))*100</f>
        <v>9608.7019864702816</v>
      </c>
      <c r="E221">
        <f>(3/(1+('CurrentPor-All Factor Movements'!C221+'CurrentPor-All Factor Movements'!I221)/100)+103/POWER(1+('CurrentPor-All Factor Movements'!D221+'CurrentPor-All Factor Movements'!I221)/100,2))*100</f>
        <v>9581.7411336853638</v>
      </c>
      <c r="F221">
        <f>Portfolio!B$5*'CurrentPor-All Factor Movements'!E221</f>
        <v>52022.345527950223</v>
      </c>
      <c r="G221">
        <f>Portfolio!B$6*'CurrentPor-All Factor Movements'!F221</f>
        <v>4004.404997052312</v>
      </c>
      <c r="H221">
        <f>Portfolio!B$7*'CurrentPor-All Factor Movements'!J221</f>
        <v>2064.3934105967924</v>
      </c>
      <c r="I221">
        <f t="shared" si="6"/>
        <v>96633.10350783146</v>
      </c>
      <c r="J221">
        <f t="shared" si="7"/>
        <v>106.47238638487761</v>
      </c>
    </row>
    <row r="222" spans="1:10">
      <c r="A222" s="1">
        <v>45779</v>
      </c>
      <c r="B222">
        <f>(3/(1+('CurrentPor-All Factor Movements'!C222)/100)+103/POWER(1+('CurrentPor-All Factor Movements'!D222)/100,2))*100</f>
        <v>9706.8625384017832</v>
      </c>
      <c r="C222">
        <f>(3/(1+('CurrentPor-All Factor Movements'!C222+'CurrentPor-All Factor Movements'!G222)/100)+103/POWER(1+('CurrentPor-All Factor Movements'!D222+'CurrentPor-All Factor Movements'!G222)/100,2))*100</f>
        <v>9650.0076559304234</v>
      </c>
      <c r="D222">
        <f>(3/(1+('CurrentPor-All Factor Movements'!C222+'CurrentPor-All Factor Movements'!H222)/100)+103/POWER(1+('CurrentPor-All Factor Movements'!D222+'CurrentPor-All Factor Movements'!H222)/100,2))*100</f>
        <v>9584.9257095253197</v>
      </c>
      <c r="E222">
        <f>(3/(1+('CurrentPor-All Factor Movements'!C222+'CurrentPor-All Factor Movements'!I222)/100)+103/POWER(1+('CurrentPor-All Factor Movements'!D222+'CurrentPor-All Factor Movements'!I222)/100,2))*100</f>
        <v>9581.4236864453778</v>
      </c>
      <c r="F222">
        <f>Portfolio!B$5*'CurrentPor-All Factor Movements'!E222</f>
        <v>52022.203215919646</v>
      </c>
      <c r="G222">
        <f>Portfolio!B$6*'CurrentPor-All Factor Movements'!F222</f>
        <v>3877.3851084829053</v>
      </c>
      <c r="H222">
        <f>Portfolio!B$7*'CurrentPor-All Factor Movements'!J222</f>
        <v>2064.4021840293049</v>
      </c>
      <c r="I222">
        <f t="shared" si="6"/>
        <v>96487.210098734751</v>
      </c>
      <c r="J222">
        <f t="shared" si="7"/>
        <v>-163.26327924417274</v>
      </c>
    </row>
    <row r="223" spans="1:10">
      <c r="A223" s="1">
        <v>45782</v>
      </c>
      <c r="B223">
        <f>(3/(1+('CurrentPor-All Factor Movements'!C223)/100)+103/POWER(1+('CurrentPor-All Factor Movements'!D223)/100,2))*100</f>
        <v>9707.5491832671742</v>
      </c>
      <c r="C223">
        <f>(3/(1+('CurrentPor-All Factor Movements'!C223+'CurrentPor-All Factor Movements'!G223)/100)+103/POWER(1+('CurrentPor-All Factor Movements'!D223+'CurrentPor-All Factor Movements'!G223)/100,2))*100</f>
        <v>9641.0228417469534</v>
      </c>
      <c r="D223">
        <f>(3/(1+('CurrentPor-All Factor Movements'!C223+'CurrentPor-All Factor Movements'!H223)/100)+103/POWER(1+('CurrentPor-All Factor Movements'!D223+'CurrentPor-All Factor Movements'!H223)/100,2))*100</f>
        <v>9595.2437799150284</v>
      </c>
      <c r="E223">
        <f>(3/(1+('CurrentPor-All Factor Movements'!C223+'CurrentPor-All Factor Movements'!I223)/100)+103/POWER(1+('CurrentPor-All Factor Movements'!D223+'CurrentPor-All Factor Movements'!I223)/100,2))*100</f>
        <v>9581.3310803411987</v>
      </c>
      <c r="F223">
        <f>Portfolio!B$5*'CurrentPor-All Factor Movements'!E223</f>
        <v>52233.04728939521</v>
      </c>
      <c r="G223">
        <f>Portfolio!B$6*'CurrentPor-All Factor Movements'!F223</f>
        <v>3955.8560361477248</v>
      </c>
      <c r="H223">
        <f>Portfolio!B$7*'CurrentPor-All Factor Movements'!J223</f>
        <v>2064.3937853299844</v>
      </c>
      <c r="I223">
        <f t="shared" si="6"/>
        <v>96778.44399614328</v>
      </c>
      <c r="J223">
        <f t="shared" si="7"/>
        <v>498.89196679128509</v>
      </c>
    </row>
    <row r="224" spans="1:10">
      <c r="A224" s="1">
        <v>45783</v>
      </c>
      <c r="B224">
        <f>(3/(1+('CurrentPor-All Factor Movements'!C224)/100)+103/POWER(1+('CurrentPor-All Factor Movements'!D224)/100,2))*100</f>
        <v>9707.4108525941192</v>
      </c>
      <c r="C224">
        <f>(3/(1+('CurrentPor-All Factor Movements'!C224+'CurrentPor-All Factor Movements'!G224)/100)+103/POWER(1+('CurrentPor-All Factor Movements'!D224+'CurrentPor-All Factor Movements'!G224)/100,2))*100</f>
        <v>9652.1828994467578</v>
      </c>
      <c r="D224">
        <f>(3/(1+('CurrentPor-All Factor Movements'!C224+'CurrentPor-All Factor Movements'!H224)/100)+103/POWER(1+('CurrentPor-All Factor Movements'!D224+'CurrentPor-All Factor Movements'!H224)/100,2))*100</f>
        <v>9600.5333191728168</v>
      </c>
      <c r="E224">
        <f>(3/(1+('CurrentPor-All Factor Movements'!C224+'CurrentPor-All Factor Movements'!I224)/100)+103/POWER(1+('CurrentPor-All Factor Movements'!D224+'CurrentPor-All Factor Movements'!I224)/100,2))*100</f>
        <v>9580.4069186235411</v>
      </c>
      <c r="F224">
        <f>Portfolio!B$5*'CurrentPor-All Factor Movements'!E224</f>
        <v>52223.041122399278</v>
      </c>
      <c r="G224">
        <f>Portfolio!B$6*'CurrentPor-All Factor Movements'!F224</f>
        <v>3938.5812210782801</v>
      </c>
      <c r="H224">
        <f>Portfolio!B$7*'CurrentPor-All Factor Movements'!J224</f>
        <v>2064.3998287565078</v>
      </c>
      <c r="I224">
        <f t="shared" si="6"/>
        <v>96766.556162071298</v>
      </c>
      <c r="J224">
        <f t="shared" si="7"/>
        <v>373.05722113441152</v>
      </c>
    </row>
    <row r="225" spans="1:10">
      <c r="A225" s="1">
        <v>45784</v>
      </c>
      <c r="B225">
        <f>(3/(1+('CurrentPor-All Factor Movements'!C225)/100)+103/POWER(1+('CurrentPor-All Factor Movements'!D225)/100,2))*100</f>
        <v>9707.1838830931993</v>
      </c>
      <c r="C225">
        <f>(3/(1+('CurrentPor-All Factor Movements'!C225+'CurrentPor-All Factor Movements'!G225)/100)+103/POWER(1+('CurrentPor-All Factor Movements'!D225+'CurrentPor-All Factor Movements'!G225)/100,2))*100</f>
        <v>9628.8015403520694</v>
      </c>
      <c r="D225">
        <f>(3/(1+('CurrentPor-All Factor Movements'!C225+'CurrentPor-All Factor Movements'!H225)/100)+103/POWER(1+('CurrentPor-All Factor Movements'!D225+'CurrentPor-All Factor Movements'!H225)/100,2))*100</f>
        <v>9605.6694933734143</v>
      </c>
      <c r="E225">
        <f>(3/(1+('CurrentPor-All Factor Movements'!C225+'CurrentPor-All Factor Movements'!I225)/100)+103/POWER(1+('CurrentPor-All Factor Movements'!D225+'CurrentPor-All Factor Movements'!I225)/100,2))*100</f>
        <v>9579.0302136790178</v>
      </c>
      <c r="F225">
        <f>Portfolio!B$5*'CurrentPor-All Factor Movements'!E225</f>
        <v>52434.735490686464</v>
      </c>
      <c r="G225">
        <f>Portfolio!B$6*'CurrentPor-All Factor Movements'!F225</f>
        <v>3808.9167352215463</v>
      </c>
      <c r="H225">
        <f>Portfolio!B$7*'CurrentPor-All Factor Movements'!J225</f>
        <v>2064.3979126074769</v>
      </c>
      <c r="I225">
        <f t="shared" si="6"/>
        <v>96828.735269013181</v>
      </c>
      <c r="J225">
        <f t="shared" si="7"/>
        <v>479.07138617121382</v>
      </c>
    </row>
    <row r="226" spans="1:10">
      <c r="A226" s="1">
        <v>45785</v>
      </c>
      <c r="B226">
        <f>(3/(1+('CurrentPor-All Factor Movements'!C226)/100)+103/POWER(1+('CurrentPor-All Factor Movements'!D226)/100,2))*100</f>
        <v>9708.0782735388275</v>
      </c>
      <c r="C226">
        <f>(3/(1+('CurrentPor-All Factor Movements'!C226+'CurrentPor-All Factor Movements'!G226)/100)+103/POWER(1+('CurrentPor-All Factor Movements'!D226+'CurrentPor-All Factor Movements'!G226)/100,2))*100</f>
        <v>9658.2747863080276</v>
      </c>
      <c r="D226">
        <f>(3/(1+('CurrentPor-All Factor Movements'!C226+'CurrentPor-All Factor Movements'!H226)/100)+103/POWER(1+('CurrentPor-All Factor Movements'!D226+'CurrentPor-All Factor Movements'!H226)/100,2))*100</f>
        <v>9595.4400732049853</v>
      </c>
      <c r="E226">
        <f>(3/(1+('CurrentPor-All Factor Movements'!C226+'CurrentPor-All Factor Movements'!I226)/100)+103/POWER(1+('CurrentPor-All Factor Movements'!D226+'CurrentPor-All Factor Movements'!I226)/100,2))*100</f>
        <v>9579.7829706033099</v>
      </c>
      <c r="F226">
        <f>Portfolio!B$5*'CurrentPor-All Factor Movements'!E226</f>
        <v>52000.397992251586</v>
      </c>
      <c r="G226">
        <f>Portfolio!B$6*'CurrentPor-All Factor Movements'!F226</f>
        <v>4255.767805250066</v>
      </c>
      <c r="H226">
        <f>Portfolio!B$7*'CurrentPor-All Factor Movements'!J226</f>
        <v>2064.3954125071436</v>
      </c>
      <c r="I226">
        <f t="shared" si="6"/>
        <v>96862.13731366396</v>
      </c>
      <c r="J226">
        <f t="shared" si="7"/>
        <v>-321.92552188861009</v>
      </c>
    </row>
    <row r="227" spans="1:10">
      <c r="A227" s="1">
        <v>45786</v>
      </c>
      <c r="B227">
        <f>(3/(1+('CurrentPor-All Factor Movements'!C227)/100)+103/POWER(1+('CurrentPor-All Factor Movements'!D227)/100,2))*100</f>
        <v>9708.2531816251558</v>
      </c>
      <c r="C227">
        <f>(3/(1+('CurrentPor-All Factor Movements'!C227+'CurrentPor-All Factor Movements'!G227)/100)+103/POWER(1+('CurrentPor-All Factor Movements'!D227+'CurrentPor-All Factor Movements'!G227)/100,2))*100</f>
        <v>9646.7914932312924</v>
      </c>
      <c r="D227">
        <f>(3/(1+('CurrentPor-All Factor Movements'!C227+'CurrentPor-All Factor Movements'!H227)/100)+103/POWER(1+('CurrentPor-All Factor Movements'!D227+'CurrentPor-All Factor Movements'!H227)/100,2))*100</f>
        <v>9578.8355841184257</v>
      </c>
      <c r="E227">
        <f>(3/(1+('CurrentPor-All Factor Movements'!C227+'CurrentPor-All Factor Movements'!I227)/100)+103/POWER(1+('CurrentPor-All Factor Movements'!D227+'CurrentPor-All Factor Movements'!I227)/100,2))*100</f>
        <v>9581.6507321741774</v>
      </c>
      <c r="F227">
        <f>Portfolio!B$5*'CurrentPor-All Factor Movements'!E227</f>
        <v>51617.74055640593</v>
      </c>
      <c r="G227">
        <f>Portfolio!B$6*'CurrentPor-All Factor Movements'!F227</f>
        <v>4321.0591674002835</v>
      </c>
      <c r="H227">
        <f>Portfolio!B$7*'CurrentPor-All Factor Movements'!J227</f>
        <v>2064.3952143930742</v>
      </c>
      <c r="I227">
        <f t="shared" si="6"/>
        <v>96518.725929348337</v>
      </c>
      <c r="J227">
        <f t="shared" si="7"/>
        <v>367.00086370101781</v>
      </c>
    </row>
    <row r="228" spans="1:10">
      <c r="A228" s="1">
        <v>45789</v>
      </c>
      <c r="B228">
        <f>(3/(1+('CurrentPor-All Factor Movements'!C228)/100)+103/POWER(1+('CurrentPor-All Factor Movements'!D228)/100,2))*100</f>
        <v>9706.2707428888425</v>
      </c>
      <c r="C228">
        <f>(3/(1+('CurrentPor-All Factor Movements'!C228+'CurrentPor-All Factor Movements'!G228)/100)+103/POWER(1+('CurrentPor-All Factor Movements'!D228+'CurrentPor-All Factor Movements'!G228)/100,2))*100</f>
        <v>9647.0837311608684</v>
      </c>
      <c r="D228">
        <f>(3/(1+('CurrentPor-All Factor Movements'!C228+'CurrentPor-All Factor Movements'!H228)/100)+103/POWER(1+('CurrentPor-All Factor Movements'!D228+'CurrentPor-All Factor Movements'!H228)/100,2))*100</f>
        <v>9577.6045717628112</v>
      </c>
      <c r="E228">
        <f>(3/(1+('CurrentPor-All Factor Movements'!C228+'CurrentPor-All Factor Movements'!I228)/100)+103/POWER(1+('CurrentPor-All Factor Movements'!D228+'CurrentPor-All Factor Movements'!I228)/100,2))*100</f>
        <v>9579.0762420883675</v>
      </c>
      <c r="F228">
        <f>Portfolio!B$5*'CurrentPor-All Factor Movements'!E228</f>
        <v>51702.581127812322</v>
      </c>
      <c r="G228">
        <f>Portfolio!B$6*'CurrentPor-All Factor Movements'!F228</f>
        <v>4050.6788506273183</v>
      </c>
      <c r="H228">
        <f>Portfolio!B$7*'CurrentPor-All Factor Movements'!J228</f>
        <v>2064.3979847800438</v>
      </c>
      <c r="I228">
        <f t="shared" si="6"/>
        <v>96327.693251120567</v>
      </c>
      <c r="J228">
        <f t="shared" si="7"/>
        <v>-197.97781695312005</v>
      </c>
    </row>
    <row r="229" spans="1:10">
      <c r="A229" s="1">
        <v>45790</v>
      </c>
      <c r="B229">
        <f>(3/(1+('CurrentPor-All Factor Movements'!C229)/100)+103/POWER(1+('CurrentPor-All Factor Movements'!D229)/100,2))*100</f>
        <v>9707.5254012430614</v>
      </c>
      <c r="C229">
        <f>(3/(1+('CurrentPor-All Factor Movements'!C229+'CurrentPor-All Factor Movements'!G229)/100)+103/POWER(1+('CurrentPor-All Factor Movements'!D229+'CurrentPor-All Factor Movements'!G229)/100,2))*100</f>
        <v>9634.6676040295333</v>
      </c>
      <c r="D229">
        <f>(3/(1+('CurrentPor-All Factor Movements'!C229+'CurrentPor-All Factor Movements'!H229)/100)+103/POWER(1+('CurrentPor-All Factor Movements'!D229+'CurrentPor-All Factor Movements'!H229)/100,2))*100</f>
        <v>9606.6032595362576</v>
      </c>
      <c r="E229">
        <f>(3/(1+('CurrentPor-All Factor Movements'!C229+'CurrentPor-All Factor Movements'!I229)/100)+103/POWER(1+('CurrentPor-All Factor Movements'!D229+'CurrentPor-All Factor Movements'!I229)/100,2))*100</f>
        <v>9580.2206159449597</v>
      </c>
      <c r="F229">
        <f>Portfolio!B$5*'CurrentPor-All Factor Movements'!E229</f>
        <v>51708.807566437346</v>
      </c>
      <c r="G229">
        <f>Portfolio!B$6*'CurrentPor-All Factor Movements'!F229</f>
        <v>3773.5710438504329</v>
      </c>
      <c r="H229">
        <f>Portfolio!B$7*'CurrentPor-All Factor Movements'!J229</f>
        <v>2064.3896344782497</v>
      </c>
      <c r="I229">
        <f t="shared" si="6"/>
        <v>96075.785125519847</v>
      </c>
      <c r="J229">
        <f t="shared" si="7"/>
        <v>-302.14986437799234</v>
      </c>
    </row>
    <row r="230" spans="1:10">
      <c r="A230" s="1">
        <v>45791</v>
      </c>
      <c r="B230">
        <f>(3/(1+('CurrentPor-All Factor Movements'!C230)/100)+103/POWER(1+('CurrentPor-All Factor Movements'!D230)/100,2))*100</f>
        <v>9706.6066583549145</v>
      </c>
      <c r="C230">
        <f>(3/(1+('CurrentPor-All Factor Movements'!C230+'CurrentPor-All Factor Movements'!G230)/100)+103/POWER(1+('CurrentPor-All Factor Movements'!D230+'CurrentPor-All Factor Movements'!G230)/100,2))*100</f>
        <v>9631.780096693401</v>
      </c>
      <c r="D230">
        <f>(3/(1+('CurrentPor-All Factor Movements'!C230+'CurrentPor-All Factor Movements'!H230)/100)+103/POWER(1+('CurrentPor-All Factor Movements'!D230+'CurrentPor-All Factor Movements'!H230)/100,2))*100</f>
        <v>9604.3829922242985</v>
      </c>
      <c r="E230">
        <f>(3/(1+('CurrentPor-All Factor Movements'!C230+'CurrentPor-All Factor Movements'!I230)/100)+103/POWER(1+('CurrentPor-All Factor Movements'!D230+'CurrentPor-All Factor Movements'!I230)/100,2))*100</f>
        <v>9579.8195103431863</v>
      </c>
      <c r="F230">
        <f>Portfolio!B$5*'CurrentPor-All Factor Movements'!E230</f>
        <v>52434.508297088476</v>
      </c>
      <c r="G230">
        <f>Portfolio!B$6*'CurrentPor-All Factor Movements'!F230</f>
        <v>3967.6773257945988</v>
      </c>
      <c r="H230">
        <f>Portfolio!B$7*'CurrentPor-All Factor Movements'!J230</f>
        <v>2064.404515300203</v>
      </c>
      <c r="I230">
        <f t="shared" si="6"/>
        <v>96989.179395799089</v>
      </c>
      <c r="J230">
        <f t="shared" si="7"/>
        <v>330.31815850031853</v>
      </c>
    </row>
    <row r="231" spans="1:10">
      <c r="A231" s="1">
        <v>45792</v>
      </c>
      <c r="B231">
        <f>(3/(1+('CurrentPor-All Factor Movements'!C231)/100)+103/POWER(1+('CurrentPor-All Factor Movements'!D231)/100,2))*100</f>
        <v>9707.4971451707115</v>
      </c>
      <c r="C231">
        <f>(3/(1+('CurrentPor-All Factor Movements'!C231+'CurrentPor-All Factor Movements'!G231)/100)+103/POWER(1+('CurrentPor-All Factor Movements'!D231+'CurrentPor-All Factor Movements'!G231)/100,2))*100</f>
        <v>9647.6903487497857</v>
      </c>
      <c r="D231">
        <f>(3/(1+('CurrentPor-All Factor Movements'!C231+'CurrentPor-All Factor Movements'!H231)/100)+103/POWER(1+('CurrentPor-All Factor Movements'!D231+'CurrentPor-All Factor Movements'!H231)/100,2))*100</f>
        <v>9604.7184580655012</v>
      </c>
      <c r="E231">
        <f>(3/(1+('CurrentPor-All Factor Movements'!C231+'CurrentPor-All Factor Movements'!I231)/100)+103/POWER(1+('CurrentPor-All Factor Movements'!D231+'CurrentPor-All Factor Movements'!I231)/100,2))*100</f>
        <v>9580.6202964866497</v>
      </c>
      <c r="F231">
        <f>Portfolio!B$5*'CurrentPor-All Factor Movements'!E231</f>
        <v>51779.658468973263</v>
      </c>
      <c r="G231">
        <f>Portfolio!B$6*'CurrentPor-All Factor Movements'!F231</f>
        <v>3582.1449118182932</v>
      </c>
      <c r="H231">
        <f>Portfolio!B$7*'CurrentPor-All Factor Movements'!J231</f>
        <v>2064.4026009489071</v>
      </c>
      <c r="I231">
        <f t="shared" si="6"/>
        <v>95966.732230213107</v>
      </c>
      <c r="J231">
        <f t="shared" si="7"/>
        <v>-666.37127761835291</v>
      </c>
    </row>
    <row r="232" spans="1:10">
      <c r="A232" s="1">
        <v>45793</v>
      </c>
      <c r="B232">
        <f>(3/(1+('CurrentPor-All Factor Movements'!C232)/100)+103/POWER(1+('CurrentPor-All Factor Movements'!D232)/100,2))*100</f>
        <v>9708.0013097771662</v>
      </c>
      <c r="C232">
        <f>(3/(1+('CurrentPor-All Factor Movements'!C232+'CurrentPor-All Factor Movements'!G232)/100)+103/POWER(1+('CurrentPor-All Factor Movements'!D232+'CurrentPor-All Factor Movements'!G232)/100,2))*100</f>
        <v>9648.0971924633686</v>
      </c>
      <c r="D232">
        <f>(3/(1+('CurrentPor-All Factor Movements'!C232+'CurrentPor-All Factor Movements'!H232)/100)+103/POWER(1+('CurrentPor-All Factor Movements'!D232+'CurrentPor-All Factor Movements'!H232)/100,2))*100</f>
        <v>9605.409173619737</v>
      </c>
      <c r="E232">
        <f>(3/(1+('CurrentPor-All Factor Movements'!C232+'CurrentPor-All Factor Movements'!I232)/100)+103/POWER(1+('CurrentPor-All Factor Movements'!D232+'CurrentPor-All Factor Movements'!I232)/100,2))*100</f>
        <v>9581.0338709134612</v>
      </c>
      <c r="F232">
        <f>Portfolio!B$5*'CurrentPor-All Factor Movements'!E232</f>
        <v>52438.317474849282</v>
      </c>
      <c r="G232">
        <f>Portfolio!B$6*'CurrentPor-All Factor Movements'!F232</f>
        <v>3998.1894920128398</v>
      </c>
      <c r="H232">
        <f>Portfolio!B$7*'CurrentPor-All Factor Movements'!J232</f>
        <v>2064.400169284836</v>
      </c>
      <c r="I232">
        <f t="shared" si="6"/>
        <v>97043.448682920687</v>
      </c>
      <c r="J232">
        <f t="shared" si="7"/>
        <v>556.23858418593591</v>
      </c>
    </row>
    <row r="233" spans="1:10">
      <c r="A233" s="1">
        <v>45796</v>
      </c>
      <c r="B233">
        <f>(3/(1+('CurrentPor-All Factor Movements'!C233)/100)+103/POWER(1+('CurrentPor-All Factor Movements'!D233)/100,2))*100</f>
        <v>9706.8212842690718</v>
      </c>
      <c r="C233">
        <f>(3/(1+('CurrentPor-All Factor Movements'!C233+'CurrentPor-All Factor Movements'!G233)/100)+103/POWER(1+('CurrentPor-All Factor Movements'!D233+'CurrentPor-All Factor Movements'!G233)/100,2))*100</f>
        <v>9639.0651120371913</v>
      </c>
      <c r="D233">
        <f>(3/(1+('CurrentPor-All Factor Movements'!C233+'CurrentPor-All Factor Movements'!H233)/100)+103/POWER(1+('CurrentPor-All Factor Movements'!D233+'CurrentPor-All Factor Movements'!H233)/100,2))*100</f>
        <v>9591.4487902833844</v>
      </c>
      <c r="E233">
        <f>(3/(1+('CurrentPor-All Factor Movements'!C233+'CurrentPor-All Factor Movements'!I233)/100)+103/POWER(1+('CurrentPor-All Factor Movements'!D233+'CurrentPor-All Factor Movements'!I233)/100,2))*100</f>
        <v>9578.9551592772204</v>
      </c>
      <c r="F233">
        <f>Portfolio!B$5*'CurrentPor-All Factor Movements'!E233</f>
        <v>52248.833472917919</v>
      </c>
      <c r="G233">
        <f>Portfolio!B$6*'CurrentPor-All Factor Movements'!F233</f>
        <v>4072.2321216549885</v>
      </c>
      <c r="H233">
        <f>Portfolio!B$7*'CurrentPor-All Factor Movements'!J233</f>
        <v>2064.4044571786844</v>
      </c>
      <c r="I233">
        <f t="shared" si="6"/>
        <v>96901.760397618447</v>
      </c>
      <c r="J233">
        <f t="shared" si="7"/>
        <v>123.31640147516737</v>
      </c>
    </row>
    <row r="234" spans="1:10">
      <c r="A234" s="1">
        <v>45797</v>
      </c>
      <c r="B234">
        <f>(3/(1+('CurrentPor-All Factor Movements'!C234)/100)+103/POWER(1+('CurrentPor-All Factor Movements'!D234)/100,2))*100</f>
        <v>9706.5730545548595</v>
      </c>
      <c r="C234">
        <f>(3/(1+('CurrentPor-All Factor Movements'!C234+'CurrentPor-All Factor Movements'!G234)/100)+103/POWER(1+('CurrentPor-All Factor Movements'!D234+'CurrentPor-All Factor Movements'!G234)/100,2))*100</f>
        <v>9663.21488774301</v>
      </c>
      <c r="D234">
        <f>(3/(1+('CurrentPor-All Factor Movements'!C234+'CurrentPor-All Factor Movements'!H234)/100)+103/POWER(1+('CurrentPor-All Factor Movements'!D234+'CurrentPor-All Factor Movements'!H234)/100,2))*100</f>
        <v>9591.7605846405495</v>
      </c>
      <c r="E234">
        <f>(3/(1+('CurrentPor-All Factor Movements'!C234+'CurrentPor-All Factor Movements'!I234)/100)+103/POWER(1+('CurrentPor-All Factor Movements'!D234+'CurrentPor-All Factor Movements'!I234)/100,2))*100</f>
        <v>9580.0973566684788</v>
      </c>
      <c r="F234">
        <f>Portfolio!B$5*'CurrentPor-All Factor Movements'!E234</f>
        <v>52152.001062856674</v>
      </c>
      <c r="G234">
        <f>Portfolio!B$6*'CurrentPor-All Factor Movements'!F234</f>
        <v>4184.4101454272914</v>
      </c>
      <c r="H234">
        <f>Portfolio!B$7*'CurrentPor-All Factor Movements'!J234</f>
        <v>2064.4015075895113</v>
      </c>
      <c r="I234">
        <f t="shared" si="6"/>
        <v>96942.458599480378</v>
      </c>
      <c r="J234">
        <f t="shared" si="7"/>
        <v>175.90243740908045</v>
      </c>
    </row>
    <row r="235" spans="1:10">
      <c r="A235" s="1">
        <v>45798</v>
      </c>
      <c r="B235">
        <f>(3/(1+('CurrentPor-All Factor Movements'!C235)/100)+103/POWER(1+('CurrentPor-All Factor Movements'!D235)/100,2))*100</f>
        <v>9707.3204747840809</v>
      </c>
      <c r="C235">
        <f>(3/(1+('CurrentPor-All Factor Movements'!C235+'CurrentPor-All Factor Movements'!G235)/100)+103/POWER(1+('CurrentPor-All Factor Movements'!D235+'CurrentPor-All Factor Movements'!G235)/100,2))*100</f>
        <v>9646.7006378180977</v>
      </c>
      <c r="D235">
        <f>(3/(1+('CurrentPor-All Factor Movements'!C235+'CurrentPor-All Factor Movements'!H235)/100)+103/POWER(1+('CurrentPor-All Factor Movements'!D235+'CurrentPor-All Factor Movements'!H235)/100,2))*100</f>
        <v>9614.0978463573574</v>
      </c>
      <c r="E235">
        <f>(3/(1+('CurrentPor-All Factor Movements'!C235+'CurrentPor-All Factor Movements'!I235)/100)+103/POWER(1+('CurrentPor-All Factor Movements'!D235+'CurrentPor-All Factor Movements'!I235)/100,2))*100</f>
        <v>9578.8876096320637</v>
      </c>
      <c r="F235">
        <f>Portfolio!B$5*'CurrentPor-All Factor Movements'!E235</f>
        <v>52026.654810801971</v>
      </c>
      <c r="G235">
        <f>Portfolio!B$6*'CurrentPor-All Factor Movements'!F235</f>
        <v>4092.6436743997679</v>
      </c>
      <c r="H235">
        <f>Portfolio!B$7*'CurrentPor-All Factor Movements'!J235</f>
        <v>2064.404218237662</v>
      </c>
      <c r="I235">
        <f t="shared" si="6"/>
        <v>96730.709272030988</v>
      </c>
      <c r="J235">
        <f t="shared" si="7"/>
        <v>-98.025996982192737</v>
      </c>
    </row>
    <row r="236" spans="1:10">
      <c r="A236" s="1">
        <v>45799</v>
      </c>
      <c r="B236">
        <f>(3/(1+('CurrentPor-All Factor Movements'!C236)/100)+103/POWER(1+('CurrentPor-All Factor Movements'!D236)/100,2))*100</f>
        <v>9705.9982876884169</v>
      </c>
      <c r="C236">
        <f>(3/(1+('CurrentPor-All Factor Movements'!C236+'CurrentPor-All Factor Movements'!G236)/100)+103/POWER(1+('CurrentPor-All Factor Movements'!D236+'CurrentPor-All Factor Movements'!G236)/100,2))*100</f>
        <v>9644.9422338733002</v>
      </c>
      <c r="D236">
        <f>(3/(1+('CurrentPor-All Factor Movements'!C236+'CurrentPor-All Factor Movements'!H236)/100)+103/POWER(1+('CurrentPor-All Factor Movements'!D236+'CurrentPor-All Factor Movements'!H236)/100,2))*100</f>
        <v>9604.3539874887447</v>
      </c>
      <c r="E236">
        <f>(3/(1+('CurrentPor-All Factor Movements'!C236+'CurrentPor-All Factor Movements'!I236)/100)+103/POWER(1+('CurrentPor-All Factor Movements'!D236+'CurrentPor-All Factor Movements'!I236)/100,2))*100</f>
        <v>9578.94158298191</v>
      </c>
      <c r="F236">
        <f>Portfolio!B$5*'CurrentPor-All Factor Movements'!E236</f>
        <v>52101.786380406942</v>
      </c>
      <c r="G236">
        <f>Portfolio!B$6*'CurrentPor-All Factor Movements'!F236</f>
        <v>3945.0200950834405</v>
      </c>
      <c r="H236">
        <f>Portfolio!B$7*'CurrentPor-All Factor Movements'!J236</f>
        <v>2064.4103503672741</v>
      </c>
      <c r="I236">
        <f t="shared" si="6"/>
        <v>96645.452917890012</v>
      </c>
      <c r="J236">
        <f t="shared" si="7"/>
        <v>-216.68439577394747</v>
      </c>
    </row>
    <row r="237" spans="1:10">
      <c r="A237" s="1">
        <v>45800</v>
      </c>
      <c r="B237">
        <f>(3/(1+('CurrentPor-All Factor Movements'!C237)/100)+103/POWER(1+('CurrentPor-All Factor Movements'!D237)/100,2))*100</f>
        <v>9706.1403258636128</v>
      </c>
      <c r="C237">
        <f>(3/(1+('CurrentPor-All Factor Movements'!C237+'CurrentPor-All Factor Movements'!G237)/100)+103/POWER(1+('CurrentPor-All Factor Movements'!D237+'CurrentPor-All Factor Movements'!G237)/100,2))*100</f>
        <v>9635.5593928446106</v>
      </c>
      <c r="D237">
        <f>(3/(1+('CurrentPor-All Factor Movements'!C237+'CurrentPor-All Factor Movements'!H237)/100)+103/POWER(1+('CurrentPor-All Factor Movements'!D237+'CurrentPor-All Factor Movements'!H237)/100,2))*100</f>
        <v>9607.2025688030863</v>
      </c>
      <c r="E237">
        <f>(3/(1+('CurrentPor-All Factor Movements'!C237+'CurrentPor-All Factor Movements'!I237)/100)+103/POWER(1+('CurrentPor-All Factor Movements'!D237+'CurrentPor-All Factor Movements'!I237)/100,2))*100</f>
        <v>9579.2175599304901</v>
      </c>
      <c r="F237">
        <f>Portfolio!B$5*'CurrentPor-All Factor Movements'!E237</f>
        <v>51988.482972527432</v>
      </c>
      <c r="G237">
        <f>Portfolio!B$6*'CurrentPor-All Factor Movements'!F237</f>
        <v>4132.0742874277303</v>
      </c>
      <c r="H237">
        <f>Portfolio!B$7*'CurrentPor-All Factor Movements'!J237</f>
        <v>2064.3985780200387</v>
      </c>
      <c r="I237">
        <f t="shared" si="6"/>
        <v>96713.075685417018</v>
      </c>
      <c r="J237">
        <f t="shared" si="7"/>
        <v>194.34975606868102</v>
      </c>
    </row>
    <row r="238" spans="1:10">
      <c r="A238" s="1">
        <v>45803</v>
      </c>
      <c r="B238">
        <f>(3/(1+('CurrentPor-All Factor Movements'!C238)/100)+103/POWER(1+('CurrentPor-All Factor Movements'!D238)/100,2))*100</f>
        <v>9708.3992568838676</v>
      </c>
      <c r="C238">
        <f>(3/(1+('CurrentPor-All Factor Movements'!C238+'CurrentPor-All Factor Movements'!G238)/100)+103/POWER(1+('CurrentPor-All Factor Movements'!D238+'CurrentPor-All Factor Movements'!G238)/100,2))*100</f>
        <v>9653.035314932129</v>
      </c>
      <c r="D238">
        <f>(3/(1+('CurrentPor-All Factor Movements'!C238+'CurrentPor-All Factor Movements'!H238)/100)+103/POWER(1+('CurrentPor-All Factor Movements'!D238+'CurrentPor-All Factor Movements'!H238)/100,2))*100</f>
        <v>9579.0420135387958</v>
      </c>
      <c r="E238">
        <f>(3/(1+('CurrentPor-All Factor Movements'!C238+'CurrentPor-All Factor Movements'!I238)/100)+103/POWER(1+('CurrentPor-All Factor Movements'!D238+'CurrentPor-All Factor Movements'!I238)/100,2))*100</f>
        <v>9581.143785385133</v>
      </c>
      <c r="F238">
        <f>Portfolio!B$5*'CurrentPor-All Factor Movements'!E238</f>
        <v>52354.568626803084</v>
      </c>
      <c r="G238">
        <f>Portfolio!B$6*'CurrentPor-All Factor Movements'!F238</f>
        <v>3763.9356372696338</v>
      </c>
      <c r="H238">
        <f>Portfolio!B$7*'CurrentPor-All Factor Movements'!J238</f>
        <v>2064.4052594902346</v>
      </c>
      <c r="I238">
        <f t="shared" si="6"/>
        <v>96704.529894302876</v>
      </c>
      <c r="J238">
        <f t="shared" si="7"/>
        <v>376.83664318230876</v>
      </c>
    </row>
    <row r="239" spans="1:10">
      <c r="A239" s="1">
        <v>45804</v>
      </c>
      <c r="B239">
        <f>(3/(1+('CurrentPor-All Factor Movements'!C239)/100)+103/POWER(1+('CurrentPor-All Factor Movements'!D239)/100,2))*100</f>
        <v>9707.5348203029243</v>
      </c>
      <c r="C239">
        <f>(3/(1+('CurrentPor-All Factor Movements'!C239+'CurrentPor-All Factor Movements'!G239)/100)+103/POWER(1+('CurrentPor-All Factor Movements'!D239+'CurrentPor-All Factor Movements'!G239)/100,2))*100</f>
        <v>9653.390593947759</v>
      </c>
      <c r="D239">
        <f>(3/(1+('CurrentPor-All Factor Movements'!C239+'CurrentPor-All Factor Movements'!H239)/100)+103/POWER(1+('CurrentPor-All Factor Movements'!D239+'CurrentPor-All Factor Movements'!H239)/100,2))*100</f>
        <v>9593.2155081029741</v>
      </c>
      <c r="E239">
        <f>(3/(1+('CurrentPor-All Factor Movements'!C239+'CurrentPor-All Factor Movements'!I239)/100)+103/POWER(1+('CurrentPor-All Factor Movements'!D239+'CurrentPor-All Factor Movements'!I239)/100,2))*100</f>
        <v>9578.423274314091</v>
      </c>
      <c r="F239">
        <f>Portfolio!B$5*'CurrentPor-All Factor Movements'!E239</f>
        <v>52124.286732312758</v>
      </c>
      <c r="G239">
        <f>Portfolio!B$6*'CurrentPor-All Factor Movements'!F239</f>
        <v>4093.5717192134953</v>
      </c>
      <c r="H239">
        <f>Portfolio!B$7*'CurrentPor-All Factor Movements'!J239</f>
        <v>2064.4014808083289</v>
      </c>
      <c r="I239">
        <f t="shared" si="6"/>
        <v>96814.824129002329</v>
      </c>
      <c r="J239">
        <f t="shared" si="7"/>
        <v>739.03900348248135</v>
      </c>
    </row>
    <row r="240" spans="1:10">
      <c r="A240" s="1">
        <v>45805</v>
      </c>
      <c r="B240">
        <f>(3/(1+('CurrentPor-All Factor Movements'!C240)/100)+103/POWER(1+('CurrentPor-All Factor Movements'!D240)/100,2))*100</f>
        <v>9707.269890655949</v>
      </c>
      <c r="C240">
        <f>(3/(1+('CurrentPor-All Factor Movements'!C240+'CurrentPor-All Factor Movements'!G240)/100)+103/POWER(1+('CurrentPor-All Factor Movements'!D240+'CurrentPor-All Factor Movements'!G240)/100,2))*100</f>
        <v>9652.5822950779511</v>
      </c>
      <c r="D240">
        <f>(3/(1+('CurrentPor-All Factor Movements'!C240+'CurrentPor-All Factor Movements'!H240)/100)+103/POWER(1+('CurrentPor-All Factor Movements'!D240+'CurrentPor-All Factor Movements'!H240)/100,2))*100</f>
        <v>9594.9817827680854</v>
      </c>
      <c r="E240">
        <f>(3/(1+('CurrentPor-All Factor Movements'!C240+'CurrentPor-All Factor Movements'!I240)/100)+103/POWER(1+('CurrentPor-All Factor Movements'!D240+'CurrentPor-All Factor Movements'!I240)/100,2))*100</f>
        <v>9579.7726496126688</v>
      </c>
      <c r="F240">
        <f>Portfolio!B$5*'CurrentPor-All Factor Movements'!E240</f>
        <v>51851.675979731204</v>
      </c>
      <c r="G240">
        <f>Portfolio!B$6*'CurrentPor-All Factor Movements'!F240</f>
        <v>4156.2210976391489</v>
      </c>
      <c r="H240">
        <f>Portfolio!B$7*'CurrentPor-All Factor Movements'!J240</f>
        <v>2064.3993572238028</v>
      </c>
      <c r="I240">
        <f t="shared" si="6"/>
        <v>96606.903052708803</v>
      </c>
      <c r="J240">
        <f t="shared" si="7"/>
        <v>-382.27634309028508</v>
      </c>
    </row>
    <row r="241" spans="1:10">
      <c r="A241" s="1">
        <v>45806</v>
      </c>
      <c r="B241">
        <f>(3/(1+('CurrentPor-All Factor Movements'!C241)/100)+103/POWER(1+('CurrentPor-All Factor Movements'!D241)/100,2))*100</f>
        <v>9707.131904420894</v>
      </c>
      <c r="C241">
        <f>(3/(1+('CurrentPor-All Factor Movements'!C241+'CurrentPor-All Factor Movements'!G241)/100)+103/POWER(1+('CurrentPor-All Factor Movements'!D241+'CurrentPor-All Factor Movements'!G241)/100,2))*100</f>
        <v>9628.8978834647787</v>
      </c>
      <c r="D241">
        <f>(3/(1+('CurrentPor-All Factor Movements'!C241+'CurrentPor-All Factor Movements'!H241)/100)+103/POWER(1+('CurrentPor-All Factor Movements'!D241+'CurrentPor-All Factor Movements'!H241)/100,2))*100</f>
        <v>9607.0782176652592</v>
      </c>
      <c r="E241">
        <f>(3/(1+('CurrentPor-All Factor Movements'!C241+'CurrentPor-All Factor Movements'!I241)/100)+103/POWER(1+('CurrentPor-All Factor Movements'!D241+'CurrentPor-All Factor Movements'!I241)/100,2))*100</f>
        <v>9578.1578092963136</v>
      </c>
      <c r="F241">
        <f>Portfolio!B$5*'CurrentPor-All Factor Movements'!E241</f>
        <v>52116.336622125003</v>
      </c>
      <c r="G241">
        <f>Portfolio!B$6*'CurrentPor-All Factor Movements'!F241</f>
        <v>3728.82321333748</v>
      </c>
      <c r="H241">
        <f>Portfolio!B$7*'CurrentPor-All Factor Movements'!J241</f>
        <v>2064.3976283872944</v>
      </c>
      <c r="I241">
        <f t="shared" si="6"/>
        <v>96430.823278697018</v>
      </c>
      <c r="J241">
        <f t="shared" si="7"/>
        <v>464.09104848391144</v>
      </c>
    </row>
    <row r="242" spans="1:10">
      <c r="A242" s="1">
        <v>45807</v>
      </c>
      <c r="B242">
        <f>(3/(1+('CurrentPor-All Factor Movements'!C242)/100)+103/POWER(1+('CurrentPor-All Factor Movements'!D242)/100,2))*100</f>
        <v>9708.662992369882</v>
      </c>
      <c r="C242">
        <f>(3/(1+('CurrentPor-All Factor Movements'!C242+'CurrentPor-All Factor Movements'!G242)/100)+103/POWER(1+('CurrentPor-All Factor Movements'!D242+'CurrentPor-All Factor Movements'!G242)/100,2))*100</f>
        <v>9648.4977167590823</v>
      </c>
      <c r="D242">
        <f>(3/(1+('CurrentPor-All Factor Movements'!C242+'CurrentPor-All Factor Movements'!H242)/100)+103/POWER(1+('CurrentPor-All Factor Movements'!D242+'CurrentPor-All Factor Movements'!H242)/100,2))*100</f>
        <v>9598.2423534733716</v>
      </c>
      <c r="E242">
        <f>(3/(1+('CurrentPor-All Factor Movements'!C242+'CurrentPor-All Factor Movements'!I242)/100)+103/POWER(1+('CurrentPor-All Factor Movements'!D242+'CurrentPor-All Factor Movements'!I242)/100,2))*100</f>
        <v>9583.2296442412426</v>
      </c>
      <c r="F242">
        <f>Portfolio!B$5*'CurrentPor-All Factor Movements'!E242</f>
        <v>51970.471947766331</v>
      </c>
      <c r="G242">
        <f>Portfolio!B$6*'CurrentPor-All Factor Movements'!F242</f>
        <v>3946.8152743717342</v>
      </c>
      <c r="H242">
        <f>Portfolio!B$7*'CurrentPor-All Factor Movements'!J242</f>
        <v>2064.3921817136552</v>
      </c>
      <c r="I242">
        <f t="shared" si="6"/>
        <v>96520.312110695304</v>
      </c>
      <c r="J242">
        <f t="shared" si="7"/>
        <v>-523.13657222538313</v>
      </c>
    </row>
    <row r="243" spans="1:10">
      <c r="A243" s="1">
        <v>45810</v>
      </c>
      <c r="B243">
        <f>(3/(1+('CurrentPor-All Factor Movements'!C243)/100)+103/POWER(1+('CurrentPor-All Factor Movements'!D243)/100,2))*100</f>
        <v>9706.6747632320621</v>
      </c>
      <c r="C243">
        <f>(3/(1+('CurrentPor-All Factor Movements'!C243+'CurrentPor-All Factor Movements'!G243)/100)+103/POWER(1+('CurrentPor-All Factor Movements'!D243+'CurrentPor-All Factor Movements'!G243)/100,2))*100</f>
        <v>9645.5409337990423</v>
      </c>
      <c r="D243">
        <f>(3/(1+('CurrentPor-All Factor Movements'!C243+'CurrentPor-All Factor Movements'!H243)/100)+103/POWER(1+('CurrentPor-All Factor Movements'!D243+'CurrentPor-All Factor Movements'!H243)/100,2))*100</f>
        <v>9571.8646092860126</v>
      </c>
      <c r="E243">
        <f>(3/(1+('CurrentPor-All Factor Movements'!C243+'CurrentPor-All Factor Movements'!I243)/100)+103/POWER(1+('CurrentPor-All Factor Movements'!D243+'CurrentPor-All Factor Movements'!I243)/100,2))*100</f>
        <v>9580.4307975565061</v>
      </c>
      <c r="F243">
        <f>Portfolio!B$5*'CurrentPor-All Factor Movements'!E243</f>
        <v>52141.621541785687</v>
      </c>
      <c r="G243">
        <f>Portfolio!B$6*'CurrentPor-All Factor Movements'!F243</f>
        <v>3799.5963111145265</v>
      </c>
      <c r="H243">
        <f>Portfolio!B$7*'CurrentPor-All Factor Movements'!J243</f>
        <v>2064.4038857321552</v>
      </c>
      <c r="I243">
        <f t="shared" si="6"/>
        <v>96510.132842505991</v>
      </c>
      <c r="J243">
        <f t="shared" si="7"/>
        <v>-391.62755511245632</v>
      </c>
    </row>
    <row r="244" spans="1:10">
      <c r="A244" s="1">
        <v>45811</v>
      </c>
      <c r="B244">
        <f>(3/(1+('CurrentPor-All Factor Movements'!C244)/100)+103/POWER(1+('CurrentPor-All Factor Movements'!D244)/100,2))*100</f>
        <v>9708.4265547282121</v>
      </c>
      <c r="C244">
        <f>(3/(1+('CurrentPor-All Factor Movements'!C244+'CurrentPor-All Factor Movements'!G244)/100)+103/POWER(1+('CurrentPor-All Factor Movements'!D244+'CurrentPor-All Factor Movements'!G244)/100,2))*100</f>
        <v>9638.6070177723905</v>
      </c>
      <c r="D244">
        <f>(3/(1+('CurrentPor-All Factor Movements'!C244+'CurrentPor-All Factor Movements'!H244)/100)+103/POWER(1+('CurrentPor-All Factor Movements'!D244+'CurrentPor-All Factor Movements'!H244)/100,2))*100</f>
        <v>9593.9070369241235</v>
      </c>
      <c r="E244">
        <f>(3/(1+('CurrentPor-All Factor Movements'!C244+'CurrentPor-All Factor Movements'!I244)/100)+103/POWER(1+('CurrentPor-All Factor Movements'!D244+'CurrentPor-All Factor Movements'!I244)/100,2))*100</f>
        <v>9582.8728522057663</v>
      </c>
      <c r="F244">
        <f>Portfolio!B$5*'CurrentPor-All Factor Movements'!E244</f>
        <v>51870.849203065176</v>
      </c>
      <c r="G244">
        <f>Portfolio!B$6*'CurrentPor-All Factor Movements'!F244</f>
        <v>4250.293364558649</v>
      </c>
      <c r="H244">
        <f>Portfolio!B$7*'CurrentPor-All Factor Movements'!J244</f>
        <v>2064.4136984928641</v>
      </c>
      <c r="I244">
        <f t="shared" si="6"/>
        <v>96709.36972774718</v>
      </c>
      <c r="J244">
        <f t="shared" si="7"/>
        <v>-233.08887173319818</v>
      </c>
    </row>
    <row r="245" spans="1:10">
      <c r="A245" s="1">
        <v>45812</v>
      </c>
      <c r="B245">
        <f>(3/(1+('CurrentPor-All Factor Movements'!C245)/100)+103/POWER(1+('CurrentPor-All Factor Movements'!D245)/100,2))*100</f>
        <v>9706.8681211728581</v>
      </c>
      <c r="C245">
        <f>(3/(1+('CurrentPor-All Factor Movements'!C245+'CurrentPor-All Factor Movements'!G245)/100)+103/POWER(1+('CurrentPor-All Factor Movements'!D245+'CurrentPor-All Factor Movements'!G245)/100,2))*100</f>
        <v>9644.9718197129278</v>
      </c>
      <c r="D245">
        <f>(3/(1+('CurrentPor-All Factor Movements'!C245+'CurrentPor-All Factor Movements'!H245)/100)+103/POWER(1+('CurrentPor-All Factor Movements'!D245+'CurrentPor-All Factor Movements'!H245)/100,2))*100</f>
        <v>9597.1886118820166</v>
      </c>
      <c r="E245">
        <f>(3/(1+('CurrentPor-All Factor Movements'!C245+'CurrentPor-All Factor Movements'!I245)/100)+103/POWER(1+('CurrentPor-All Factor Movements'!D245+'CurrentPor-All Factor Movements'!I245)/100,2))*100</f>
        <v>9578.0284702089411</v>
      </c>
      <c r="F245">
        <f>Portfolio!B$5*'CurrentPor-All Factor Movements'!E245</f>
        <v>52368.784639607453</v>
      </c>
      <c r="G245">
        <f>Portfolio!B$6*'CurrentPor-All Factor Movements'!F245</f>
        <v>4096.0349842680898</v>
      </c>
      <c r="H245">
        <f>Portfolio!B$7*'CurrentPor-All Factor Movements'!J245</f>
        <v>2064.3970050226458</v>
      </c>
      <c r="I245">
        <f t="shared" si="6"/>
        <v>97056.27365187493</v>
      </c>
      <c r="J245">
        <f t="shared" si="7"/>
        <v>325.56437984394142</v>
      </c>
    </row>
    <row r="246" spans="1:10">
      <c r="A246" s="1">
        <v>45813</v>
      </c>
      <c r="B246">
        <f>(3/(1+('CurrentPor-All Factor Movements'!C246)/100)+103/POWER(1+('CurrentPor-All Factor Movements'!D246)/100,2))*100</f>
        <v>9708.5659151827003</v>
      </c>
      <c r="C246">
        <f>(3/(1+('CurrentPor-All Factor Movements'!C246+'CurrentPor-All Factor Movements'!G246)/100)+103/POWER(1+('CurrentPor-All Factor Movements'!D246+'CurrentPor-All Factor Movements'!G246)/100,2))*100</f>
        <v>9645.3535670502242</v>
      </c>
      <c r="D246">
        <f>(3/(1+('CurrentPor-All Factor Movements'!C246+'CurrentPor-All Factor Movements'!H246)/100)+103/POWER(1+('CurrentPor-All Factor Movements'!D246+'CurrentPor-All Factor Movements'!H246)/100,2))*100</f>
        <v>9594.2723090705567</v>
      </c>
      <c r="E246">
        <f>(3/(1+('CurrentPor-All Factor Movements'!C246+'CurrentPor-All Factor Movements'!I246)/100)+103/POWER(1+('CurrentPor-All Factor Movements'!D246+'CurrentPor-All Factor Movements'!I246)/100,2))*100</f>
        <v>9581.5115817989081</v>
      </c>
      <c r="F246">
        <f>Portfolio!B$5*'CurrentPor-All Factor Movements'!E246</f>
        <v>52114.550908399942</v>
      </c>
      <c r="G246">
        <f>Portfolio!B$6*'CurrentPor-All Factor Movements'!F246</f>
        <v>4019.0562709291016</v>
      </c>
      <c r="H246">
        <f>Portfolio!B$7*'CurrentPor-All Factor Movements'!J246</f>
        <v>2064.4030061480421</v>
      </c>
      <c r="I246">
        <f t="shared" si="6"/>
        <v>96727.713558579475</v>
      </c>
      <c r="J246">
        <f t="shared" si="7"/>
        <v>82.260640689462889</v>
      </c>
    </row>
    <row r="247" spans="1:10">
      <c r="A247" s="1">
        <v>45814</v>
      </c>
      <c r="B247">
        <f>(3/(1+('CurrentPor-All Factor Movements'!C247)/100)+103/POWER(1+('CurrentPor-All Factor Movements'!D247)/100,2))*100</f>
        <v>9707.5783473796691</v>
      </c>
      <c r="C247">
        <f>(3/(1+('CurrentPor-All Factor Movements'!C247+'CurrentPor-All Factor Movements'!G247)/100)+103/POWER(1+('CurrentPor-All Factor Movements'!D247+'CurrentPor-All Factor Movements'!G247)/100,2))*100</f>
        <v>9645.5694097178002</v>
      </c>
      <c r="D247">
        <f>(3/(1+('CurrentPor-All Factor Movements'!C247+'CurrentPor-All Factor Movements'!H247)/100)+103/POWER(1+('CurrentPor-All Factor Movements'!D247+'CurrentPor-All Factor Movements'!H247)/100,2))*100</f>
        <v>9610.7361358607795</v>
      </c>
      <c r="E247">
        <f>(3/(1+('CurrentPor-All Factor Movements'!C247+'CurrentPor-All Factor Movements'!I247)/100)+103/POWER(1+('CurrentPor-All Factor Movements'!D247+'CurrentPor-All Factor Movements'!I247)/100,2))*100</f>
        <v>9580.5630902935227</v>
      </c>
      <c r="F247">
        <f>Portfolio!B$5*'CurrentPor-All Factor Movements'!E247</f>
        <v>51876.380940184026</v>
      </c>
      <c r="G247">
        <f>Portfolio!B$6*'CurrentPor-All Factor Movements'!F247</f>
        <v>3955.1106693914066</v>
      </c>
      <c r="H247">
        <f>Portfolio!B$7*'CurrentPor-All Factor Movements'!J247</f>
        <v>2064.401812306849</v>
      </c>
      <c r="I247">
        <f t="shared" si="6"/>
        <v>96440.340405134062</v>
      </c>
      <c r="J247">
        <f t="shared" si="7"/>
        <v>-272.7352802829555</v>
      </c>
    </row>
    <row r="248" spans="1:10">
      <c r="A248" s="1">
        <v>45817</v>
      </c>
      <c r="B248">
        <f>(3/(1+('CurrentPor-All Factor Movements'!C248)/100)+103/POWER(1+('CurrentPor-All Factor Movements'!D248)/100,2))*100</f>
        <v>9707.0181301438442</v>
      </c>
      <c r="C248">
        <f>(3/(1+('CurrentPor-All Factor Movements'!C248+'CurrentPor-All Factor Movements'!G248)/100)+103/POWER(1+('CurrentPor-All Factor Movements'!D248+'CurrentPor-All Factor Movements'!G248)/100,2))*100</f>
        <v>9648.7147306308634</v>
      </c>
      <c r="D248">
        <f>(3/(1+('CurrentPor-All Factor Movements'!C248+'CurrentPor-All Factor Movements'!H248)/100)+103/POWER(1+('CurrentPor-All Factor Movements'!D248+'CurrentPor-All Factor Movements'!H248)/100,2))*100</f>
        <v>9597.6675397891959</v>
      </c>
      <c r="E248">
        <f>(3/(1+('CurrentPor-All Factor Movements'!C248+'CurrentPor-All Factor Movements'!I248)/100)+103/POWER(1+('CurrentPor-All Factor Movements'!D248+'CurrentPor-All Factor Movements'!I248)/100,2))*100</f>
        <v>9578.2649413412946</v>
      </c>
      <c r="F248">
        <f>Portfolio!B$5*'CurrentPor-All Factor Movements'!E248</f>
        <v>51897.307200881951</v>
      </c>
      <c r="G248">
        <f>Portfolio!B$6*'CurrentPor-All Factor Movements'!F248</f>
        <v>3756.3342582756513</v>
      </c>
      <c r="H248">
        <f>Portfolio!B$7*'CurrentPor-All Factor Movements'!J248</f>
        <v>2064.4048590287989</v>
      </c>
      <c r="I248">
        <f t="shared" si="6"/>
        <v>96249.711660091591</v>
      </c>
      <c r="J248">
        <f t="shared" si="7"/>
        <v>-454.81823421128502</v>
      </c>
    </row>
    <row r="249" spans="1:10">
      <c r="A249" s="1">
        <v>45818</v>
      </c>
      <c r="B249">
        <f>(3/(1+('CurrentPor-All Factor Movements'!C249)/100)+103/POWER(1+('CurrentPor-All Factor Movements'!D249)/100,2))*100</f>
        <v>9706.7095265910666</v>
      </c>
      <c r="C249">
        <f>(3/(1+('CurrentPor-All Factor Movements'!C249+'CurrentPor-All Factor Movements'!G249)/100)+103/POWER(1+('CurrentPor-All Factor Movements'!D249+'CurrentPor-All Factor Movements'!G249)/100,2))*100</f>
        <v>9654.2066676652703</v>
      </c>
      <c r="D249">
        <f>(3/(1+('CurrentPor-All Factor Movements'!C249+'CurrentPor-All Factor Movements'!H249)/100)+103/POWER(1+('CurrentPor-All Factor Movements'!D249+'CurrentPor-All Factor Movements'!H249)/100,2))*100</f>
        <v>9593.3789754877271</v>
      </c>
      <c r="E249">
        <f>(3/(1+('CurrentPor-All Factor Movements'!C249+'CurrentPor-All Factor Movements'!I249)/100)+103/POWER(1+('CurrentPor-All Factor Movements'!D249+'CurrentPor-All Factor Movements'!I249)/100,2))*100</f>
        <v>9579.5428596944566</v>
      </c>
      <c r="F249">
        <f>Portfolio!B$5*'CurrentPor-All Factor Movements'!E249</f>
        <v>52023.322780911345</v>
      </c>
      <c r="G249">
        <f>Portfolio!B$6*'CurrentPor-All Factor Movements'!F249</f>
        <v>3958.4806114897956</v>
      </c>
      <c r="H249">
        <f>Portfolio!B$7*'CurrentPor-All Factor Movements'!J249</f>
        <v>2064.3954774843605</v>
      </c>
      <c r="I249">
        <f t="shared" si="6"/>
        <v>96580.036899324012</v>
      </c>
      <c r="J249">
        <f t="shared" si="7"/>
        <v>-234.78722967831709</v>
      </c>
    </row>
    <row r="250" spans="1:10">
      <c r="A250" s="1">
        <v>45819</v>
      </c>
      <c r="B250">
        <f>(3/(1+('CurrentPor-All Factor Movements'!C250)/100)+103/POWER(1+('CurrentPor-All Factor Movements'!D250)/100,2))*100</f>
        <v>9706.3248378719436</v>
      </c>
      <c r="C250">
        <f>(3/(1+('CurrentPor-All Factor Movements'!C250+'CurrentPor-All Factor Movements'!G250)/100)+103/POWER(1+('CurrentPor-All Factor Movements'!D250+'CurrentPor-All Factor Movements'!G250)/100,2))*100</f>
        <v>9649.0907105164406</v>
      </c>
      <c r="D250">
        <f>(3/(1+('CurrentPor-All Factor Movements'!C250+'CurrentPor-All Factor Movements'!H250)/100)+103/POWER(1+('CurrentPor-All Factor Movements'!D250+'CurrentPor-All Factor Movements'!H250)/100,2))*100</f>
        <v>9599.4662442066383</v>
      </c>
      <c r="E250">
        <f>(3/(1+('CurrentPor-All Factor Movements'!C250+'CurrentPor-All Factor Movements'!I250)/100)+103/POWER(1+('CurrentPor-All Factor Movements'!D250+'CurrentPor-All Factor Movements'!I250)/100,2))*100</f>
        <v>9581.1475961326814</v>
      </c>
      <c r="F250">
        <f>Portfolio!B$5*'CurrentPor-All Factor Movements'!E250</f>
        <v>51717.469611028959</v>
      </c>
      <c r="G250">
        <f>Portfolio!B$6*'CurrentPor-All Factor Movements'!F250</f>
        <v>4073.2808208243059</v>
      </c>
      <c r="H250">
        <f>Portfolio!B$7*'CurrentPor-All Factor Movements'!J250</f>
        <v>2064.3944658449</v>
      </c>
      <c r="I250">
        <f t="shared" si="6"/>
        <v>96391.17428642587</v>
      </c>
      <c r="J250">
        <f t="shared" si="7"/>
        <v>-215.72876628293307</v>
      </c>
    </row>
    <row r="251" spans="1:10">
      <c r="A251" s="1">
        <v>45820</v>
      </c>
      <c r="B251">
        <f>(3/(1+('CurrentPor-All Factor Movements'!C251)/100)+103/POWER(1+('CurrentPor-All Factor Movements'!D251)/100,2))*100</f>
        <v>9708.0042099040475</v>
      </c>
      <c r="C251">
        <f>(3/(1+('CurrentPor-All Factor Movements'!C251+'CurrentPor-All Factor Movements'!G251)/100)+103/POWER(1+('CurrentPor-All Factor Movements'!D251+'CurrentPor-All Factor Movements'!G251)/100,2))*100</f>
        <v>9629.9399279342178</v>
      </c>
      <c r="D251">
        <f>(3/(1+('CurrentPor-All Factor Movements'!C251+'CurrentPor-All Factor Movements'!H251)/100)+103/POWER(1+('CurrentPor-All Factor Movements'!D251+'CurrentPor-All Factor Movements'!H251)/100,2))*100</f>
        <v>9595.8485948193193</v>
      </c>
      <c r="E251">
        <f>(3/(1+('CurrentPor-All Factor Movements'!C251+'CurrentPor-All Factor Movements'!I251)/100)+103/POWER(1+('CurrentPor-All Factor Movements'!D251+'CurrentPor-All Factor Movements'!I251)/100,2))*100</f>
        <v>9579.2877563867169</v>
      </c>
      <c r="F251">
        <f>Portfolio!B$5*'CurrentPor-All Factor Movements'!E251</f>
        <v>51965.053876971753</v>
      </c>
      <c r="G251">
        <f>Portfolio!B$6*'CurrentPor-All Factor Movements'!F251</f>
        <v>3802.7323137726426</v>
      </c>
      <c r="H251">
        <f>Portfolio!B$7*'CurrentPor-All Factor Movements'!J251</f>
        <v>2064.3989529929195</v>
      </c>
      <c r="I251">
        <f t="shared" si="6"/>
        <v>96345.265632781622</v>
      </c>
      <c r="J251">
        <f t="shared" si="7"/>
        <v>-85.557645915396279</v>
      </c>
    </row>
    <row r="252" spans="1:10">
      <c r="A252" s="1">
        <v>45821</v>
      </c>
      <c r="B252">
        <f>(3/(1+('CurrentPor-All Factor Movements'!C252)/100)+103/POWER(1+('CurrentPor-All Factor Movements'!D252)/100,2))*100</f>
        <v>9707.5388269935156</v>
      </c>
      <c r="C252">
        <f>(3/(1+('CurrentPor-All Factor Movements'!C252+'CurrentPor-All Factor Movements'!G252)/100)+103/POWER(1+('CurrentPor-All Factor Movements'!D252+'CurrentPor-All Factor Movements'!G252)/100,2))*100</f>
        <v>9639.313457539678</v>
      </c>
      <c r="D252">
        <f>(3/(1+('CurrentPor-All Factor Movements'!C252+'CurrentPor-All Factor Movements'!H252)/100)+103/POWER(1+('CurrentPor-All Factor Movements'!D252+'CurrentPor-All Factor Movements'!H252)/100,2))*100</f>
        <v>9592.9075533437317</v>
      </c>
      <c r="E252">
        <f>(3/(1+('CurrentPor-All Factor Movements'!C252+'CurrentPor-All Factor Movements'!I252)/100)+103/POWER(1+('CurrentPor-All Factor Movements'!D252+'CurrentPor-All Factor Movements'!I252)/100,2))*100</f>
        <v>9580.272243902984</v>
      </c>
      <c r="F252">
        <f>Portfolio!B$5*'CurrentPor-All Factor Movements'!E252</f>
        <v>51899.841319387982</v>
      </c>
      <c r="G252">
        <f>Portfolio!B$6*'CurrentPor-All Factor Movements'!F252</f>
        <v>4116.8082186377005</v>
      </c>
      <c r="H252">
        <f>Portfolio!B$7*'CurrentPor-All Factor Movements'!J252</f>
        <v>2064.4024291325927</v>
      </c>
      <c r="I252">
        <f t="shared" ref="I252:I263" si="8">SUM(B252:H252)</f>
        <v>96601.084048938181</v>
      </c>
      <c r="J252">
        <f t="shared" ref="J252:J263" si="9">I252-I242</f>
        <v>80.771938242876786</v>
      </c>
    </row>
    <row r="253" spans="1:10">
      <c r="A253" s="1">
        <v>45824</v>
      </c>
      <c r="B253">
        <f>(3/(1+('CurrentPor-All Factor Movements'!C253)/100)+103/POWER(1+('CurrentPor-All Factor Movements'!D253)/100,2))*100</f>
        <v>9707.7793320152268</v>
      </c>
      <c r="C253">
        <f>(3/(1+('CurrentPor-All Factor Movements'!C253+'CurrentPor-All Factor Movements'!G253)/100)+103/POWER(1+('CurrentPor-All Factor Movements'!D253+'CurrentPor-All Factor Movements'!G253)/100,2))*100</f>
        <v>9643.820350037895</v>
      </c>
      <c r="D253">
        <f>(3/(1+('CurrentPor-All Factor Movements'!C253+'CurrentPor-All Factor Movements'!H253)/100)+103/POWER(1+('CurrentPor-All Factor Movements'!D253+'CurrentPor-All Factor Movements'!H253)/100,2))*100</f>
        <v>9589.3674938422519</v>
      </c>
      <c r="E253">
        <f>(3/(1+('CurrentPor-All Factor Movements'!C253+'CurrentPor-All Factor Movements'!I253)/100)+103/POWER(1+('CurrentPor-All Factor Movements'!D253+'CurrentPor-All Factor Movements'!I253)/100,2))*100</f>
        <v>9580.3659614498392</v>
      </c>
      <c r="F253">
        <f>Portfolio!B$5*'CurrentPor-All Factor Movements'!E253</f>
        <v>51763.903403193115</v>
      </c>
      <c r="G253">
        <f>Portfolio!B$6*'CurrentPor-All Factor Movements'!F253</f>
        <v>3840.3634612233409</v>
      </c>
      <c r="H253">
        <f>Portfolio!B$7*'CurrentPor-All Factor Movements'!J253</f>
        <v>2064.3971991186445</v>
      </c>
      <c r="I253">
        <f t="shared" si="8"/>
        <v>96189.997200880302</v>
      </c>
      <c r="J253">
        <f t="shared" si="9"/>
        <v>-320.13564162568946</v>
      </c>
    </row>
    <row r="254" spans="1:10">
      <c r="A254" s="1">
        <v>45825</v>
      </c>
      <c r="B254">
        <f>(3/(1+('CurrentPor-All Factor Movements'!C254)/100)+103/POWER(1+('CurrentPor-All Factor Movements'!D254)/100,2))*100</f>
        <v>9709.1784880828363</v>
      </c>
      <c r="C254">
        <f>(3/(1+('CurrentPor-All Factor Movements'!C254+'CurrentPor-All Factor Movements'!G254)/100)+103/POWER(1+('CurrentPor-All Factor Movements'!D254+'CurrentPor-All Factor Movements'!G254)/100,2))*100</f>
        <v>9649.8841520345286</v>
      </c>
      <c r="D254">
        <f>(3/(1+('CurrentPor-All Factor Movements'!C254+'CurrentPor-All Factor Movements'!H254)/100)+103/POWER(1+('CurrentPor-All Factor Movements'!D254+'CurrentPor-All Factor Movements'!H254)/100,2))*100</f>
        <v>9601.5378972403269</v>
      </c>
      <c r="E254">
        <f>(3/(1+('CurrentPor-All Factor Movements'!C254+'CurrentPor-All Factor Movements'!I254)/100)+103/POWER(1+('CurrentPor-All Factor Movements'!D254+'CurrentPor-All Factor Movements'!I254)/100,2))*100</f>
        <v>9584.2800491884063</v>
      </c>
      <c r="F254">
        <f>Portfolio!B$5*'CurrentPor-All Factor Movements'!E254</f>
        <v>52126.999907373669</v>
      </c>
      <c r="G254">
        <f>Portfolio!B$6*'CurrentPor-All Factor Movements'!F254</f>
        <v>4105.0700994210056</v>
      </c>
      <c r="H254">
        <f>Portfolio!B$7*'CurrentPor-All Factor Movements'!J254</f>
        <v>2064.39918005345</v>
      </c>
      <c r="I254">
        <f t="shared" si="8"/>
        <v>96841.349773394235</v>
      </c>
      <c r="J254">
        <f t="shared" si="9"/>
        <v>131.98004564705479</v>
      </c>
    </row>
    <row r="255" spans="1:10">
      <c r="A255" s="1">
        <v>45826</v>
      </c>
      <c r="B255">
        <f>(3/(1+('CurrentPor-All Factor Movements'!C255)/100)+103/POWER(1+('CurrentPor-All Factor Movements'!D255)/100,2))*100</f>
        <v>9707.8652712248713</v>
      </c>
      <c r="C255">
        <f>(3/(1+('CurrentPor-All Factor Movements'!C255+'CurrentPor-All Factor Movements'!G255)/100)+103/POWER(1+('CurrentPor-All Factor Movements'!D255+'CurrentPor-All Factor Movements'!G255)/100,2))*100</f>
        <v>9653.9189757102631</v>
      </c>
      <c r="D255">
        <f>(3/(1+('CurrentPor-All Factor Movements'!C255+'CurrentPor-All Factor Movements'!H255)/100)+103/POWER(1+('CurrentPor-All Factor Movements'!D255+'CurrentPor-All Factor Movements'!H255)/100,2))*100</f>
        <v>9616.2897066735532</v>
      </c>
      <c r="E255">
        <f>(3/(1+('CurrentPor-All Factor Movements'!C255+'CurrentPor-All Factor Movements'!I255)/100)+103/POWER(1+('CurrentPor-All Factor Movements'!D255+'CurrentPor-All Factor Movements'!I255)/100,2))*100</f>
        <v>9579.2845033960657</v>
      </c>
      <c r="F255">
        <f>Portfolio!B$5*'CurrentPor-All Factor Movements'!E255</f>
        <v>51754.250721749529</v>
      </c>
      <c r="G255">
        <f>Portfolio!B$6*'CurrentPor-All Factor Movements'!F255</f>
        <v>4347.1016281971451</v>
      </c>
      <c r="H255">
        <f>Portfolio!B$7*'CurrentPor-All Factor Movements'!J255</f>
        <v>2064.4001337328659</v>
      </c>
      <c r="I255">
        <f t="shared" si="8"/>
        <v>96723.110940684288</v>
      </c>
      <c r="J255">
        <f t="shared" si="9"/>
        <v>-333.16271119064186</v>
      </c>
    </row>
    <row r="256" spans="1:10">
      <c r="A256" s="1">
        <v>45827</v>
      </c>
      <c r="B256">
        <f>(3/(1+('CurrentPor-All Factor Movements'!C256)/100)+103/POWER(1+('CurrentPor-All Factor Movements'!D256)/100,2))*100</f>
        <v>9708.6251692650349</v>
      </c>
      <c r="C256">
        <f>(3/(1+('CurrentPor-All Factor Movements'!C256+'CurrentPor-All Factor Movements'!G256)/100)+103/POWER(1+('CurrentPor-All Factor Movements'!D256+'CurrentPor-All Factor Movements'!G256)/100,2))*100</f>
        <v>9644.937496683764</v>
      </c>
      <c r="D256">
        <f>(3/(1+('CurrentPor-All Factor Movements'!C256+'CurrentPor-All Factor Movements'!H256)/100)+103/POWER(1+('CurrentPor-All Factor Movements'!D256+'CurrentPor-All Factor Movements'!H256)/100,2))*100</f>
        <v>9604.2681214554796</v>
      </c>
      <c r="E256">
        <f>(3/(1+('CurrentPor-All Factor Movements'!C256+'CurrentPor-All Factor Movements'!I256)/100)+103/POWER(1+('CurrentPor-All Factor Movements'!D256+'CurrentPor-All Factor Movements'!I256)/100,2))*100</f>
        <v>9581.7376294893129</v>
      </c>
      <c r="F256">
        <f>Portfolio!B$5*'CurrentPor-All Factor Movements'!E256</f>
        <v>52215.271714227005</v>
      </c>
      <c r="G256">
        <f>Portfolio!B$6*'CurrentPor-All Factor Movements'!F256</f>
        <v>3733.2223013641915</v>
      </c>
      <c r="H256">
        <f>Portfolio!B$7*'CurrentPor-All Factor Movements'!J256</f>
        <v>2064.4097151191777</v>
      </c>
      <c r="I256">
        <f t="shared" si="8"/>
        <v>96552.47214760397</v>
      </c>
      <c r="J256">
        <f t="shared" si="9"/>
        <v>-175.24141097550455</v>
      </c>
    </row>
    <row r="257" spans="1:10">
      <c r="A257" s="1">
        <v>45828</v>
      </c>
      <c r="B257">
        <f>(3/(1+('CurrentPor-All Factor Movements'!C257)/100)+103/POWER(1+('CurrentPor-All Factor Movements'!D257)/100,2))*100</f>
        <v>9707.1218610379583</v>
      </c>
      <c r="C257">
        <f>(3/(1+('CurrentPor-All Factor Movements'!C257+'CurrentPor-All Factor Movements'!G257)/100)+103/POWER(1+('CurrentPor-All Factor Movements'!D257+'CurrentPor-All Factor Movements'!G257)/100,2))*100</f>
        <v>9645.6932797809532</v>
      </c>
      <c r="D257">
        <f>(3/(1+('CurrentPor-All Factor Movements'!C257+'CurrentPor-All Factor Movements'!H257)/100)+103/POWER(1+('CurrentPor-All Factor Movements'!D257+'CurrentPor-All Factor Movements'!H257)/100,2))*100</f>
        <v>9580.3366732803333</v>
      </c>
      <c r="E257">
        <f>(3/(1+('CurrentPor-All Factor Movements'!C257+'CurrentPor-All Factor Movements'!I257)/100)+103/POWER(1+('CurrentPor-All Factor Movements'!D257+'CurrentPor-All Factor Movements'!I257)/100,2))*100</f>
        <v>9578.6277651582222</v>
      </c>
      <c r="F257">
        <f>Portfolio!B$5*'CurrentPor-All Factor Movements'!E257</f>
        <v>51735.469825482054</v>
      </c>
      <c r="G257">
        <f>Portfolio!B$6*'CurrentPor-All Factor Movements'!F257</f>
        <v>4195.8283829086768</v>
      </c>
      <c r="H257">
        <f>Portfolio!B$7*'CurrentPor-All Factor Movements'!J257</f>
        <v>2064.4030414302811</v>
      </c>
      <c r="I257">
        <f t="shared" si="8"/>
        <v>96507.480829078486</v>
      </c>
      <c r="J257">
        <f t="shared" si="9"/>
        <v>67.140423944423674</v>
      </c>
    </row>
    <row r="258" spans="1:10">
      <c r="A258" s="1">
        <v>45831</v>
      </c>
      <c r="B258">
        <f>(3/(1+('CurrentPor-All Factor Movements'!C258)/100)+103/POWER(1+('CurrentPor-All Factor Movements'!D258)/100,2))*100</f>
        <v>9707.2980302114865</v>
      </c>
      <c r="C258">
        <f>(3/(1+('CurrentPor-All Factor Movements'!C258+'CurrentPor-All Factor Movements'!G258)/100)+103/POWER(1+('CurrentPor-All Factor Movements'!D258+'CurrentPor-All Factor Movements'!G258)/100,2))*100</f>
        <v>9641.6031082111695</v>
      </c>
      <c r="D258">
        <f>(3/(1+('CurrentPor-All Factor Movements'!C258+'CurrentPor-All Factor Movements'!H258)/100)+103/POWER(1+('CurrentPor-All Factor Movements'!D258+'CurrentPor-All Factor Movements'!H258)/100,2))*100</f>
        <v>9609.3477904318297</v>
      </c>
      <c r="E258">
        <f>(3/(1+('CurrentPor-All Factor Movements'!C258+'CurrentPor-All Factor Movements'!I258)/100)+103/POWER(1+('CurrentPor-All Factor Movements'!D258+'CurrentPor-All Factor Movements'!I258)/100,2))*100</f>
        <v>9579.3467247769495</v>
      </c>
      <c r="F258">
        <f>Portfolio!B$5*'CurrentPor-All Factor Movements'!E258</f>
        <v>52186.289343637211</v>
      </c>
      <c r="G258">
        <f>Portfolio!B$6*'CurrentPor-All Factor Movements'!F258</f>
        <v>3783.6871177524854</v>
      </c>
      <c r="H258">
        <f>Portfolio!B$7*'CurrentPor-All Factor Movements'!J258</f>
        <v>2064.404248622759</v>
      </c>
      <c r="I258">
        <f t="shared" si="8"/>
        <v>96571.976363643887</v>
      </c>
      <c r="J258">
        <f t="shared" si="9"/>
        <v>322.26470355229685</v>
      </c>
    </row>
    <row r="259" spans="1:10">
      <c r="A259" s="1">
        <v>45832</v>
      </c>
      <c r="B259">
        <f>(3/(1+('CurrentPor-All Factor Movements'!C259)/100)+103/POWER(1+('CurrentPor-All Factor Movements'!D259)/100,2))*100</f>
        <v>9708.007901782461</v>
      </c>
      <c r="C259">
        <f>(3/(1+('CurrentPor-All Factor Movements'!C259+'CurrentPor-All Factor Movements'!G259)/100)+103/POWER(1+('CurrentPor-All Factor Movements'!D259+'CurrentPor-All Factor Movements'!G259)/100,2))*100</f>
        <v>9617.6249902916097</v>
      </c>
      <c r="D259">
        <f>(3/(1+('CurrentPor-All Factor Movements'!C259+'CurrentPor-All Factor Movements'!H259)/100)+103/POWER(1+('CurrentPor-All Factor Movements'!D259+'CurrentPor-All Factor Movements'!H259)/100,2))*100</f>
        <v>9600.3585769836682</v>
      </c>
      <c r="E259">
        <f>(3/(1+('CurrentPor-All Factor Movements'!C259+'CurrentPor-All Factor Movements'!I259)/100)+103/POWER(1+('CurrentPor-All Factor Movements'!D259+'CurrentPor-All Factor Movements'!I259)/100,2))*100</f>
        <v>9581.2843120054931</v>
      </c>
      <c r="F259">
        <f>Portfolio!B$5*'CurrentPor-All Factor Movements'!E259</f>
        <v>52195.363356873931</v>
      </c>
      <c r="G259">
        <f>Portfolio!B$6*'CurrentPor-All Factor Movements'!F259</f>
        <v>4165.2045224598132</v>
      </c>
      <c r="H259">
        <f>Portfolio!B$7*'CurrentPor-All Factor Movements'!J259</f>
        <v>2064.3986587500449</v>
      </c>
      <c r="I259">
        <f t="shared" si="8"/>
        <v>96932.242319147015</v>
      </c>
      <c r="J259">
        <f t="shared" si="9"/>
        <v>352.20541982300347</v>
      </c>
    </row>
    <row r="260" spans="1:10">
      <c r="A260" s="1">
        <v>45833</v>
      </c>
      <c r="B260">
        <f>(3/(1+('CurrentPor-All Factor Movements'!C260)/100)+103/POWER(1+('CurrentPor-All Factor Movements'!D260)/100,2))*100</f>
        <v>9706.9293790304291</v>
      </c>
      <c r="C260">
        <f>(3/(1+('CurrentPor-All Factor Movements'!C260+'CurrentPor-All Factor Movements'!G260)/100)+103/POWER(1+('CurrentPor-All Factor Movements'!D260+'CurrentPor-All Factor Movements'!G260)/100,2))*100</f>
        <v>9638.3193176670211</v>
      </c>
      <c r="D260">
        <f>(3/(1+('CurrentPor-All Factor Movements'!C260+'CurrentPor-All Factor Movements'!H260)/100)+103/POWER(1+('CurrentPor-All Factor Movements'!D260+'CurrentPor-All Factor Movements'!H260)/100,2))*100</f>
        <v>9599.5012206006922</v>
      </c>
      <c r="E260">
        <f>(3/(1+('CurrentPor-All Factor Movements'!C260+'CurrentPor-All Factor Movements'!I260)/100)+103/POWER(1+('CurrentPor-All Factor Movements'!D260+'CurrentPor-All Factor Movements'!I260)/100,2))*100</f>
        <v>9580.8833991814645</v>
      </c>
      <c r="F260">
        <f>Portfolio!B$5*'CurrentPor-All Factor Movements'!E260</f>
        <v>51906.353689441268</v>
      </c>
      <c r="G260">
        <f>Portfolio!B$6*'CurrentPor-All Factor Movements'!F260</f>
        <v>4214.808511242617</v>
      </c>
      <c r="H260">
        <f>Portfolio!B$7*'CurrentPor-All Factor Movements'!J260</f>
        <v>2064.3999934932476</v>
      </c>
      <c r="I260">
        <f t="shared" si="8"/>
        <v>96711.195510656748</v>
      </c>
      <c r="J260">
        <f t="shared" si="9"/>
        <v>320.02122423087712</v>
      </c>
    </row>
    <row r="261" spans="1:10">
      <c r="A261" s="1">
        <v>45834</v>
      </c>
      <c r="B261">
        <f>(3/(1+('CurrentPor-All Factor Movements'!C261)/100)+103/POWER(1+('CurrentPor-All Factor Movements'!D261)/100,2))*100</f>
        <v>9708.1517306629376</v>
      </c>
      <c r="C261">
        <f>(3/(1+('CurrentPor-All Factor Movements'!C261+'CurrentPor-All Factor Movements'!G261)/100)+103/POWER(1+('CurrentPor-All Factor Movements'!D261+'CurrentPor-All Factor Movements'!G261)/100,2))*100</f>
        <v>9620.9715934792093</v>
      </c>
      <c r="D261">
        <f>(3/(1+('CurrentPor-All Factor Movements'!C261+'CurrentPor-All Factor Movements'!H261)/100)+103/POWER(1+('CurrentPor-All Factor Movements'!D261+'CurrentPor-All Factor Movements'!H261)/100,2))*100</f>
        <v>9593.3303197351124</v>
      </c>
      <c r="E261">
        <f>(3/(1+('CurrentPor-All Factor Movements'!C261+'CurrentPor-All Factor Movements'!I261)/100)+103/POWER(1+('CurrentPor-All Factor Movements'!D261+'CurrentPor-All Factor Movements'!I261)/100,2))*100</f>
        <v>9580.5123260835699</v>
      </c>
      <c r="F261">
        <f>Portfolio!B$5*'CurrentPor-All Factor Movements'!E261</f>
        <v>52117.700302862169</v>
      </c>
      <c r="G261">
        <f>Portfolio!B$6*'CurrentPor-All Factor Movements'!F261</f>
        <v>3968.3341122234951</v>
      </c>
      <c r="H261">
        <f>Portfolio!B$7*'CurrentPor-All Factor Movements'!J261</f>
        <v>2064.4019508382348</v>
      </c>
      <c r="I261">
        <f t="shared" si="8"/>
        <v>96653.402335884733</v>
      </c>
      <c r="J261">
        <f t="shared" si="9"/>
        <v>308.13670310311136</v>
      </c>
    </row>
    <row r="262" spans="1:10">
      <c r="A262" s="1">
        <v>45835</v>
      </c>
      <c r="B262">
        <f>(3/(1+('CurrentPor-All Factor Movements'!C262)/100)+103/POWER(1+('CurrentPor-All Factor Movements'!D262)/100,2))*100</f>
        <v>9706.8057432695787</v>
      </c>
      <c r="C262">
        <f>(3/(1+('CurrentPor-All Factor Movements'!C262+'CurrentPor-All Factor Movements'!G262)/100)+103/POWER(1+('CurrentPor-All Factor Movements'!D262+'CurrentPor-All Factor Movements'!G262)/100,2))*100</f>
        <v>9641.8540644921995</v>
      </c>
      <c r="D262">
        <f>(3/(1+('CurrentPor-All Factor Movements'!C262+'CurrentPor-All Factor Movements'!H262)/100)+103/POWER(1+('CurrentPor-All Factor Movements'!D262+'CurrentPor-All Factor Movements'!H262)/100,2))*100</f>
        <v>9600.3264819666783</v>
      </c>
      <c r="E262">
        <f>(3/(1+('CurrentPor-All Factor Movements'!C262+'CurrentPor-All Factor Movements'!I262)/100)+103/POWER(1+('CurrentPor-All Factor Movements'!D262+'CurrentPor-All Factor Movements'!I262)/100,2))*100</f>
        <v>9581.3306400196798</v>
      </c>
      <c r="F262">
        <f>Portfolio!B$5*'CurrentPor-All Factor Movements'!E262</f>
        <v>52185.043522624255</v>
      </c>
      <c r="G262">
        <f>Portfolio!B$6*'CurrentPor-All Factor Movements'!F262</f>
        <v>4082.3039413202041</v>
      </c>
      <c r="H262">
        <f>Portfolio!B$7*'CurrentPor-All Factor Movements'!J262</f>
        <v>2064.4007208145945</v>
      </c>
      <c r="I262">
        <f t="shared" si="8"/>
        <v>96862.06511450719</v>
      </c>
      <c r="J262">
        <f t="shared" si="9"/>
        <v>260.98106556900893</v>
      </c>
    </row>
    <row r="263" spans="1:10">
      <c r="A263" s="1">
        <v>45838</v>
      </c>
      <c r="B263">
        <f>(3/(1+('CurrentPor-All Factor Movements'!C263)/100)+103/POWER(1+('CurrentPor-All Factor Movements'!D263)/100,2))*100</f>
        <v>9707.0730079417535</v>
      </c>
      <c r="C263">
        <f>(3/(1+('CurrentPor-All Factor Movements'!C263+'CurrentPor-All Factor Movements'!G263)/100)+103/POWER(1+('CurrentPor-All Factor Movements'!D263+'CurrentPor-All Factor Movements'!G263)/100,2))*100</f>
        <v>9662.9881137372959</v>
      </c>
      <c r="D263">
        <f>(3/(1+('CurrentPor-All Factor Movements'!C263+'CurrentPor-All Factor Movements'!H263)/100)+103/POWER(1+('CurrentPor-All Factor Movements'!D263+'CurrentPor-All Factor Movements'!H263)/100,2))*100</f>
        <v>9603.6527711874642</v>
      </c>
      <c r="E263">
        <f>(3/(1+('CurrentPor-All Factor Movements'!C263+'CurrentPor-All Factor Movements'!I263)/100)+103/POWER(1+('CurrentPor-All Factor Movements'!D263+'CurrentPor-All Factor Movements'!I263)/100,2))*100</f>
        <v>9578.8292642009619</v>
      </c>
      <c r="F263">
        <f>Portfolio!B$5*'CurrentPor-All Factor Movements'!E263</f>
        <v>51928.942580272756</v>
      </c>
      <c r="G263">
        <f>Portfolio!B$6*'CurrentPor-All Factor Movements'!F263</f>
        <v>4155.4980710459158</v>
      </c>
      <c r="H263">
        <f>Portfolio!B$7*'CurrentPor-All Factor Movements'!J263</f>
        <v>2064.405756097734</v>
      </c>
      <c r="I263">
        <f t="shared" si="8"/>
        <v>96701.389564483892</v>
      </c>
      <c r="J263">
        <f t="shared" si="9"/>
        <v>511.39236360359064</v>
      </c>
    </row>
  </sheetData>
  <phoneticPr fontId="2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F4F69-CC27-4C18-9E2E-88F38D3112D9}">
  <dimension ref="A1:L263"/>
  <sheetViews>
    <sheetView topLeftCell="C1" workbookViewId="0">
      <selection activeCell="L3" sqref="L3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74</v>
      </c>
      <c r="C1" t="s">
        <v>75</v>
      </c>
      <c r="D1" t="s">
        <v>76</v>
      </c>
      <c r="E1" t="s">
        <v>77</v>
      </c>
      <c r="F1" t="s">
        <v>74</v>
      </c>
      <c r="G1" t="s">
        <v>74</v>
      </c>
      <c r="H1" t="s">
        <v>78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58</v>
      </c>
    </row>
    <row r="3" spans="1:12">
      <c r="A3" s="1">
        <v>45474</v>
      </c>
      <c r="B3">
        <f>(3/(1+('CurrentPor-N10Unchanged'!C3)/100)+103/POWER(1+('CurrentPor-N10Unchanged'!D3)/100,2))*100</f>
        <v>9707.5857774288397</v>
      </c>
      <c r="C3">
        <f>(3/(1+('CurrentPor-N10Unchanged'!C3+'CurrentPor-N10Unchanged'!G3)/100)+103/POWER(1+('CurrentPor-N10Unchanged'!D3+'CurrentPor-N10Unchanged'!G3)/100,2))*100</f>
        <v>9614.9673582483465</v>
      </c>
      <c r="D3">
        <f>(3/(1+('CurrentPor-N10Unchanged'!C3+'CurrentPor-N10Unchanged'!H3)/100)+103/POWER(1+('CurrentPor-N10Unchanged'!D3+'CurrentPor-N10Unchanged'!H3)/100,2))*100</f>
        <v>9601.2395558122898</v>
      </c>
      <c r="E3">
        <f>(3/(1+('CurrentPor-N10Unchanged'!C3+'CurrentPor-N10Unchanged'!I3)/100)+103/POWER(1+('CurrentPor-N10Unchanged'!D3+'CurrentPor-N10Unchanged'!I3)/100,2))*100</f>
        <v>9676.6907857653259</v>
      </c>
      <c r="F3">
        <f>Portfolio!B$5*'CurrentPor-N10Unchanged'!E3</f>
        <v>52143.895533915893</v>
      </c>
      <c r="G3">
        <f>Portfolio!B$6*'CurrentPor-N10Unchanged'!F3</f>
        <v>3696.2945087936532</v>
      </c>
      <c r="H3">
        <f>Portfolio!B$7*'CurrentPor-N10Unchanged'!J3</f>
        <v>2064.4002405101537</v>
      </c>
      <c r="I3">
        <f>SUM(B3:H3)</f>
        <v>96505.073760474508</v>
      </c>
      <c r="K3" s="8">
        <f>_xlfn.PERCENTILE.INC(J13:J263, 0.025)</f>
        <v>-95.160938585318945</v>
      </c>
      <c r="L3">
        <f>AVERAGEIF(J13:J263, "&lt;="&amp;K3,J13:J263)</f>
        <v>-104.17405239118254</v>
      </c>
    </row>
    <row r="4" spans="1:12">
      <c r="A4" s="1">
        <v>45475</v>
      </c>
      <c r="B4">
        <f>(3/(1+('CurrentPor-N10Unchanged'!C4)/100)+103/POWER(1+('CurrentPor-N10Unchanged'!D4)/100,2))*100</f>
        <v>9707.5857774288397</v>
      </c>
      <c r="C4">
        <f>(3/(1+('CurrentPor-N10Unchanged'!C4+'CurrentPor-N10Unchanged'!G4)/100)+103/POWER(1+('CurrentPor-N10Unchanged'!D4+'CurrentPor-N10Unchanged'!G4)/100,2))*100</f>
        <v>9614.9673582483465</v>
      </c>
      <c r="D4">
        <f>(3/(1+('CurrentPor-N10Unchanged'!C4+'CurrentPor-N10Unchanged'!H4)/100)+103/POWER(1+('CurrentPor-N10Unchanged'!D4+'CurrentPor-N10Unchanged'!H4)/100,2))*100</f>
        <v>9586.753643287564</v>
      </c>
      <c r="E4">
        <f>(3/(1+('CurrentPor-N10Unchanged'!C4+'CurrentPor-N10Unchanged'!I4)/100)+103/POWER(1+('CurrentPor-N10Unchanged'!D4+'CurrentPor-N10Unchanged'!I4)/100,2))*100</f>
        <v>9676.5087411427976</v>
      </c>
      <c r="F4">
        <f>Portfolio!B$5*'CurrentPor-N10Unchanged'!E4</f>
        <v>52143.895533915893</v>
      </c>
      <c r="G4">
        <f>Portfolio!B$6*'CurrentPor-N10Unchanged'!F4</f>
        <v>3696.2945087936532</v>
      </c>
      <c r="H4">
        <f>Portfolio!B$7*'CurrentPor-N10Unchanged'!J4</f>
        <v>2064.405593251121</v>
      </c>
      <c r="I4">
        <f t="shared" ref="I4:I67" si="0">SUM(B4:H4)</f>
        <v>96490.411156068221</v>
      </c>
    </row>
    <row r="5" spans="1:12">
      <c r="A5" s="1">
        <v>45476</v>
      </c>
      <c r="B5">
        <f>(3/(1+('CurrentPor-N10Unchanged'!C5)/100)+103/POWER(1+('CurrentPor-N10Unchanged'!D5)/100,2))*100</f>
        <v>9707.5857774288397</v>
      </c>
      <c r="C5">
        <f>(3/(1+('CurrentPor-N10Unchanged'!C5+'CurrentPor-N10Unchanged'!G5)/100)+103/POWER(1+('CurrentPor-N10Unchanged'!D5+'CurrentPor-N10Unchanged'!G5)/100,2))*100</f>
        <v>9614.9673582483465</v>
      </c>
      <c r="D5">
        <f>(3/(1+('CurrentPor-N10Unchanged'!C5+'CurrentPor-N10Unchanged'!H5)/100)+103/POWER(1+('CurrentPor-N10Unchanged'!D5+'CurrentPor-N10Unchanged'!H5)/100,2))*100</f>
        <v>9603.4629610150168</v>
      </c>
      <c r="E5">
        <f>(3/(1+('CurrentPor-N10Unchanged'!C5+'CurrentPor-N10Unchanged'!I5)/100)+103/POWER(1+('CurrentPor-N10Unchanged'!D5+'CurrentPor-N10Unchanged'!I5)/100,2))*100</f>
        <v>9676.3449057655907</v>
      </c>
      <c r="F5">
        <f>Portfolio!B$5*'CurrentPor-N10Unchanged'!E5</f>
        <v>52143.895533915893</v>
      </c>
      <c r="G5">
        <f>Portfolio!B$6*'CurrentPor-N10Unchanged'!F5</f>
        <v>3696.2945087936532</v>
      </c>
      <c r="H5">
        <f>Portfolio!B$7*'CurrentPor-N10Unchanged'!J5</f>
        <v>2064.4002092841365</v>
      </c>
      <c r="I5">
        <f t="shared" si="0"/>
        <v>96506.951254451487</v>
      </c>
    </row>
    <row r="6" spans="1:12">
      <c r="A6" s="1">
        <v>45477</v>
      </c>
      <c r="B6">
        <f>(3/(1+('CurrentPor-N10Unchanged'!C6)/100)+103/POWER(1+('CurrentPor-N10Unchanged'!D6)/100,2))*100</f>
        <v>9707.5857774288397</v>
      </c>
      <c r="C6">
        <f>(3/(1+('CurrentPor-N10Unchanged'!C6+'CurrentPor-N10Unchanged'!G6)/100)+103/POWER(1+('CurrentPor-N10Unchanged'!D6+'CurrentPor-N10Unchanged'!G6)/100,2))*100</f>
        <v>9614.9673582483465</v>
      </c>
      <c r="D6">
        <f>(3/(1+('CurrentPor-N10Unchanged'!C6+'CurrentPor-N10Unchanged'!H6)/100)+103/POWER(1+('CurrentPor-N10Unchanged'!D6+'CurrentPor-N10Unchanged'!H6)/100,2))*100</f>
        <v>9607.0114786197646</v>
      </c>
      <c r="E6">
        <f>(3/(1+('CurrentPor-N10Unchanged'!C6+'CurrentPor-N10Unchanged'!I6)/100)+103/POWER(1+('CurrentPor-N10Unchanged'!D6+'CurrentPor-N10Unchanged'!I6)/100,2))*100</f>
        <v>9674.761385040998</v>
      </c>
      <c r="F6">
        <f>Portfolio!B$5*'CurrentPor-N10Unchanged'!E6</f>
        <v>52143.895533915893</v>
      </c>
      <c r="G6">
        <f>Portfolio!B$6*'CurrentPor-N10Unchanged'!F6</f>
        <v>3696.2945087936532</v>
      </c>
      <c r="H6">
        <f>Portfolio!B$7*'CurrentPor-N10Unchanged'!J6</f>
        <v>2064.3982266387256</v>
      </c>
      <c r="I6">
        <f t="shared" si="0"/>
        <v>96508.914268686232</v>
      </c>
    </row>
    <row r="7" spans="1:12">
      <c r="A7" s="1">
        <v>45478</v>
      </c>
      <c r="B7">
        <f>(3/(1+('CurrentPor-N10Unchanged'!C7)/100)+103/POWER(1+('CurrentPor-N10Unchanged'!D7)/100,2))*100</f>
        <v>9707.5857774288397</v>
      </c>
      <c r="C7">
        <f>(3/(1+('CurrentPor-N10Unchanged'!C7+'CurrentPor-N10Unchanged'!G7)/100)+103/POWER(1+('CurrentPor-N10Unchanged'!D7+'CurrentPor-N10Unchanged'!G7)/100,2))*100</f>
        <v>9616.7705171512371</v>
      </c>
      <c r="D7">
        <f>(3/(1+('CurrentPor-N10Unchanged'!C7+'CurrentPor-N10Unchanged'!H7)/100)+103/POWER(1+('CurrentPor-N10Unchanged'!D7+'CurrentPor-N10Unchanged'!H7)/100,2))*100</f>
        <v>9580.3056214308926</v>
      </c>
      <c r="E7">
        <f>(3/(1+('CurrentPor-N10Unchanged'!C7+'CurrentPor-N10Unchanged'!I7)/100)+103/POWER(1+('CurrentPor-N10Unchanged'!D7+'CurrentPor-N10Unchanged'!I7)/100,2))*100</f>
        <v>9676.8000136403025</v>
      </c>
      <c r="F7">
        <f>Portfolio!B$5*'CurrentPor-N10Unchanged'!E7</f>
        <v>52143.895533915893</v>
      </c>
      <c r="G7">
        <f>Portfolio!B$6*'CurrentPor-N10Unchanged'!F7</f>
        <v>3696.2945087936532</v>
      </c>
      <c r="H7">
        <f>Portfolio!B$7*'CurrentPor-N10Unchanged'!J7</f>
        <v>2064.3926472272974</v>
      </c>
      <c r="I7">
        <f t="shared" si="0"/>
        <v>96486.044619588123</v>
      </c>
    </row>
    <row r="8" spans="1:12">
      <c r="A8" s="1">
        <v>45481</v>
      </c>
      <c r="B8">
        <f>(3/(1+('CurrentPor-N10Unchanged'!C8)/100)+103/POWER(1+('CurrentPor-N10Unchanged'!D8)/100,2))*100</f>
        <v>9707.5857774288397</v>
      </c>
      <c r="C8">
        <f>(3/(1+('CurrentPor-N10Unchanged'!C8+'CurrentPor-N10Unchanged'!G8)/100)+103/POWER(1+('CurrentPor-N10Unchanged'!D8+'CurrentPor-N10Unchanged'!G8)/100,2))*100</f>
        <v>9613.1647114954067</v>
      </c>
      <c r="D8">
        <f>(3/(1+('CurrentPor-N10Unchanged'!C8+'CurrentPor-N10Unchanged'!H8)/100)+103/POWER(1+('CurrentPor-N10Unchanged'!D8+'CurrentPor-N10Unchanged'!H8)/100,2))*100</f>
        <v>9582.0863699912024</v>
      </c>
      <c r="E8">
        <f>(3/(1+('CurrentPor-N10Unchanged'!C8+'CurrentPor-N10Unchanged'!I8)/100)+103/POWER(1+('CurrentPor-N10Unchanged'!D8+'CurrentPor-N10Unchanged'!I8)/100,2))*100</f>
        <v>9676.1810780625983</v>
      </c>
      <c r="F8">
        <f>Portfolio!B$5*'CurrentPor-N10Unchanged'!E8</f>
        <v>52143.895533915893</v>
      </c>
      <c r="G8">
        <f>Portfolio!B$6*'CurrentPor-N10Unchanged'!F8</f>
        <v>3696.2945087936532</v>
      </c>
      <c r="H8">
        <f>Portfolio!B$7*'CurrentPor-N10Unchanged'!J8</f>
        <v>2064.3945132120971</v>
      </c>
      <c r="I8">
        <f t="shared" si="0"/>
        <v>96483.602492899692</v>
      </c>
    </row>
    <row r="9" spans="1:12">
      <c r="A9" s="1">
        <v>45482</v>
      </c>
      <c r="B9">
        <f>(3/(1+('CurrentPor-N10Unchanged'!C9)/100)+103/POWER(1+('CurrentPor-N10Unchanged'!D9)/100,2))*100</f>
        <v>9707.5857774288397</v>
      </c>
      <c r="C9">
        <f>(3/(1+('CurrentPor-N10Unchanged'!C9+'CurrentPor-N10Unchanged'!G9)/100)+103/POWER(1+('CurrentPor-N10Unchanged'!D9+'CurrentPor-N10Unchanged'!G9)/100,2))*100</f>
        <v>9613.1647114954067</v>
      </c>
      <c r="D9">
        <f>(3/(1+('CurrentPor-N10Unchanged'!C9+'CurrentPor-N10Unchanged'!H9)/100)+103/POWER(1+('CurrentPor-N10Unchanged'!D9+'CurrentPor-N10Unchanged'!H9)/100,2))*100</f>
        <v>9594.9699164194662</v>
      </c>
      <c r="E9">
        <f>(3/(1+('CurrentPor-N10Unchanged'!C9+'CurrentPor-N10Unchanged'!I9)/100)+103/POWER(1+('CurrentPor-N10Unchanged'!D9+'CurrentPor-N10Unchanged'!I9)/100,2))*100</f>
        <v>9673.7787046826343</v>
      </c>
      <c r="F9">
        <f>Portfolio!B$5*'CurrentPor-N10Unchanged'!E9</f>
        <v>52143.895533915893</v>
      </c>
      <c r="G9">
        <f>Portfolio!B$6*'CurrentPor-N10Unchanged'!F9</f>
        <v>3696.2945087936532</v>
      </c>
      <c r="H9">
        <f>Portfolio!B$7*'CurrentPor-N10Unchanged'!J9</f>
        <v>2064.4018893793123</v>
      </c>
      <c r="I9">
        <f t="shared" si="0"/>
        <v>96494.091042115208</v>
      </c>
    </row>
    <row r="10" spans="1:12">
      <c r="A10" s="1">
        <v>45483</v>
      </c>
      <c r="B10">
        <f>(3/(1+('CurrentPor-N10Unchanged'!C10)/100)+103/POWER(1+('CurrentPor-N10Unchanged'!D10)/100,2))*100</f>
        <v>9707.5857774288397</v>
      </c>
      <c r="C10">
        <f>(3/(1+('CurrentPor-N10Unchanged'!C10+'CurrentPor-N10Unchanged'!G10)/100)+103/POWER(1+('CurrentPor-N10Unchanged'!D10+'CurrentPor-N10Unchanged'!G10)/100,2))*100</f>
        <v>9614.9673582483465</v>
      </c>
      <c r="D10">
        <f>(3/(1+('CurrentPor-N10Unchanged'!C10+'CurrentPor-N10Unchanged'!H10)/100)+103/POWER(1+('CurrentPor-N10Unchanged'!D10+'CurrentPor-N10Unchanged'!H10)/100,2))*100</f>
        <v>9593.3699457073908</v>
      </c>
      <c r="E10">
        <f>(3/(1+('CurrentPor-N10Unchanged'!C10+'CurrentPor-N10Unchanged'!I10)/100)+103/POWER(1+('CurrentPor-N10Unchanged'!D10+'CurrentPor-N10Unchanged'!I10)/100,2))*100</f>
        <v>9671.0498348775582</v>
      </c>
      <c r="F10">
        <f>Portfolio!B$5*'CurrentPor-N10Unchanged'!E10</f>
        <v>52143.895533915893</v>
      </c>
      <c r="G10">
        <f>Portfolio!B$6*'CurrentPor-N10Unchanged'!F10</f>
        <v>3696.2945087936532</v>
      </c>
      <c r="H10">
        <f>Portfolio!B$7*'CurrentPor-N10Unchanged'!J10</f>
        <v>2064.4012196529484</v>
      </c>
      <c r="I10">
        <f t="shared" si="0"/>
        <v>96491.564178624641</v>
      </c>
    </row>
    <row r="11" spans="1:12">
      <c r="A11" s="1">
        <v>45484</v>
      </c>
      <c r="B11">
        <f>(3/(1+('CurrentPor-N10Unchanged'!C11)/100)+103/POWER(1+('CurrentPor-N10Unchanged'!D11)/100,2))*100</f>
        <v>9707.5857774288397</v>
      </c>
      <c r="C11">
        <f>(3/(1+('CurrentPor-N10Unchanged'!C11+'CurrentPor-N10Unchanged'!G11)/100)+103/POWER(1+('CurrentPor-N10Unchanged'!D11+'CurrentPor-N10Unchanged'!G11)/100,2))*100</f>
        <v>9614.9673582483465</v>
      </c>
      <c r="D11">
        <f>(3/(1+('CurrentPor-N10Unchanged'!C11+'CurrentPor-N10Unchanged'!H11)/100)+103/POWER(1+('CurrentPor-N10Unchanged'!D11+'CurrentPor-N10Unchanged'!H11)/100,2))*100</f>
        <v>9596.8685689189988</v>
      </c>
      <c r="E11">
        <f>(3/(1+('CurrentPor-N10Unchanged'!C11+'CurrentPor-N10Unchanged'!I11)/100)+103/POWER(1+('CurrentPor-N10Unchanged'!D11+'CurrentPor-N10Unchanged'!I11)/100,2))*100</f>
        <v>9672.6688259421371</v>
      </c>
      <c r="F11">
        <f>Portfolio!B$5*'CurrentPor-N10Unchanged'!E11</f>
        <v>52143.895533915893</v>
      </c>
      <c r="G11">
        <f>Portfolio!B$6*'CurrentPor-N10Unchanged'!F11</f>
        <v>3696.2945087936532</v>
      </c>
      <c r="H11">
        <f>Portfolio!B$7*'CurrentPor-N10Unchanged'!J11</f>
        <v>2064.393950921602</v>
      </c>
      <c r="I11">
        <f t="shared" si="0"/>
        <v>96496.674524169473</v>
      </c>
    </row>
    <row r="12" spans="1:12">
      <c r="A12" s="1">
        <v>45485</v>
      </c>
      <c r="B12">
        <f>(3/(1+('CurrentPor-N10Unchanged'!C12)/100)+103/POWER(1+('CurrentPor-N10Unchanged'!D12)/100,2))*100</f>
        <v>9707.5857774288397</v>
      </c>
      <c r="C12">
        <f>(3/(1+('CurrentPor-N10Unchanged'!C12+'CurrentPor-N10Unchanged'!G12)/100)+103/POWER(1+('CurrentPor-N10Unchanged'!D12+'CurrentPor-N10Unchanged'!G12)/100,2))*100</f>
        <v>9614.9673582483465</v>
      </c>
      <c r="D12">
        <f>(3/(1+('CurrentPor-N10Unchanged'!C12+'CurrentPor-N10Unchanged'!H12)/100)+103/POWER(1+('CurrentPor-N10Unchanged'!D12+'CurrentPor-N10Unchanged'!H12)/100,2))*100</f>
        <v>9593.7415131480611</v>
      </c>
      <c r="E12">
        <f>(3/(1+('CurrentPor-N10Unchanged'!C12+'CurrentPor-N10Unchanged'!I12)/100)+103/POWER(1+('CurrentPor-N10Unchanged'!D12+'CurrentPor-N10Unchanged'!I12)/100,2))*100</f>
        <v>9674.8341802658124</v>
      </c>
      <c r="F12">
        <f>Portfolio!B$5*'CurrentPor-N10Unchanged'!E12</f>
        <v>52143.895533915893</v>
      </c>
      <c r="G12">
        <f>Portfolio!B$6*'CurrentPor-N10Unchanged'!F12</f>
        <v>3696.2945087936532</v>
      </c>
      <c r="H12">
        <f>Portfolio!B$7*'CurrentPor-N10Unchanged'!J12</f>
        <v>2064.4027472674147</v>
      </c>
      <c r="I12">
        <f t="shared" si="0"/>
        <v>96495.721619068034</v>
      </c>
    </row>
    <row r="13" spans="1:12">
      <c r="A13" s="1">
        <v>45488</v>
      </c>
      <c r="B13">
        <f>(3/(1+('CurrentPor-N10Unchanged'!C13)/100)+103/POWER(1+('CurrentPor-N10Unchanged'!D13)/100,2))*100</f>
        <v>9707.5857774288397</v>
      </c>
      <c r="C13">
        <f>(3/(1+('CurrentPor-N10Unchanged'!C13+'CurrentPor-N10Unchanged'!G13)/100)+103/POWER(1+('CurrentPor-N10Unchanged'!D13+'CurrentPor-N10Unchanged'!G13)/100,2))*100</f>
        <v>9620.3783721850123</v>
      </c>
      <c r="D13">
        <f>(3/(1+('CurrentPor-N10Unchanged'!C13+'CurrentPor-N10Unchanged'!H13)/100)+103/POWER(1+('CurrentPor-N10Unchanged'!D13+'CurrentPor-N10Unchanged'!H13)/100,2))*100</f>
        <v>9583.1352871394211</v>
      </c>
      <c r="E13">
        <f>(3/(1+('CurrentPor-N10Unchanged'!C13+'CurrentPor-N10Unchanged'!I13)/100)+103/POWER(1+('CurrentPor-N10Unchanged'!D13+'CurrentPor-N10Unchanged'!I13)/100,2))*100</f>
        <v>9679.0214075942895</v>
      </c>
      <c r="F13">
        <f>Portfolio!B$5*'CurrentPor-N10Unchanged'!E13</f>
        <v>52143.895533915893</v>
      </c>
      <c r="G13">
        <f>Portfolio!B$6*'CurrentPor-N10Unchanged'!F13</f>
        <v>3696.2945087936532</v>
      </c>
      <c r="H13">
        <f>Portfolio!B$7*'CurrentPor-N10Unchanged'!J13</f>
        <v>2064.3980331871435</v>
      </c>
      <c r="I13">
        <f t="shared" si="0"/>
        <v>96494.708920244244</v>
      </c>
      <c r="J13">
        <f>I13-I3</f>
        <v>-10.364840230264235</v>
      </c>
    </row>
    <row r="14" spans="1:12">
      <c r="A14" s="1">
        <v>45489</v>
      </c>
      <c r="B14">
        <f>(3/(1+('CurrentPor-N10Unchanged'!C14)/100)+103/POWER(1+('CurrentPor-N10Unchanged'!D14)/100,2))*100</f>
        <v>9707.5857774288397</v>
      </c>
      <c r="C14">
        <f>(3/(1+('CurrentPor-N10Unchanged'!C14+'CurrentPor-N10Unchanged'!G14)/100)+103/POWER(1+('CurrentPor-N10Unchanged'!D14+'CurrentPor-N10Unchanged'!G14)/100,2))*100</f>
        <v>9616.7705171512371</v>
      </c>
      <c r="D14">
        <f>(3/(1+('CurrentPor-N10Unchanged'!C14+'CurrentPor-N10Unchanged'!H14)/100)+103/POWER(1+('CurrentPor-N10Unchanged'!D14+'CurrentPor-N10Unchanged'!H14)/100,2))*100</f>
        <v>9608.4612314889109</v>
      </c>
      <c r="E14">
        <f>(3/(1+('CurrentPor-N10Unchanged'!C14+'CurrentPor-N10Unchanged'!I14)/100)+103/POWER(1+('CurrentPor-N10Unchanged'!D14+'CurrentPor-N10Unchanged'!I14)/100,2))*100</f>
        <v>9680.9338783473122</v>
      </c>
      <c r="F14">
        <f>Portfolio!B$5*'CurrentPor-N10Unchanged'!E14</f>
        <v>52143.895533915893</v>
      </c>
      <c r="G14">
        <f>Portfolio!B$6*'CurrentPor-N10Unchanged'!F14</f>
        <v>3696.2945087936532</v>
      </c>
      <c r="H14">
        <f>Portfolio!B$7*'CurrentPor-N10Unchanged'!J14</f>
        <v>2064.3987235494897</v>
      </c>
      <c r="I14">
        <f t="shared" si="0"/>
        <v>96518.340170675336</v>
      </c>
      <c r="J14">
        <f t="shared" ref="J14:J77" si="1">I14-I4</f>
        <v>27.929014607114368</v>
      </c>
    </row>
    <row r="15" spans="1:12">
      <c r="A15" s="1">
        <v>45490</v>
      </c>
      <c r="B15">
        <f>(3/(1+('CurrentPor-N10Unchanged'!C15)/100)+103/POWER(1+('CurrentPor-N10Unchanged'!D15)/100,2))*100</f>
        <v>9707.5857774288397</v>
      </c>
      <c r="C15">
        <f>(3/(1+('CurrentPor-N10Unchanged'!C15+'CurrentPor-N10Unchanged'!G15)/100)+103/POWER(1+('CurrentPor-N10Unchanged'!D15+'CurrentPor-N10Unchanged'!G15)/100,2))*100</f>
        <v>9616.7705171512371</v>
      </c>
      <c r="D15">
        <f>(3/(1+('CurrentPor-N10Unchanged'!C15+'CurrentPor-N10Unchanged'!H15)/100)+103/POWER(1+('CurrentPor-N10Unchanged'!D15+'CurrentPor-N10Unchanged'!H15)/100,2))*100</f>
        <v>9605.5320342821306</v>
      </c>
      <c r="E15">
        <f>(3/(1+('CurrentPor-N10Unchanged'!C15+'CurrentPor-N10Unchanged'!I15)/100)+103/POWER(1+('CurrentPor-N10Unchanged'!D15+'CurrentPor-N10Unchanged'!I15)/100,2))*100</f>
        <v>9680.6970665619065</v>
      </c>
      <c r="F15">
        <f>Portfolio!B$5*'CurrentPor-N10Unchanged'!E15</f>
        <v>52143.895533915893</v>
      </c>
      <c r="G15">
        <f>Portfolio!B$6*'CurrentPor-N10Unchanged'!F15</f>
        <v>3696.2945087936532</v>
      </c>
      <c r="H15">
        <f>Portfolio!B$7*'CurrentPor-N10Unchanged'!J15</f>
        <v>2064.3925140761739</v>
      </c>
      <c r="I15">
        <f t="shared" si="0"/>
        <v>96515.167952209827</v>
      </c>
      <c r="J15">
        <f t="shared" si="1"/>
        <v>8.2166977583401604</v>
      </c>
    </row>
    <row r="16" spans="1:12">
      <c r="A16" s="1">
        <v>45491</v>
      </c>
      <c r="B16">
        <f>(3/(1+('CurrentPor-N10Unchanged'!C16)/100)+103/POWER(1+('CurrentPor-N10Unchanged'!D16)/100,2))*100</f>
        <v>9707.5857774288397</v>
      </c>
      <c r="C16">
        <f>(3/(1+('CurrentPor-N10Unchanged'!C16+'CurrentPor-N10Unchanged'!G16)/100)+103/POWER(1+('CurrentPor-N10Unchanged'!D16+'CurrentPor-N10Unchanged'!G16)/100,2))*100</f>
        <v>9618.5741883985884</v>
      </c>
      <c r="D16">
        <f>(3/(1+('CurrentPor-N10Unchanged'!C16+'CurrentPor-N10Unchanged'!H16)/100)+103/POWER(1+('CurrentPor-N10Unchanged'!D16+'CurrentPor-N10Unchanged'!H16)/100,2))*100</f>
        <v>9595.4362388343052</v>
      </c>
      <c r="E16">
        <f>(3/(1+('CurrentPor-N10Unchanged'!C16+'CurrentPor-N10Unchanged'!I16)/100)+103/POWER(1+('CurrentPor-N10Unchanged'!D16+'CurrentPor-N10Unchanged'!I16)/100,2))*100</f>
        <v>9682.0998570962529</v>
      </c>
      <c r="F16">
        <f>Portfolio!B$5*'CurrentPor-N10Unchanged'!E16</f>
        <v>52143.895533915893</v>
      </c>
      <c r="G16">
        <f>Portfolio!B$6*'CurrentPor-N10Unchanged'!F16</f>
        <v>3696.2945087936532</v>
      </c>
      <c r="H16">
        <f>Portfolio!B$7*'CurrentPor-N10Unchanged'!J16</f>
        <v>2064.3960070016337</v>
      </c>
      <c r="I16">
        <f t="shared" si="0"/>
        <v>96508.282111469161</v>
      </c>
      <c r="J16">
        <f t="shared" si="1"/>
        <v>-0.63215721707092598</v>
      </c>
    </row>
    <row r="17" spans="1:10">
      <c r="A17" s="1">
        <v>45492</v>
      </c>
      <c r="B17">
        <f>(3/(1+('CurrentPor-N10Unchanged'!C17)/100)+103/POWER(1+('CurrentPor-N10Unchanged'!D17)/100,2))*100</f>
        <v>9707.5857774288397</v>
      </c>
      <c r="C17">
        <f>(3/(1+('CurrentPor-N10Unchanged'!C17+'CurrentPor-N10Unchanged'!G17)/100)+103/POWER(1+('CurrentPor-N10Unchanged'!D17+'CurrentPor-N10Unchanged'!G17)/100,2))*100</f>
        <v>9616.7705171512371</v>
      </c>
      <c r="D17">
        <f>(3/(1+('CurrentPor-N10Unchanged'!C17+'CurrentPor-N10Unchanged'!H17)/100)+103/POWER(1+('CurrentPor-N10Unchanged'!D17+'CurrentPor-N10Unchanged'!H17)/100,2))*100</f>
        <v>9607.924067800639</v>
      </c>
      <c r="E17">
        <f>(3/(1+('CurrentPor-N10Unchanged'!C17+'CurrentPor-N10Unchanged'!I17)/100)+103/POWER(1+('CurrentPor-N10Unchanged'!D17+'CurrentPor-N10Unchanged'!I17)/100,2))*100</f>
        <v>9682.136298174546</v>
      </c>
      <c r="F17">
        <f>Portfolio!B$5*'CurrentPor-N10Unchanged'!E17</f>
        <v>52143.895533915893</v>
      </c>
      <c r="G17">
        <f>Portfolio!B$6*'CurrentPor-N10Unchanged'!F17</f>
        <v>3696.2945087936532</v>
      </c>
      <c r="H17">
        <f>Portfolio!B$7*'CurrentPor-N10Unchanged'!J17</f>
        <v>2064.4061050711525</v>
      </c>
      <c r="I17">
        <f t="shared" si="0"/>
        <v>96519.01280833596</v>
      </c>
      <c r="J17">
        <f t="shared" si="1"/>
        <v>32.968188747836393</v>
      </c>
    </row>
    <row r="18" spans="1:10">
      <c r="A18" s="1">
        <v>45495</v>
      </c>
      <c r="B18">
        <f>(3/(1+('CurrentPor-N10Unchanged'!C18)/100)+103/POWER(1+('CurrentPor-N10Unchanged'!D18)/100,2))*100</f>
        <v>9707.5857774288397</v>
      </c>
      <c r="C18">
        <f>(3/(1+('CurrentPor-N10Unchanged'!C18+'CurrentPor-N10Unchanged'!G18)/100)+103/POWER(1+('CurrentPor-N10Unchanged'!D18+'CurrentPor-N10Unchanged'!G18)/100,2))*100</f>
        <v>9616.7705171512371</v>
      </c>
      <c r="D18">
        <f>(3/(1+('CurrentPor-N10Unchanged'!C18+'CurrentPor-N10Unchanged'!H18)/100)+103/POWER(1+('CurrentPor-N10Unchanged'!D18+'CurrentPor-N10Unchanged'!H18)/100,2))*100</f>
        <v>9603.7417214293109</v>
      </c>
      <c r="E18">
        <f>(3/(1+('CurrentPor-N10Unchanged'!C18+'CurrentPor-N10Unchanged'!I18)/100)+103/POWER(1+('CurrentPor-N10Unchanged'!D18+'CurrentPor-N10Unchanged'!I18)/100,2))*100</f>
        <v>9680.1870356704276</v>
      </c>
      <c r="F18">
        <f>Portfolio!B$5*'CurrentPor-N10Unchanged'!E18</f>
        <v>52143.895533915893</v>
      </c>
      <c r="G18">
        <f>Portfolio!B$6*'CurrentPor-N10Unchanged'!F18</f>
        <v>3696.2945087936532</v>
      </c>
      <c r="H18">
        <f>Portfolio!B$7*'CurrentPor-N10Unchanged'!J18</f>
        <v>2064.3974973777927</v>
      </c>
      <c r="I18">
        <f t="shared" si="0"/>
        <v>96512.872591767169</v>
      </c>
      <c r="J18">
        <f t="shared" si="1"/>
        <v>29.270098867476918</v>
      </c>
    </row>
    <row r="19" spans="1:10">
      <c r="A19" s="1">
        <v>45496</v>
      </c>
      <c r="B19">
        <f>(3/(1+('CurrentPor-N10Unchanged'!C19)/100)+103/POWER(1+('CurrentPor-N10Unchanged'!D19)/100,2))*100</f>
        <v>9707.5857774288397</v>
      </c>
      <c r="C19">
        <f>(3/(1+('CurrentPor-N10Unchanged'!C19+'CurrentPor-N10Unchanged'!G19)/100)+103/POWER(1+('CurrentPor-N10Unchanged'!D19+'CurrentPor-N10Unchanged'!G19)/100,2))*100</f>
        <v>9616.7705171512371</v>
      </c>
      <c r="D19">
        <f>(3/(1+('CurrentPor-N10Unchanged'!C19+'CurrentPor-N10Unchanged'!H19)/100)+103/POWER(1+('CurrentPor-N10Unchanged'!D19+'CurrentPor-N10Unchanged'!H19)/100,2))*100</f>
        <v>9590.1448307730843</v>
      </c>
      <c r="E19">
        <f>(3/(1+('CurrentPor-N10Unchanged'!C19+'CurrentPor-N10Unchanged'!I19)/100)+103/POWER(1+('CurrentPor-N10Unchanged'!D19+'CurrentPor-N10Unchanged'!I19)/100,2))*100</f>
        <v>9680.9156629472927</v>
      </c>
      <c r="F19">
        <f>Portfolio!B$5*'CurrentPor-N10Unchanged'!E19</f>
        <v>52143.895533915893</v>
      </c>
      <c r="G19">
        <f>Portfolio!B$6*'CurrentPor-N10Unchanged'!F19</f>
        <v>3696.2945087936532</v>
      </c>
      <c r="H19">
        <f>Portfolio!B$7*'CurrentPor-N10Unchanged'!J19</f>
        <v>2064.3966957203747</v>
      </c>
      <c r="I19">
        <f t="shared" si="0"/>
        <v>96500.003526730376</v>
      </c>
      <c r="J19">
        <f t="shared" si="1"/>
        <v>5.9124846151680686</v>
      </c>
    </row>
    <row r="20" spans="1:10">
      <c r="A20" s="1">
        <v>45497</v>
      </c>
      <c r="B20">
        <f>(3/(1+('CurrentPor-N10Unchanged'!C20)/100)+103/POWER(1+('CurrentPor-N10Unchanged'!D20)/100,2))*100</f>
        <v>9707.5857774288397</v>
      </c>
      <c r="C20">
        <f>(3/(1+('CurrentPor-N10Unchanged'!C20+'CurrentPor-N10Unchanged'!G20)/100)+103/POWER(1+('CurrentPor-N10Unchanged'!D20+'CurrentPor-N10Unchanged'!G20)/100,2))*100</f>
        <v>9616.7705171512371</v>
      </c>
      <c r="D20">
        <f>(3/(1+('CurrentPor-N10Unchanged'!C20+'CurrentPor-N10Unchanged'!H20)/100)+103/POWER(1+('CurrentPor-N10Unchanged'!D20+'CurrentPor-N10Unchanged'!H20)/100,2))*100</f>
        <v>9590.0803677000113</v>
      </c>
      <c r="E20">
        <f>(3/(1+('CurrentPor-N10Unchanged'!C20+'CurrentPor-N10Unchanged'!I20)/100)+103/POWER(1+('CurrentPor-N10Unchanged'!D20+'CurrentPor-N10Unchanged'!I20)/100,2))*100</f>
        <v>9682.2456191808233</v>
      </c>
      <c r="F20">
        <f>Portfolio!B$5*'CurrentPor-N10Unchanged'!E20</f>
        <v>52143.895533915893</v>
      </c>
      <c r="G20">
        <f>Portfolio!B$6*'CurrentPor-N10Unchanged'!F20</f>
        <v>3696.2945087936532</v>
      </c>
      <c r="H20">
        <f>Portfolio!B$7*'CurrentPor-N10Unchanged'!J20</f>
        <v>2064.3958383788931</v>
      </c>
      <c r="I20">
        <f t="shared" si="0"/>
        <v>96501.268162549357</v>
      </c>
      <c r="J20">
        <f t="shared" si="1"/>
        <v>9.7039839247154305</v>
      </c>
    </row>
    <row r="21" spans="1:10">
      <c r="A21" s="1">
        <v>45498</v>
      </c>
      <c r="B21">
        <f>(3/(1+('CurrentPor-N10Unchanged'!C21)/100)+103/POWER(1+('CurrentPor-N10Unchanged'!D21)/100,2))*100</f>
        <v>9707.5857774288397</v>
      </c>
      <c r="C21">
        <f>(3/(1+('CurrentPor-N10Unchanged'!C21+'CurrentPor-N10Unchanged'!G21)/100)+103/POWER(1+('CurrentPor-N10Unchanged'!D21+'CurrentPor-N10Unchanged'!G21)/100,2))*100</f>
        <v>9614.9673582483465</v>
      </c>
      <c r="D21">
        <f>(3/(1+('CurrentPor-N10Unchanged'!C21+'CurrentPor-N10Unchanged'!H21)/100)+103/POWER(1+('CurrentPor-N10Unchanged'!D21+'CurrentPor-N10Unchanged'!H21)/100,2))*100</f>
        <v>9601.3477255280559</v>
      </c>
      <c r="E21">
        <f>(3/(1+('CurrentPor-N10Unchanged'!C21+'CurrentPor-N10Unchanged'!I21)/100)+103/POWER(1+('CurrentPor-N10Unchanged'!D21+'CurrentPor-N10Unchanged'!I21)/100,2))*100</f>
        <v>9681.1160491018709</v>
      </c>
      <c r="F21">
        <f>Portfolio!B$5*'CurrentPor-N10Unchanged'!E21</f>
        <v>52143.895533915893</v>
      </c>
      <c r="G21">
        <f>Portfolio!B$6*'CurrentPor-N10Unchanged'!F21</f>
        <v>3696.2945087936532</v>
      </c>
      <c r="H21">
        <f>Portfolio!B$7*'CurrentPor-N10Unchanged'!J21</f>
        <v>2064.3984767912734</v>
      </c>
      <c r="I21">
        <f t="shared" si="0"/>
        <v>96509.60542980794</v>
      </c>
      <c r="J21">
        <f t="shared" si="1"/>
        <v>12.930905638466356</v>
      </c>
    </row>
    <row r="22" spans="1:10">
      <c r="A22" s="1">
        <v>45499</v>
      </c>
      <c r="B22">
        <f>(3/(1+('CurrentPor-N10Unchanged'!C22)/100)+103/POWER(1+('CurrentPor-N10Unchanged'!D22)/100,2))*100</f>
        <v>9707.5857774288397</v>
      </c>
      <c r="C22">
        <f>(3/(1+('CurrentPor-N10Unchanged'!C22+'CurrentPor-N10Unchanged'!G22)/100)+103/POWER(1+('CurrentPor-N10Unchanged'!D22+'CurrentPor-N10Unchanged'!G22)/100,2))*100</f>
        <v>9616.7705171512371</v>
      </c>
      <c r="D22">
        <f>(3/(1+('CurrentPor-N10Unchanged'!C22+'CurrentPor-N10Unchanged'!H22)/100)+103/POWER(1+('CurrentPor-N10Unchanged'!D22+'CurrentPor-N10Unchanged'!H22)/100,2))*100</f>
        <v>9591.6421671244771</v>
      </c>
      <c r="E22">
        <f>(3/(1+('CurrentPor-N10Unchanged'!C22+'CurrentPor-N10Unchanged'!I22)/100)+103/POWER(1+('CurrentPor-N10Unchanged'!D22+'CurrentPor-N10Unchanged'!I22)/100,2))*100</f>
        <v>9682.8651459978046</v>
      </c>
      <c r="F22">
        <f>Portfolio!B$5*'CurrentPor-N10Unchanged'!E22</f>
        <v>52143.895533915893</v>
      </c>
      <c r="G22">
        <f>Portfolio!B$6*'CurrentPor-N10Unchanged'!F22</f>
        <v>3696.2945087936532</v>
      </c>
      <c r="H22">
        <f>Portfolio!B$7*'CurrentPor-N10Unchanged'!J22</f>
        <v>2064.4021591394285</v>
      </c>
      <c r="I22">
        <f t="shared" si="0"/>
        <v>96503.455809551335</v>
      </c>
      <c r="J22">
        <f t="shared" si="1"/>
        <v>7.7341904833010631</v>
      </c>
    </row>
    <row r="23" spans="1:10">
      <c r="A23" s="1">
        <v>45502</v>
      </c>
      <c r="B23">
        <f>(3/(1+('CurrentPor-N10Unchanged'!C23)/100)+103/POWER(1+('CurrentPor-N10Unchanged'!D23)/100,2))*100</f>
        <v>9707.5857774288397</v>
      </c>
      <c r="C23">
        <f>(3/(1+('CurrentPor-N10Unchanged'!C23+'CurrentPor-N10Unchanged'!G23)/100)+103/POWER(1+('CurrentPor-N10Unchanged'!D23+'CurrentPor-N10Unchanged'!G23)/100,2))*100</f>
        <v>9622.1830687052025</v>
      </c>
      <c r="D23">
        <f>(3/(1+('CurrentPor-N10Unchanged'!C23+'CurrentPor-N10Unchanged'!H23)/100)+103/POWER(1+('CurrentPor-N10Unchanged'!D23+'CurrentPor-N10Unchanged'!H23)/100,2))*100</f>
        <v>9612.9613775579364</v>
      </c>
      <c r="E23">
        <f>(3/(1+('CurrentPor-N10Unchanged'!C23+'CurrentPor-N10Unchanged'!I23)/100)+103/POWER(1+('CurrentPor-N10Unchanged'!D23+'CurrentPor-N10Unchanged'!I23)/100,2))*100</f>
        <v>9684.0132511794254</v>
      </c>
      <c r="F23">
        <f>Portfolio!B$5*'CurrentPor-N10Unchanged'!E23</f>
        <v>52143.895533915893</v>
      </c>
      <c r="G23">
        <f>Portfolio!B$6*'CurrentPor-N10Unchanged'!F23</f>
        <v>3696.2945087936532</v>
      </c>
      <c r="H23">
        <f>Portfolio!B$7*'CurrentPor-N10Unchanged'!J23</f>
        <v>2064.4004394596232</v>
      </c>
      <c r="I23">
        <f t="shared" si="0"/>
        <v>96531.333957040566</v>
      </c>
      <c r="J23">
        <f t="shared" si="1"/>
        <v>36.625036796322092</v>
      </c>
    </row>
    <row r="24" spans="1:10">
      <c r="A24" s="1">
        <v>45503</v>
      </c>
      <c r="B24">
        <f>(3/(1+('CurrentPor-N10Unchanged'!C24)/100)+103/POWER(1+('CurrentPor-N10Unchanged'!D24)/100,2))*100</f>
        <v>9707.5857774288397</v>
      </c>
      <c r="C24">
        <f>(3/(1+('CurrentPor-N10Unchanged'!C24+'CurrentPor-N10Unchanged'!G24)/100)+103/POWER(1+('CurrentPor-N10Unchanged'!D24+'CurrentPor-N10Unchanged'!G24)/100,2))*100</f>
        <v>9622.1830687052025</v>
      </c>
      <c r="D24">
        <f>(3/(1+('CurrentPor-N10Unchanged'!C24+'CurrentPor-N10Unchanged'!H24)/100)+103/POWER(1+('CurrentPor-N10Unchanged'!D24+'CurrentPor-N10Unchanged'!H24)/100,2))*100</f>
        <v>9604.3100646544463</v>
      </c>
      <c r="E24">
        <f>(3/(1+('CurrentPor-N10Unchanged'!C24+'CurrentPor-N10Unchanged'!I24)/100)+103/POWER(1+('CurrentPor-N10Unchanged'!D24+'CurrentPor-N10Unchanged'!I24)/100,2))*100</f>
        <v>9683.0473718095345</v>
      </c>
      <c r="F24">
        <f>Portfolio!B$5*'CurrentPor-N10Unchanged'!E24</f>
        <v>52143.895533915893</v>
      </c>
      <c r="G24">
        <f>Portfolio!B$6*'CurrentPor-N10Unchanged'!F24</f>
        <v>3696.2945087936532</v>
      </c>
      <c r="H24">
        <f>Portfolio!B$7*'CurrentPor-N10Unchanged'!J24</f>
        <v>2064.4098978622233</v>
      </c>
      <c r="I24">
        <f t="shared" si="0"/>
        <v>96521.726223169782</v>
      </c>
      <c r="J24">
        <f t="shared" si="1"/>
        <v>3.3860524944466306</v>
      </c>
    </row>
    <row r="25" spans="1:10">
      <c r="A25" s="1">
        <v>45504</v>
      </c>
      <c r="B25">
        <f>(3/(1+('CurrentPor-N10Unchanged'!C25)/100)+103/POWER(1+('CurrentPor-N10Unchanged'!D25)/100,2))*100</f>
        <v>9707.5857774288397</v>
      </c>
      <c r="C25">
        <f>(3/(1+('CurrentPor-N10Unchanged'!C25+'CurrentPor-N10Unchanged'!G25)/100)+103/POWER(1+('CurrentPor-N10Unchanged'!D25+'CurrentPor-N10Unchanged'!G25)/100,2))*100</f>
        <v>9622.1830687052025</v>
      </c>
      <c r="D25">
        <f>(3/(1+('CurrentPor-N10Unchanged'!C25+'CurrentPor-N10Unchanged'!H25)/100)+103/POWER(1+('CurrentPor-N10Unchanged'!D25+'CurrentPor-N10Unchanged'!H25)/100,2))*100</f>
        <v>9600.8525262647672</v>
      </c>
      <c r="E25">
        <f>(3/(1+('CurrentPor-N10Unchanged'!C25+'CurrentPor-N10Unchanged'!I25)/100)+103/POWER(1+('CurrentPor-N10Unchanged'!D25+'CurrentPor-N10Unchanged'!I25)/100,2))*100</f>
        <v>9681.5714969712353</v>
      </c>
      <c r="F25">
        <f>Portfolio!B$5*'CurrentPor-N10Unchanged'!E25</f>
        <v>52143.895533915893</v>
      </c>
      <c r="G25">
        <f>Portfolio!B$6*'CurrentPor-N10Unchanged'!F25</f>
        <v>3696.2945087936532</v>
      </c>
      <c r="H25">
        <f>Portfolio!B$7*'CurrentPor-N10Unchanged'!J25</f>
        <v>2064.399471591425</v>
      </c>
      <c r="I25">
        <f t="shared" si="0"/>
        <v>96516.78238367103</v>
      </c>
      <c r="J25">
        <f t="shared" si="1"/>
        <v>1.614431461202912</v>
      </c>
    </row>
    <row r="26" spans="1:10">
      <c r="A26" s="1">
        <v>45505</v>
      </c>
      <c r="B26">
        <f>(3/(1+('CurrentPor-N10Unchanged'!C26)/100)+103/POWER(1+('CurrentPor-N10Unchanged'!D26)/100,2))*100</f>
        <v>9707.5857774288397</v>
      </c>
      <c r="C26">
        <f>(3/(1+('CurrentPor-N10Unchanged'!C26+'CurrentPor-N10Unchanged'!G26)/100)+103/POWER(1+('CurrentPor-N10Unchanged'!D26+'CurrentPor-N10Unchanged'!G26)/100,2))*100</f>
        <v>9620.3783721850123</v>
      </c>
      <c r="D26">
        <f>(3/(1+('CurrentPor-N10Unchanged'!C26+'CurrentPor-N10Unchanged'!H26)/100)+103/POWER(1+('CurrentPor-N10Unchanged'!D26+'CurrentPor-N10Unchanged'!H26)/100,2))*100</f>
        <v>9592.3973171120942</v>
      </c>
      <c r="E26">
        <f>(3/(1+('CurrentPor-N10Unchanged'!C26+'CurrentPor-N10Unchanged'!I26)/100)+103/POWER(1+('CurrentPor-N10Unchanged'!D26+'CurrentPor-N10Unchanged'!I26)/100,2))*100</f>
        <v>9682.5007116969864</v>
      </c>
      <c r="F26">
        <f>Portfolio!B$5*'CurrentPor-N10Unchanged'!E26</f>
        <v>52143.895533915893</v>
      </c>
      <c r="G26">
        <f>Portfolio!B$6*'CurrentPor-N10Unchanged'!F26</f>
        <v>3696.2945087936532</v>
      </c>
      <c r="H26">
        <f>Portfolio!B$7*'CurrentPor-N10Unchanged'!J26</f>
        <v>2064.3974944062757</v>
      </c>
      <c r="I26">
        <f t="shared" si="0"/>
        <v>96507.449715538751</v>
      </c>
      <c r="J26">
        <f t="shared" si="1"/>
        <v>-0.83239593041071203</v>
      </c>
    </row>
    <row r="27" spans="1:10">
      <c r="A27" s="1">
        <v>45506</v>
      </c>
      <c r="B27">
        <f>(3/(1+('CurrentPor-N10Unchanged'!C27)/100)+103/POWER(1+('CurrentPor-N10Unchanged'!D27)/100,2))*100</f>
        <v>9707.5857774288397</v>
      </c>
      <c r="C27">
        <f>(3/(1+('CurrentPor-N10Unchanged'!C27+'CurrentPor-N10Unchanged'!G27)/100)+103/POWER(1+('CurrentPor-N10Unchanged'!D27+'CurrentPor-N10Unchanged'!G27)/100,2))*100</f>
        <v>9620.3783721850123</v>
      </c>
      <c r="D27">
        <f>(3/(1+('CurrentPor-N10Unchanged'!C27+'CurrentPor-N10Unchanged'!H27)/100)+103/POWER(1+('CurrentPor-N10Unchanged'!D27+'CurrentPor-N10Unchanged'!H27)/100,2))*100</f>
        <v>9580.1025386134588</v>
      </c>
      <c r="E27">
        <f>(3/(1+('CurrentPor-N10Unchanged'!C27+'CurrentPor-N10Unchanged'!I27)/100)+103/POWER(1+('CurrentPor-N10Unchanged'!D27+'CurrentPor-N10Unchanged'!I27)/100,2))*100</f>
        <v>9683.0655932861519</v>
      </c>
      <c r="F27">
        <f>Portfolio!B$5*'CurrentPor-N10Unchanged'!E27</f>
        <v>52143.895533915893</v>
      </c>
      <c r="G27">
        <f>Portfolio!B$6*'CurrentPor-N10Unchanged'!F27</f>
        <v>3696.2945087936532</v>
      </c>
      <c r="H27">
        <f>Portfolio!B$7*'CurrentPor-N10Unchanged'!J27</f>
        <v>2064.3958813857553</v>
      </c>
      <c r="I27">
        <f t="shared" si="0"/>
        <v>96495.718205608762</v>
      </c>
      <c r="J27">
        <f t="shared" si="1"/>
        <v>-23.294602727197343</v>
      </c>
    </row>
    <row r="28" spans="1:10">
      <c r="A28" s="1">
        <v>45509</v>
      </c>
      <c r="B28">
        <f>(3/(1+('CurrentPor-N10Unchanged'!C28)/100)+103/POWER(1+('CurrentPor-N10Unchanged'!D28)/100,2))*100</f>
        <v>9707.5857774288397</v>
      </c>
      <c r="C28">
        <f>(3/(1+('CurrentPor-N10Unchanged'!C28+'CurrentPor-N10Unchanged'!G28)/100)+103/POWER(1+('CurrentPor-N10Unchanged'!D28+'CurrentPor-N10Unchanged'!G28)/100,2))*100</f>
        <v>9622.1830687052025</v>
      </c>
      <c r="D28">
        <f>(3/(1+('CurrentPor-N10Unchanged'!C28+'CurrentPor-N10Unchanged'!H28)/100)+103/POWER(1+('CurrentPor-N10Unchanged'!D28+'CurrentPor-N10Unchanged'!H28)/100,2))*100</f>
        <v>9613.4258203789323</v>
      </c>
      <c r="E28">
        <f>(3/(1+('CurrentPor-N10Unchanged'!C28+'CurrentPor-N10Unchanged'!I28)/100)+103/POWER(1+('CurrentPor-N10Unchanged'!D28+'CurrentPor-N10Unchanged'!I28)/100,2))*100</f>
        <v>9682.8104799624489</v>
      </c>
      <c r="F28">
        <f>Portfolio!B$5*'CurrentPor-N10Unchanged'!E28</f>
        <v>52143.895533915893</v>
      </c>
      <c r="G28">
        <f>Portfolio!B$6*'CurrentPor-N10Unchanged'!F28</f>
        <v>3696.2945087936532</v>
      </c>
      <c r="H28">
        <f>Portfolio!B$7*'CurrentPor-N10Unchanged'!J28</f>
        <v>2064.4004629902288</v>
      </c>
      <c r="I28">
        <f t="shared" si="0"/>
        <v>96530.595652175209</v>
      </c>
      <c r="J28">
        <f t="shared" si="1"/>
        <v>17.723060408039601</v>
      </c>
    </row>
    <row r="29" spans="1:10">
      <c r="A29" s="1">
        <v>45510</v>
      </c>
      <c r="B29">
        <f>(3/(1+('CurrentPor-N10Unchanged'!C29)/100)+103/POWER(1+('CurrentPor-N10Unchanged'!D29)/100,2))*100</f>
        <v>9707.5857774288397</v>
      </c>
      <c r="C29">
        <f>(3/(1+('CurrentPor-N10Unchanged'!C29+'CurrentPor-N10Unchanged'!G29)/100)+103/POWER(1+('CurrentPor-N10Unchanged'!D29+'CurrentPor-N10Unchanged'!G29)/100,2))*100</f>
        <v>9620.3783721850123</v>
      </c>
      <c r="D29">
        <f>(3/(1+('CurrentPor-N10Unchanged'!C29+'CurrentPor-N10Unchanged'!H29)/100)+103/POWER(1+('CurrentPor-N10Unchanged'!D29+'CurrentPor-N10Unchanged'!H29)/100,2))*100</f>
        <v>9596.3427647590433</v>
      </c>
      <c r="E29">
        <f>(3/(1+('CurrentPor-N10Unchanged'!C29+'CurrentPor-N10Unchanged'!I29)/100)+103/POWER(1+('CurrentPor-N10Unchanged'!D29+'CurrentPor-N10Unchanged'!I29)/100,2))*100</f>
        <v>9681.6990276353554</v>
      </c>
      <c r="F29">
        <f>Portfolio!B$5*'CurrentPor-N10Unchanged'!E29</f>
        <v>52143.895533915893</v>
      </c>
      <c r="G29">
        <f>Portfolio!B$6*'CurrentPor-N10Unchanged'!F29</f>
        <v>3696.2945087936532</v>
      </c>
      <c r="H29">
        <f>Portfolio!B$7*'CurrentPor-N10Unchanged'!J29</f>
        <v>2064.3953722484885</v>
      </c>
      <c r="I29">
        <f t="shared" si="0"/>
        <v>96510.591356966281</v>
      </c>
      <c r="J29">
        <f t="shared" si="1"/>
        <v>10.58783023590513</v>
      </c>
    </row>
    <row r="30" spans="1:10">
      <c r="A30" s="1">
        <v>45511</v>
      </c>
      <c r="B30">
        <f>(3/(1+('CurrentPor-N10Unchanged'!C30)/100)+103/POWER(1+('CurrentPor-N10Unchanged'!D30)/100,2))*100</f>
        <v>9707.5857774288397</v>
      </c>
      <c r="C30">
        <f>(3/(1+('CurrentPor-N10Unchanged'!C30+'CurrentPor-N10Unchanged'!G30)/100)+103/POWER(1+('CurrentPor-N10Unchanged'!D30+'CurrentPor-N10Unchanged'!G30)/100,2))*100</f>
        <v>9620.3783721850123</v>
      </c>
      <c r="D30">
        <f>(3/(1+('CurrentPor-N10Unchanged'!C30+'CurrentPor-N10Unchanged'!H30)/100)+103/POWER(1+('CurrentPor-N10Unchanged'!D30+'CurrentPor-N10Unchanged'!H30)/100,2))*100</f>
        <v>9614.4858949066092</v>
      </c>
      <c r="E30">
        <f>(3/(1+('CurrentPor-N10Unchanged'!C30+'CurrentPor-N10Unchanged'!I30)/100)+103/POWER(1+('CurrentPor-N10Unchanged'!D30+'CurrentPor-N10Unchanged'!I30)/100,2))*100</f>
        <v>9679.4038563019276</v>
      </c>
      <c r="F30">
        <f>Portfolio!B$5*'CurrentPor-N10Unchanged'!E30</f>
        <v>52143.895533915893</v>
      </c>
      <c r="G30">
        <f>Portfolio!B$6*'CurrentPor-N10Unchanged'!F30</f>
        <v>3696.2945087936532</v>
      </c>
      <c r="H30">
        <f>Portfolio!B$7*'CurrentPor-N10Unchanged'!J30</f>
        <v>2064.392354786442</v>
      </c>
      <c r="I30">
        <f t="shared" si="0"/>
        <v>96526.436298318367</v>
      </c>
      <c r="J30">
        <f t="shared" si="1"/>
        <v>25.168135769010405</v>
      </c>
    </row>
    <row r="31" spans="1:10">
      <c r="A31" s="1">
        <v>45512</v>
      </c>
      <c r="B31">
        <f>(3/(1+('CurrentPor-N10Unchanged'!C31)/100)+103/POWER(1+('CurrentPor-N10Unchanged'!D31)/100,2))*100</f>
        <v>9707.5857774288397</v>
      </c>
      <c r="C31">
        <f>(3/(1+('CurrentPor-N10Unchanged'!C31+'CurrentPor-N10Unchanged'!G31)/100)+103/POWER(1+('CurrentPor-N10Unchanged'!D31+'CurrentPor-N10Unchanged'!G31)/100,2))*100</f>
        <v>9622.1830687052025</v>
      </c>
      <c r="D31">
        <f>(3/(1+('CurrentPor-N10Unchanged'!C31+'CurrentPor-N10Unchanged'!H31)/100)+103/POWER(1+('CurrentPor-N10Unchanged'!D31+'CurrentPor-N10Unchanged'!H31)/100,2))*100</f>
        <v>9597.2415742954363</v>
      </c>
      <c r="E31">
        <f>(3/(1+('CurrentPor-N10Unchanged'!C31+'CurrentPor-N10Unchanged'!I31)/100)+103/POWER(1+('CurrentPor-N10Unchanged'!D31+'CurrentPor-N10Unchanged'!I31)/100,2))*100</f>
        <v>9680.5149077507449</v>
      </c>
      <c r="F31">
        <f>Portfolio!B$5*'CurrentPor-N10Unchanged'!E31</f>
        <v>52143.895533915893</v>
      </c>
      <c r="G31">
        <f>Portfolio!B$6*'CurrentPor-N10Unchanged'!F31</f>
        <v>3696.2945087936532</v>
      </c>
      <c r="H31">
        <f>Portfolio!B$7*'CurrentPor-N10Unchanged'!J31</f>
        <v>2064.4065153141491</v>
      </c>
      <c r="I31">
        <f t="shared" si="0"/>
        <v>96512.121886203939</v>
      </c>
      <c r="J31">
        <f t="shared" si="1"/>
        <v>2.51645639599883</v>
      </c>
    </row>
    <row r="32" spans="1:10">
      <c r="A32" s="1">
        <v>45513</v>
      </c>
      <c r="B32">
        <f>(3/(1+('CurrentPor-N10Unchanged'!C32)/100)+103/POWER(1+('CurrentPor-N10Unchanged'!D32)/100,2))*100</f>
        <v>9707.5857774288397</v>
      </c>
      <c r="C32">
        <f>(3/(1+('CurrentPor-N10Unchanged'!C32+'CurrentPor-N10Unchanged'!G32)/100)+103/POWER(1+('CurrentPor-N10Unchanged'!D32+'CurrentPor-N10Unchanged'!G32)/100,2))*100</f>
        <v>9622.1830687052025</v>
      </c>
      <c r="D32">
        <f>(3/(1+('CurrentPor-N10Unchanged'!C32+'CurrentPor-N10Unchanged'!H32)/100)+103/POWER(1+('CurrentPor-N10Unchanged'!D32+'CurrentPor-N10Unchanged'!H32)/100,2))*100</f>
        <v>9608.6398236915338</v>
      </c>
      <c r="E32">
        <f>(3/(1+('CurrentPor-N10Unchanged'!C32+'CurrentPor-N10Unchanged'!I32)/100)+103/POWER(1+('CurrentPor-N10Unchanged'!D32+'CurrentPor-N10Unchanged'!I32)/100,2))*100</f>
        <v>9680.0777498733969</v>
      </c>
      <c r="F32">
        <f>Portfolio!B$5*'CurrentPor-N10Unchanged'!E32</f>
        <v>52143.895533915893</v>
      </c>
      <c r="G32">
        <f>Portfolio!B$6*'CurrentPor-N10Unchanged'!F32</f>
        <v>3696.2945087936532</v>
      </c>
      <c r="H32">
        <f>Portfolio!B$7*'CurrentPor-N10Unchanged'!J32</f>
        <v>2064.3938111692692</v>
      </c>
      <c r="I32">
        <f t="shared" si="0"/>
        <v>96523.070273577789</v>
      </c>
      <c r="J32">
        <f t="shared" si="1"/>
        <v>19.614464026453788</v>
      </c>
    </row>
    <row r="33" spans="1:10">
      <c r="A33" s="1">
        <v>45516</v>
      </c>
      <c r="B33">
        <f>(3/(1+('CurrentPor-N10Unchanged'!C33)/100)+103/POWER(1+('CurrentPor-N10Unchanged'!D33)/100,2))*100</f>
        <v>9707.5857774288397</v>
      </c>
      <c r="C33">
        <f>(3/(1+('CurrentPor-N10Unchanged'!C33+'CurrentPor-N10Unchanged'!G33)/100)+103/POWER(1+('CurrentPor-N10Unchanged'!D33+'CurrentPor-N10Unchanged'!G33)/100,2))*100</f>
        <v>9625.7940007261659</v>
      </c>
      <c r="D33">
        <f>(3/(1+('CurrentPor-N10Unchanged'!C33+'CurrentPor-N10Unchanged'!H33)/100)+103/POWER(1+('CurrentPor-N10Unchanged'!D33+'CurrentPor-N10Unchanged'!H33)/100,2))*100</f>
        <v>9606.527963993005</v>
      </c>
      <c r="E33">
        <f>(3/(1+('CurrentPor-N10Unchanged'!C33+'CurrentPor-N10Unchanged'!I33)/100)+103/POWER(1+('CurrentPor-N10Unchanged'!D33+'CurrentPor-N10Unchanged'!I33)/100,2))*100</f>
        <v>9682.7375920633258</v>
      </c>
      <c r="F33">
        <f>Portfolio!B$5*'CurrentPor-N10Unchanged'!E33</f>
        <v>52143.895533915893</v>
      </c>
      <c r="G33">
        <f>Portfolio!B$6*'CurrentPor-N10Unchanged'!F33</f>
        <v>3696.2945087936532</v>
      </c>
      <c r="H33">
        <f>Portfolio!B$7*'CurrentPor-N10Unchanged'!J33</f>
        <v>2064.3960459494347</v>
      </c>
      <c r="I33">
        <f t="shared" si="0"/>
        <v>96527.231422870318</v>
      </c>
      <c r="J33">
        <f t="shared" si="1"/>
        <v>-4.1025341702479636</v>
      </c>
    </row>
    <row r="34" spans="1:10">
      <c r="A34" s="1">
        <v>45517</v>
      </c>
      <c r="B34">
        <f>(3/(1+('CurrentPor-N10Unchanged'!C34)/100)+103/POWER(1+('CurrentPor-N10Unchanged'!D34)/100,2))*100</f>
        <v>9707.5857774288397</v>
      </c>
      <c r="C34">
        <f>(3/(1+('CurrentPor-N10Unchanged'!C34+'CurrentPor-N10Unchanged'!G34)/100)+103/POWER(1+('CurrentPor-N10Unchanged'!D34+'CurrentPor-N10Unchanged'!G34)/100,2))*100</f>
        <v>9625.7940007261659</v>
      </c>
      <c r="D34">
        <f>(3/(1+('CurrentPor-N10Unchanged'!C34+'CurrentPor-N10Unchanged'!H34)/100)+103/POWER(1+('CurrentPor-N10Unchanged'!D34+'CurrentPor-N10Unchanged'!H34)/100,2))*100</f>
        <v>9594.5377309936757</v>
      </c>
      <c r="E34">
        <f>(3/(1+('CurrentPor-N10Unchanged'!C34+'CurrentPor-N10Unchanged'!I34)/100)+103/POWER(1+('CurrentPor-N10Unchanged'!D34+'CurrentPor-N10Unchanged'!I34)/100,2))*100</f>
        <v>9683.2296010785903</v>
      </c>
      <c r="F34">
        <f>Portfolio!B$5*'CurrentPor-N10Unchanged'!E34</f>
        <v>52143.895533915893</v>
      </c>
      <c r="G34">
        <f>Portfolio!B$6*'CurrentPor-N10Unchanged'!F34</f>
        <v>3696.2945087936532</v>
      </c>
      <c r="H34">
        <f>Portfolio!B$7*'CurrentPor-N10Unchanged'!J34</f>
        <v>2064.4009432863568</v>
      </c>
      <c r="I34">
        <f t="shared" si="0"/>
        <v>96515.738096223169</v>
      </c>
      <c r="J34">
        <f t="shared" si="1"/>
        <v>-5.9881269466131926</v>
      </c>
    </row>
    <row r="35" spans="1:10">
      <c r="A35" s="1">
        <v>45518</v>
      </c>
      <c r="B35">
        <f>(3/(1+('CurrentPor-N10Unchanged'!C35)/100)+103/POWER(1+('CurrentPor-N10Unchanged'!D35)/100,2))*100</f>
        <v>9707.5857774288397</v>
      </c>
      <c r="C35">
        <f>(3/(1+('CurrentPor-N10Unchanged'!C35+'CurrentPor-N10Unchanged'!G35)/100)+103/POWER(1+('CurrentPor-N10Unchanged'!D35+'CurrentPor-N10Unchanged'!G35)/100,2))*100</f>
        <v>9622.1830687052025</v>
      </c>
      <c r="D35">
        <f>(3/(1+('CurrentPor-N10Unchanged'!C35+'CurrentPor-N10Unchanged'!H35)/100)+103/POWER(1+('CurrentPor-N10Unchanged'!D35+'CurrentPor-N10Unchanged'!H35)/100,2))*100</f>
        <v>9608.7326212558746</v>
      </c>
      <c r="E35">
        <f>(3/(1+('CurrentPor-N10Unchanged'!C35+'CurrentPor-N10Unchanged'!I35)/100)+103/POWER(1+('CurrentPor-N10Unchanged'!D35+'CurrentPor-N10Unchanged'!I35)/100,2))*100</f>
        <v>9682.9744812089939</v>
      </c>
      <c r="F35">
        <f>Portfolio!B$5*'CurrentPor-N10Unchanged'!E35</f>
        <v>52143.895533915893</v>
      </c>
      <c r="G35">
        <f>Portfolio!B$6*'CurrentPor-N10Unchanged'!F35</f>
        <v>3696.2945087936532</v>
      </c>
      <c r="H35">
        <f>Portfolio!B$7*'CurrentPor-N10Unchanged'!J35</f>
        <v>2064.3977175900345</v>
      </c>
      <c r="I35">
        <f t="shared" si="0"/>
        <v>96526.063708898495</v>
      </c>
      <c r="J35">
        <f t="shared" si="1"/>
        <v>9.2813252274645492</v>
      </c>
    </row>
    <row r="36" spans="1:10">
      <c r="A36" s="1">
        <v>45519</v>
      </c>
      <c r="B36">
        <f>(3/(1+('CurrentPor-N10Unchanged'!C36)/100)+103/POWER(1+('CurrentPor-N10Unchanged'!D36)/100,2))*100</f>
        <v>9707.5857774288397</v>
      </c>
      <c r="C36">
        <f>(3/(1+('CurrentPor-N10Unchanged'!C36+'CurrentPor-N10Unchanged'!G36)/100)+103/POWER(1+('CurrentPor-N10Unchanged'!D36+'CurrentPor-N10Unchanged'!G36)/100,2))*100</f>
        <v>9622.1830687052025</v>
      </c>
      <c r="D36">
        <f>(3/(1+('CurrentPor-N10Unchanged'!C36+'CurrentPor-N10Unchanged'!H36)/100)+103/POWER(1+('CurrentPor-N10Unchanged'!D36+'CurrentPor-N10Unchanged'!H36)/100,2))*100</f>
        <v>9607.5616854519176</v>
      </c>
      <c r="E36">
        <f>(3/(1+('CurrentPor-N10Unchanged'!C36+'CurrentPor-N10Unchanged'!I36)/100)+103/POWER(1+('CurrentPor-N10Unchanged'!D36+'CurrentPor-N10Unchanged'!I36)/100,2))*100</f>
        <v>9683.3024945884808</v>
      </c>
      <c r="F36">
        <f>Portfolio!B$5*'CurrentPor-N10Unchanged'!E36</f>
        <v>52143.895533915893</v>
      </c>
      <c r="G36">
        <f>Portfolio!B$6*'CurrentPor-N10Unchanged'!F36</f>
        <v>3696.2945087936532</v>
      </c>
      <c r="H36">
        <f>Portfolio!B$7*'CurrentPor-N10Unchanged'!J36</f>
        <v>2064.4023647719459</v>
      </c>
      <c r="I36">
        <f t="shared" si="0"/>
        <v>96525.225433655942</v>
      </c>
      <c r="J36">
        <f t="shared" si="1"/>
        <v>17.775718117190991</v>
      </c>
    </row>
    <row r="37" spans="1:10">
      <c r="A37" s="1">
        <v>45520</v>
      </c>
      <c r="B37">
        <f>(3/(1+('CurrentPor-N10Unchanged'!C37)/100)+103/POWER(1+('CurrentPor-N10Unchanged'!D37)/100,2))*100</f>
        <v>9707.5857774288397</v>
      </c>
      <c r="C37">
        <f>(3/(1+('CurrentPor-N10Unchanged'!C37+'CurrentPor-N10Unchanged'!G37)/100)+103/POWER(1+('CurrentPor-N10Unchanged'!D37+'CurrentPor-N10Unchanged'!G37)/100,2))*100</f>
        <v>9622.1830687052025</v>
      </c>
      <c r="D37">
        <f>(3/(1+('CurrentPor-N10Unchanged'!C37+'CurrentPor-N10Unchanged'!H37)/100)+103/POWER(1+('CurrentPor-N10Unchanged'!D37+'CurrentPor-N10Unchanged'!H37)/100,2))*100</f>
        <v>9606.1106357583994</v>
      </c>
      <c r="E37">
        <f>(3/(1+('CurrentPor-N10Unchanged'!C37+'CurrentPor-N10Unchanged'!I37)/100)+103/POWER(1+('CurrentPor-N10Unchanged'!D37+'CurrentPor-N10Unchanged'!I37)/100,2))*100</f>
        <v>9682.4642685408926</v>
      </c>
      <c r="F37">
        <f>Portfolio!B$5*'CurrentPor-N10Unchanged'!E37</f>
        <v>52143.895533915893</v>
      </c>
      <c r="G37">
        <f>Portfolio!B$6*'CurrentPor-N10Unchanged'!F37</f>
        <v>3696.2945087936532</v>
      </c>
      <c r="H37">
        <f>Portfolio!B$7*'CurrentPor-N10Unchanged'!J37</f>
        <v>2064.3960288178491</v>
      </c>
      <c r="I37">
        <f t="shared" si="0"/>
        <v>96522.92982196073</v>
      </c>
      <c r="J37">
        <f t="shared" si="1"/>
        <v>27.211616351967677</v>
      </c>
    </row>
    <row r="38" spans="1:10">
      <c r="A38" s="1">
        <v>45523</v>
      </c>
      <c r="B38">
        <f>(3/(1+('CurrentPor-N10Unchanged'!C38)/100)+103/POWER(1+('CurrentPor-N10Unchanged'!D38)/100,2))*100</f>
        <v>9707.5857774288397</v>
      </c>
      <c r="C38">
        <f>(3/(1+('CurrentPor-N10Unchanged'!C38+'CurrentPor-N10Unchanged'!G38)/100)+103/POWER(1+('CurrentPor-N10Unchanged'!D38+'CurrentPor-N10Unchanged'!G38)/100,2))*100</f>
        <v>9620.3783721850123</v>
      </c>
      <c r="D38">
        <f>(3/(1+('CurrentPor-N10Unchanged'!C38+'CurrentPor-N10Unchanged'!H38)/100)+103/POWER(1+('CurrentPor-N10Unchanged'!D38+'CurrentPor-N10Unchanged'!H38)/100,2))*100</f>
        <v>9584.5899894685554</v>
      </c>
      <c r="E38">
        <f>(3/(1+('CurrentPor-N10Unchanged'!C38+'CurrentPor-N10Unchanged'!I38)/100)+103/POWER(1+('CurrentPor-N10Unchanged'!D38+'CurrentPor-N10Unchanged'!I38)/100,2))*100</f>
        <v>9682.1909584439472</v>
      </c>
      <c r="F38">
        <f>Portfolio!B$5*'CurrentPor-N10Unchanged'!E38</f>
        <v>52143.895533915893</v>
      </c>
      <c r="G38">
        <f>Portfolio!B$6*'CurrentPor-N10Unchanged'!F38</f>
        <v>3696.2945087936532</v>
      </c>
      <c r="H38">
        <f>Portfolio!B$7*'CurrentPor-N10Unchanged'!J38</f>
        <v>2064.398387890491</v>
      </c>
      <c r="I38">
        <f t="shared" si="0"/>
        <v>96499.333528126386</v>
      </c>
      <c r="J38">
        <f t="shared" si="1"/>
        <v>-31.262124048822443</v>
      </c>
    </row>
    <row r="39" spans="1:10">
      <c r="A39" s="1">
        <v>45524</v>
      </c>
      <c r="B39">
        <f>(3/(1+('CurrentPor-N10Unchanged'!C39)/100)+103/POWER(1+('CurrentPor-N10Unchanged'!D39)/100,2))*100</f>
        <v>9707.5857774288397</v>
      </c>
      <c r="C39">
        <f>(3/(1+('CurrentPor-N10Unchanged'!C39+'CurrentPor-N10Unchanged'!G39)/100)+103/POWER(1+('CurrentPor-N10Unchanged'!D39+'CurrentPor-N10Unchanged'!G39)/100,2))*100</f>
        <v>9622.1830687052025</v>
      </c>
      <c r="D39">
        <f>(3/(1+('CurrentPor-N10Unchanged'!C39+'CurrentPor-N10Unchanged'!H39)/100)+103/POWER(1+('CurrentPor-N10Unchanged'!D39+'CurrentPor-N10Unchanged'!H39)/100,2))*100</f>
        <v>9592.986627535307</v>
      </c>
      <c r="E39">
        <f>(3/(1+('CurrentPor-N10Unchanged'!C39+'CurrentPor-N10Unchanged'!I39)/100)+103/POWER(1+('CurrentPor-N10Unchanged'!D39+'CurrentPor-N10Unchanged'!I39)/100,2))*100</f>
        <v>9682.2820610902218</v>
      </c>
      <c r="F39">
        <f>Portfolio!B$5*'CurrentPor-N10Unchanged'!E39</f>
        <v>52143.895533915893</v>
      </c>
      <c r="G39">
        <f>Portfolio!B$6*'CurrentPor-N10Unchanged'!F39</f>
        <v>3696.2945087936532</v>
      </c>
      <c r="H39">
        <f>Portfolio!B$7*'CurrentPor-N10Unchanged'!J39</f>
        <v>2064.4024687181927</v>
      </c>
      <c r="I39">
        <f t="shared" si="0"/>
        <v>96509.630046187303</v>
      </c>
      <c r="J39">
        <f t="shared" si="1"/>
        <v>-0.9613107789773494</v>
      </c>
    </row>
    <row r="40" spans="1:10">
      <c r="A40" s="1">
        <v>45525</v>
      </c>
      <c r="B40">
        <f>(3/(1+('CurrentPor-N10Unchanged'!C40)/100)+103/POWER(1+('CurrentPor-N10Unchanged'!D40)/100,2))*100</f>
        <v>9707.5857774288397</v>
      </c>
      <c r="C40">
        <f>(3/(1+('CurrentPor-N10Unchanged'!C40+'CurrentPor-N10Unchanged'!G40)/100)+103/POWER(1+('CurrentPor-N10Unchanged'!D40+'CurrentPor-N10Unchanged'!G40)/100,2))*100</f>
        <v>9620.3783721850123</v>
      </c>
      <c r="D40">
        <f>(3/(1+('CurrentPor-N10Unchanged'!C40+'CurrentPor-N10Unchanged'!H40)/100)+103/POWER(1+('CurrentPor-N10Unchanged'!D40+'CurrentPor-N10Unchanged'!H40)/100,2))*100</f>
        <v>9590.0459785141047</v>
      </c>
      <c r="E40">
        <f>(3/(1+('CurrentPor-N10Unchanged'!C40+'CurrentPor-N10Unchanged'!I40)/100)+103/POWER(1+('CurrentPor-N10Unchanged'!D40+'CurrentPor-N10Unchanged'!I40)/100,2))*100</f>
        <v>9683.5029573304655</v>
      </c>
      <c r="F40">
        <f>Portfolio!B$5*'CurrentPor-N10Unchanged'!E40</f>
        <v>52143.895533915893</v>
      </c>
      <c r="G40">
        <f>Portfolio!B$6*'CurrentPor-N10Unchanged'!F40</f>
        <v>3696.2945087936532</v>
      </c>
      <c r="H40">
        <f>Portfolio!B$7*'CurrentPor-N10Unchanged'!J40</f>
        <v>2064.3952830167896</v>
      </c>
      <c r="I40">
        <f t="shared" si="0"/>
        <v>96506.09841118475</v>
      </c>
      <c r="J40">
        <f t="shared" si="1"/>
        <v>-20.337887133617187</v>
      </c>
    </row>
    <row r="41" spans="1:10">
      <c r="A41" s="1">
        <v>45526</v>
      </c>
      <c r="B41">
        <f>(3/(1+('CurrentPor-N10Unchanged'!C41)/100)+103/POWER(1+('CurrentPor-N10Unchanged'!D41)/100,2))*100</f>
        <v>9707.5857774288397</v>
      </c>
      <c r="C41">
        <f>(3/(1+('CurrentPor-N10Unchanged'!C41+'CurrentPor-N10Unchanged'!G41)/100)+103/POWER(1+('CurrentPor-N10Unchanged'!D41+'CurrentPor-N10Unchanged'!G41)/100,2))*100</f>
        <v>9620.3783721850123</v>
      </c>
      <c r="D41">
        <f>(3/(1+('CurrentPor-N10Unchanged'!C41+'CurrentPor-N10Unchanged'!H41)/100)+103/POWER(1+('CurrentPor-N10Unchanged'!D41+'CurrentPor-N10Unchanged'!H41)/100,2))*100</f>
        <v>9590.3986063913599</v>
      </c>
      <c r="E41">
        <f>(3/(1+('CurrentPor-N10Unchanged'!C41+'CurrentPor-N10Unchanged'!I41)/100)+103/POWER(1+('CurrentPor-N10Unchanged'!D41+'CurrentPor-N10Unchanged'!I41)/100,2))*100</f>
        <v>9681.2800068736287</v>
      </c>
      <c r="F41">
        <f>Portfolio!B$5*'CurrentPor-N10Unchanged'!E41</f>
        <v>52143.895533915893</v>
      </c>
      <c r="G41">
        <f>Portfolio!B$6*'CurrentPor-N10Unchanged'!F41</f>
        <v>3696.2945087936532</v>
      </c>
      <c r="H41">
        <f>Portfolio!B$7*'CurrentPor-N10Unchanged'!J41</f>
        <v>2064.4030589644826</v>
      </c>
      <c r="I41">
        <f t="shared" si="0"/>
        <v>96504.235864552858</v>
      </c>
      <c r="J41">
        <f t="shared" si="1"/>
        <v>-7.8860216510802275</v>
      </c>
    </row>
    <row r="42" spans="1:10">
      <c r="A42" s="1">
        <v>45527</v>
      </c>
      <c r="B42">
        <f>(3/(1+('CurrentPor-N10Unchanged'!C42)/100)+103/POWER(1+('CurrentPor-N10Unchanged'!D42)/100,2))*100</f>
        <v>9707.5857774288397</v>
      </c>
      <c r="C42">
        <f>(3/(1+('CurrentPor-N10Unchanged'!C42+'CurrentPor-N10Unchanged'!G42)/100)+103/POWER(1+('CurrentPor-N10Unchanged'!D42+'CurrentPor-N10Unchanged'!G42)/100,2))*100</f>
        <v>9623.98827815396</v>
      </c>
      <c r="D42">
        <f>(3/(1+('CurrentPor-N10Unchanged'!C42+'CurrentPor-N10Unchanged'!H42)/100)+103/POWER(1+('CurrentPor-N10Unchanged'!D42+'CurrentPor-N10Unchanged'!H42)/100,2))*100</f>
        <v>9598.9630495882157</v>
      </c>
      <c r="E42">
        <f>(3/(1+('CurrentPor-N10Unchanged'!C42+'CurrentPor-N10Unchanged'!I42)/100)+103/POWER(1+('CurrentPor-N10Unchanged'!D42+'CurrentPor-N10Unchanged'!I42)/100,2))*100</f>
        <v>9683.2478248126099</v>
      </c>
      <c r="F42">
        <f>Portfolio!B$5*'CurrentPor-N10Unchanged'!E42</f>
        <v>52143.895533915893</v>
      </c>
      <c r="G42">
        <f>Portfolio!B$6*'CurrentPor-N10Unchanged'!F42</f>
        <v>3696.2945087936532</v>
      </c>
      <c r="H42">
        <f>Portfolio!B$7*'CurrentPor-N10Unchanged'!J42</f>
        <v>2064.4049722260916</v>
      </c>
      <c r="I42">
        <f t="shared" si="0"/>
        <v>96518.379944919259</v>
      </c>
      <c r="J42">
        <f t="shared" si="1"/>
        <v>-4.6903286585293245</v>
      </c>
    </row>
    <row r="43" spans="1:10">
      <c r="A43" s="1">
        <v>45530</v>
      </c>
      <c r="B43">
        <f>(3/(1+('CurrentPor-N10Unchanged'!C43)/100)+103/POWER(1+('CurrentPor-N10Unchanged'!D43)/100,2))*100</f>
        <v>9707.5857774288397</v>
      </c>
      <c r="C43">
        <f>(3/(1+('CurrentPor-N10Unchanged'!C43+'CurrentPor-N10Unchanged'!G43)/100)+103/POWER(1+('CurrentPor-N10Unchanged'!D43+'CurrentPor-N10Unchanged'!G43)/100,2))*100</f>
        <v>9618.5741883985884</v>
      </c>
      <c r="D43">
        <f>(3/(1+('CurrentPor-N10Unchanged'!C43+'CurrentPor-N10Unchanged'!H43)/100)+103/POWER(1+('CurrentPor-N10Unchanged'!D43+'CurrentPor-N10Unchanged'!H43)/100,2))*100</f>
        <v>9606.9286815533123</v>
      </c>
      <c r="E43">
        <f>(3/(1+('CurrentPor-N10Unchanged'!C43+'CurrentPor-N10Unchanged'!I43)/100)+103/POWER(1+('CurrentPor-N10Unchanged'!D43+'CurrentPor-N10Unchanged'!I43)/100,2))*100</f>
        <v>9678.2201598923075</v>
      </c>
      <c r="F43">
        <f>Portfolio!B$5*'CurrentPor-N10Unchanged'!E43</f>
        <v>52143.895533915893</v>
      </c>
      <c r="G43">
        <f>Portfolio!B$6*'CurrentPor-N10Unchanged'!F43</f>
        <v>3696.2945087936532</v>
      </c>
      <c r="H43">
        <f>Portfolio!B$7*'CurrentPor-N10Unchanged'!J43</f>
        <v>2064.3962837275958</v>
      </c>
      <c r="I43">
        <f t="shared" si="0"/>
        <v>96515.89513371019</v>
      </c>
      <c r="J43">
        <f t="shared" si="1"/>
        <v>-11.336289160128217</v>
      </c>
    </row>
    <row r="44" spans="1:10">
      <c r="A44" s="1">
        <v>45531</v>
      </c>
      <c r="B44">
        <f>(3/(1+('CurrentPor-N10Unchanged'!C44)/100)+103/POWER(1+('CurrentPor-N10Unchanged'!D44)/100,2))*100</f>
        <v>9707.5857774288397</v>
      </c>
      <c r="C44">
        <f>(3/(1+('CurrentPor-N10Unchanged'!C44+'CurrentPor-N10Unchanged'!G44)/100)+103/POWER(1+('CurrentPor-N10Unchanged'!D44+'CurrentPor-N10Unchanged'!G44)/100,2))*100</f>
        <v>9618.5741883985884</v>
      </c>
      <c r="D44">
        <f>(3/(1+('CurrentPor-N10Unchanged'!C44+'CurrentPor-N10Unchanged'!H44)/100)+103/POWER(1+('CurrentPor-N10Unchanged'!D44+'CurrentPor-N10Unchanged'!H44)/100,2))*100</f>
        <v>9600.4295335271127</v>
      </c>
      <c r="E44">
        <f>(3/(1+('CurrentPor-N10Unchanged'!C44+'CurrentPor-N10Unchanged'!I44)/100)+103/POWER(1+('CurrentPor-N10Unchanged'!D44+'CurrentPor-N10Unchanged'!I44)/100,2))*100</f>
        <v>9678.5297207193616</v>
      </c>
      <c r="F44">
        <f>Portfolio!B$5*'CurrentPor-N10Unchanged'!E44</f>
        <v>52143.895533915893</v>
      </c>
      <c r="G44">
        <f>Portfolio!B$6*'CurrentPor-N10Unchanged'!F44</f>
        <v>3696.2945087936532</v>
      </c>
      <c r="H44">
        <f>Portfolio!B$7*'CurrentPor-N10Unchanged'!J44</f>
        <v>2064.4016868439726</v>
      </c>
      <c r="I44">
        <f t="shared" si="0"/>
        <v>96509.710949627421</v>
      </c>
      <c r="J44">
        <f t="shared" si="1"/>
        <v>-6.0271465957484907</v>
      </c>
    </row>
    <row r="45" spans="1:10">
      <c r="A45" s="1">
        <v>45532</v>
      </c>
      <c r="B45">
        <f>(3/(1+('CurrentPor-N10Unchanged'!C45)/100)+103/POWER(1+('CurrentPor-N10Unchanged'!D45)/100,2))*100</f>
        <v>9707.5857774288397</v>
      </c>
      <c r="C45">
        <f>(3/(1+('CurrentPor-N10Unchanged'!C45+'CurrentPor-N10Unchanged'!G45)/100)+103/POWER(1+('CurrentPor-N10Unchanged'!D45+'CurrentPor-N10Unchanged'!G45)/100,2))*100</f>
        <v>9616.7705171512371</v>
      </c>
      <c r="D45">
        <f>(3/(1+('CurrentPor-N10Unchanged'!C45+'CurrentPor-N10Unchanged'!H45)/100)+103/POWER(1+('CurrentPor-N10Unchanged'!D45+'CurrentPor-N10Unchanged'!H45)/100,2))*100</f>
        <v>9604.6783978490421</v>
      </c>
      <c r="E45">
        <f>(3/(1+('CurrentPor-N10Unchanged'!C45+'CurrentPor-N10Unchanged'!I45)/100)+103/POWER(1+('CurrentPor-N10Unchanged'!D45+'CurrentPor-N10Unchanged'!I45)/100,2))*100</f>
        <v>9676.3813140356069</v>
      </c>
      <c r="F45">
        <f>Portfolio!B$5*'CurrentPor-N10Unchanged'!E45</f>
        <v>52143.895533915893</v>
      </c>
      <c r="G45">
        <f>Portfolio!B$6*'CurrentPor-N10Unchanged'!F45</f>
        <v>3696.2945087936532</v>
      </c>
      <c r="H45">
        <f>Portfolio!B$7*'CurrentPor-N10Unchanged'!J45</f>
        <v>2064.4029156304091</v>
      </c>
      <c r="I45">
        <f t="shared" si="0"/>
        <v>96510.008964804671</v>
      </c>
      <c r="J45">
        <f t="shared" si="1"/>
        <v>-16.054744093824411</v>
      </c>
    </row>
    <row r="46" spans="1:10">
      <c r="A46" s="1">
        <v>45533</v>
      </c>
      <c r="B46">
        <f>(3/(1+('CurrentPor-N10Unchanged'!C46)/100)+103/POWER(1+('CurrentPor-N10Unchanged'!D46)/100,2))*100</f>
        <v>9707.5857774288397</v>
      </c>
      <c r="C46">
        <f>(3/(1+('CurrentPor-N10Unchanged'!C46+'CurrentPor-N10Unchanged'!G46)/100)+103/POWER(1+('CurrentPor-N10Unchanged'!D46+'CurrentPor-N10Unchanged'!G46)/100,2))*100</f>
        <v>9622.1830687052025</v>
      </c>
      <c r="D46">
        <f>(3/(1+('CurrentPor-N10Unchanged'!C46+'CurrentPor-N10Unchanged'!H46)/100)+103/POWER(1+('CurrentPor-N10Unchanged'!D46+'CurrentPor-N10Unchanged'!H46)/100,2))*100</f>
        <v>9603.5136274222132</v>
      </c>
      <c r="E46">
        <f>(3/(1+('CurrentPor-N10Unchanged'!C46+'CurrentPor-N10Unchanged'!I46)/100)+103/POWER(1+('CurrentPor-N10Unchanged'!D46+'CurrentPor-N10Unchanged'!I46)/100,2))*100</f>
        <v>9678.8028742649876</v>
      </c>
      <c r="F46">
        <f>Portfolio!B$5*'CurrentPor-N10Unchanged'!E46</f>
        <v>52143.895533915893</v>
      </c>
      <c r="G46">
        <f>Portfolio!B$6*'CurrentPor-N10Unchanged'!F46</f>
        <v>3696.2945087936532</v>
      </c>
      <c r="H46">
        <f>Portfolio!B$7*'CurrentPor-N10Unchanged'!J46</f>
        <v>2064.4022762574691</v>
      </c>
      <c r="I46">
        <f t="shared" si="0"/>
        <v>96516.677666788266</v>
      </c>
      <c r="J46">
        <f t="shared" si="1"/>
        <v>-8.5477668676758185</v>
      </c>
    </row>
    <row r="47" spans="1:10">
      <c r="A47" s="1">
        <v>45534</v>
      </c>
      <c r="B47">
        <f>(3/(1+('CurrentPor-N10Unchanged'!C47)/100)+103/POWER(1+('CurrentPor-N10Unchanged'!D47)/100,2))*100</f>
        <v>9707.5857774288397</v>
      </c>
      <c r="C47">
        <f>(3/(1+('CurrentPor-N10Unchanged'!C47+'CurrentPor-N10Unchanged'!G47)/100)+103/POWER(1+('CurrentPor-N10Unchanged'!D47+'CurrentPor-N10Unchanged'!G47)/100,2))*100</f>
        <v>9620.3783721850123</v>
      </c>
      <c r="D47">
        <f>(3/(1+('CurrentPor-N10Unchanged'!C47+'CurrentPor-N10Unchanged'!H47)/100)+103/POWER(1+('CurrentPor-N10Unchanged'!D47+'CurrentPor-N10Unchanged'!H47)/100,2))*100</f>
        <v>9595.1709859650473</v>
      </c>
      <c r="E47">
        <f>(3/(1+('CurrentPor-N10Unchanged'!C47+'CurrentPor-N10Unchanged'!I47)/100)+103/POWER(1+('CurrentPor-N10Unchanged'!D47+'CurrentPor-N10Unchanged'!I47)/100,2))*100</f>
        <v>9678.4022532928229</v>
      </c>
      <c r="F47">
        <f>Portfolio!B$5*'CurrentPor-N10Unchanged'!E47</f>
        <v>52143.895533915893</v>
      </c>
      <c r="G47">
        <f>Portfolio!B$6*'CurrentPor-N10Unchanged'!F47</f>
        <v>3696.2945087936532</v>
      </c>
      <c r="H47">
        <f>Portfolio!B$7*'CurrentPor-N10Unchanged'!J47</f>
        <v>2064.3970254902647</v>
      </c>
      <c r="I47">
        <f t="shared" si="0"/>
        <v>96506.124457071535</v>
      </c>
      <c r="J47">
        <f t="shared" si="1"/>
        <v>-16.805364889194607</v>
      </c>
    </row>
    <row r="48" spans="1:10">
      <c r="A48" s="1">
        <v>45537</v>
      </c>
      <c r="B48">
        <f>(3/(1+('CurrentPor-N10Unchanged'!C48)/100)+103/POWER(1+('CurrentPor-N10Unchanged'!D48)/100,2))*100</f>
        <v>9707.5857774288397</v>
      </c>
      <c r="C48">
        <f>(3/(1+('CurrentPor-N10Unchanged'!C48+'CurrentPor-N10Unchanged'!G48)/100)+103/POWER(1+('CurrentPor-N10Unchanged'!D48+'CurrentPor-N10Unchanged'!G48)/100,2))*100</f>
        <v>9618.5741883985884</v>
      </c>
      <c r="D48">
        <f>(3/(1+('CurrentPor-N10Unchanged'!C48+'CurrentPor-N10Unchanged'!H48)/100)+103/POWER(1+('CurrentPor-N10Unchanged'!D48+'CurrentPor-N10Unchanged'!H48)/100,2))*100</f>
        <v>9596.8867541885575</v>
      </c>
      <c r="E48">
        <f>(3/(1+('CurrentPor-N10Unchanged'!C48+'CurrentPor-N10Unchanged'!I48)/100)+103/POWER(1+('CurrentPor-N10Unchanged'!D48+'CurrentPor-N10Unchanged'!I48)/100,2))*100</f>
        <v>9680.496691807788</v>
      </c>
      <c r="F48">
        <f>Portfolio!B$5*'CurrentPor-N10Unchanged'!E48</f>
        <v>52143.895533915893</v>
      </c>
      <c r="G48">
        <f>Portfolio!B$6*'CurrentPor-N10Unchanged'!F48</f>
        <v>3696.2945087936532</v>
      </c>
      <c r="H48">
        <f>Portfolio!B$7*'CurrentPor-N10Unchanged'!J48</f>
        <v>2064.4041198476571</v>
      </c>
      <c r="I48">
        <f t="shared" si="0"/>
        <v>96508.137574380991</v>
      </c>
      <c r="J48">
        <f t="shared" si="1"/>
        <v>8.8040462546050549</v>
      </c>
    </row>
    <row r="49" spans="1:10">
      <c r="A49" s="1">
        <v>45538</v>
      </c>
      <c r="B49">
        <f>(3/(1+('CurrentPor-N10Unchanged'!C49)/100)+103/POWER(1+('CurrentPor-N10Unchanged'!D49)/100,2))*100</f>
        <v>9707.5857774288397</v>
      </c>
      <c r="C49">
        <f>(3/(1+('CurrentPor-N10Unchanged'!C49+'CurrentPor-N10Unchanged'!G49)/100)+103/POWER(1+('CurrentPor-N10Unchanged'!D49+'CurrentPor-N10Unchanged'!G49)/100,2))*100</f>
        <v>9623.98827815396</v>
      </c>
      <c r="D49">
        <f>(3/(1+('CurrentPor-N10Unchanged'!C49+'CurrentPor-N10Unchanged'!H49)/100)+103/POWER(1+('CurrentPor-N10Unchanged'!D49+'CurrentPor-N10Unchanged'!H49)/100,2))*100</f>
        <v>9624.7030766889202</v>
      </c>
      <c r="E49">
        <f>(3/(1+('CurrentPor-N10Unchanged'!C49+'CurrentPor-N10Unchanged'!I49)/100)+103/POWER(1+('CurrentPor-N10Unchanged'!D49+'CurrentPor-N10Unchanged'!I49)/100,2))*100</f>
        <v>9680.5331237456321</v>
      </c>
      <c r="F49">
        <f>Portfolio!B$5*'CurrentPor-N10Unchanged'!E49</f>
        <v>52143.895533915893</v>
      </c>
      <c r="G49">
        <f>Portfolio!B$6*'CurrentPor-N10Unchanged'!F49</f>
        <v>3696.2945087936532</v>
      </c>
      <c r="H49">
        <f>Portfolio!B$7*'CurrentPor-N10Unchanged'!J49</f>
        <v>2064.3920819269679</v>
      </c>
      <c r="I49">
        <f t="shared" si="0"/>
        <v>96541.392380653866</v>
      </c>
      <c r="J49">
        <f t="shared" si="1"/>
        <v>31.762334466562606</v>
      </c>
    </row>
    <row r="50" spans="1:10">
      <c r="A50" s="1">
        <v>45539</v>
      </c>
      <c r="B50">
        <f>(3/(1+('CurrentPor-N10Unchanged'!C50)/100)+103/POWER(1+('CurrentPor-N10Unchanged'!D50)/100,2))*100</f>
        <v>9707.5857774288397</v>
      </c>
      <c r="C50">
        <f>(3/(1+('CurrentPor-N10Unchanged'!C50+'CurrentPor-N10Unchanged'!G50)/100)+103/POWER(1+('CurrentPor-N10Unchanged'!D50+'CurrentPor-N10Unchanged'!G50)/100,2))*100</f>
        <v>9623.98827815396</v>
      </c>
      <c r="D50">
        <f>(3/(1+('CurrentPor-N10Unchanged'!C50+'CurrentPor-N10Unchanged'!H50)/100)+103/POWER(1+('CurrentPor-N10Unchanged'!D50+'CurrentPor-N10Unchanged'!H50)/100,2))*100</f>
        <v>9610.8341407352054</v>
      </c>
      <c r="E50">
        <f>(3/(1+('CurrentPor-N10Unchanged'!C50+'CurrentPor-N10Unchanged'!I50)/100)+103/POWER(1+('CurrentPor-N10Unchanged'!D50+'CurrentPor-N10Unchanged'!I50)/100,2))*100</f>
        <v>9677.5464639503971</v>
      </c>
      <c r="F50">
        <f>Portfolio!B$5*'CurrentPor-N10Unchanged'!E50</f>
        <v>52143.895533915893</v>
      </c>
      <c r="G50">
        <f>Portfolio!B$6*'CurrentPor-N10Unchanged'!F50</f>
        <v>3696.2945087936532</v>
      </c>
      <c r="H50">
        <f>Portfolio!B$7*'CurrentPor-N10Unchanged'!J50</f>
        <v>2064.3931413604037</v>
      </c>
      <c r="I50">
        <f t="shared" si="0"/>
        <v>96524.537844338352</v>
      </c>
      <c r="J50">
        <f t="shared" si="1"/>
        <v>18.439433153602295</v>
      </c>
    </row>
    <row r="51" spans="1:10">
      <c r="A51" s="1">
        <v>45540</v>
      </c>
      <c r="B51">
        <f>(3/(1+('CurrentPor-N10Unchanged'!C51)/100)+103/POWER(1+('CurrentPor-N10Unchanged'!D51)/100,2))*100</f>
        <v>9707.5857774288397</v>
      </c>
      <c r="C51">
        <f>(3/(1+('CurrentPor-N10Unchanged'!C51+'CurrentPor-N10Unchanged'!G51)/100)+103/POWER(1+('CurrentPor-N10Unchanged'!D51+'CurrentPor-N10Unchanged'!G51)/100,2))*100</f>
        <v>9623.98827815396</v>
      </c>
      <c r="D51">
        <f>(3/(1+('CurrentPor-N10Unchanged'!C51+'CurrentPor-N10Unchanged'!H51)/100)+103/POWER(1+('CurrentPor-N10Unchanged'!D51+'CurrentPor-N10Unchanged'!H51)/100,2))*100</f>
        <v>9591.9017329797862</v>
      </c>
      <c r="E51">
        <f>(3/(1+('CurrentPor-N10Unchanged'!C51+'CurrentPor-N10Unchanged'!I51)/100)+103/POWER(1+('CurrentPor-N10Unchanged'!D51+'CurrentPor-N10Unchanged'!I51)/100,2))*100</f>
        <v>9676.9638606911049</v>
      </c>
      <c r="F51">
        <f>Portfolio!B$5*'CurrentPor-N10Unchanged'!E51</f>
        <v>52143.895533915893</v>
      </c>
      <c r="G51">
        <f>Portfolio!B$6*'CurrentPor-N10Unchanged'!F51</f>
        <v>3696.2945087936532</v>
      </c>
      <c r="H51">
        <f>Portfolio!B$7*'CurrentPor-N10Unchanged'!J51</f>
        <v>2064.3958511403275</v>
      </c>
      <c r="I51">
        <f t="shared" si="0"/>
        <v>96505.025543103562</v>
      </c>
      <c r="J51">
        <f t="shared" si="1"/>
        <v>0.78967855070368387</v>
      </c>
    </row>
    <row r="52" spans="1:10">
      <c r="A52" s="1">
        <v>45541</v>
      </c>
      <c r="B52">
        <f>(3/(1+('CurrentPor-N10Unchanged'!C52)/100)+103/POWER(1+('CurrentPor-N10Unchanged'!D52)/100,2))*100</f>
        <v>9707.5857774288397</v>
      </c>
      <c r="C52">
        <f>(3/(1+('CurrentPor-N10Unchanged'!C52+'CurrentPor-N10Unchanged'!G52)/100)+103/POWER(1+('CurrentPor-N10Unchanged'!D52+'CurrentPor-N10Unchanged'!G52)/100,2))*100</f>
        <v>9623.98827815396</v>
      </c>
      <c r="D52">
        <f>(3/(1+('CurrentPor-N10Unchanged'!C52+'CurrentPor-N10Unchanged'!H52)/100)+103/POWER(1+('CurrentPor-N10Unchanged'!D52+'CurrentPor-N10Unchanged'!H52)/100,2))*100</f>
        <v>9602.5500356131615</v>
      </c>
      <c r="E52">
        <f>(3/(1+('CurrentPor-N10Unchanged'!C52+'CurrentPor-N10Unchanged'!I52)/100)+103/POWER(1+('CurrentPor-N10Unchanged'!D52+'CurrentPor-N10Unchanged'!I52)/100,2))*100</f>
        <v>9674.9433798658083</v>
      </c>
      <c r="F52">
        <f>Portfolio!B$5*'CurrentPor-N10Unchanged'!E52</f>
        <v>52143.895533915893</v>
      </c>
      <c r="G52">
        <f>Portfolio!B$6*'CurrentPor-N10Unchanged'!F52</f>
        <v>3696.2945087936532</v>
      </c>
      <c r="H52">
        <f>Portfolio!B$7*'CurrentPor-N10Unchanged'!J52</f>
        <v>2064.3956773830701</v>
      </c>
      <c r="I52">
        <f t="shared" si="0"/>
        <v>96513.653191154386</v>
      </c>
      <c r="J52">
        <f t="shared" si="1"/>
        <v>-4.7267537648731377</v>
      </c>
    </row>
    <row r="53" spans="1:10">
      <c r="A53" s="1">
        <v>45544</v>
      </c>
      <c r="B53">
        <f>(3/(1+('CurrentPor-N10Unchanged'!C53)/100)+103/POWER(1+('CurrentPor-N10Unchanged'!D53)/100,2))*100</f>
        <v>9707.5857774288397</v>
      </c>
      <c r="C53">
        <f>(3/(1+('CurrentPor-N10Unchanged'!C53+'CurrentPor-N10Unchanged'!G53)/100)+103/POWER(1+('CurrentPor-N10Unchanged'!D53+'CurrentPor-N10Unchanged'!G53)/100,2))*100</f>
        <v>9629.4069860209238</v>
      </c>
      <c r="D53">
        <f>(3/(1+('CurrentPor-N10Unchanged'!C53+'CurrentPor-N10Unchanged'!H53)/100)+103/POWER(1+('CurrentPor-N10Unchanged'!D53+'CurrentPor-N10Unchanged'!H53)/100,2))*100</f>
        <v>9610.7303003650195</v>
      </c>
      <c r="E53">
        <f>(3/(1+('CurrentPor-N10Unchanged'!C53+'CurrentPor-N10Unchanged'!I53)/100)+103/POWER(1+('CurrentPor-N10Unchanged'!D53+'CurrentPor-N10Unchanged'!I53)/100,2))*100</f>
        <v>9676.6179693770573</v>
      </c>
      <c r="F53">
        <f>Portfolio!B$5*'CurrentPor-N10Unchanged'!E53</f>
        <v>52143.895533915893</v>
      </c>
      <c r="G53">
        <f>Portfolio!B$6*'CurrentPor-N10Unchanged'!F53</f>
        <v>3696.2945087936532</v>
      </c>
      <c r="H53">
        <f>Portfolio!B$7*'CurrentPor-N10Unchanged'!J53</f>
        <v>2064.4061795338152</v>
      </c>
      <c r="I53">
        <f t="shared" si="0"/>
        <v>96528.937255435201</v>
      </c>
      <c r="J53">
        <f t="shared" si="1"/>
        <v>13.042121725011384</v>
      </c>
    </row>
    <row r="54" spans="1:10">
      <c r="A54" s="1">
        <v>45545</v>
      </c>
      <c r="B54">
        <f>(3/(1+('CurrentPor-N10Unchanged'!C54)/100)+103/POWER(1+('CurrentPor-N10Unchanged'!D54)/100,2))*100</f>
        <v>9707.5857774288397</v>
      </c>
      <c r="C54">
        <f>(3/(1+('CurrentPor-N10Unchanged'!C54+'CurrentPor-N10Unchanged'!G54)/100)+103/POWER(1+('CurrentPor-N10Unchanged'!D54+'CurrentPor-N10Unchanged'!G54)/100,2))*100</f>
        <v>9631.2142491337127</v>
      </c>
      <c r="D54">
        <f>(3/(1+('CurrentPor-N10Unchanged'!C54+'CurrentPor-N10Unchanged'!H54)/100)+103/POWER(1+('CurrentPor-N10Unchanged'!D54+'CurrentPor-N10Unchanged'!H54)/100,2))*100</f>
        <v>9582.0723452286602</v>
      </c>
      <c r="E54">
        <f>(3/(1+('CurrentPor-N10Unchanged'!C54+'CurrentPor-N10Unchanged'!I54)/100)+103/POWER(1+('CurrentPor-N10Unchanged'!D54+'CurrentPor-N10Unchanged'!I54)/100,2))*100</f>
        <v>9678.4204632656547</v>
      </c>
      <c r="F54">
        <f>Portfolio!B$5*'CurrentPor-N10Unchanged'!E54</f>
        <v>52143.895533915893</v>
      </c>
      <c r="G54">
        <f>Portfolio!B$6*'CurrentPor-N10Unchanged'!F54</f>
        <v>3696.2945087936532</v>
      </c>
      <c r="H54">
        <f>Portfolio!B$7*'CurrentPor-N10Unchanged'!J54</f>
        <v>2064.3975380410902</v>
      </c>
      <c r="I54">
        <f t="shared" si="0"/>
        <v>96503.880415807507</v>
      </c>
      <c r="J54">
        <f t="shared" si="1"/>
        <v>-5.8305338199133985</v>
      </c>
    </row>
    <row r="55" spans="1:10">
      <c r="A55" s="1">
        <v>45546</v>
      </c>
      <c r="B55">
        <f>(3/(1+('CurrentPor-N10Unchanged'!C55)/100)+103/POWER(1+('CurrentPor-N10Unchanged'!D55)/100,2))*100</f>
        <v>9707.5857774288397</v>
      </c>
      <c r="C55">
        <f>(3/(1+('CurrentPor-N10Unchanged'!C55+'CurrentPor-N10Unchanged'!G55)/100)+103/POWER(1+('CurrentPor-N10Unchanged'!D55+'CurrentPor-N10Unchanged'!G55)/100,2))*100</f>
        <v>9633.0220261504182</v>
      </c>
      <c r="D55">
        <f>(3/(1+('CurrentPor-N10Unchanged'!C55+'CurrentPor-N10Unchanged'!H55)/100)+103/POWER(1+('CurrentPor-N10Unchanged'!D55+'CurrentPor-N10Unchanged'!H55)/100,2))*100</f>
        <v>9590.7574615146805</v>
      </c>
      <c r="E55">
        <f>(3/(1+('CurrentPor-N10Unchanged'!C55+'CurrentPor-N10Unchanged'!I55)/100)+103/POWER(1+('CurrentPor-N10Unchanged'!D55+'CurrentPor-N10Unchanged'!I55)/100,2))*100</f>
        <v>9676.1992782327652</v>
      </c>
      <c r="F55">
        <f>Portfolio!B$5*'CurrentPor-N10Unchanged'!E55</f>
        <v>52143.895533915893</v>
      </c>
      <c r="G55">
        <f>Portfolio!B$6*'CurrentPor-N10Unchanged'!F55</f>
        <v>3696.2945087936532</v>
      </c>
      <c r="H55">
        <f>Portfolio!B$7*'CurrentPor-N10Unchanged'!J55</f>
        <v>2064.4061232333752</v>
      </c>
      <c r="I55">
        <f t="shared" si="0"/>
        <v>96512.160709269636</v>
      </c>
      <c r="J55">
        <f t="shared" si="1"/>
        <v>2.1517444649653044</v>
      </c>
    </row>
    <row r="56" spans="1:10">
      <c r="A56" s="1">
        <v>45547</v>
      </c>
      <c r="B56">
        <f>(3/(1+('CurrentPor-N10Unchanged'!C56)/100)+103/POWER(1+('CurrentPor-N10Unchanged'!D56)/100,2))*100</f>
        <v>9707.5857774288397</v>
      </c>
      <c r="C56">
        <f>(3/(1+('CurrentPor-N10Unchanged'!C56+'CurrentPor-N10Unchanged'!G56)/100)+103/POWER(1+('CurrentPor-N10Unchanged'!D56+'CurrentPor-N10Unchanged'!G56)/100,2))*100</f>
        <v>9634.8303172663855</v>
      </c>
      <c r="D56">
        <f>(3/(1+('CurrentPor-N10Unchanged'!C56+'CurrentPor-N10Unchanged'!H56)/100)+103/POWER(1+('CurrentPor-N10Unchanged'!D56+'CurrentPor-N10Unchanged'!H56)/100,2))*100</f>
        <v>9589.4873307870294</v>
      </c>
      <c r="E56">
        <f>(3/(1+('CurrentPor-N10Unchanged'!C56+'CurrentPor-N10Unchanged'!I56)/100)+103/POWER(1+('CurrentPor-N10Unchanged'!D56+'CurrentPor-N10Unchanged'!I56)/100,2))*100</f>
        <v>9678.966772692831</v>
      </c>
      <c r="F56">
        <f>Portfolio!B$5*'CurrentPor-N10Unchanged'!E56</f>
        <v>52143.895533915893</v>
      </c>
      <c r="G56">
        <f>Portfolio!B$6*'CurrentPor-N10Unchanged'!F56</f>
        <v>3696.2945087936532</v>
      </c>
      <c r="H56">
        <f>Portfolio!B$7*'CurrentPor-N10Unchanged'!J56</f>
        <v>2064.404784304164</v>
      </c>
      <c r="I56">
        <f t="shared" si="0"/>
        <v>96515.465025188794</v>
      </c>
      <c r="J56">
        <f t="shared" si="1"/>
        <v>-1.2126415994716808</v>
      </c>
    </row>
    <row r="57" spans="1:10">
      <c r="A57" s="1">
        <v>45548</v>
      </c>
      <c r="B57">
        <f>(3/(1+('CurrentPor-N10Unchanged'!C57)/100)+103/POWER(1+('CurrentPor-N10Unchanged'!D57)/100,2))*100</f>
        <v>9707.5857774288397</v>
      </c>
      <c r="C57">
        <f>(3/(1+('CurrentPor-N10Unchanged'!C57+'CurrentPor-N10Unchanged'!G57)/100)+103/POWER(1+('CurrentPor-N10Unchanged'!D57+'CurrentPor-N10Unchanged'!G57)/100,2))*100</f>
        <v>9638.4484425779829</v>
      </c>
      <c r="D57">
        <f>(3/(1+('CurrentPor-N10Unchanged'!C57+'CurrentPor-N10Unchanged'!H57)/100)+103/POWER(1+('CurrentPor-N10Unchanged'!D57+'CurrentPor-N10Unchanged'!H57)/100,2))*100</f>
        <v>9609.4433094780234</v>
      </c>
      <c r="E57">
        <f>(3/(1+('CurrentPor-N10Unchanged'!C57+'CurrentPor-N10Unchanged'!I57)/100)+103/POWER(1+('CurrentPor-N10Unchanged'!D57+'CurrentPor-N10Unchanged'!I57)/100,2))*100</f>
        <v>9680.0595351765915</v>
      </c>
      <c r="F57">
        <f>Portfolio!B$5*'CurrentPor-N10Unchanged'!E57</f>
        <v>52143.895533915893</v>
      </c>
      <c r="G57">
        <f>Portfolio!B$6*'CurrentPor-N10Unchanged'!F57</f>
        <v>3696.2945087936532</v>
      </c>
      <c r="H57">
        <f>Portfolio!B$7*'CurrentPor-N10Unchanged'!J57</f>
        <v>2064.3946000867727</v>
      </c>
      <c r="I57">
        <f t="shared" si="0"/>
        <v>96540.121707457743</v>
      </c>
      <c r="J57">
        <f t="shared" si="1"/>
        <v>33.997250386208179</v>
      </c>
    </row>
    <row r="58" spans="1:10">
      <c r="A58" s="1">
        <v>45551</v>
      </c>
      <c r="B58">
        <f>(3/(1+('CurrentPor-N10Unchanged'!C58)/100)+103/POWER(1+('CurrentPor-N10Unchanged'!D58)/100,2))*100</f>
        <v>9707.5857774288397</v>
      </c>
      <c r="C58">
        <f>(3/(1+('CurrentPor-N10Unchanged'!C58+'CurrentPor-N10Unchanged'!G58)/100)+103/POWER(1+('CurrentPor-N10Unchanged'!D58+'CurrentPor-N10Unchanged'!G58)/100,2))*100</f>
        <v>9640.2582771647722</v>
      </c>
      <c r="D58">
        <f>(3/(1+('CurrentPor-N10Unchanged'!C58+'CurrentPor-N10Unchanged'!H58)/100)+103/POWER(1+('CurrentPor-N10Unchanged'!D58+'CurrentPor-N10Unchanged'!H58)/100,2))*100</f>
        <v>9610.8271286705021</v>
      </c>
      <c r="E58">
        <f>(3/(1+('CurrentPor-N10Unchanged'!C58+'CurrentPor-N10Unchanged'!I58)/100)+103/POWER(1+('CurrentPor-N10Unchanged'!D58+'CurrentPor-N10Unchanged'!I58)/100,2))*100</f>
        <v>9682.8104799624489</v>
      </c>
      <c r="F58">
        <f>Portfolio!B$5*'CurrentPor-N10Unchanged'!E58</f>
        <v>52143.895533915893</v>
      </c>
      <c r="G58">
        <f>Portfolio!B$6*'CurrentPor-N10Unchanged'!F58</f>
        <v>3696.2945087936532</v>
      </c>
      <c r="H58">
        <f>Portfolio!B$7*'CurrentPor-N10Unchanged'!J58</f>
        <v>2064.3892518677608</v>
      </c>
      <c r="I58">
        <f t="shared" si="0"/>
        <v>96546.060957803871</v>
      </c>
      <c r="J58">
        <f t="shared" si="1"/>
        <v>37.923383422879851</v>
      </c>
    </row>
    <row r="59" spans="1:10">
      <c r="A59" s="1">
        <v>45552</v>
      </c>
      <c r="B59">
        <f>(3/(1+('CurrentPor-N10Unchanged'!C59)/100)+103/POWER(1+('CurrentPor-N10Unchanged'!D59)/100,2))*100</f>
        <v>9707.5857774288397</v>
      </c>
      <c r="C59">
        <f>(3/(1+('CurrentPor-N10Unchanged'!C59+'CurrentPor-N10Unchanged'!G59)/100)+103/POWER(1+('CurrentPor-N10Unchanged'!D59+'CurrentPor-N10Unchanged'!G59)/100,2))*100</f>
        <v>9642.0686266331541</v>
      </c>
      <c r="D59">
        <f>(3/(1+('CurrentPor-N10Unchanged'!C59+'CurrentPor-N10Unchanged'!H59)/100)+103/POWER(1+('CurrentPor-N10Unchanged'!D59+'CurrentPor-N10Unchanged'!H59)/100,2))*100</f>
        <v>9596.9147464911293</v>
      </c>
      <c r="E59">
        <f>(3/(1+('CurrentPor-N10Unchanged'!C59+'CurrentPor-N10Unchanged'!I59)/100)+103/POWER(1+('CurrentPor-N10Unchanged'!D59+'CurrentPor-N10Unchanged'!I59)/100,2))*100</f>
        <v>9683.6851995883117</v>
      </c>
      <c r="F59">
        <f>Portfolio!B$5*'CurrentPor-N10Unchanged'!E59</f>
        <v>52143.895533915893</v>
      </c>
      <c r="G59">
        <f>Portfolio!B$6*'CurrentPor-N10Unchanged'!F59</f>
        <v>3696.2945087936532</v>
      </c>
      <c r="H59">
        <f>Portfolio!B$7*'CurrentPor-N10Unchanged'!J59</f>
        <v>2064.3930626859515</v>
      </c>
      <c r="I59">
        <f t="shared" si="0"/>
        <v>96534.837455536923</v>
      </c>
      <c r="J59">
        <f t="shared" si="1"/>
        <v>-6.5549251169431955</v>
      </c>
    </row>
    <row r="60" spans="1:10">
      <c r="A60" s="1">
        <v>45553</v>
      </c>
      <c r="B60">
        <f>(3/(1+('CurrentPor-N10Unchanged'!C60)/100)+103/POWER(1+('CurrentPor-N10Unchanged'!D60)/100,2))*100</f>
        <v>9707.5857774288397</v>
      </c>
      <c r="C60">
        <f>(3/(1+('CurrentPor-N10Unchanged'!C60+'CurrentPor-N10Unchanged'!G60)/100)+103/POWER(1+('CurrentPor-N10Unchanged'!D60+'CurrentPor-N10Unchanged'!G60)/100,2))*100</f>
        <v>9643.879491178941</v>
      </c>
      <c r="D60">
        <f>(3/(1+('CurrentPor-N10Unchanged'!C60+'CurrentPor-N10Unchanged'!H60)/100)+103/POWER(1+('CurrentPor-N10Unchanged'!D60+'CurrentPor-N10Unchanged'!H60)/100,2))*100</f>
        <v>9593.162131592806</v>
      </c>
      <c r="E60">
        <f>(3/(1+('CurrentPor-N10Unchanged'!C60+'CurrentPor-N10Unchanged'!I60)/100)+103/POWER(1+('CurrentPor-N10Unchanged'!D60+'CurrentPor-N10Unchanged'!I60)/100,2))*100</f>
        <v>9682.0087570471096</v>
      </c>
      <c r="F60">
        <f>Portfolio!B$5*'CurrentPor-N10Unchanged'!E60</f>
        <v>52143.895533915893</v>
      </c>
      <c r="G60">
        <f>Portfolio!B$6*'CurrentPor-N10Unchanged'!F60</f>
        <v>3696.2945087936532</v>
      </c>
      <c r="H60">
        <f>Portfolio!B$7*'CurrentPor-N10Unchanged'!J60</f>
        <v>2064.4138610431737</v>
      </c>
      <c r="I60">
        <f t="shared" si="0"/>
        <v>96531.240061000412</v>
      </c>
      <c r="J60">
        <f t="shared" si="1"/>
        <v>6.7022166620590724</v>
      </c>
    </row>
    <row r="61" spans="1:10">
      <c r="A61" s="1">
        <v>45554</v>
      </c>
      <c r="B61">
        <f>(3/(1+('CurrentPor-N10Unchanged'!C61)/100)+103/POWER(1+('CurrentPor-N10Unchanged'!D61)/100,2))*100</f>
        <v>9707.5857774288397</v>
      </c>
      <c r="C61">
        <f>(3/(1+('CurrentPor-N10Unchanged'!C61+'CurrentPor-N10Unchanged'!G61)/100)+103/POWER(1+('CurrentPor-N10Unchanged'!D61+'CurrentPor-N10Unchanged'!G61)/100,2))*100</f>
        <v>9642.0686266331541</v>
      </c>
      <c r="D61">
        <f>(3/(1+('CurrentPor-N10Unchanged'!C61+'CurrentPor-N10Unchanged'!H61)/100)+103/POWER(1+('CurrentPor-N10Unchanged'!D61+'CurrentPor-N10Unchanged'!H61)/100,2))*100</f>
        <v>9604.9499368153101</v>
      </c>
      <c r="E61">
        <f>(3/(1+('CurrentPor-N10Unchanged'!C61+'CurrentPor-N10Unchanged'!I61)/100)+103/POWER(1+('CurrentPor-N10Unchanged'!D61+'CurrentPor-N10Unchanged'!I61)/100,2))*100</f>
        <v>9681.2071364265666</v>
      </c>
      <c r="F61">
        <f>Portfolio!B$5*'CurrentPor-N10Unchanged'!E61</f>
        <v>52143.895533915893</v>
      </c>
      <c r="G61">
        <f>Portfolio!B$6*'CurrentPor-N10Unchanged'!F61</f>
        <v>3696.2945087936532</v>
      </c>
      <c r="H61">
        <f>Portfolio!B$7*'CurrentPor-N10Unchanged'!J61</f>
        <v>2064.4003153731041</v>
      </c>
      <c r="I61">
        <f t="shared" si="0"/>
        <v>96540.40183538651</v>
      </c>
      <c r="J61">
        <f t="shared" si="1"/>
        <v>35.37629228294827</v>
      </c>
    </row>
    <row r="62" spans="1:10">
      <c r="A62" s="1">
        <v>45555</v>
      </c>
      <c r="B62">
        <f>(3/(1+('CurrentPor-N10Unchanged'!C62)/100)+103/POWER(1+('CurrentPor-N10Unchanged'!D62)/100,2))*100</f>
        <v>9707.5857774288397</v>
      </c>
      <c r="C62">
        <f>(3/(1+('CurrentPor-N10Unchanged'!C62+'CurrentPor-N10Unchanged'!G62)/100)+103/POWER(1+('CurrentPor-N10Unchanged'!D62+'CurrentPor-N10Unchanged'!G62)/100,2))*100</f>
        <v>9640.2582771647722</v>
      </c>
      <c r="D62">
        <f>(3/(1+('CurrentPor-N10Unchanged'!C62+'CurrentPor-N10Unchanged'!H62)/100)+103/POWER(1+('CurrentPor-N10Unchanged'!D62+'CurrentPor-N10Unchanged'!H62)/100,2))*100</f>
        <v>9595.8487179296862</v>
      </c>
      <c r="E62">
        <f>(3/(1+('CurrentPor-N10Unchanged'!C62+'CurrentPor-N10Unchanged'!I62)/100)+103/POWER(1+('CurrentPor-N10Unchanged'!D62+'CurrentPor-N10Unchanged'!I62)/100,2))*100</f>
        <v>9681.2982250495716</v>
      </c>
      <c r="F62">
        <f>Portfolio!B$5*'CurrentPor-N10Unchanged'!E62</f>
        <v>52143.895533915893</v>
      </c>
      <c r="G62">
        <f>Portfolio!B$6*'CurrentPor-N10Unchanged'!F62</f>
        <v>3696.2945087936532</v>
      </c>
      <c r="H62">
        <f>Portfolio!B$7*'CurrentPor-N10Unchanged'!J62</f>
        <v>2064.4009638854195</v>
      </c>
      <c r="I62">
        <f t="shared" si="0"/>
        <v>96529.582004167838</v>
      </c>
      <c r="J62">
        <f t="shared" si="1"/>
        <v>15.928813013451872</v>
      </c>
    </row>
    <row r="63" spans="1:10">
      <c r="A63" s="1">
        <v>45558</v>
      </c>
      <c r="B63">
        <f>(3/(1+('CurrentPor-N10Unchanged'!C63)/100)+103/POWER(1+('CurrentPor-N10Unchanged'!D63)/100,2))*100</f>
        <v>9707.5857774288397</v>
      </c>
      <c r="C63">
        <f>(3/(1+('CurrentPor-N10Unchanged'!C63+'CurrentPor-N10Unchanged'!G63)/100)+103/POWER(1+('CurrentPor-N10Unchanged'!D63+'CurrentPor-N10Unchanged'!G63)/100,2))*100</f>
        <v>9642.0686266331541</v>
      </c>
      <c r="D63">
        <f>(3/(1+('CurrentPor-N10Unchanged'!C63+'CurrentPor-N10Unchanged'!H63)/100)+103/POWER(1+('CurrentPor-N10Unchanged'!D63+'CurrentPor-N10Unchanged'!H63)/100,2))*100</f>
        <v>9606.8098692856529</v>
      </c>
      <c r="E63">
        <f>(3/(1+('CurrentPor-N10Unchanged'!C63+'CurrentPor-N10Unchanged'!I63)/100)+103/POWER(1+('CurrentPor-N10Unchanged'!D63+'CurrentPor-N10Unchanged'!I63)/100,2))*100</f>
        <v>9681.6079350369982</v>
      </c>
      <c r="F63">
        <f>Portfolio!B$5*'CurrentPor-N10Unchanged'!E63</f>
        <v>52143.895533915893</v>
      </c>
      <c r="G63">
        <f>Portfolio!B$6*'CurrentPor-N10Unchanged'!F63</f>
        <v>3696.2945087936532</v>
      </c>
      <c r="H63">
        <f>Portfolio!B$7*'CurrentPor-N10Unchanged'!J63</f>
        <v>2064.3870038489517</v>
      </c>
      <c r="I63">
        <f t="shared" si="0"/>
        <v>96542.649254943142</v>
      </c>
      <c r="J63">
        <f t="shared" si="1"/>
        <v>13.711999507941073</v>
      </c>
    </row>
    <row r="64" spans="1:10">
      <c r="A64" s="1">
        <v>45559</v>
      </c>
      <c r="B64">
        <f>(3/(1+('CurrentPor-N10Unchanged'!C64)/100)+103/POWER(1+('CurrentPor-N10Unchanged'!D64)/100,2))*100</f>
        <v>9707.5857774288397</v>
      </c>
      <c r="C64">
        <f>(3/(1+('CurrentPor-N10Unchanged'!C64+'CurrentPor-N10Unchanged'!G64)/100)+103/POWER(1+('CurrentPor-N10Unchanged'!D64+'CurrentPor-N10Unchanged'!G64)/100,2))*100</f>
        <v>9643.879491178941</v>
      </c>
      <c r="D64">
        <f>(3/(1+('CurrentPor-N10Unchanged'!C64+'CurrentPor-N10Unchanged'!H64)/100)+103/POWER(1+('CurrentPor-N10Unchanged'!D64+'CurrentPor-N10Unchanged'!H64)/100,2))*100</f>
        <v>9614.896012983485</v>
      </c>
      <c r="E64">
        <f>(3/(1+('CurrentPor-N10Unchanged'!C64+'CurrentPor-N10Unchanged'!I64)/100)+103/POWER(1+('CurrentPor-N10Unchanged'!D64+'CurrentPor-N10Unchanged'!I64)/100,2))*100</f>
        <v>9682.9744812089939</v>
      </c>
      <c r="F64">
        <f>Portfolio!B$5*'CurrentPor-N10Unchanged'!E64</f>
        <v>52143.895533915893</v>
      </c>
      <c r="G64">
        <f>Portfolio!B$6*'CurrentPor-N10Unchanged'!F64</f>
        <v>3696.2945087936532</v>
      </c>
      <c r="H64">
        <f>Portfolio!B$7*'CurrentPor-N10Unchanged'!J64</f>
        <v>2064.3922229463315</v>
      </c>
      <c r="I64">
        <f t="shared" si="0"/>
        <v>96553.918028456144</v>
      </c>
      <c r="J64">
        <f t="shared" si="1"/>
        <v>50.03761264863715</v>
      </c>
    </row>
    <row r="65" spans="1:10">
      <c r="A65" s="1">
        <v>45560</v>
      </c>
      <c r="B65">
        <f>(3/(1+('CurrentPor-N10Unchanged'!C65)/100)+103/POWER(1+('CurrentPor-N10Unchanged'!D65)/100,2))*100</f>
        <v>9707.5857774288397</v>
      </c>
      <c r="C65">
        <f>(3/(1+('CurrentPor-N10Unchanged'!C65+'CurrentPor-N10Unchanged'!G65)/100)+103/POWER(1+('CurrentPor-N10Unchanged'!D65+'CurrentPor-N10Unchanged'!G65)/100,2))*100</f>
        <v>9640.2582771647722</v>
      </c>
      <c r="D65">
        <f>(3/(1+('CurrentPor-N10Unchanged'!C65+'CurrentPor-N10Unchanged'!H65)/100)+103/POWER(1+('CurrentPor-N10Unchanged'!D65+'CurrentPor-N10Unchanged'!H65)/100,2))*100</f>
        <v>9607.6985825555385</v>
      </c>
      <c r="E65">
        <f>(3/(1+('CurrentPor-N10Unchanged'!C65+'CurrentPor-N10Unchanged'!I65)/100)+103/POWER(1+('CurrentPor-N10Unchanged'!D65+'CurrentPor-N10Unchanged'!I65)/100,2))*100</f>
        <v>9684.1772832883726</v>
      </c>
      <c r="F65">
        <f>Portfolio!B$5*'CurrentPor-N10Unchanged'!E65</f>
        <v>52143.895533915893</v>
      </c>
      <c r="G65">
        <f>Portfolio!B$6*'CurrentPor-N10Unchanged'!F65</f>
        <v>3696.2945087936532</v>
      </c>
      <c r="H65">
        <f>Portfolio!B$7*'CurrentPor-N10Unchanged'!J65</f>
        <v>2064.4068414850276</v>
      </c>
      <c r="I65">
        <f t="shared" si="0"/>
        <v>96544.316804632108</v>
      </c>
      <c r="J65">
        <f t="shared" si="1"/>
        <v>32.156095362472115</v>
      </c>
    </row>
    <row r="66" spans="1:10">
      <c r="A66" s="1">
        <v>45561</v>
      </c>
      <c r="B66">
        <f>(3/(1+('CurrentPor-N10Unchanged'!C66)/100)+103/POWER(1+('CurrentPor-N10Unchanged'!D66)/100,2))*100</f>
        <v>9707.5857774288397</v>
      </c>
      <c r="C66">
        <f>(3/(1+('CurrentPor-N10Unchanged'!C66+'CurrentPor-N10Unchanged'!G66)/100)+103/POWER(1+('CurrentPor-N10Unchanged'!D66+'CurrentPor-N10Unchanged'!G66)/100,2))*100</f>
        <v>9638.4484425779829</v>
      </c>
      <c r="D66">
        <f>(3/(1+('CurrentPor-N10Unchanged'!C66+'CurrentPor-N10Unchanged'!H66)/100)+103/POWER(1+('CurrentPor-N10Unchanged'!D66+'CurrentPor-N10Unchanged'!H66)/100,2))*100</f>
        <v>9610.5328170949797</v>
      </c>
      <c r="E66">
        <f>(3/(1+('CurrentPor-N10Unchanged'!C66+'CurrentPor-N10Unchanged'!I66)/100)+103/POWER(1+('CurrentPor-N10Unchanged'!D66+'CurrentPor-N10Unchanged'!I66)/100,2))*100</f>
        <v>9682.4096059340463</v>
      </c>
      <c r="F66">
        <f>Portfolio!B$5*'CurrentPor-N10Unchanged'!E66</f>
        <v>52143.895533915893</v>
      </c>
      <c r="G66">
        <f>Portfolio!B$6*'CurrentPor-N10Unchanged'!F66</f>
        <v>3696.2945087936532</v>
      </c>
      <c r="H66">
        <f>Portfolio!B$7*'CurrentPor-N10Unchanged'!J66</f>
        <v>2064.4055076078025</v>
      </c>
      <c r="I66">
        <f t="shared" si="0"/>
        <v>96543.572193353204</v>
      </c>
      <c r="J66">
        <f t="shared" si="1"/>
        <v>28.107168164409813</v>
      </c>
    </row>
    <row r="67" spans="1:10">
      <c r="A67" s="1">
        <v>45562</v>
      </c>
      <c r="B67">
        <f>(3/(1+('CurrentPor-N10Unchanged'!C67)/100)+103/POWER(1+('CurrentPor-N10Unchanged'!D67)/100,2))*100</f>
        <v>9707.5857774288397</v>
      </c>
      <c r="C67">
        <f>(3/(1+('CurrentPor-N10Unchanged'!C67+'CurrentPor-N10Unchanged'!G67)/100)+103/POWER(1+('CurrentPor-N10Unchanged'!D67+'CurrentPor-N10Unchanged'!G67)/100,2))*100</f>
        <v>9636.6391226770629</v>
      </c>
      <c r="D67">
        <f>(3/(1+('CurrentPor-N10Unchanged'!C67+'CurrentPor-N10Unchanged'!H67)/100)+103/POWER(1+('CurrentPor-N10Unchanged'!D67+'CurrentPor-N10Unchanged'!H67)/100,2))*100</f>
        <v>9597.3544839682436</v>
      </c>
      <c r="E67">
        <f>(3/(1+('CurrentPor-N10Unchanged'!C67+'CurrentPor-N10Unchanged'!I67)/100)+103/POWER(1+('CurrentPor-N10Unchanged'!D67+'CurrentPor-N10Unchanged'!I67)/100,2))*100</f>
        <v>9682.0269773005712</v>
      </c>
      <c r="F67">
        <f>Portfolio!B$5*'CurrentPor-N10Unchanged'!E67</f>
        <v>52143.895533915893</v>
      </c>
      <c r="G67">
        <f>Portfolio!B$6*'CurrentPor-N10Unchanged'!F67</f>
        <v>3696.2945087936532</v>
      </c>
      <c r="H67">
        <f>Portfolio!B$7*'CurrentPor-N10Unchanged'!J67</f>
        <v>2064.3987379215932</v>
      </c>
      <c r="I67">
        <f t="shared" si="0"/>
        <v>96528.195142005861</v>
      </c>
      <c r="J67">
        <f t="shared" si="1"/>
        <v>-11.926565451882198</v>
      </c>
    </row>
    <row r="68" spans="1:10">
      <c r="A68" s="1">
        <v>45565</v>
      </c>
      <c r="B68">
        <f>(3/(1+('CurrentPor-N10Unchanged'!C68)/100)+103/POWER(1+('CurrentPor-N10Unchanged'!D68)/100,2))*100</f>
        <v>9707.5857774288397</v>
      </c>
      <c r="C68">
        <f>(3/(1+('CurrentPor-N10Unchanged'!C68+'CurrentPor-N10Unchanged'!G68)/100)+103/POWER(1+('CurrentPor-N10Unchanged'!D68+'CurrentPor-N10Unchanged'!G68)/100,2))*100</f>
        <v>9633.0220261504182</v>
      </c>
      <c r="D68">
        <f>(3/(1+('CurrentPor-N10Unchanged'!C68+'CurrentPor-N10Unchanged'!H68)/100)+103/POWER(1+('CurrentPor-N10Unchanged'!D68+'CurrentPor-N10Unchanged'!H68)/100,2))*100</f>
        <v>9594.7781927274227</v>
      </c>
      <c r="E68">
        <f>(3/(1+('CurrentPor-N10Unchanged'!C68+'CurrentPor-N10Unchanged'!I68)/100)+103/POWER(1+('CurrentPor-N10Unchanged'!D68+'CurrentPor-N10Unchanged'!I68)/100,2))*100</f>
        <v>9675.5803973896527</v>
      </c>
      <c r="F68">
        <f>Portfolio!B$5*'CurrentPor-N10Unchanged'!E68</f>
        <v>52143.895533915893</v>
      </c>
      <c r="G68">
        <f>Portfolio!B$6*'CurrentPor-N10Unchanged'!F68</f>
        <v>3696.2945087936532</v>
      </c>
      <c r="H68">
        <f>Portfolio!B$7*'CurrentPor-N10Unchanged'!J68</f>
        <v>2064.3996631982095</v>
      </c>
      <c r="I68">
        <f t="shared" ref="I68:I131" si="2">SUM(B68:H68)</f>
        <v>96515.556099604088</v>
      </c>
      <c r="J68">
        <f t="shared" si="1"/>
        <v>-30.504858199783484</v>
      </c>
    </row>
    <row r="69" spans="1:10">
      <c r="A69" s="1">
        <v>45566</v>
      </c>
      <c r="B69">
        <f>(3/(1+('CurrentPor-N10Unchanged'!C69)/100)+103/POWER(1+('CurrentPor-N10Unchanged'!D69)/100,2))*100</f>
        <v>9707.5857774288397</v>
      </c>
      <c r="C69">
        <f>(3/(1+('CurrentPor-N10Unchanged'!C69+'CurrentPor-N10Unchanged'!G69)/100)+103/POWER(1+('CurrentPor-N10Unchanged'!D69+'CurrentPor-N10Unchanged'!G69)/100,2))*100</f>
        <v>9634.8303172663855</v>
      </c>
      <c r="D69">
        <f>(3/(1+('CurrentPor-N10Unchanged'!C69+'CurrentPor-N10Unchanged'!H69)/100)+103/POWER(1+('CurrentPor-N10Unchanged'!D69+'CurrentPor-N10Unchanged'!H69)/100,2))*100</f>
        <v>9596.784888139191</v>
      </c>
      <c r="E69">
        <f>(3/(1+('CurrentPor-N10Unchanged'!C69+'CurrentPor-N10Unchanged'!I69)/100)+103/POWER(1+('CurrentPor-N10Unchanged'!D69+'CurrentPor-N10Unchanged'!I69)/100,2))*100</f>
        <v>9676.1992782327652</v>
      </c>
      <c r="F69">
        <f>Portfolio!B$5*'CurrentPor-N10Unchanged'!E69</f>
        <v>52143.895533915893</v>
      </c>
      <c r="G69">
        <f>Portfolio!B$6*'CurrentPor-N10Unchanged'!F69</f>
        <v>3696.2945087936532</v>
      </c>
      <c r="H69">
        <f>Portfolio!B$7*'CurrentPor-N10Unchanged'!J69</f>
        <v>2064.4030681102613</v>
      </c>
      <c r="I69">
        <f t="shared" si="2"/>
        <v>96519.993371886987</v>
      </c>
      <c r="J69">
        <f t="shared" si="1"/>
        <v>-14.844083649935783</v>
      </c>
    </row>
    <row r="70" spans="1:10">
      <c r="A70" s="1">
        <v>45567</v>
      </c>
      <c r="B70">
        <f>(3/(1+('CurrentPor-N10Unchanged'!C70)/100)+103/POWER(1+('CurrentPor-N10Unchanged'!D70)/100,2))*100</f>
        <v>9707.5857774288397</v>
      </c>
      <c r="C70">
        <f>(3/(1+('CurrentPor-N10Unchanged'!C70+'CurrentPor-N10Unchanged'!G70)/100)+103/POWER(1+('CurrentPor-N10Unchanged'!D70+'CurrentPor-N10Unchanged'!G70)/100,2))*100</f>
        <v>9634.8303172663855</v>
      </c>
      <c r="D70">
        <f>(3/(1+('CurrentPor-N10Unchanged'!C70+'CurrentPor-N10Unchanged'!H70)/100)+103/POWER(1+('CurrentPor-N10Unchanged'!D70+'CurrentPor-N10Unchanged'!H70)/100,2))*100</f>
        <v>9606.033946273903</v>
      </c>
      <c r="E70">
        <f>(3/(1+('CurrentPor-N10Unchanged'!C70+'CurrentPor-N10Unchanged'!I70)/100)+103/POWER(1+('CurrentPor-N10Unchanged'!D70+'CurrentPor-N10Unchanged'!I70)/100,2))*100</f>
        <v>9676.7454012054895</v>
      </c>
      <c r="F70">
        <f>Portfolio!B$5*'CurrentPor-N10Unchanged'!E70</f>
        <v>52143.895533915893</v>
      </c>
      <c r="G70">
        <f>Portfolio!B$6*'CurrentPor-N10Unchanged'!F70</f>
        <v>3696.2945087936532</v>
      </c>
      <c r="H70">
        <f>Portfolio!B$7*'CurrentPor-N10Unchanged'!J70</f>
        <v>2064.4035631797342</v>
      </c>
      <c r="I70">
        <f t="shared" si="2"/>
        <v>96529.789048063903</v>
      </c>
      <c r="J70">
        <f t="shared" si="1"/>
        <v>-1.4510129365080502</v>
      </c>
    </row>
    <row r="71" spans="1:10">
      <c r="A71" s="1">
        <v>45568</v>
      </c>
      <c r="B71">
        <f>(3/(1+('CurrentPor-N10Unchanged'!C71)/100)+103/POWER(1+('CurrentPor-N10Unchanged'!D71)/100,2))*100</f>
        <v>9707.5857774288397</v>
      </c>
      <c r="C71">
        <f>(3/(1+('CurrentPor-N10Unchanged'!C71+'CurrentPor-N10Unchanged'!G71)/100)+103/POWER(1+('CurrentPor-N10Unchanged'!D71+'CurrentPor-N10Unchanged'!G71)/100,2))*100</f>
        <v>9634.8303172663855</v>
      </c>
      <c r="D71">
        <f>(3/(1+('CurrentPor-N10Unchanged'!C71+'CurrentPor-N10Unchanged'!H71)/100)+103/POWER(1+('CurrentPor-N10Unchanged'!D71+'CurrentPor-N10Unchanged'!H71)/100,2))*100</f>
        <v>9585.4843833852265</v>
      </c>
      <c r="E71">
        <f>(3/(1+('CurrentPor-N10Unchanged'!C71+'CurrentPor-N10Unchanged'!I71)/100)+103/POWER(1+('CurrentPor-N10Unchanged'!D71+'CurrentPor-N10Unchanged'!I71)/100,2))*100</f>
        <v>9673.0326980464833</v>
      </c>
      <c r="F71">
        <f>Portfolio!B$5*'CurrentPor-N10Unchanged'!E71</f>
        <v>52143.895533915893</v>
      </c>
      <c r="G71">
        <f>Portfolio!B$6*'CurrentPor-N10Unchanged'!F71</f>
        <v>3696.2945087936532</v>
      </c>
      <c r="H71">
        <f>Portfolio!B$7*'CurrentPor-N10Unchanged'!J71</f>
        <v>2064.3935563352966</v>
      </c>
      <c r="I71">
        <f t="shared" si="2"/>
        <v>96505.516775171782</v>
      </c>
      <c r="J71">
        <f t="shared" si="1"/>
        <v>-34.885060214728583</v>
      </c>
    </row>
    <row r="72" spans="1:10">
      <c r="A72" s="1">
        <v>45569</v>
      </c>
      <c r="B72">
        <f>(3/(1+('CurrentPor-N10Unchanged'!C72)/100)+103/POWER(1+('CurrentPor-N10Unchanged'!D72)/100,2))*100</f>
        <v>9707.5857774288397</v>
      </c>
      <c r="C72">
        <f>(3/(1+('CurrentPor-N10Unchanged'!C72+'CurrentPor-N10Unchanged'!G72)/100)+103/POWER(1+('CurrentPor-N10Unchanged'!D72+'CurrentPor-N10Unchanged'!G72)/100,2))*100</f>
        <v>9631.2142491337127</v>
      </c>
      <c r="D72">
        <f>(3/(1+('CurrentPor-N10Unchanged'!C72+'CurrentPor-N10Unchanged'!H72)/100)+103/POWER(1+('CurrentPor-N10Unchanged'!D72+'CurrentPor-N10Unchanged'!H72)/100,2))*100</f>
        <v>9597.8405455466655</v>
      </c>
      <c r="E72">
        <f>(3/(1+('CurrentPor-N10Unchanged'!C72+'CurrentPor-N10Unchanged'!I72)/100)+103/POWER(1+('CurrentPor-N10Unchanged'!D72+'CurrentPor-N10Unchanged'!I72)/100,2))*100</f>
        <v>9674.3428190550749</v>
      </c>
      <c r="F72">
        <f>Portfolio!B$5*'CurrentPor-N10Unchanged'!E72</f>
        <v>52143.895533915893</v>
      </c>
      <c r="G72">
        <f>Portfolio!B$6*'CurrentPor-N10Unchanged'!F72</f>
        <v>3696.2945087936532</v>
      </c>
      <c r="H72">
        <f>Portfolio!B$7*'CurrentPor-N10Unchanged'!J72</f>
        <v>2064.4016396232923</v>
      </c>
      <c r="I72">
        <f t="shared" si="2"/>
        <v>96515.575073497123</v>
      </c>
      <c r="J72">
        <f t="shared" si="1"/>
        <v>-14.006930670715519</v>
      </c>
    </row>
    <row r="73" spans="1:10">
      <c r="A73" s="1">
        <v>45572</v>
      </c>
      <c r="B73">
        <f>(3/(1+('CurrentPor-N10Unchanged'!C73)/100)+103/POWER(1+('CurrentPor-N10Unchanged'!D73)/100,2))*100</f>
        <v>9707.5857774288397</v>
      </c>
      <c r="C73">
        <f>(3/(1+('CurrentPor-N10Unchanged'!C73+'CurrentPor-N10Unchanged'!G73)/100)+103/POWER(1+('CurrentPor-N10Unchanged'!D73+'CurrentPor-N10Unchanged'!G73)/100,2))*100</f>
        <v>9629.4069860209238</v>
      </c>
      <c r="D73">
        <f>(3/(1+('CurrentPor-N10Unchanged'!C73+'CurrentPor-N10Unchanged'!H73)/100)+103/POWER(1+('CurrentPor-N10Unchanged'!D73+'CurrentPor-N10Unchanged'!H73)/100,2))*100</f>
        <v>9613.2645878226158</v>
      </c>
      <c r="E73">
        <f>(3/(1+('CurrentPor-N10Unchanged'!C73+'CurrentPor-N10Unchanged'!I73)/100)+103/POWER(1+('CurrentPor-N10Unchanged'!D73+'CurrentPor-N10Unchanged'!I73)/100,2))*100</f>
        <v>9675.4529888018551</v>
      </c>
      <c r="F73">
        <f>Portfolio!B$5*'CurrentPor-N10Unchanged'!E73</f>
        <v>52143.895533915893</v>
      </c>
      <c r="G73">
        <f>Portfolio!B$6*'CurrentPor-N10Unchanged'!F73</f>
        <v>3696.2945087936532</v>
      </c>
      <c r="H73">
        <f>Portfolio!B$7*'CurrentPor-N10Unchanged'!J73</f>
        <v>2064.4039858381548</v>
      </c>
      <c r="I73">
        <f t="shared" si="2"/>
        <v>96530.304368621946</v>
      </c>
      <c r="J73">
        <f t="shared" si="1"/>
        <v>-12.3448863211961</v>
      </c>
    </row>
    <row r="74" spans="1:10">
      <c r="A74" s="1">
        <v>45573</v>
      </c>
      <c r="B74">
        <f>(3/(1+('CurrentPor-N10Unchanged'!C74)/100)+103/POWER(1+('CurrentPor-N10Unchanged'!D74)/100,2))*100</f>
        <v>9707.5857774288397</v>
      </c>
      <c r="C74">
        <f>(3/(1+('CurrentPor-N10Unchanged'!C74+'CurrentPor-N10Unchanged'!G74)/100)+103/POWER(1+('CurrentPor-N10Unchanged'!D74+'CurrentPor-N10Unchanged'!G74)/100,2))*100</f>
        <v>9636.6391226770629</v>
      </c>
      <c r="D74">
        <f>(3/(1+('CurrentPor-N10Unchanged'!C74+'CurrentPor-N10Unchanged'!H74)/100)+103/POWER(1+('CurrentPor-N10Unchanged'!D74+'CurrentPor-N10Unchanged'!H74)/100,2))*100</f>
        <v>9585.2118382865192</v>
      </c>
      <c r="E74">
        <f>(3/(1+('CurrentPor-N10Unchanged'!C74+'CurrentPor-N10Unchanged'!I74)/100)+103/POWER(1+('CurrentPor-N10Unchanged'!D74+'CurrentPor-N10Unchanged'!I74)/100,2))*100</f>
        <v>9671.5045655223075</v>
      </c>
      <c r="F74">
        <f>Portfolio!B$5*'CurrentPor-N10Unchanged'!E74</f>
        <v>52143.895533915893</v>
      </c>
      <c r="G74">
        <f>Portfolio!B$6*'CurrentPor-N10Unchanged'!F74</f>
        <v>3696.2945087936532</v>
      </c>
      <c r="H74">
        <f>Portfolio!B$7*'CurrentPor-N10Unchanged'!J74</f>
        <v>2064.3920234427815</v>
      </c>
      <c r="I74">
        <f t="shared" si="2"/>
        <v>96505.523370067065</v>
      </c>
      <c r="J74">
        <f t="shared" si="1"/>
        <v>-48.394658389079268</v>
      </c>
    </row>
    <row r="75" spans="1:10">
      <c r="A75" s="1">
        <v>45574</v>
      </c>
      <c r="B75">
        <f>(3/(1+('CurrentPor-N10Unchanged'!C75)/100)+103/POWER(1+('CurrentPor-N10Unchanged'!D75)/100,2))*100</f>
        <v>9707.5857774288397</v>
      </c>
      <c r="C75">
        <f>(3/(1+('CurrentPor-N10Unchanged'!C75+'CurrentPor-N10Unchanged'!G75)/100)+103/POWER(1+('CurrentPor-N10Unchanged'!D75+'CurrentPor-N10Unchanged'!G75)/100,2))*100</f>
        <v>9640.2582771647722</v>
      </c>
      <c r="D75">
        <f>(3/(1+('CurrentPor-N10Unchanged'!C75+'CurrentPor-N10Unchanged'!H75)/100)+103/POWER(1+('CurrentPor-N10Unchanged'!D75+'CurrentPor-N10Unchanged'!H75)/100,2))*100</f>
        <v>9589.7775477937776</v>
      </c>
      <c r="E75">
        <f>(3/(1+('CurrentPor-N10Unchanged'!C75+'CurrentPor-N10Unchanged'!I75)/100)+103/POWER(1+('CurrentPor-N10Unchanged'!D75+'CurrentPor-N10Unchanged'!I75)/100,2))*100</f>
        <v>9673.6877249516419</v>
      </c>
      <c r="F75">
        <f>Portfolio!B$5*'CurrentPor-N10Unchanged'!E75</f>
        <v>52143.895533915893</v>
      </c>
      <c r="G75">
        <f>Portfolio!B$6*'CurrentPor-N10Unchanged'!F75</f>
        <v>3696.2945087936532</v>
      </c>
      <c r="H75">
        <f>Portfolio!B$7*'CurrentPor-N10Unchanged'!J75</f>
        <v>2064.3945716985304</v>
      </c>
      <c r="I75">
        <f t="shared" si="2"/>
        <v>96515.893941747112</v>
      </c>
      <c r="J75">
        <f t="shared" si="1"/>
        <v>-28.422862884995993</v>
      </c>
    </row>
    <row r="76" spans="1:10">
      <c r="A76" s="1">
        <v>45575</v>
      </c>
      <c r="B76">
        <f>(3/(1+('CurrentPor-N10Unchanged'!C76)/100)+103/POWER(1+('CurrentPor-N10Unchanged'!D76)/100,2))*100</f>
        <v>9707.5857774288397</v>
      </c>
      <c r="C76">
        <f>(3/(1+('CurrentPor-N10Unchanged'!C76+'CurrentPor-N10Unchanged'!G76)/100)+103/POWER(1+('CurrentPor-N10Unchanged'!D76+'CurrentPor-N10Unchanged'!G76)/100,2))*100</f>
        <v>9642.0686266331541</v>
      </c>
      <c r="D76">
        <f>(3/(1+('CurrentPor-N10Unchanged'!C76+'CurrentPor-N10Unchanged'!H76)/100)+103/POWER(1+('CurrentPor-N10Unchanged'!D76+'CurrentPor-N10Unchanged'!H76)/100,2))*100</f>
        <v>9591.5763994074568</v>
      </c>
      <c r="E76">
        <f>(3/(1+('CurrentPor-N10Unchanged'!C76+'CurrentPor-N10Unchanged'!I76)/100)+103/POWER(1+('CurrentPor-N10Unchanged'!D76+'CurrentPor-N10Unchanged'!I76)/100,2))*100</f>
        <v>9673.8514921772967</v>
      </c>
      <c r="F76">
        <f>Portfolio!B$5*'CurrentPor-N10Unchanged'!E76</f>
        <v>52143.895533915893</v>
      </c>
      <c r="G76">
        <f>Portfolio!B$6*'CurrentPor-N10Unchanged'!F76</f>
        <v>3696.2945087936532</v>
      </c>
      <c r="H76">
        <f>Portfolio!B$7*'CurrentPor-N10Unchanged'!J76</f>
        <v>2064.4060339350531</v>
      </c>
      <c r="I76">
        <f t="shared" si="2"/>
        <v>96519.678372291353</v>
      </c>
      <c r="J76">
        <f t="shared" si="1"/>
        <v>-23.893821061850758</v>
      </c>
    </row>
    <row r="77" spans="1:10">
      <c r="A77" s="1">
        <v>45576</v>
      </c>
      <c r="B77">
        <f>(3/(1+('CurrentPor-N10Unchanged'!C77)/100)+103/POWER(1+('CurrentPor-N10Unchanged'!D77)/100,2))*100</f>
        <v>9707.5857774288397</v>
      </c>
      <c r="C77">
        <f>(3/(1+('CurrentPor-N10Unchanged'!C77+'CurrentPor-N10Unchanged'!G77)/100)+103/POWER(1+('CurrentPor-N10Unchanged'!D77+'CurrentPor-N10Unchanged'!G77)/100,2))*100</f>
        <v>9642.0686266331541</v>
      </c>
      <c r="D77">
        <f>(3/(1+('CurrentPor-N10Unchanged'!C77+'CurrentPor-N10Unchanged'!H77)/100)+103/POWER(1+('CurrentPor-N10Unchanged'!D77+'CurrentPor-N10Unchanged'!H77)/100,2))*100</f>
        <v>9597.3391887643265</v>
      </c>
      <c r="E77">
        <f>(3/(1+('CurrentPor-N10Unchanged'!C77+'CurrentPor-N10Unchanged'!I77)/100)+103/POWER(1+('CurrentPor-N10Unchanged'!D77+'CurrentPor-N10Unchanged'!I77)/100,2))*100</f>
        <v>9675.7442131577227</v>
      </c>
      <c r="F77">
        <f>Portfolio!B$5*'CurrentPor-N10Unchanged'!E77</f>
        <v>52143.895533915893</v>
      </c>
      <c r="G77">
        <f>Portfolio!B$6*'CurrentPor-N10Unchanged'!F77</f>
        <v>3696.2945087936532</v>
      </c>
      <c r="H77">
        <f>Portfolio!B$7*'CurrentPor-N10Unchanged'!J77</f>
        <v>2064.4022196267933</v>
      </c>
      <c r="I77">
        <f t="shared" si="2"/>
        <v>96527.330068320385</v>
      </c>
      <c r="J77">
        <f t="shared" si="1"/>
        <v>-0.86507368547609076</v>
      </c>
    </row>
    <row r="78" spans="1:10">
      <c r="A78" s="1">
        <v>45579</v>
      </c>
      <c r="B78">
        <f>(3/(1+('CurrentPor-N10Unchanged'!C78)/100)+103/POWER(1+('CurrentPor-N10Unchanged'!D78)/100,2))*100</f>
        <v>9707.5857774288397</v>
      </c>
      <c r="C78">
        <f>(3/(1+('CurrentPor-N10Unchanged'!C78+'CurrentPor-N10Unchanged'!G78)/100)+103/POWER(1+('CurrentPor-N10Unchanged'!D78+'CurrentPor-N10Unchanged'!G78)/100,2))*100</f>
        <v>9642.0686266331541</v>
      </c>
      <c r="D78">
        <f>(3/(1+('CurrentPor-N10Unchanged'!C78+'CurrentPor-N10Unchanged'!H78)/100)+103/POWER(1+('CurrentPor-N10Unchanged'!D78+'CurrentPor-N10Unchanged'!H78)/100,2))*100</f>
        <v>9607.7743638502561</v>
      </c>
      <c r="E78">
        <f>(3/(1+('CurrentPor-N10Unchanged'!C78+'CurrentPor-N10Unchanged'!I78)/100)+103/POWER(1+('CurrentPor-N10Unchanged'!D78+'CurrentPor-N10Unchanged'!I78)/100,2))*100</f>
        <v>9678.2201598923075</v>
      </c>
      <c r="F78">
        <f>Portfolio!B$5*'CurrentPor-N10Unchanged'!E78</f>
        <v>52143.895533915893</v>
      </c>
      <c r="G78">
        <f>Portfolio!B$6*'CurrentPor-N10Unchanged'!F78</f>
        <v>3696.2945087936532</v>
      </c>
      <c r="H78">
        <f>Portfolio!B$7*'CurrentPor-N10Unchanged'!J78</f>
        <v>2064.3951727837352</v>
      </c>
      <c r="I78">
        <f t="shared" si="2"/>
        <v>96540.234143297843</v>
      </c>
      <c r="J78">
        <f t="shared" ref="J78:J141" si="3">I78-I68</f>
        <v>24.678043693755171</v>
      </c>
    </row>
    <row r="79" spans="1:10">
      <c r="A79" s="1">
        <v>45580</v>
      </c>
      <c r="B79">
        <f>(3/(1+('CurrentPor-N10Unchanged'!C79)/100)+103/POWER(1+('CurrentPor-N10Unchanged'!D79)/100,2))*100</f>
        <v>9707.5857774288397</v>
      </c>
      <c r="C79">
        <f>(3/(1+('CurrentPor-N10Unchanged'!C79+'CurrentPor-N10Unchanged'!G79)/100)+103/POWER(1+('CurrentPor-N10Unchanged'!D79+'CurrentPor-N10Unchanged'!G79)/100,2))*100</f>
        <v>9642.0686266331541</v>
      </c>
      <c r="D79">
        <f>(3/(1+('CurrentPor-N10Unchanged'!C79+'CurrentPor-N10Unchanged'!H79)/100)+103/POWER(1+('CurrentPor-N10Unchanged'!D79+'CurrentPor-N10Unchanged'!H79)/100,2))*100</f>
        <v>9620.9816481323287</v>
      </c>
      <c r="E79">
        <f>(3/(1+('CurrentPor-N10Unchanged'!C79+'CurrentPor-N10Unchanged'!I79)/100)+103/POWER(1+('CurrentPor-N10Unchanged'!D79+'CurrentPor-N10Unchanged'!I79)/100,2))*100</f>
        <v>9677.1277119446768</v>
      </c>
      <c r="F79">
        <f>Portfolio!B$5*'CurrentPor-N10Unchanged'!E79</f>
        <v>52143.895533915893</v>
      </c>
      <c r="G79">
        <f>Portfolio!B$6*'CurrentPor-N10Unchanged'!F79</f>
        <v>3696.2945087936532</v>
      </c>
      <c r="H79">
        <f>Portfolio!B$7*'CurrentPor-N10Unchanged'!J79</f>
        <v>2064.4024812796888</v>
      </c>
      <c r="I79">
        <f t="shared" si="2"/>
        <v>96552.356288128227</v>
      </c>
      <c r="J79">
        <f t="shared" si="3"/>
        <v>32.362916241239873</v>
      </c>
    </row>
    <row r="80" spans="1:10">
      <c r="A80" s="1">
        <v>45581</v>
      </c>
      <c r="B80">
        <f>(3/(1+('CurrentPor-N10Unchanged'!C80)/100)+103/POWER(1+('CurrentPor-N10Unchanged'!D80)/100,2))*100</f>
        <v>9707.5857774288397</v>
      </c>
      <c r="C80">
        <f>(3/(1+('CurrentPor-N10Unchanged'!C80+'CurrentPor-N10Unchanged'!G80)/100)+103/POWER(1+('CurrentPor-N10Unchanged'!D80+'CurrentPor-N10Unchanged'!G80)/100,2))*100</f>
        <v>9645.6908709980435</v>
      </c>
      <c r="D80">
        <f>(3/(1+('CurrentPor-N10Unchanged'!C80+'CurrentPor-N10Unchanged'!H80)/100)+103/POWER(1+('CurrentPor-N10Unchanged'!D80+'CurrentPor-N10Unchanged'!H80)/100,2))*100</f>
        <v>9601.1583505225753</v>
      </c>
      <c r="E80">
        <f>(3/(1+('CurrentPor-N10Unchanged'!C80+'CurrentPor-N10Unchanged'!I80)/100)+103/POWER(1+('CurrentPor-N10Unchanged'!D80+'CurrentPor-N10Unchanged'!I80)/100,2))*100</f>
        <v>9672.3413563481736</v>
      </c>
      <c r="F80">
        <f>Portfolio!B$5*'CurrentPor-N10Unchanged'!E80</f>
        <v>52143.895533915893</v>
      </c>
      <c r="G80">
        <f>Portfolio!B$6*'CurrentPor-N10Unchanged'!F80</f>
        <v>3696.2945087936532</v>
      </c>
      <c r="H80">
        <f>Portfolio!B$7*'CurrentPor-N10Unchanged'!J80</f>
        <v>2064.406320895363</v>
      </c>
      <c r="I80">
        <f t="shared" si="2"/>
        <v>96531.372718902538</v>
      </c>
      <c r="J80">
        <f t="shared" si="3"/>
        <v>1.5836708386341343</v>
      </c>
    </row>
    <row r="81" spans="1:10">
      <c r="A81" s="1">
        <v>45582</v>
      </c>
      <c r="B81">
        <f>(3/(1+('CurrentPor-N10Unchanged'!C81)/100)+103/POWER(1+('CurrentPor-N10Unchanged'!D81)/100,2))*100</f>
        <v>9707.5857774288397</v>
      </c>
      <c r="C81">
        <f>(3/(1+('CurrentPor-N10Unchanged'!C81+'CurrentPor-N10Unchanged'!G81)/100)+103/POWER(1+('CurrentPor-N10Unchanged'!D81+'CurrentPor-N10Unchanged'!G81)/100,2))*100</f>
        <v>9645.6908709980435</v>
      </c>
      <c r="D81">
        <f>(3/(1+('CurrentPor-N10Unchanged'!C81+'CurrentPor-N10Unchanged'!H81)/100)+103/POWER(1+('CurrentPor-N10Unchanged'!D81+'CurrentPor-N10Unchanged'!H81)/100,2))*100</f>
        <v>9587.2990066597595</v>
      </c>
      <c r="E81">
        <f>(3/(1+('CurrentPor-N10Unchanged'!C81+'CurrentPor-N10Unchanged'!I81)/100)+103/POWER(1+('CurrentPor-N10Unchanged'!D81+'CurrentPor-N10Unchanged'!I81)/100,2))*100</f>
        <v>9676.1810780625983</v>
      </c>
      <c r="F81">
        <f>Portfolio!B$5*'CurrentPor-N10Unchanged'!E81</f>
        <v>52143.895533915893</v>
      </c>
      <c r="G81">
        <f>Portfolio!B$6*'CurrentPor-N10Unchanged'!F81</f>
        <v>3696.2945087936532</v>
      </c>
      <c r="H81">
        <f>Portfolio!B$7*'CurrentPor-N10Unchanged'!J81</f>
        <v>2064.4027093819991</v>
      </c>
      <c r="I81">
        <f t="shared" si="2"/>
        <v>96521.349485240789</v>
      </c>
      <c r="J81">
        <f t="shared" si="3"/>
        <v>15.832710069007589</v>
      </c>
    </row>
    <row r="82" spans="1:10">
      <c r="A82" s="1">
        <v>45583</v>
      </c>
      <c r="B82">
        <f>(3/(1+('CurrentPor-N10Unchanged'!C82)/100)+103/POWER(1+('CurrentPor-N10Unchanged'!D82)/100,2))*100</f>
        <v>9707.5857774288397</v>
      </c>
      <c r="C82">
        <f>(3/(1+('CurrentPor-N10Unchanged'!C82+'CurrentPor-N10Unchanged'!G82)/100)+103/POWER(1+('CurrentPor-N10Unchanged'!D82+'CurrentPor-N10Unchanged'!G82)/100,2))*100</f>
        <v>9640.2582771647722</v>
      </c>
      <c r="D82">
        <f>(3/(1+('CurrentPor-N10Unchanged'!C82+'CurrentPor-N10Unchanged'!H82)/100)+103/POWER(1+('CurrentPor-N10Unchanged'!D82+'CurrentPor-N10Unchanged'!H82)/100,2))*100</f>
        <v>9599.4660613861888</v>
      </c>
      <c r="E82">
        <f>(3/(1+('CurrentPor-N10Unchanged'!C82+'CurrentPor-N10Unchanged'!I82)/100)+103/POWER(1+('CurrentPor-N10Unchanged'!D82+'CurrentPor-N10Unchanged'!I82)/100,2))*100</f>
        <v>9674.9615799806725</v>
      </c>
      <c r="F82">
        <f>Portfolio!B$5*'CurrentPor-N10Unchanged'!E82</f>
        <v>52143.895533915893</v>
      </c>
      <c r="G82">
        <f>Portfolio!B$6*'CurrentPor-N10Unchanged'!F82</f>
        <v>3696.2945087936532</v>
      </c>
      <c r="H82">
        <f>Portfolio!B$7*'CurrentPor-N10Unchanged'!J82</f>
        <v>2064.4021091737432</v>
      </c>
      <c r="I82">
        <f t="shared" si="2"/>
        <v>96526.86384784375</v>
      </c>
      <c r="J82">
        <f t="shared" si="3"/>
        <v>11.288774346627179</v>
      </c>
    </row>
    <row r="83" spans="1:10">
      <c r="A83" s="1">
        <v>45586</v>
      </c>
      <c r="B83">
        <f>(3/(1+('CurrentPor-N10Unchanged'!C83)/100)+103/POWER(1+('CurrentPor-N10Unchanged'!D83)/100,2))*100</f>
        <v>9707.5857774288397</v>
      </c>
      <c r="C83">
        <f>(3/(1+('CurrentPor-N10Unchanged'!C83+'CurrentPor-N10Unchanged'!G83)/100)+103/POWER(1+('CurrentPor-N10Unchanged'!D83+'CurrentPor-N10Unchanged'!G83)/100,2))*100</f>
        <v>9634.8303172663855</v>
      </c>
      <c r="D83">
        <f>(3/(1+('CurrentPor-N10Unchanged'!C83+'CurrentPor-N10Unchanged'!H83)/100)+103/POWER(1+('CurrentPor-N10Unchanged'!D83+'CurrentPor-N10Unchanged'!H83)/100,2))*100</f>
        <v>9611.6571750888579</v>
      </c>
      <c r="E83">
        <f>(3/(1+('CurrentPor-N10Unchanged'!C83+'CurrentPor-N10Unchanged'!I83)/100)+103/POWER(1+('CurrentPor-N10Unchanged'!D83+'CurrentPor-N10Unchanged'!I83)/100,2))*100</f>
        <v>9667.9948878388495</v>
      </c>
      <c r="F83">
        <f>Portfolio!B$5*'CurrentPor-N10Unchanged'!E83</f>
        <v>52143.895533915893</v>
      </c>
      <c r="G83">
        <f>Portfolio!B$6*'CurrentPor-N10Unchanged'!F83</f>
        <v>3696.2945087936532</v>
      </c>
      <c r="H83">
        <f>Portfolio!B$7*'CurrentPor-N10Unchanged'!J83</f>
        <v>2064.393607024052</v>
      </c>
      <c r="I83">
        <f t="shared" si="2"/>
        <v>96526.651807356524</v>
      </c>
      <c r="J83">
        <f t="shared" si="3"/>
        <v>-3.6525612654222641</v>
      </c>
    </row>
    <row r="84" spans="1:10">
      <c r="A84" s="1">
        <v>45587</v>
      </c>
      <c r="B84">
        <f>(3/(1+('CurrentPor-N10Unchanged'!C84)/100)+103/POWER(1+('CurrentPor-N10Unchanged'!D84)/100,2))*100</f>
        <v>9707.5857774288397</v>
      </c>
      <c r="C84">
        <f>(3/(1+('CurrentPor-N10Unchanged'!C84+'CurrentPor-N10Unchanged'!G84)/100)+103/POWER(1+('CurrentPor-N10Unchanged'!D84+'CurrentPor-N10Unchanged'!G84)/100,2))*100</f>
        <v>9636.6391226770629</v>
      </c>
      <c r="D84">
        <f>(3/(1+('CurrentPor-N10Unchanged'!C84+'CurrentPor-N10Unchanged'!H84)/100)+103/POWER(1+('CurrentPor-N10Unchanged'!D84+'CurrentPor-N10Unchanged'!H84)/100,2))*100</f>
        <v>9601.8897761949283</v>
      </c>
      <c r="E84">
        <f>(3/(1+('CurrentPor-N10Unchanged'!C84+'CurrentPor-N10Unchanged'!I84)/100)+103/POWER(1+('CurrentPor-N10Unchanged'!D84+'CurrentPor-N10Unchanged'!I84)/100,2))*100</f>
        <v>9670.4314528997838</v>
      </c>
      <c r="F84">
        <f>Portfolio!B$5*'CurrentPor-N10Unchanged'!E84</f>
        <v>52143.895533915893</v>
      </c>
      <c r="G84">
        <f>Portfolio!B$6*'CurrentPor-N10Unchanged'!F84</f>
        <v>3696.2945087936532</v>
      </c>
      <c r="H84">
        <f>Portfolio!B$7*'CurrentPor-N10Unchanged'!J84</f>
        <v>2064.4054236826032</v>
      </c>
      <c r="I84">
        <f t="shared" si="2"/>
        <v>96521.141595592766</v>
      </c>
      <c r="J84">
        <f t="shared" si="3"/>
        <v>15.618225525700836</v>
      </c>
    </row>
    <row r="85" spans="1:10">
      <c r="A85" s="1">
        <v>45588</v>
      </c>
      <c r="B85">
        <f>(3/(1+('CurrentPor-N10Unchanged'!C85)/100)+103/POWER(1+('CurrentPor-N10Unchanged'!D85)/100,2))*100</f>
        <v>9707.5857774288397</v>
      </c>
      <c r="C85">
        <f>(3/(1+('CurrentPor-N10Unchanged'!C85+'CurrentPor-N10Unchanged'!G85)/100)+103/POWER(1+('CurrentPor-N10Unchanged'!D85+'CurrentPor-N10Unchanged'!G85)/100,2))*100</f>
        <v>9640.2582771647722</v>
      </c>
      <c r="D85">
        <f>(3/(1+('CurrentPor-N10Unchanged'!C85+'CurrentPor-N10Unchanged'!H85)/100)+103/POWER(1+('CurrentPor-N10Unchanged'!D85+'CurrentPor-N10Unchanged'!H85)/100,2))*100</f>
        <v>9587.7244928794116</v>
      </c>
      <c r="E85">
        <f>(3/(1+('CurrentPor-N10Unchanged'!C85+'CurrentPor-N10Unchanged'!I85)/100)+103/POWER(1+('CurrentPor-N10Unchanged'!D85+'CurrentPor-N10Unchanged'!I85)/100,2))*100</f>
        <v>9672.9781178175181</v>
      </c>
      <c r="F85">
        <f>Portfolio!B$5*'CurrentPor-N10Unchanged'!E85</f>
        <v>52143.895533915893</v>
      </c>
      <c r="G85">
        <f>Portfolio!B$6*'CurrentPor-N10Unchanged'!F85</f>
        <v>3696.2945087936532</v>
      </c>
      <c r="H85">
        <f>Portfolio!B$7*'CurrentPor-N10Unchanged'!J85</f>
        <v>2064.400221911565</v>
      </c>
      <c r="I85">
        <f t="shared" si="2"/>
        <v>96513.136929911649</v>
      </c>
      <c r="J85">
        <f t="shared" si="3"/>
        <v>-2.7570118354633451</v>
      </c>
    </row>
    <row r="86" spans="1:10">
      <c r="A86" s="1">
        <v>45589</v>
      </c>
      <c r="B86">
        <f>(3/(1+('CurrentPor-N10Unchanged'!C86)/100)+103/POWER(1+('CurrentPor-N10Unchanged'!D86)/100,2))*100</f>
        <v>9707.5857774288397</v>
      </c>
      <c r="C86">
        <f>(3/(1+('CurrentPor-N10Unchanged'!C86+'CurrentPor-N10Unchanged'!G86)/100)+103/POWER(1+('CurrentPor-N10Unchanged'!D86+'CurrentPor-N10Unchanged'!G86)/100,2))*100</f>
        <v>9638.4484425779829</v>
      </c>
      <c r="D86">
        <f>(3/(1+('CurrentPor-N10Unchanged'!C86+'CurrentPor-N10Unchanged'!H86)/100)+103/POWER(1+('CurrentPor-N10Unchanged'!D86+'CurrentPor-N10Unchanged'!H86)/100,2))*100</f>
        <v>9603.089670627096</v>
      </c>
      <c r="E86">
        <f>(3/(1+('CurrentPor-N10Unchanged'!C86+'CurrentPor-N10Unchanged'!I86)/100)+103/POWER(1+('CurrentPor-N10Unchanged'!D86+'CurrentPor-N10Unchanged'!I86)/100,2))*100</f>
        <v>9670.7588245401621</v>
      </c>
      <c r="F86">
        <f>Portfolio!B$5*'CurrentPor-N10Unchanged'!E86</f>
        <v>52143.895533915893</v>
      </c>
      <c r="G86">
        <f>Portfolio!B$6*'CurrentPor-N10Unchanged'!F86</f>
        <v>3696.2945087936532</v>
      </c>
      <c r="H86">
        <f>Portfolio!B$7*'CurrentPor-N10Unchanged'!J86</f>
        <v>2064.4021677275327</v>
      </c>
      <c r="I86">
        <f t="shared" si="2"/>
        <v>96524.474925611168</v>
      </c>
      <c r="J86">
        <f t="shared" si="3"/>
        <v>4.7965533198148478</v>
      </c>
    </row>
    <row r="87" spans="1:10">
      <c r="A87" s="1">
        <v>45590</v>
      </c>
      <c r="B87">
        <f>(3/(1+('CurrentPor-N10Unchanged'!C87)/100)+103/POWER(1+('CurrentPor-N10Unchanged'!D87)/100,2))*100</f>
        <v>9707.5857774288397</v>
      </c>
      <c r="C87">
        <f>(3/(1+('CurrentPor-N10Unchanged'!C87+'CurrentPor-N10Unchanged'!G87)/100)+103/POWER(1+('CurrentPor-N10Unchanged'!D87+'CurrentPor-N10Unchanged'!G87)/100,2))*100</f>
        <v>9636.6391226770629</v>
      </c>
      <c r="D87">
        <f>(3/(1+('CurrentPor-N10Unchanged'!C87+'CurrentPor-N10Unchanged'!H87)/100)+103/POWER(1+('CurrentPor-N10Unchanged'!D87+'CurrentPor-N10Unchanged'!H87)/100,2))*100</f>
        <v>9591.5299328629117</v>
      </c>
      <c r="E87">
        <f>(3/(1+('CurrentPor-N10Unchanged'!C87+'CurrentPor-N10Unchanged'!I87)/100)+103/POWER(1+('CurrentPor-N10Unchanged'!D87+'CurrentPor-N10Unchanged'!I87)/100,2))*100</f>
        <v>9669.8676874657613</v>
      </c>
      <c r="F87">
        <f>Portfolio!B$5*'CurrentPor-N10Unchanged'!E87</f>
        <v>52143.895533915893</v>
      </c>
      <c r="G87">
        <f>Portfolio!B$6*'CurrentPor-N10Unchanged'!F87</f>
        <v>3696.2945087936532</v>
      </c>
      <c r="H87">
        <f>Portfolio!B$7*'CurrentPor-N10Unchanged'!J87</f>
        <v>2064.3995738911249</v>
      </c>
      <c r="I87">
        <f t="shared" si="2"/>
        <v>96510.21213703524</v>
      </c>
      <c r="J87">
        <f t="shared" si="3"/>
        <v>-17.11793128514546</v>
      </c>
    </row>
    <row r="88" spans="1:10">
      <c r="A88" s="1">
        <v>45593</v>
      </c>
      <c r="B88">
        <f>(3/(1+('CurrentPor-N10Unchanged'!C88)/100)+103/POWER(1+('CurrentPor-N10Unchanged'!D88)/100,2))*100</f>
        <v>9707.5857774288397</v>
      </c>
      <c r="C88">
        <f>(3/(1+('CurrentPor-N10Unchanged'!C88+'CurrentPor-N10Unchanged'!G88)/100)+103/POWER(1+('CurrentPor-N10Unchanged'!D88+'CurrentPor-N10Unchanged'!G88)/100,2))*100</f>
        <v>9640.2582771647722</v>
      </c>
      <c r="D88">
        <f>(3/(1+('CurrentPor-N10Unchanged'!C88+'CurrentPor-N10Unchanged'!H88)/100)+103/POWER(1+('CurrentPor-N10Unchanged'!D88+'CurrentPor-N10Unchanged'!H88)/100,2))*100</f>
        <v>9606.3992600756155</v>
      </c>
      <c r="E88">
        <f>(3/(1+('CurrentPor-N10Unchanged'!C88+'CurrentPor-N10Unchanged'!I88)/100)+103/POWER(1+('CurrentPor-N10Unchanged'!D88+'CurrentPor-N10Unchanged'!I88)/100,2))*100</f>
        <v>9674.4884042634476</v>
      </c>
      <c r="F88">
        <f>Portfolio!B$5*'CurrentPor-N10Unchanged'!E88</f>
        <v>52143.895533915893</v>
      </c>
      <c r="G88">
        <f>Portfolio!B$6*'CurrentPor-N10Unchanged'!F88</f>
        <v>3696.2945087936532</v>
      </c>
      <c r="H88">
        <f>Portfolio!B$7*'CurrentPor-N10Unchanged'!J88</f>
        <v>2064.394971975622</v>
      </c>
      <c r="I88">
        <f t="shared" si="2"/>
        <v>96533.31673361783</v>
      </c>
      <c r="J88">
        <f t="shared" si="3"/>
        <v>-6.9174096800124971</v>
      </c>
    </row>
    <row r="89" spans="1:10">
      <c r="A89" s="1">
        <v>45594</v>
      </c>
      <c r="B89">
        <f>(3/(1+('CurrentPor-N10Unchanged'!C89)/100)+103/POWER(1+('CurrentPor-N10Unchanged'!D89)/100,2))*100</f>
        <v>9707.5857774288397</v>
      </c>
      <c r="C89">
        <f>(3/(1+('CurrentPor-N10Unchanged'!C89+'CurrentPor-N10Unchanged'!G89)/100)+103/POWER(1+('CurrentPor-N10Unchanged'!D89+'CurrentPor-N10Unchanged'!G89)/100,2))*100</f>
        <v>9640.2582771647722</v>
      </c>
      <c r="D89">
        <f>(3/(1+('CurrentPor-N10Unchanged'!C89+'CurrentPor-N10Unchanged'!H89)/100)+103/POWER(1+('CurrentPor-N10Unchanged'!D89+'CurrentPor-N10Unchanged'!H89)/100,2))*100</f>
        <v>9611.4268835599887</v>
      </c>
      <c r="E89">
        <f>(3/(1+('CurrentPor-N10Unchanged'!C89+'CurrentPor-N10Unchanged'!I89)/100)+103/POWER(1+('CurrentPor-N10Unchanged'!D89+'CurrentPor-N10Unchanged'!I89)/100,2))*100</f>
        <v>9676.8000136403025</v>
      </c>
      <c r="F89">
        <f>Portfolio!B$5*'CurrentPor-N10Unchanged'!E89</f>
        <v>52143.895533915893</v>
      </c>
      <c r="G89">
        <f>Portfolio!B$6*'CurrentPor-N10Unchanged'!F89</f>
        <v>3696.2945087936532</v>
      </c>
      <c r="H89">
        <f>Portfolio!B$7*'CurrentPor-N10Unchanged'!J89</f>
        <v>2064.39976547072</v>
      </c>
      <c r="I89">
        <f t="shared" si="2"/>
        <v>96540.660759974169</v>
      </c>
      <c r="J89">
        <f t="shared" si="3"/>
        <v>-11.695528154057683</v>
      </c>
    </row>
    <row r="90" spans="1:10">
      <c r="A90" s="1">
        <v>45595</v>
      </c>
      <c r="B90">
        <f>(3/(1+('CurrentPor-N10Unchanged'!C90)/100)+103/POWER(1+('CurrentPor-N10Unchanged'!D90)/100,2))*100</f>
        <v>9707.5857774288397</v>
      </c>
      <c r="C90">
        <f>(3/(1+('CurrentPor-N10Unchanged'!C90+'CurrentPor-N10Unchanged'!G90)/100)+103/POWER(1+('CurrentPor-N10Unchanged'!D90+'CurrentPor-N10Unchanged'!G90)/100,2))*100</f>
        <v>9642.0686266331541</v>
      </c>
      <c r="D90">
        <f>(3/(1+('CurrentPor-N10Unchanged'!C90+'CurrentPor-N10Unchanged'!H90)/100)+103/POWER(1+('CurrentPor-N10Unchanged'!D90+'CurrentPor-N10Unchanged'!H90)/100,2))*100</f>
        <v>9589.4533787174823</v>
      </c>
      <c r="E90">
        <f>(3/(1+('CurrentPor-N10Unchanged'!C90+'CurrentPor-N10Unchanged'!I90)/100)+103/POWER(1+('CurrentPor-N10Unchanged'!D90+'CurrentPor-N10Unchanged'!I90)/100,2))*100</f>
        <v>9679.0031959085572</v>
      </c>
      <c r="F90">
        <f>Portfolio!B$5*'CurrentPor-N10Unchanged'!E90</f>
        <v>52143.895533915893</v>
      </c>
      <c r="G90">
        <f>Portfolio!B$6*'CurrentPor-N10Unchanged'!F90</f>
        <v>3696.2945087936532</v>
      </c>
      <c r="H90">
        <f>Portfolio!B$7*'CurrentPor-N10Unchanged'!J90</f>
        <v>2064.3972408045024</v>
      </c>
      <c r="I90">
        <f t="shared" si="2"/>
        <v>96522.698262202088</v>
      </c>
      <c r="J90">
        <f t="shared" si="3"/>
        <v>-8.6744567004498094</v>
      </c>
    </row>
    <row r="91" spans="1:10">
      <c r="A91" s="1">
        <v>45596</v>
      </c>
      <c r="B91">
        <f>(3/(1+('CurrentPor-N10Unchanged'!C91)/100)+103/POWER(1+('CurrentPor-N10Unchanged'!D91)/100,2))*100</f>
        <v>9707.5857774288397</v>
      </c>
      <c r="C91">
        <f>(3/(1+('CurrentPor-N10Unchanged'!C91+'CurrentPor-N10Unchanged'!G91)/100)+103/POWER(1+('CurrentPor-N10Unchanged'!D91+'CurrentPor-N10Unchanged'!G91)/100,2))*100</f>
        <v>9643.879491178941</v>
      </c>
      <c r="D91">
        <f>(3/(1+('CurrentPor-N10Unchanged'!C91+'CurrentPor-N10Unchanged'!H91)/100)+103/POWER(1+('CurrentPor-N10Unchanged'!D91+'CurrentPor-N10Unchanged'!H91)/100,2))*100</f>
        <v>9587.2511643885482</v>
      </c>
      <c r="E91">
        <f>(3/(1+('CurrentPor-N10Unchanged'!C91+'CurrentPor-N10Unchanged'!I91)/100)+103/POWER(1+('CurrentPor-N10Unchanged'!D91+'CurrentPor-N10Unchanged'!I91)/100,2))*100</f>
        <v>9680.3691851352687</v>
      </c>
      <c r="F91">
        <f>Portfolio!B$5*'CurrentPor-N10Unchanged'!E91</f>
        <v>52143.895533915893</v>
      </c>
      <c r="G91">
        <f>Portfolio!B$6*'CurrentPor-N10Unchanged'!F91</f>
        <v>3696.2945087936532</v>
      </c>
      <c r="H91">
        <f>Portfolio!B$7*'CurrentPor-N10Unchanged'!J91</f>
        <v>2064.406504101652</v>
      </c>
      <c r="I91">
        <f t="shared" si="2"/>
        <v>96523.682164942802</v>
      </c>
      <c r="J91">
        <f t="shared" si="3"/>
        <v>2.3326797020126833</v>
      </c>
    </row>
    <row r="92" spans="1:10">
      <c r="A92" s="1">
        <v>45597</v>
      </c>
      <c r="B92">
        <f>(3/(1+('CurrentPor-N10Unchanged'!C92)/100)+103/POWER(1+('CurrentPor-N10Unchanged'!D92)/100,2))*100</f>
        <v>9707.5857774288397</v>
      </c>
      <c r="C92">
        <f>(3/(1+('CurrentPor-N10Unchanged'!C92+'CurrentPor-N10Unchanged'!G92)/100)+103/POWER(1+('CurrentPor-N10Unchanged'!D92+'CurrentPor-N10Unchanged'!G92)/100,2))*100</f>
        <v>9638.4484425779829</v>
      </c>
      <c r="D92">
        <f>(3/(1+('CurrentPor-N10Unchanged'!C92+'CurrentPor-N10Unchanged'!H92)/100)+103/POWER(1+('CurrentPor-N10Unchanged'!D92+'CurrentPor-N10Unchanged'!H92)/100,2))*100</f>
        <v>9601.9734866883045</v>
      </c>
      <c r="E92">
        <f>(3/(1+('CurrentPor-N10Unchanged'!C92+'CurrentPor-N10Unchanged'!I92)/100)+103/POWER(1+('CurrentPor-N10Unchanged'!D92+'CurrentPor-N10Unchanged'!I92)/100,2))*100</f>
        <v>9680.4056146090297</v>
      </c>
      <c r="F92">
        <f>Portfolio!B$5*'CurrentPor-N10Unchanged'!E92</f>
        <v>52143.895533915893</v>
      </c>
      <c r="G92">
        <f>Portfolio!B$6*'CurrentPor-N10Unchanged'!F92</f>
        <v>3696.2945087936532</v>
      </c>
      <c r="H92">
        <f>Portfolio!B$7*'CurrentPor-N10Unchanged'!J92</f>
        <v>2064.4009259765776</v>
      </c>
      <c r="I92">
        <f t="shared" si="2"/>
        <v>96533.004289990276</v>
      </c>
      <c r="J92">
        <f t="shared" si="3"/>
        <v>6.140442146526766</v>
      </c>
    </row>
    <row r="93" spans="1:10">
      <c r="A93" s="1">
        <v>45600</v>
      </c>
      <c r="B93">
        <f>(3/(1+('CurrentPor-N10Unchanged'!C93)/100)+103/POWER(1+('CurrentPor-N10Unchanged'!D93)/100,2))*100</f>
        <v>9707.5857774288397</v>
      </c>
      <c r="C93">
        <f>(3/(1+('CurrentPor-N10Unchanged'!C93+'CurrentPor-N10Unchanged'!G93)/100)+103/POWER(1+('CurrentPor-N10Unchanged'!D93+'CurrentPor-N10Unchanged'!G93)/100,2))*100</f>
        <v>9631.2142491337127</v>
      </c>
      <c r="D93">
        <f>(3/(1+('CurrentPor-N10Unchanged'!C93+'CurrentPor-N10Unchanged'!H93)/100)+103/POWER(1+('CurrentPor-N10Unchanged'!D93+'CurrentPor-N10Unchanged'!H93)/100,2))*100</f>
        <v>9592.6719611140124</v>
      </c>
      <c r="E93">
        <f>(3/(1+('CurrentPor-N10Unchanged'!C93+'CurrentPor-N10Unchanged'!I93)/100)+103/POWER(1+('CurrentPor-N10Unchanged'!D93+'CurrentPor-N10Unchanged'!I93)/100,2))*100</f>
        <v>9679.6770472220851</v>
      </c>
      <c r="F93">
        <f>Portfolio!B$5*'CurrentPor-N10Unchanged'!E93</f>
        <v>52143.895533915893</v>
      </c>
      <c r="G93">
        <f>Portfolio!B$6*'CurrentPor-N10Unchanged'!F93</f>
        <v>3696.2945087936532</v>
      </c>
      <c r="H93">
        <f>Portfolio!B$7*'CurrentPor-N10Unchanged'!J93</f>
        <v>2064.3930374524921</v>
      </c>
      <c r="I93">
        <f t="shared" si="2"/>
        <v>96515.732115060688</v>
      </c>
      <c r="J93">
        <f t="shared" si="3"/>
        <v>-10.919692295836285</v>
      </c>
    </row>
    <row r="94" spans="1:10">
      <c r="A94" s="1">
        <v>45601</v>
      </c>
      <c r="B94">
        <f>(3/(1+('CurrentPor-N10Unchanged'!C94)/100)+103/POWER(1+('CurrentPor-N10Unchanged'!D94)/100,2))*100</f>
        <v>9707.5857774288397</v>
      </c>
      <c r="C94">
        <f>(3/(1+('CurrentPor-N10Unchanged'!C94+'CurrentPor-N10Unchanged'!G94)/100)+103/POWER(1+('CurrentPor-N10Unchanged'!D94+'CurrentPor-N10Unchanged'!G94)/100,2))*100</f>
        <v>9633.0220261504182</v>
      </c>
      <c r="D94">
        <f>(3/(1+('CurrentPor-N10Unchanged'!C94+'CurrentPor-N10Unchanged'!H94)/100)+103/POWER(1+('CurrentPor-N10Unchanged'!D94+'CurrentPor-N10Unchanged'!H94)/100,2))*100</f>
        <v>9572.9984013688572</v>
      </c>
      <c r="E94">
        <f>(3/(1+('CurrentPor-N10Unchanged'!C94+'CurrentPor-N10Unchanged'!I94)/100)+103/POWER(1+('CurrentPor-N10Unchanged'!D94+'CurrentPor-N10Unchanged'!I94)/100,2))*100</f>
        <v>9681.7172470058304</v>
      </c>
      <c r="F94">
        <f>Portfolio!B$5*'CurrentPor-N10Unchanged'!E94</f>
        <v>52143.895533915893</v>
      </c>
      <c r="G94">
        <f>Portfolio!B$6*'CurrentPor-N10Unchanged'!F94</f>
        <v>3696.2945087936532</v>
      </c>
      <c r="H94">
        <f>Portfolio!B$7*'CurrentPor-N10Unchanged'!J94</f>
        <v>2064.3966220986958</v>
      </c>
      <c r="I94">
        <f t="shared" si="2"/>
        <v>96499.910116762185</v>
      </c>
      <c r="J94">
        <f t="shared" si="3"/>
        <v>-21.231478830581182</v>
      </c>
    </row>
    <row r="95" spans="1:10">
      <c r="A95" s="1">
        <v>45602</v>
      </c>
      <c r="B95">
        <f>(3/(1+('CurrentPor-N10Unchanged'!C95)/100)+103/POWER(1+('CurrentPor-N10Unchanged'!D95)/100,2))*100</f>
        <v>9707.5857774288397</v>
      </c>
      <c r="C95">
        <f>(3/(1+('CurrentPor-N10Unchanged'!C95+'CurrentPor-N10Unchanged'!G95)/100)+103/POWER(1+('CurrentPor-N10Unchanged'!D95+'CurrentPor-N10Unchanged'!G95)/100,2))*100</f>
        <v>9631.2142491337127</v>
      </c>
      <c r="D95">
        <f>(3/(1+('CurrentPor-N10Unchanged'!C95+'CurrentPor-N10Unchanged'!H95)/100)+103/POWER(1+('CurrentPor-N10Unchanged'!D95+'CurrentPor-N10Unchanged'!H95)/100,2))*100</f>
        <v>9604.9264476862427</v>
      </c>
      <c r="E95">
        <f>(3/(1+('CurrentPor-N10Unchanged'!C95+'CurrentPor-N10Unchanged'!I95)/100)+103/POWER(1+('CurrentPor-N10Unchanged'!D95+'CurrentPor-N10Unchanged'!I95)/100,2))*100</f>
        <v>9680.6424173310115</v>
      </c>
      <c r="F95">
        <f>Portfolio!B$5*'CurrentPor-N10Unchanged'!E95</f>
        <v>52143.895533915893</v>
      </c>
      <c r="G95">
        <f>Portfolio!B$6*'CurrentPor-N10Unchanged'!F95</f>
        <v>3696.2945087936532</v>
      </c>
      <c r="H95">
        <f>Portfolio!B$7*'CurrentPor-N10Unchanged'!J95</f>
        <v>2064.3969671539653</v>
      </c>
      <c r="I95">
        <f t="shared" si="2"/>
        <v>96528.955901443318</v>
      </c>
      <c r="J95">
        <f t="shared" si="3"/>
        <v>15.818971531669376</v>
      </c>
    </row>
    <row r="96" spans="1:10">
      <c r="A96" s="1">
        <v>45603</v>
      </c>
      <c r="B96">
        <f>(3/(1+('CurrentPor-N10Unchanged'!C96)/100)+103/POWER(1+('CurrentPor-N10Unchanged'!D96)/100,2))*100</f>
        <v>9707.5857774288397</v>
      </c>
      <c r="C96">
        <f>(3/(1+('CurrentPor-N10Unchanged'!C96+'CurrentPor-N10Unchanged'!G96)/100)+103/POWER(1+('CurrentPor-N10Unchanged'!D96+'CurrentPor-N10Unchanged'!G96)/100,2))*100</f>
        <v>9634.8303172663855</v>
      </c>
      <c r="D96">
        <f>(3/(1+('CurrentPor-N10Unchanged'!C96+'CurrentPor-N10Unchanged'!H96)/100)+103/POWER(1+('CurrentPor-N10Unchanged'!D96+'CurrentPor-N10Unchanged'!H96)/100,2))*100</f>
        <v>9597.3798109872332</v>
      </c>
      <c r="E96">
        <f>(3/(1+('CurrentPor-N10Unchanged'!C96+'CurrentPor-N10Unchanged'!I96)/100)+103/POWER(1+('CurrentPor-N10Unchanged'!D96+'CurrentPor-N10Unchanged'!I96)/100,2))*100</f>
        <v>9681.7354664282466</v>
      </c>
      <c r="F96">
        <f>Portfolio!B$5*'CurrentPor-N10Unchanged'!E96</f>
        <v>52143.895533915893</v>
      </c>
      <c r="G96">
        <f>Portfolio!B$6*'CurrentPor-N10Unchanged'!F96</f>
        <v>3696.2945087936532</v>
      </c>
      <c r="H96">
        <f>Portfolio!B$7*'CurrentPor-N10Unchanged'!J96</f>
        <v>2064.4037007726315</v>
      </c>
      <c r="I96">
        <f t="shared" si="2"/>
        <v>96526.125115592891</v>
      </c>
      <c r="J96">
        <f t="shared" si="3"/>
        <v>1.6501899817230878</v>
      </c>
    </row>
    <row r="97" spans="1:10">
      <c r="A97" s="1">
        <v>45604</v>
      </c>
      <c r="B97">
        <f>(3/(1+('CurrentPor-N10Unchanged'!C97)/100)+103/POWER(1+('CurrentPor-N10Unchanged'!D97)/100,2))*100</f>
        <v>9707.5857774288397</v>
      </c>
      <c r="C97">
        <f>(3/(1+('CurrentPor-N10Unchanged'!C97+'CurrentPor-N10Unchanged'!G97)/100)+103/POWER(1+('CurrentPor-N10Unchanged'!D97+'CurrentPor-N10Unchanged'!G97)/100,2))*100</f>
        <v>9634.8303172663855</v>
      </c>
      <c r="D97">
        <f>(3/(1+('CurrentPor-N10Unchanged'!C97+'CurrentPor-N10Unchanged'!H97)/100)+103/POWER(1+('CurrentPor-N10Unchanged'!D97+'CurrentPor-N10Unchanged'!H97)/100,2))*100</f>
        <v>9593.3541996930999</v>
      </c>
      <c r="E97">
        <f>(3/(1+('CurrentPor-N10Unchanged'!C97+'CurrentPor-N10Unchanged'!I97)/100)+103/POWER(1+('CurrentPor-N10Unchanged'!D97+'CurrentPor-N10Unchanged'!I97)/100,2))*100</f>
        <v>9681.6990276353554</v>
      </c>
      <c r="F97">
        <f>Portfolio!B$5*'CurrentPor-N10Unchanged'!E97</f>
        <v>52143.895533915893</v>
      </c>
      <c r="G97">
        <f>Portfolio!B$6*'CurrentPor-N10Unchanged'!F97</f>
        <v>3696.2945087936532</v>
      </c>
      <c r="H97">
        <f>Portfolio!B$7*'CurrentPor-N10Unchanged'!J97</f>
        <v>2064.4041371549511</v>
      </c>
      <c r="I97">
        <f t="shared" si="2"/>
        <v>96522.063501888188</v>
      </c>
      <c r="J97">
        <f t="shared" si="3"/>
        <v>11.851364852947881</v>
      </c>
    </row>
    <row r="98" spans="1:10">
      <c r="A98" s="1">
        <v>45607</v>
      </c>
      <c r="B98">
        <f>(3/(1+('CurrentPor-N10Unchanged'!C98)/100)+103/POWER(1+('CurrentPor-N10Unchanged'!D98)/100,2))*100</f>
        <v>9707.5857774288397</v>
      </c>
      <c r="C98">
        <f>(3/(1+('CurrentPor-N10Unchanged'!C98+'CurrentPor-N10Unchanged'!G98)/100)+103/POWER(1+('CurrentPor-N10Unchanged'!D98+'CurrentPor-N10Unchanged'!G98)/100,2))*100</f>
        <v>9642.0686266331541</v>
      </c>
      <c r="D98">
        <f>(3/(1+('CurrentPor-N10Unchanged'!C98+'CurrentPor-N10Unchanged'!H98)/100)+103/POWER(1+('CurrentPor-N10Unchanged'!D98+'CurrentPor-N10Unchanged'!H98)/100,2))*100</f>
        <v>9603.7595254689968</v>
      </c>
      <c r="E98">
        <f>(3/(1+('CurrentPor-N10Unchanged'!C98+'CurrentPor-N10Unchanged'!I98)/100)+103/POWER(1+('CurrentPor-N10Unchanged'!D98+'CurrentPor-N10Unchanged'!I98)/100,2))*100</f>
        <v>9683.1020398709661</v>
      </c>
      <c r="F98">
        <f>Portfolio!B$5*'CurrentPor-N10Unchanged'!E98</f>
        <v>52143.895533915893</v>
      </c>
      <c r="G98">
        <f>Portfolio!B$6*'CurrentPor-N10Unchanged'!F98</f>
        <v>3696.2945087936532</v>
      </c>
      <c r="H98">
        <f>Portfolio!B$7*'CurrentPor-N10Unchanged'!J98</f>
        <v>2064.390173213525</v>
      </c>
      <c r="I98">
        <f t="shared" si="2"/>
        <v>96541.096185325034</v>
      </c>
      <c r="J98">
        <f t="shared" si="3"/>
        <v>7.7794517072034068</v>
      </c>
    </row>
    <row r="99" spans="1:10">
      <c r="A99" s="1">
        <v>45608</v>
      </c>
      <c r="B99">
        <f>(3/(1+('CurrentPor-N10Unchanged'!C99)/100)+103/POWER(1+('CurrentPor-N10Unchanged'!D99)/100,2))*100</f>
        <v>9707.5857774288397</v>
      </c>
      <c r="C99">
        <f>(3/(1+('CurrentPor-N10Unchanged'!C99+'CurrentPor-N10Unchanged'!G99)/100)+103/POWER(1+('CurrentPor-N10Unchanged'!D99+'CurrentPor-N10Unchanged'!G99)/100,2))*100</f>
        <v>9643.879491178941</v>
      </c>
      <c r="D99">
        <f>(3/(1+('CurrentPor-N10Unchanged'!C99+'CurrentPor-N10Unchanged'!H99)/100)+103/POWER(1+('CurrentPor-N10Unchanged'!D99+'CurrentPor-N10Unchanged'!H99)/100,2))*100</f>
        <v>9605.0283388627304</v>
      </c>
      <c r="E99">
        <f>(3/(1+('CurrentPor-N10Unchanged'!C99+'CurrentPor-N10Unchanged'!I99)/100)+103/POWER(1+('CurrentPor-N10Unchanged'!D99+'CurrentPor-N10Unchanged'!I99)/100,2))*100</f>
        <v>9683.2113773965266</v>
      </c>
      <c r="F99">
        <f>Portfolio!B$5*'CurrentPor-N10Unchanged'!E99</f>
        <v>52143.895533915893</v>
      </c>
      <c r="G99">
        <f>Portfolio!B$6*'CurrentPor-N10Unchanged'!F99</f>
        <v>3696.2945087936532</v>
      </c>
      <c r="H99">
        <f>Portfolio!B$7*'CurrentPor-N10Unchanged'!J99</f>
        <v>2064.3967280868042</v>
      </c>
      <c r="I99">
        <f t="shared" si="2"/>
        <v>96544.291755663391</v>
      </c>
      <c r="J99">
        <f t="shared" si="3"/>
        <v>3.6309956892218906</v>
      </c>
    </row>
    <row r="100" spans="1:10">
      <c r="A100" s="1">
        <v>45609</v>
      </c>
      <c r="B100">
        <f>(3/(1+('CurrentPor-N10Unchanged'!C100)/100)+103/POWER(1+('CurrentPor-N10Unchanged'!D100)/100,2))*100</f>
        <v>9707.5857774288397</v>
      </c>
      <c r="C100">
        <f>(3/(1+('CurrentPor-N10Unchanged'!C100+'CurrentPor-N10Unchanged'!G100)/100)+103/POWER(1+('CurrentPor-N10Unchanged'!D100+'CurrentPor-N10Unchanged'!G100)/100,2))*100</f>
        <v>9642.0686266331541</v>
      </c>
      <c r="D100">
        <f>(3/(1+('CurrentPor-N10Unchanged'!C100+'CurrentPor-N10Unchanged'!H100)/100)+103/POWER(1+('CurrentPor-N10Unchanged'!D100+'CurrentPor-N10Unchanged'!H100)/100,2))*100</f>
        <v>9592.0163202746589</v>
      </c>
      <c r="E100">
        <f>(3/(1+('CurrentPor-N10Unchanged'!C100+'CurrentPor-N10Unchanged'!I100)/100)+103/POWER(1+('CurrentPor-N10Unchanged'!D100+'CurrentPor-N10Unchanged'!I100)/100,2))*100</f>
        <v>9684.1226042922844</v>
      </c>
      <c r="F100">
        <f>Portfolio!B$5*'CurrentPor-N10Unchanged'!E100</f>
        <v>52143.895533915893</v>
      </c>
      <c r="G100">
        <f>Portfolio!B$6*'CurrentPor-N10Unchanged'!F100</f>
        <v>3696.2945087936532</v>
      </c>
      <c r="H100">
        <f>Portfolio!B$7*'CurrentPor-N10Unchanged'!J100</f>
        <v>2064.3958789029325</v>
      </c>
      <c r="I100">
        <f t="shared" si="2"/>
        <v>96530.379250241414</v>
      </c>
      <c r="J100">
        <f t="shared" si="3"/>
        <v>7.6809880393266212</v>
      </c>
    </row>
    <row r="101" spans="1:10">
      <c r="A101" s="1">
        <v>45610</v>
      </c>
      <c r="B101">
        <f>(3/(1+('CurrentPor-N10Unchanged'!C101)/100)+103/POWER(1+('CurrentPor-N10Unchanged'!D101)/100,2))*100</f>
        <v>9707.5857774288397</v>
      </c>
      <c r="C101">
        <f>(3/(1+('CurrentPor-N10Unchanged'!C101+'CurrentPor-N10Unchanged'!G101)/100)+103/POWER(1+('CurrentPor-N10Unchanged'!D101+'CurrentPor-N10Unchanged'!G101)/100,2))*100</f>
        <v>9642.0686266331541</v>
      </c>
      <c r="D101">
        <f>(3/(1+('CurrentPor-N10Unchanged'!C101+'CurrentPor-N10Unchanged'!H101)/100)+103/POWER(1+('CurrentPor-N10Unchanged'!D101+'CurrentPor-N10Unchanged'!H101)/100,2))*100</f>
        <v>9611.734677976161</v>
      </c>
      <c r="E101">
        <f>(3/(1+('CurrentPor-N10Unchanged'!C101+'CurrentPor-N10Unchanged'!I101)/100)+103/POWER(1+('CurrentPor-N10Unchanged'!D101+'CurrentPor-N10Unchanged'!I101)/100,2))*100</f>
        <v>9684.8334520784665</v>
      </c>
      <c r="F101">
        <f>Portfolio!B$5*'CurrentPor-N10Unchanged'!E101</f>
        <v>52143.895533915893</v>
      </c>
      <c r="G101">
        <f>Portfolio!B$6*'CurrentPor-N10Unchanged'!F101</f>
        <v>3696.2945087936532</v>
      </c>
      <c r="H101">
        <f>Portfolio!B$7*'CurrentPor-N10Unchanged'!J101</f>
        <v>2064.402176245459</v>
      </c>
      <c r="I101">
        <f t="shared" si="2"/>
        <v>96550.814753071638</v>
      </c>
      <c r="J101">
        <f t="shared" si="3"/>
        <v>27.132588128835778</v>
      </c>
    </row>
    <row r="102" spans="1:10">
      <c r="A102" s="1">
        <v>45611</v>
      </c>
      <c r="B102">
        <f>(3/(1+('CurrentPor-N10Unchanged'!C102)/100)+103/POWER(1+('CurrentPor-N10Unchanged'!D102)/100,2))*100</f>
        <v>9707.5857774288397</v>
      </c>
      <c r="C102">
        <f>(3/(1+('CurrentPor-N10Unchanged'!C102+'CurrentPor-N10Unchanged'!G102)/100)+103/POWER(1+('CurrentPor-N10Unchanged'!D102+'CurrentPor-N10Unchanged'!G102)/100,2))*100</f>
        <v>9642.0686266331541</v>
      </c>
      <c r="D102">
        <f>(3/(1+('CurrentPor-N10Unchanged'!C102+'CurrentPor-N10Unchanged'!H102)/100)+103/POWER(1+('CurrentPor-N10Unchanged'!D102+'CurrentPor-N10Unchanged'!H102)/100,2))*100</f>
        <v>9606.6387898890553</v>
      </c>
      <c r="E102">
        <f>(3/(1+('CurrentPor-N10Unchanged'!C102+'CurrentPor-N10Unchanged'!I102)/100)+103/POWER(1+('CurrentPor-N10Unchanged'!D102+'CurrentPor-N10Unchanged'!I102)/100,2))*100</f>
        <v>9684.4142257946733</v>
      </c>
      <c r="F102">
        <f>Portfolio!B$5*'CurrentPor-N10Unchanged'!E102</f>
        <v>52143.895533915893</v>
      </c>
      <c r="G102">
        <f>Portfolio!B$6*'CurrentPor-N10Unchanged'!F102</f>
        <v>3696.2945087936532</v>
      </c>
      <c r="H102">
        <f>Portfolio!B$7*'CurrentPor-N10Unchanged'!J102</f>
        <v>2064.4066716143293</v>
      </c>
      <c r="I102">
        <f t="shared" si="2"/>
        <v>96545.304134069593</v>
      </c>
      <c r="J102">
        <f t="shared" si="3"/>
        <v>12.299844079316244</v>
      </c>
    </row>
    <row r="103" spans="1:10">
      <c r="A103" s="1">
        <v>45614</v>
      </c>
      <c r="B103">
        <f>(3/(1+('CurrentPor-N10Unchanged'!C103)/100)+103/POWER(1+('CurrentPor-N10Unchanged'!D103)/100,2))*100</f>
        <v>9707.5857774288397</v>
      </c>
      <c r="C103">
        <f>(3/(1+('CurrentPor-N10Unchanged'!C103+'CurrentPor-N10Unchanged'!G103)/100)+103/POWER(1+('CurrentPor-N10Unchanged'!D103+'CurrentPor-N10Unchanged'!G103)/100,2))*100</f>
        <v>9640.2582771647722</v>
      </c>
      <c r="D103">
        <f>(3/(1+('CurrentPor-N10Unchanged'!C103+'CurrentPor-N10Unchanged'!H103)/100)+103/POWER(1+('CurrentPor-N10Unchanged'!D103+'CurrentPor-N10Unchanged'!H103)/100,2))*100</f>
        <v>9599.2123115751165</v>
      </c>
      <c r="E103">
        <f>(3/(1+('CurrentPor-N10Unchanged'!C103+'CurrentPor-N10Unchanged'!I103)/100)+103/POWER(1+('CurrentPor-N10Unchanged'!D103+'CurrentPor-N10Unchanged'!I103)/100,2))*100</f>
        <v>9683.9950252631097</v>
      </c>
      <c r="F103">
        <f>Portfolio!B$5*'CurrentPor-N10Unchanged'!E103</f>
        <v>52143.895533915893</v>
      </c>
      <c r="G103">
        <f>Portfolio!B$6*'CurrentPor-N10Unchanged'!F103</f>
        <v>3696.2945087936532</v>
      </c>
      <c r="H103">
        <f>Portfolio!B$7*'CurrentPor-N10Unchanged'!J103</f>
        <v>2064.3932089984551</v>
      </c>
      <c r="I103">
        <f t="shared" si="2"/>
        <v>96535.634643139842</v>
      </c>
      <c r="J103">
        <f t="shared" si="3"/>
        <v>19.902528079153853</v>
      </c>
    </row>
    <row r="104" spans="1:10">
      <c r="A104" s="1">
        <v>45615</v>
      </c>
      <c r="B104">
        <f>(3/(1+('CurrentPor-N10Unchanged'!C104)/100)+103/POWER(1+('CurrentPor-N10Unchanged'!D104)/100,2))*100</f>
        <v>9707.5857774288397</v>
      </c>
      <c r="C104">
        <f>(3/(1+('CurrentPor-N10Unchanged'!C104+'CurrentPor-N10Unchanged'!G104)/100)+103/POWER(1+('CurrentPor-N10Unchanged'!D104+'CurrentPor-N10Unchanged'!G104)/100,2))*100</f>
        <v>9638.4484425779829</v>
      </c>
      <c r="D104">
        <f>(3/(1+('CurrentPor-N10Unchanged'!C104+'CurrentPor-N10Unchanged'!H104)/100)+103/POWER(1+('CurrentPor-N10Unchanged'!D104+'CurrentPor-N10Unchanged'!H104)/100,2))*100</f>
        <v>9604.233254079445</v>
      </c>
      <c r="E104">
        <f>(3/(1+('CurrentPor-N10Unchanged'!C104+'CurrentPor-N10Unchanged'!I104)/100)+103/POWER(1+('CurrentPor-N10Unchanged'!D104+'CurrentPor-N10Unchanged'!I104)/100,2))*100</f>
        <v>9684.5235857668922</v>
      </c>
      <c r="F104">
        <f>Portfolio!B$5*'CurrentPor-N10Unchanged'!E104</f>
        <v>52143.895533915893</v>
      </c>
      <c r="G104">
        <f>Portfolio!B$6*'CurrentPor-N10Unchanged'!F104</f>
        <v>3696.2945087936532</v>
      </c>
      <c r="H104">
        <f>Portfolio!B$7*'CurrentPor-N10Unchanged'!J104</f>
        <v>2064.3920766689193</v>
      </c>
      <c r="I104">
        <f t="shared" si="2"/>
        <v>96539.373179231639</v>
      </c>
      <c r="J104">
        <f t="shared" si="3"/>
        <v>39.463062469454599</v>
      </c>
    </row>
    <row r="105" spans="1:10">
      <c r="A105" s="1">
        <v>45616</v>
      </c>
      <c r="B105">
        <f>(3/(1+('CurrentPor-N10Unchanged'!C105)/100)+103/POWER(1+('CurrentPor-N10Unchanged'!D105)/100,2))*100</f>
        <v>9707.5857774288397</v>
      </c>
      <c r="C105">
        <f>(3/(1+('CurrentPor-N10Unchanged'!C105+'CurrentPor-N10Unchanged'!G105)/100)+103/POWER(1+('CurrentPor-N10Unchanged'!D105+'CurrentPor-N10Unchanged'!G105)/100,2))*100</f>
        <v>9640.2582771647722</v>
      </c>
      <c r="D105">
        <f>(3/(1+('CurrentPor-N10Unchanged'!C105+'CurrentPor-N10Unchanged'!H105)/100)+103/POWER(1+('CurrentPor-N10Unchanged'!D105+'CurrentPor-N10Unchanged'!H105)/100,2))*100</f>
        <v>9620.3800925193445</v>
      </c>
      <c r="E105">
        <f>(3/(1+('CurrentPor-N10Unchanged'!C105+'CurrentPor-N10Unchanged'!I105)/100)+103/POWER(1+('CurrentPor-N10Unchanged'!D105+'CurrentPor-N10Unchanged'!I105)/100,2))*100</f>
        <v>9683.7034246212697</v>
      </c>
      <c r="F105">
        <f>Portfolio!B$5*'CurrentPor-N10Unchanged'!E105</f>
        <v>52143.895533915893</v>
      </c>
      <c r="G105">
        <f>Portfolio!B$6*'CurrentPor-N10Unchanged'!F105</f>
        <v>3696.2945087936532</v>
      </c>
      <c r="H105">
        <f>Portfolio!B$7*'CurrentPor-N10Unchanged'!J105</f>
        <v>2064.3930394018639</v>
      </c>
      <c r="I105">
        <f t="shared" si="2"/>
        <v>96556.510653845631</v>
      </c>
      <c r="J105">
        <f t="shared" si="3"/>
        <v>27.55475240231317</v>
      </c>
    </row>
    <row r="106" spans="1:10">
      <c r="A106" s="1">
        <v>45617</v>
      </c>
      <c r="B106">
        <f>(3/(1+('CurrentPor-N10Unchanged'!C106)/100)+103/POWER(1+('CurrentPor-N10Unchanged'!D106)/100,2))*100</f>
        <v>9707.5857774288397</v>
      </c>
      <c r="C106">
        <f>(3/(1+('CurrentPor-N10Unchanged'!C106+'CurrentPor-N10Unchanged'!G106)/100)+103/POWER(1+('CurrentPor-N10Unchanged'!D106+'CurrentPor-N10Unchanged'!G106)/100,2))*100</f>
        <v>9642.0686266331541</v>
      </c>
      <c r="D106">
        <f>(3/(1+('CurrentPor-N10Unchanged'!C106+'CurrentPor-N10Unchanged'!H106)/100)+103/POWER(1+('CurrentPor-N10Unchanged'!D106+'CurrentPor-N10Unchanged'!H106)/100,2))*100</f>
        <v>9618.9244570829196</v>
      </c>
      <c r="E106">
        <f>(3/(1+('CurrentPor-N10Unchanged'!C106+'CurrentPor-N10Unchanged'!I106)/100)+103/POWER(1+('CurrentPor-N10Unchanged'!D106+'CurrentPor-N10Unchanged'!I106)/100,2))*100</f>
        <v>9684.1226042922844</v>
      </c>
      <c r="F106">
        <f>Portfolio!B$5*'CurrentPor-N10Unchanged'!E106</f>
        <v>52143.895533915893</v>
      </c>
      <c r="G106">
        <f>Portfolio!B$6*'CurrentPor-N10Unchanged'!F106</f>
        <v>3696.2945087936532</v>
      </c>
      <c r="H106">
        <f>Portfolio!B$7*'CurrentPor-N10Unchanged'!J106</f>
        <v>2064.4092716094724</v>
      </c>
      <c r="I106">
        <f t="shared" si="2"/>
        <v>96557.300779756217</v>
      </c>
      <c r="J106">
        <f t="shared" si="3"/>
        <v>31.175664163325564</v>
      </c>
    </row>
    <row r="107" spans="1:10">
      <c r="A107" s="1">
        <v>45618</v>
      </c>
      <c r="B107">
        <f>(3/(1+('CurrentPor-N10Unchanged'!C107)/100)+103/POWER(1+('CurrentPor-N10Unchanged'!D107)/100,2))*100</f>
        <v>9707.5857774288397</v>
      </c>
      <c r="C107">
        <f>(3/(1+('CurrentPor-N10Unchanged'!C107+'CurrentPor-N10Unchanged'!G107)/100)+103/POWER(1+('CurrentPor-N10Unchanged'!D107+'CurrentPor-N10Unchanged'!G107)/100,2))*100</f>
        <v>9642.0686266331541</v>
      </c>
      <c r="D107">
        <f>(3/(1+('CurrentPor-N10Unchanged'!C107+'CurrentPor-N10Unchanged'!H107)/100)+103/POWER(1+('CurrentPor-N10Unchanged'!D107+'CurrentPor-N10Unchanged'!H107)/100,2))*100</f>
        <v>9595.7413073058633</v>
      </c>
      <c r="E107">
        <f>(3/(1+('CurrentPor-N10Unchanged'!C107+'CurrentPor-N10Unchanged'!I107)/100)+103/POWER(1+('CurrentPor-N10Unchanged'!D107+'CurrentPor-N10Unchanged'!I107)/100,2))*100</f>
        <v>9683.9038981990943</v>
      </c>
      <c r="F107">
        <f>Portfolio!B$5*'CurrentPor-N10Unchanged'!E107</f>
        <v>52143.895533915893</v>
      </c>
      <c r="G107">
        <f>Portfolio!B$6*'CurrentPor-N10Unchanged'!F107</f>
        <v>3696.2945087936532</v>
      </c>
      <c r="H107">
        <f>Portfolio!B$7*'CurrentPor-N10Unchanged'!J107</f>
        <v>2064.3992300317977</v>
      </c>
      <c r="I107">
        <f t="shared" si="2"/>
        <v>96533.888882308296</v>
      </c>
      <c r="J107">
        <f t="shared" si="3"/>
        <v>11.825380420108559</v>
      </c>
    </row>
    <row r="108" spans="1:10">
      <c r="A108" s="1">
        <v>45621</v>
      </c>
      <c r="B108">
        <f>(3/(1+('CurrentPor-N10Unchanged'!C108)/100)+103/POWER(1+('CurrentPor-N10Unchanged'!D108)/100,2))*100</f>
        <v>9707.5857774288397</v>
      </c>
      <c r="C108">
        <f>(3/(1+('CurrentPor-N10Unchanged'!C108+'CurrentPor-N10Unchanged'!G108)/100)+103/POWER(1+('CurrentPor-N10Unchanged'!D108+'CurrentPor-N10Unchanged'!G108)/100,2))*100</f>
        <v>9642.0686266331541</v>
      </c>
      <c r="D108">
        <f>(3/(1+('CurrentPor-N10Unchanged'!C108+'CurrentPor-N10Unchanged'!H108)/100)+103/POWER(1+('CurrentPor-N10Unchanged'!D108+'CurrentPor-N10Unchanged'!H108)/100,2))*100</f>
        <v>9580.228892426363</v>
      </c>
      <c r="E108">
        <f>(3/(1+('CurrentPor-N10Unchanged'!C108+'CurrentPor-N10Unchanged'!I108)/100)+103/POWER(1+('CurrentPor-N10Unchanged'!D108+'CurrentPor-N10Unchanged'!I108)/100,2))*100</f>
        <v>9684.5235857668922</v>
      </c>
      <c r="F108">
        <f>Portfolio!B$5*'CurrentPor-N10Unchanged'!E108</f>
        <v>52143.895533915893</v>
      </c>
      <c r="G108">
        <f>Portfolio!B$6*'CurrentPor-N10Unchanged'!F108</f>
        <v>3696.2945087936532</v>
      </c>
      <c r="H108">
        <f>Portfolio!B$7*'CurrentPor-N10Unchanged'!J108</f>
        <v>2064.4025659666636</v>
      </c>
      <c r="I108">
        <f t="shared" si="2"/>
        <v>96518.99949093147</v>
      </c>
      <c r="J108">
        <f t="shared" si="3"/>
        <v>-22.096694393563666</v>
      </c>
    </row>
    <row r="109" spans="1:10">
      <c r="A109" s="1">
        <v>45622</v>
      </c>
      <c r="B109">
        <f>(3/(1+('CurrentPor-N10Unchanged'!C109)/100)+103/POWER(1+('CurrentPor-N10Unchanged'!D109)/100,2))*100</f>
        <v>9707.5857774288397</v>
      </c>
      <c r="C109">
        <f>(3/(1+('CurrentPor-N10Unchanged'!C109+'CurrentPor-N10Unchanged'!G109)/100)+103/POWER(1+('CurrentPor-N10Unchanged'!D109+'CurrentPor-N10Unchanged'!G109)/100,2))*100</f>
        <v>9643.879491178941</v>
      </c>
      <c r="D109">
        <f>(3/(1+('CurrentPor-N10Unchanged'!C109+'CurrentPor-N10Unchanged'!H109)/100)+103/POWER(1+('CurrentPor-N10Unchanged'!D109+'CurrentPor-N10Unchanged'!H109)/100,2))*100</f>
        <v>9604.516645172871</v>
      </c>
      <c r="E109">
        <f>(3/(1+('CurrentPor-N10Unchanged'!C109+'CurrentPor-N10Unchanged'!I109)/100)+103/POWER(1+('CurrentPor-N10Unchanged'!D109+'CurrentPor-N10Unchanged'!I109)/100,2))*100</f>
        <v>9685.5443789132642</v>
      </c>
      <c r="F109">
        <f>Portfolio!B$5*'CurrentPor-N10Unchanged'!E109</f>
        <v>52143.895533915893</v>
      </c>
      <c r="G109">
        <f>Portfolio!B$6*'CurrentPor-N10Unchanged'!F109</f>
        <v>3696.2945087936532</v>
      </c>
      <c r="H109">
        <f>Portfolio!B$7*'CurrentPor-N10Unchanged'!J109</f>
        <v>2064.3963647347382</v>
      </c>
      <c r="I109">
        <f t="shared" si="2"/>
        <v>96546.112700138212</v>
      </c>
      <c r="J109">
        <f t="shared" si="3"/>
        <v>1.8209444748208625</v>
      </c>
    </row>
    <row r="110" spans="1:10">
      <c r="A110" s="1">
        <v>45623</v>
      </c>
      <c r="B110">
        <f>(3/(1+('CurrentPor-N10Unchanged'!C110)/100)+103/POWER(1+('CurrentPor-N10Unchanged'!D110)/100,2))*100</f>
        <v>9707.5857774288397</v>
      </c>
      <c r="C110">
        <f>(3/(1+('CurrentPor-N10Unchanged'!C110+'CurrentPor-N10Unchanged'!G110)/100)+103/POWER(1+('CurrentPor-N10Unchanged'!D110+'CurrentPor-N10Unchanged'!G110)/100,2))*100</f>
        <v>9638.4484425779829</v>
      </c>
      <c r="D110">
        <f>(3/(1+('CurrentPor-N10Unchanged'!C110+'CurrentPor-N10Unchanged'!H110)/100)+103/POWER(1+('CurrentPor-N10Unchanged'!D110+'CurrentPor-N10Unchanged'!H110)/100,2))*100</f>
        <v>9586.4855131027853</v>
      </c>
      <c r="E110">
        <f>(3/(1+('CurrentPor-N10Unchanged'!C110+'CurrentPor-N10Unchanged'!I110)/100)+103/POWER(1+('CurrentPor-N10Unchanged'!D110+'CurrentPor-N10Unchanged'!I110)/100,2))*100</f>
        <v>9685.3256241759664</v>
      </c>
      <c r="F110">
        <f>Portfolio!B$5*'CurrentPor-N10Unchanged'!E110</f>
        <v>52143.895533915893</v>
      </c>
      <c r="G110">
        <f>Portfolio!B$6*'CurrentPor-N10Unchanged'!F110</f>
        <v>3696.2945087936532</v>
      </c>
      <c r="H110">
        <f>Portfolio!B$7*'CurrentPor-N10Unchanged'!J110</f>
        <v>2064.4021619338159</v>
      </c>
      <c r="I110">
        <f t="shared" si="2"/>
        <v>96522.437561928935</v>
      </c>
      <c r="J110">
        <f t="shared" si="3"/>
        <v>-7.9416883124795277</v>
      </c>
    </row>
    <row r="111" spans="1:10">
      <c r="A111" s="1">
        <v>45624</v>
      </c>
      <c r="B111">
        <f>(3/(1+('CurrentPor-N10Unchanged'!C111)/100)+103/POWER(1+('CurrentPor-N10Unchanged'!D111)/100,2))*100</f>
        <v>9707.5857774288397</v>
      </c>
      <c r="C111">
        <f>(3/(1+('CurrentPor-N10Unchanged'!C111+'CurrentPor-N10Unchanged'!G111)/100)+103/POWER(1+('CurrentPor-N10Unchanged'!D111+'CurrentPor-N10Unchanged'!G111)/100,2))*100</f>
        <v>9638.4484425779829</v>
      </c>
      <c r="D111">
        <f>(3/(1+('CurrentPor-N10Unchanged'!C111+'CurrentPor-N10Unchanged'!H111)/100)+103/POWER(1+('CurrentPor-N10Unchanged'!D111+'CurrentPor-N10Unchanged'!H111)/100,2))*100</f>
        <v>9603.1188671695036</v>
      </c>
      <c r="E111">
        <f>(3/(1+('CurrentPor-N10Unchanged'!C111+'CurrentPor-N10Unchanged'!I111)/100)+103/POWER(1+('CurrentPor-N10Unchanged'!D111+'CurrentPor-N10Unchanged'!I111)/100,2))*100</f>
        <v>9684.7969973590189</v>
      </c>
      <c r="F111">
        <f>Portfolio!B$5*'CurrentPor-N10Unchanged'!E111</f>
        <v>52143.895533915893</v>
      </c>
      <c r="G111">
        <f>Portfolio!B$6*'CurrentPor-N10Unchanged'!F111</f>
        <v>3696.2945087936532</v>
      </c>
      <c r="H111">
        <f>Portfolio!B$7*'CurrentPor-N10Unchanged'!J111</f>
        <v>2064.3967222474307</v>
      </c>
      <c r="I111">
        <f t="shared" si="2"/>
        <v>96538.536849492331</v>
      </c>
      <c r="J111">
        <f t="shared" si="3"/>
        <v>-12.277903579306439</v>
      </c>
    </row>
    <row r="112" spans="1:10">
      <c r="A112" s="1">
        <v>45625</v>
      </c>
      <c r="B112">
        <f>(3/(1+('CurrentPor-N10Unchanged'!C112)/100)+103/POWER(1+('CurrentPor-N10Unchanged'!D112)/100,2))*100</f>
        <v>9707.5857774288397</v>
      </c>
      <c r="C112">
        <f>(3/(1+('CurrentPor-N10Unchanged'!C112+'CurrentPor-N10Unchanged'!G112)/100)+103/POWER(1+('CurrentPor-N10Unchanged'!D112+'CurrentPor-N10Unchanged'!G112)/100,2))*100</f>
        <v>9638.4484425779829</v>
      </c>
      <c r="D112">
        <f>(3/(1+('CurrentPor-N10Unchanged'!C112+'CurrentPor-N10Unchanged'!H112)/100)+103/POWER(1+('CurrentPor-N10Unchanged'!D112+'CurrentPor-N10Unchanged'!H112)/100,2))*100</f>
        <v>9604.7569095569252</v>
      </c>
      <c r="E112">
        <f>(3/(1+('CurrentPor-N10Unchanged'!C112+'CurrentPor-N10Unchanged'!I112)/100)+103/POWER(1+('CurrentPor-N10Unchanged'!D112+'CurrentPor-N10Unchanged'!I112)/100,2))*100</f>
        <v>9685.1615626001931</v>
      </c>
      <c r="F112">
        <f>Portfolio!B$5*'CurrentPor-N10Unchanged'!E112</f>
        <v>52143.895533915893</v>
      </c>
      <c r="G112">
        <f>Portfolio!B$6*'CurrentPor-N10Unchanged'!F112</f>
        <v>3696.2945087936532</v>
      </c>
      <c r="H112">
        <f>Portfolio!B$7*'CurrentPor-N10Unchanged'!J112</f>
        <v>2064.3965398619125</v>
      </c>
      <c r="I112">
        <f t="shared" si="2"/>
        <v>96540.539274735405</v>
      </c>
      <c r="J112">
        <f t="shared" si="3"/>
        <v>-4.7648593341873493</v>
      </c>
    </row>
    <row r="113" spans="1:10">
      <c r="A113" s="1">
        <v>45628</v>
      </c>
      <c r="B113">
        <f>(3/(1+('CurrentPor-N10Unchanged'!C113)/100)+103/POWER(1+('CurrentPor-N10Unchanged'!D113)/100,2))*100</f>
        <v>9707.5857774288397</v>
      </c>
      <c r="C113">
        <f>(3/(1+('CurrentPor-N10Unchanged'!C113+'CurrentPor-N10Unchanged'!G113)/100)+103/POWER(1+('CurrentPor-N10Unchanged'!D113+'CurrentPor-N10Unchanged'!G113)/100,2))*100</f>
        <v>9640.2582771647722</v>
      </c>
      <c r="D113">
        <f>(3/(1+('CurrentPor-N10Unchanged'!C113+'CurrentPor-N10Unchanged'!H113)/100)+103/POWER(1+('CurrentPor-N10Unchanged'!D113+'CurrentPor-N10Unchanged'!H113)/100,2))*100</f>
        <v>9610.720248617843</v>
      </c>
      <c r="E113">
        <f>(3/(1+('CurrentPor-N10Unchanged'!C113+'CurrentPor-N10Unchanged'!I113)/100)+103/POWER(1+('CurrentPor-N10Unchanged'!D113+'CurrentPor-N10Unchanged'!I113)/100,2))*100</f>
        <v>9682.6282609042173</v>
      </c>
      <c r="F113">
        <f>Portfolio!B$5*'CurrentPor-N10Unchanged'!E113</f>
        <v>52143.895533915893</v>
      </c>
      <c r="G113">
        <f>Portfolio!B$6*'CurrentPor-N10Unchanged'!F113</f>
        <v>3696.2945087936532</v>
      </c>
      <c r="H113">
        <f>Portfolio!B$7*'CurrentPor-N10Unchanged'!J113</f>
        <v>2064.3959598012989</v>
      </c>
      <c r="I113">
        <f t="shared" si="2"/>
        <v>96545.778566626512</v>
      </c>
      <c r="J113">
        <f t="shared" si="3"/>
        <v>10.143923486670246</v>
      </c>
    </row>
    <row r="114" spans="1:10">
      <c r="A114" s="1">
        <v>45629</v>
      </c>
      <c r="B114">
        <f>(3/(1+('CurrentPor-N10Unchanged'!C114)/100)+103/POWER(1+('CurrentPor-N10Unchanged'!D114)/100,2))*100</f>
        <v>9707.5857774288397</v>
      </c>
      <c r="C114">
        <f>(3/(1+('CurrentPor-N10Unchanged'!C114+'CurrentPor-N10Unchanged'!G114)/100)+103/POWER(1+('CurrentPor-N10Unchanged'!D114+'CurrentPor-N10Unchanged'!G114)/100,2))*100</f>
        <v>9642.0686266331541</v>
      </c>
      <c r="D114">
        <f>(3/(1+('CurrentPor-N10Unchanged'!C114+'CurrentPor-N10Unchanged'!H114)/100)+103/POWER(1+('CurrentPor-N10Unchanged'!D114+'CurrentPor-N10Unchanged'!H114)/100,2))*100</f>
        <v>9605.8909921301129</v>
      </c>
      <c r="E114">
        <f>(3/(1+('CurrentPor-N10Unchanged'!C114+'CurrentPor-N10Unchanged'!I114)/100)+103/POWER(1+('CurrentPor-N10Unchanged'!D114+'CurrentPor-N10Unchanged'!I114)/100,2))*100</f>
        <v>9682.6647049953754</v>
      </c>
      <c r="F114">
        <f>Portfolio!B$5*'CurrentPor-N10Unchanged'!E114</f>
        <v>52143.895533915893</v>
      </c>
      <c r="G114">
        <f>Portfolio!B$6*'CurrentPor-N10Unchanged'!F114</f>
        <v>3696.2945087936532</v>
      </c>
      <c r="H114">
        <f>Portfolio!B$7*'CurrentPor-N10Unchanged'!J114</f>
        <v>2064.3909810344235</v>
      </c>
      <c r="I114">
        <f t="shared" si="2"/>
        <v>96542.791124931435</v>
      </c>
      <c r="J114">
        <f t="shared" si="3"/>
        <v>3.4179456997953821</v>
      </c>
    </row>
    <row r="115" spans="1:10">
      <c r="A115" s="1">
        <v>45630</v>
      </c>
      <c r="B115">
        <f>(3/(1+('CurrentPor-N10Unchanged'!C115)/100)+103/POWER(1+('CurrentPor-N10Unchanged'!D115)/100,2))*100</f>
        <v>9707.5857774288397</v>
      </c>
      <c r="C115">
        <f>(3/(1+('CurrentPor-N10Unchanged'!C115+'CurrentPor-N10Unchanged'!G115)/100)+103/POWER(1+('CurrentPor-N10Unchanged'!D115+'CurrentPor-N10Unchanged'!G115)/100,2))*100</f>
        <v>9642.0686266331541</v>
      </c>
      <c r="D115">
        <f>(3/(1+('CurrentPor-N10Unchanged'!C115+'CurrentPor-N10Unchanged'!H115)/100)+103/POWER(1+('CurrentPor-N10Unchanged'!D115+'CurrentPor-N10Unchanged'!H115)/100,2))*100</f>
        <v>9621.8591838503235</v>
      </c>
      <c r="E115">
        <f>(3/(1+('CurrentPor-N10Unchanged'!C115+'CurrentPor-N10Unchanged'!I115)/100)+103/POWER(1+('CurrentPor-N10Unchanged'!D115+'CurrentPor-N10Unchanged'!I115)/100,2))*100</f>
        <v>9683.7945488274545</v>
      </c>
      <c r="F115">
        <f>Portfolio!B$5*'CurrentPor-N10Unchanged'!E115</f>
        <v>52143.895533915893</v>
      </c>
      <c r="G115">
        <f>Portfolio!B$6*'CurrentPor-N10Unchanged'!F115</f>
        <v>3696.2945087936532</v>
      </c>
      <c r="H115">
        <f>Portfolio!B$7*'CurrentPor-N10Unchanged'!J115</f>
        <v>2064.4009040157584</v>
      </c>
      <c r="I115">
        <f t="shared" si="2"/>
        <v>96559.899083465076</v>
      </c>
      <c r="J115">
        <f t="shared" si="3"/>
        <v>3.3884296194446506</v>
      </c>
    </row>
    <row r="116" spans="1:10">
      <c r="A116" s="1">
        <v>45631</v>
      </c>
      <c r="B116">
        <f>(3/(1+('CurrentPor-N10Unchanged'!C116)/100)+103/POWER(1+('CurrentPor-N10Unchanged'!D116)/100,2))*100</f>
        <v>9707.5857774288397</v>
      </c>
      <c r="C116">
        <f>(3/(1+('CurrentPor-N10Unchanged'!C116+'CurrentPor-N10Unchanged'!G116)/100)+103/POWER(1+('CurrentPor-N10Unchanged'!D116+'CurrentPor-N10Unchanged'!G116)/100,2))*100</f>
        <v>9642.0686266331541</v>
      </c>
      <c r="D116">
        <f>(3/(1+('CurrentPor-N10Unchanged'!C116+'CurrentPor-N10Unchanged'!H116)/100)+103/POWER(1+('CurrentPor-N10Unchanged'!D116+'CurrentPor-N10Unchanged'!H116)/100,2))*100</f>
        <v>9601.3571076738208</v>
      </c>
      <c r="E116">
        <f>(3/(1+('CurrentPor-N10Unchanged'!C116+'CurrentPor-N10Unchanged'!I116)/100)+103/POWER(1+('CurrentPor-N10Unchanged'!D116+'CurrentPor-N10Unchanged'!I116)/100,2))*100</f>
        <v>9683.8674487800654</v>
      </c>
      <c r="F116">
        <f>Portfolio!B$5*'CurrentPor-N10Unchanged'!E116</f>
        <v>52143.895533915893</v>
      </c>
      <c r="G116">
        <f>Portfolio!B$6*'CurrentPor-N10Unchanged'!F116</f>
        <v>3696.2945087936532</v>
      </c>
      <c r="H116">
        <f>Portfolio!B$7*'CurrentPor-N10Unchanged'!J116</f>
        <v>2064.399450359444</v>
      </c>
      <c r="I116">
        <f t="shared" si="2"/>
        <v>96539.468453584865</v>
      </c>
      <c r="J116">
        <f t="shared" si="3"/>
        <v>-17.832326171352179</v>
      </c>
    </row>
    <row r="117" spans="1:10">
      <c r="A117" s="1">
        <v>45632</v>
      </c>
      <c r="B117">
        <f>(3/(1+('CurrentPor-N10Unchanged'!C117)/100)+103/POWER(1+('CurrentPor-N10Unchanged'!D117)/100,2))*100</f>
        <v>9707.5857774288397</v>
      </c>
      <c r="C117">
        <f>(3/(1+('CurrentPor-N10Unchanged'!C117+'CurrentPor-N10Unchanged'!G117)/100)+103/POWER(1+('CurrentPor-N10Unchanged'!D117+'CurrentPor-N10Unchanged'!G117)/100,2))*100</f>
        <v>9643.879491178941</v>
      </c>
      <c r="D117">
        <f>(3/(1+('CurrentPor-N10Unchanged'!C117+'CurrentPor-N10Unchanged'!H117)/100)+103/POWER(1+('CurrentPor-N10Unchanged'!D117+'CurrentPor-N10Unchanged'!H117)/100,2))*100</f>
        <v>9599.2168648117313</v>
      </c>
      <c r="E117">
        <f>(3/(1+('CurrentPor-N10Unchanged'!C117+'CurrentPor-N10Unchanged'!I117)/100)+103/POWER(1+('CurrentPor-N10Unchanged'!D117+'CurrentPor-N10Unchanged'!I117)/100,2))*100</f>
        <v>9684.8881354165733</v>
      </c>
      <c r="F117">
        <f>Portfolio!B$5*'CurrentPor-N10Unchanged'!E117</f>
        <v>52143.895533915893</v>
      </c>
      <c r="G117">
        <f>Portfolio!B$6*'CurrentPor-N10Unchanged'!F117</f>
        <v>3696.2945087936532</v>
      </c>
      <c r="H117">
        <f>Portfolio!B$7*'CurrentPor-N10Unchanged'!J117</f>
        <v>2064.404463834047</v>
      </c>
      <c r="I117">
        <f t="shared" si="2"/>
        <v>96540.164775379671</v>
      </c>
      <c r="J117">
        <f t="shared" si="3"/>
        <v>6.2758930713753216</v>
      </c>
    </row>
    <row r="118" spans="1:10">
      <c r="A118" s="1">
        <v>45635</v>
      </c>
      <c r="B118">
        <f>(3/(1+('CurrentPor-N10Unchanged'!C118)/100)+103/POWER(1+('CurrentPor-N10Unchanged'!D118)/100,2))*100</f>
        <v>9707.5857774288397</v>
      </c>
      <c r="C118">
        <f>(3/(1+('CurrentPor-N10Unchanged'!C118+'CurrentPor-N10Unchanged'!G118)/100)+103/POWER(1+('CurrentPor-N10Unchanged'!D118+'CurrentPor-N10Unchanged'!G118)/100,2))*100</f>
        <v>9643.879491178941</v>
      </c>
      <c r="D118">
        <f>(3/(1+('CurrentPor-N10Unchanged'!C118+'CurrentPor-N10Unchanged'!H118)/100)+103/POWER(1+('CurrentPor-N10Unchanged'!D118+'CurrentPor-N10Unchanged'!H118)/100,2))*100</f>
        <v>9607.167874935607</v>
      </c>
      <c r="E118">
        <f>(3/(1+('CurrentPor-N10Unchanged'!C118+'CurrentPor-N10Unchanged'!I118)/100)+103/POWER(1+('CurrentPor-N10Unchanged'!D118+'CurrentPor-N10Unchanged'!I118)/100,2))*100</f>
        <v>9683.4847328690485</v>
      </c>
      <c r="F118">
        <f>Portfolio!B$5*'CurrentPor-N10Unchanged'!E118</f>
        <v>52143.895533915893</v>
      </c>
      <c r="G118">
        <f>Portfolio!B$6*'CurrentPor-N10Unchanged'!F118</f>
        <v>3696.2945087936532</v>
      </c>
      <c r="H118">
        <f>Portfolio!B$7*'CurrentPor-N10Unchanged'!J118</f>
        <v>2064.403386116257</v>
      </c>
      <c r="I118">
        <f t="shared" si="2"/>
        <v>96546.711305238248</v>
      </c>
      <c r="J118">
        <f t="shared" si="3"/>
        <v>27.711814306778251</v>
      </c>
    </row>
    <row r="119" spans="1:10">
      <c r="A119" s="1">
        <v>45636</v>
      </c>
      <c r="B119">
        <f>(3/(1+('CurrentPor-N10Unchanged'!C119)/100)+103/POWER(1+('CurrentPor-N10Unchanged'!D119)/100,2))*100</f>
        <v>9707.5857774288397</v>
      </c>
      <c r="C119">
        <f>(3/(1+('CurrentPor-N10Unchanged'!C119+'CurrentPor-N10Unchanged'!G119)/100)+103/POWER(1+('CurrentPor-N10Unchanged'!D119+'CurrentPor-N10Unchanged'!G119)/100,2))*100</f>
        <v>9643.879491178941</v>
      </c>
      <c r="D119">
        <f>(3/(1+('CurrentPor-N10Unchanged'!C119+'CurrentPor-N10Unchanged'!H119)/100)+103/POWER(1+('CurrentPor-N10Unchanged'!D119+'CurrentPor-N10Unchanged'!H119)/100,2))*100</f>
        <v>9599.3408121781467</v>
      </c>
      <c r="E119">
        <f>(3/(1+('CurrentPor-N10Unchanged'!C119+'CurrentPor-N10Unchanged'!I119)/100)+103/POWER(1+('CurrentPor-N10Unchanged'!D119+'CurrentPor-N10Unchanged'!I119)/100,2))*100</f>
        <v>9681.954098335942</v>
      </c>
      <c r="F119">
        <f>Portfolio!B$5*'CurrentPor-N10Unchanged'!E119</f>
        <v>52143.895533915893</v>
      </c>
      <c r="G119">
        <f>Portfolio!B$6*'CurrentPor-N10Unchanged'!F119</f>
        <v>3696.2945087936532</v>
      </c>
      <c r="H119">
        <f>Portfolio!B$7*'CurrentPor-N10Unchanged'!J119</f>
        <v>2064.3985851334978</v>
      </c>
      <c r="I119">
        <f t="shared" si="2"/>
        <v>96537.348806964917</v>
      </c>
      <c r="J119">
        <f t="shared" si="3"/>
        <v>-8.7638931732944911</v>
      </c>
    </row>
    <row r="120" spans="1:10">
      <c r="A120" s="1">
        <v>45637</v>
      </c>
      <c r="B120">
        <f>(3/(1+('CurrentPor-N10Unchanged'!C120)/100)+103/POWER(1+('CurrentPor-N10Unchanged'!D120)/100,2))*100</f>
        <v>9707.5857774288397</v>
      </c>
      <c r="C120">
        <f>(3/(1+('CurrentPor-N10Unchanged'!C120+'CurrentPor-N10Unchanged'!G120)/100)+103/POWER(1+('CurrentPor-N10Unchanged'!D120+'CurrentPor-N10Unchanged'!G120)/100,2))*100</f>
        <v>9642.0686266331541</v>
      </c>
      <c r="D120">
        <f>(3/(1+('CurrentPor-N10Unchanged'!C120+'CurrentPor-N10Unchanged'!H120)/100)+103/POWER(1+('CurrentPor-N10Unchanged'!D120+'CurrentPor-N10Unchanged'!H120)/100,2))*100</f>
        <v>9581.9812171778321</v>
      </c>
      <c r="E120">
        <f>(3/(1+('CurrentPor-N10Unchanged'!C120+'CurrentPor-N10Unchanged'!I120)/100)+103/POWER(1+('CurrentPor-N10Unchanged'!D120+'CurrentPor-N10Unchanged'!I120)/100,2))*100</f>
        <v>9681.7901232696204</v>
      </c>
      <c r="F120">
        <f>Portfolio!B$5*'CurrentPor-N10Unchanged'!E120</f>
        <v>52143.895533915893</v>
      </c>
      <c r="G120">
        <f>Portfolio!B$6*'CurrentPor-N10Unchanged'!F120</f>
        <v>3696.2945087936532</v>
      </c>
      <c r="H120">
        <f>Portfolio!B$7*'CurrentPor-N10Unchanged'!J120</f>
        <v>2064.3956705839864</v>
      </c>
      <c r="I120">
        <f t="shared" si="2"/>
        <v>96518.011457802975</v>
      </c>
      <c r="J120">
        <f t="shared" si="3"/>
        <v>-4.4261041259596823</v>
      </c>
    </row>
    <row r="121" spans="1:10">
      <c r="A121" s="1">
        <v>45638</v>
      </c>
      <c r="B121">
        <f>(3/(1+('CurrentPor-N10Unchanged'!C121)/100)+103/POWER(1+('CurrentPor-N10Unchanged'!D121)/100,2))*100</f>
        <v>9707.5857774288397</v>
      </c>
      <c r="C121">
        <f>(3/(1+('CurrentPor-N10Unchanged'!C121+'CurrentPor-N10Unchanged'!G121)/100)+103/POWER(1+('CurrentPor-N10Unchanged'!D121+'CurrentPor-N10Unchanged'!G121)/100,2))*100</f>
        <v>9640.2582771647722</v>
      </c>
      <c r="D121">
        <f>(3/(1+('CurrentPor-N10Unchanged'!C121+'CurrentPor-N10Unchanged'!H121)/100)+103/POWER(1+('CurrentPor-N10Unchanged'!D121+'CurrentPor-N10Unchanged'!H121)/100,2))*100</f>
        <v>9598.2009469458499</v>
      </c>
      <c r="E121">
        <f>(3/(1+('CurrentPor-N10Unchanged'!C121+'CurrentPor-N10Unchanged'!I121)/100)+103/POWER(1+('CurrentPor-N10Unchanged'!D121+'CurrentPor-N10Unchanged'!I121)/100,2))*100</f>
        <v>9683.2113773965266</v>
      </c>
      <c r="F121">
        <f>Portfolio!B$5*'CurrentPor-N10Unchanged'!E121</f>
        <v>52143.895533915893</v>
      </c>
      <c r="G121">
        <f>Portfolio!B$6*'CurrentPor-N10Unchanged'!F121</f>
        <v>3696.2945087936532</v>
      </c>
      <c r="H121">
        <f>Portfolio!B$7*'CurrentPor-N10Unchanged'!J121</f>
        <v>2064.4012486245815</v>
      </c>
      <c r="I121">
        <f t="shared" si="2"/>
        <v>96533.847670270101</v>
      </c>
      <c r="J121">
        <f t="shared" si="3"/>
        <v>-4.6891792222304503</v>
      </c>
    </row>
    <row r="122" spans="1:10">
      <c r="A122" s="1">
        <v>45639</v>
      </c>
      <c r="B122">
        <f>(3/(1+('CurrentPor-N10Unchanged'!C122)/100)+103/POWER(1+('CurrentPor-N10Unchanged'!D122)/100,2))*100</f>
        <v>9707.5857774288397</v>
      </c>
      <c r="C122">
        <f>(3/(1+('CurrentPor-N10Unchanged'!C122+'CurrentPor-N10Unchanged'!G122)/100)+103/POWER(1+('CurrentPor-N10Unchanged'!D122+'CurrentPor-N10Unchanged'!G122)/100,2))*100</f>
        <v>9640.2582771647722</v>
      </c>
      <c r="D122">
        <f>(3/(1+('CurrentPor-N10Unchanged'!C122+'CurrentPor-N10Unchanged'!H122)/100)+103/POWER(1+('CurrentPor-N10Unchanged'!D122+'CurrentPor-N10Unchanged'!H122)/100,2))*100</f>
        <v>9606.7331353113295</v>
      </c>
      <c r="E122">
        <f>(3/(1+('CurrentPor-N10Unchanged'!C122+'CurrentPor-N10Unchanged'!I122)/100)+103/POWER(1+('CurrentPor-N10Unchanged'!D122+'CurrentPor-N10Unchanged'!I122)/100,2))*100</f>
        <v>9683.7034246212697</v>
      </c>
      <c r="F122">
        <f>Portfolio!B$5*'CurrentPor-N10Unchanged'!E122</f>
        <v>52143.895533915893</v>
      </c>
      <c r="G122">
        <f>Portfolio!B$6*'CurrentPor-N10Unchanged'!F122</f>
        <v>3696.2945087936532</v>
      </c>
      <c r="H122">
        <f>Portfolio!B$7*'CurrentPor-N10Unchanged'!J122</f>
        <v>2064.3981839429825</v>
      </c>
      <c r="I122">
        <f t="shared" si="2"/>
        <v>96542.86884117873</v>
      </c>
      <c r="J122">
        <f t="shared" si="3"/>
        <v>2.3295664433244383</v>
      </c>
    </row>
    <row r="123" spans="1:10">
      <c r="A123" s="1">
        <v>45642</v>
      </c>
      <c r="B123">
        <f>(3/(1+('CurrentPor-N10Unchanged'!C123)/100)+103/POWER(1+('CurrentPor-N10Unchanged'!D123)/100,2))*100</f>
        <v>9707.5857774288397</v>
      </c>
      <c r="C123">
        <f>(3/(1+('CurrentPor-N10Unchanged'!C123+'CurrentPor-N10Unchanged'!G123)/100)+103/POWER(1+('CurrentPor-N10Unchanged'!D123+'CurrentPor-N10Unchanged'!G123)/100,2))*100</f>
        <v>9640.2582771647722</v>
      </c>
      <c r="D123">
        <f>(3/(1+('CurrentPor-N10Unchanged'!C123+'CurrentPor-N10Unchanged'!H123)/100)+103/POWER(1+('CurrentPor-N10Unchanged'!D123+'CurrentPor-N10Unchanged'!H123)/100,2))*100</f>
        <v>9594.4438659396492</v>
      </c>
      <c r="E123">
        <f>(3/(1+('CurrentPor-N10Unchanged'!C123+'CurrentPor-N10Unchanged'!I123)/100)+103/POWER(1+('CurrentPor-N10Unchanged'!D123+'CurrentPor-N10Unchanged'!I123)/100,2))*100</f>
        <v>9684.8699087441364</v>
      </c>
      <c r="F123">
        <f>Portfolio!B$5*'CurrentPor-N10Unchanged'!E123</f>
        <v>52143.895533915893</v>
      </c>
      <c r="G123">
        <f>Portfolio!B$6*'CurrentPor-N10Unchanged'!F123</f>
        <v>3696.2945087936532</v>
      </c>
      <c r="H123">
        <f>Portfolio!B$7*'CurrentPor-N10Unchanged'!J123</f>
        <v>2064.3936384060316</v>
      </c>
      <c r="I123">
        <f t="shared" si="2"/>
        <v>96531.741510392982</v>
      </c>
      <c r="J123">
        <f t="shared" si="3"/>
        <v>-14.037056233530166</v>
      </c>
    </row>
    <row r="124" spans="1:10">
      <c r="A124" s="1">
        <v>45643</v>
      </c>
      <c r="B124">
        <f>(3/(1+('CurrentPor-N10Unchanged'!C124)/100)+103/POWER(1+('CurrentPor-N10Unchanged'!D124)/100,2))*100</f>
        <v>9707.5857774288397</v>
      </c>
      <c r="C124">
        <f>(3/(1+('CurrentPor-N10Unchanged'!C124+'CurrentPor-N10Unchanged'!G124)/100)+103/POWER(1+('CurrentPor-N10Unchanged'!D124+'CurrentPor-N10Unchanged'!G124)/100,2))*100</f>
        <v>9638.4484425779829</v>
      </c>
      <c r="D124">
        <f>(3/(1+('CurrentPor-N10Unchanged'!C124+'CurrentPor-N10Unchanged'!H124)/100)+103/POWER(1+('CurrentPor-N10Unchanged'!D124+'CurrentPor-N10Unchanged'!H124)/100,2))*100</f>
        <v>9593.8694294002198</v>
      </c>
      <c r="E124">
        <f>(3/(1+('CurrentPor-N10Unchanged'!C124+'CurrentPor-N10Unchanged'!I124)/100)+103/POWER(1+('CurrentPor-N10Unchanged'!D124+'CurrentPor-N10Unchanged'!I124)/100,2))*100</f>
        <v>9684.3959987351082</v>
      </c>
      <c r="F124">
        <f>Portfolio!B$5*'CurrentPor-N10Unchanged'!E124</f>
        <v>52143.895533915893</v>
      </c>
      <c r="G124">
        <f>Portfolio!B$6*'CurrentPor-N10Unchanged'!F124</f>
        <v>3696.2945087936532</v>
      </c>
      <c r="H124">
        <f>Portfolio!B$7*'CurrentPor-N10Unchanged'!J124</f>
        <v>2064.403583945671</v>
      </c>
      <c r="I124">
        <f t="shared" si="2"/>
        <v>96528.893274797374</v>
      </c>
      <c r="J124">
        <f t="shared" si="3"/>
        <v>-13.897850134060718</v>
      </c>
    </row>
    <row r="125" spans="1:10">
      <c r="A125" s="1">
        <v>45644</v>
      </c>
      <c r="B125">
        <f>(3/(1+('CurrentPor-N10Unchanged'!C125)/100)+103/POWER(1+('CurrentPor-N10Unchanged'!D125)/100,2))*100</f>
        <v>9707.5857774288397</v>
      </c>
      <c r="C125">
        <f>(3/(1+('CurrentPor-N10Unchanged'!C125+'CurrentPor-N10Unchanged'!G125)/100)+103/POWER(1+('CurrentPor-N10Unchanged'!D125+'CurrentPor-N10Unchanged'!G125)/100,2))*100</f>
        <v>9638.4484425779829</v>
      </c>
      <c r="D125">
        <f>(3/(1+('CurrentPor-N10Unchanged'!C125+'CurrentPor-N10Unchanged'!H125)/100)+103/POWER(1+('CurrentPor-N10Unchanged'!D125+'CurrentPor-N10Unchanged'!H125)/100,2))*100</f>
        <v>9590.7310198603318</v>
      </c>
      <c r="E125">
        <f>(3/(1+('CurrentPor-N10Unchanged'!C125+'CurrentPor-N10Unchanged'!I125)/100)+103/POWER(1+('CurrentPor-N10Unchanged'!D125+'CurrentPor-N10Unchanged'!I125)/100,2))*100</f>
        <v>9682.3185014697392</v>
      </c>
      <c r="F125">
        <f>Portfolio!B$5*'CurrentPor-N10Unchanged'!E125</f>
        <v>52143.895533915893</v>
      </c>
      <c r="G125">
        <f>Portfolio!B$6*'CurrentPor-N10Unchanged'!F125</f>
        <v>3696.2945087936532</v>
      </c>
      <c r="H125">
        <f>Portfolio!B$7*'CurrentPor-N10Unchanged'!J125</f>
        <v>2064.4092970001088</v>
      </c>
      <c r="I125">
        <f t="shared" si="2"/>
        <v>96523.683081046547</v>
      </c>
      <c r="J125">
        <f t="shared" si="3"/>
        <v>-36.21600241852866</v>
      </c>
    </row>
    <row r="126" spans="1:10">
      <c r="A126" s="1">
        <v>45645</v>
      </c>
      <c r="B126">
        <f>(3/(1+('CurrentPor-N10Unchanged'!C126)/100)+103/POWER(1+('CurrentPor-N10Unchanged'!D126)/100,2))*100</f>
        <v>9707.5857774288397</v>
      </c>
      <c r="C126">
        <f>(3/(1+('CurrentPor-N10Unchanged'!C126+'CurrentPor-N10Unchanged'!G126)/100)+103/POWER(1+('CurrentPor-N10Unchanged'!D126+'CurrentPor-N10Unchanged'!G126)/100,2))*100</f>
        <v>9640.2582771647722</v>
      </c>
      <c r="D126">
        <f>(3/(1+('CurrentPor-N10Unchanged'!C126+'CurrentPor-N10Unchanged'!H126)/100)+103/POWER(1+('CurrentPor-N10Unchanged'!D126+'CurrentPor-N10Unchanged'!H126)/100,2))*100</f>
        <v>9591.7529996003213</v>
      </c>
      <c r="E126">
        <f>(3/(1+('CurrentPor-N10Unchanged'!C126+'CurrentPor-N10Unchanged'!I126)/100)+103/POWER(1+('CurrentPor-N10Unchanged'!D126+'CurrentPor-N10Unchanged'!I126)/100,2))*100</f>
        <v>9680.5877703046626</v>
      </c>
      <c r="F126">
        <f>Portfolio!B$5*'CurrentPor-N10Unchanged'!E126</f>
        <v>52143.895533915893</v>
      </c>
      <c r="G126">
        <f>Portfolio!B$6*'CurrentPor-N10Unchanged'!F126</f>
        <v>3696.2945087936532</v>
      </c>
      <c r="H126">
        <f>Portfolio!B$7*'CurrentPor-N10Unchanged'!J126</f>
        <v>2064.4041420369822</v>
      </c>
      <c r="I126">
        <f t="shared" si="2"/>
        <v>96524.779009245118</v>
      </c>
      <c r="J126">
        <f t="shared" si="3"/>
        <v>-14.689444339746842</v>
      </c>
    </row>
    <row r="127" spans="1:10">
      <c r="A127" s="1">
        <v>45646</v>
      </c>
      <c r="B127">
        <f>(3/(1+('CurrentPor-N10Unchanged'!C127)/100)+103/POWER(1+('CurrentPor-N10Unchanged'!D127)/100,2))*100</f>
        <v>9707.5857774288397</v>
      </c>
      <c r="C127">
        <f>(3/(1+('CurrentPor-N10Unchanged'!C127+'CurrentPor-N10Unchanged'!G127)/100)+103/POWER(1+('CurrentPor-N10Unchanged'!D127+'CurrentPor-N10Unchanged'!G127)/100,2))*100</f>
        <v>9640.2582771647722</v>
      </c>
      <c r="D127">
        <f>(3/(1+('CurrentPor-N10Unchanged'!C127+'CurrentPor-N10Unchanged'!H127)/100)+103/POWER(1+('CurrentPor-N10Unchanged'!D127+'CurrentPor-N10Unchanged'!H127)/100,2))*100</f>
        <v>9604.0602304754975</v>
      </c>
      <c r="E127">
        <f>(3/(1+('CurrentPor-N10Unchanged'!C127+'CurrentPor-N10Unchanged'!I127)/100)+103/POWER(1+('CurrentPor-N10Unchanged'!D127+'CurrentPor-N10Unchanged'!I127)/100,2))*100</f>
        <v>9681.7901232696204</v>
      </c>
      <c r="F127">
        <f>Portfolio!B$5*'CurrentPor-N10Unchanged'!E127</f>
        <v>52143.895533915893</v>
      </c>
      <c r="G127">
        <f>Portfolio!B$6*'CurrentPor-N10Unchanged'!F127</f>
        <v>3696.2945087936532</v>
      </c>
      <c r="H127">
        <f>Portfolio!B$7*'CurrentPor-N10Unchanged'!J127</f>
        <v>2064.4053678486748</v>
      </c>
      <c r="I127">
        <f t="shared" si="2"/>
        <v>96538.289818896956</v>
      </c>
      <c r="J127">
        <f t="shared" si="3"/>
        <v>-1.8749564827157883</v>
      </c>
    </row>
    <row r="128" spans="1:10">
      <c r="A128" s="1">
        <v>45649</v>
      </c>
      <c r="B128">
        <f>(3/(1+('CurrentPor-N10Unchanged'!C128)/100)+103/POWER(1+('CurrentPor-N10Unchanged'!D128)/100,2))*100</f>
        <v>9707.5857774288397</v>
      </c>
      <c r="C128">
        <f>(3/(1+('CurrentPor-N10Unchanged'!C128+'CurrentPor-N10Unchanged'!G128)/100)+103/POWER(1+('CurrentPor-N10Unchanged'!D128+'CurrentPor-N10Unchanged'!G128)/100,2))*100</f>
        <v>9638.4484425779829</v>
      </c>
      <c r="D128">
        <f>(3/(1+('CurrentPor-N10Unchanged'!C128+'CurrentPor-N10Unchanged'!H128)/100)+103/POWER(1+('CurrentPor-N10Unchanged'!D128+'CurrentPor-N10Unchanged'!H128)/100,2))*100</f>
        <v>9593.5743069351101</v>
      </c>
      <c r="E128">
        <f>(3/(1+('CurrentPor-N10Unchanged'!C128+'CurrentPor-N10Unchanged'!I128)/100)+103/POWER(1+('CurrentPor-N10Unchanged'!D128+'CurrentPor-N10Unchanged'!I128)/100,2))*100</f>
        <v>9684.6694031322149</v>
      </c>
      <c r="F128">
        <f>Portfolio!B$5*'CurrentPor-N10Unchanged'!E128</f>
        <v>52143.895533915893</v>
      </c>
      <c r="G128">
        <f>Portfolio!B$6*'CurrentPor-N10Unchanged'!F128</f>
        <v>3696.2945087936532</v>
      </c>
      <c r="H128">
        <f>Portfolio!B$7*'CurrentPor-N10Unchanged'!J128</f>
        <v>2064.4065108838204</v>
      </c>
      <c r="I128">
        <f t="shared" si="2"/>
        <v>96528.874483667518</v>
      </c>
      <c r="J128">
        <f t="shared" si="3"/>
        <v>-17.836821570730535</v>
      </c>
    </row>
    <row r="129" spans="1:10">
      <c r="A129" s="1">
        <v>45650</v>
      </c>
      <c r="B129">
        <f>(3/(1+('CurrentPor-N10Unchanged'!C129)/100)+103/POWER(1+('CurrentPor-N10Unchanged'!D129)/100,2))*100</f>
        <v>9707.5857774288397</v>
      </c>
      <c r="C129">
        <f>(3/(1+('CurrentPor-N10Unchanged'!C129+'CurrentPor-N10Unchanged'!G129)/100)+103/POWER(1+('CurrentPor-N10Unchanged'!D129+'CurrentPor-N10Unchanged'!G129)/100,2))*100</f>
        <v>9636.6391226770629</v>
      </c>
      <c r="D129">
        <f>(3/(1+('CurrentPor-N10Unchanged'!C129+'CurrentPor-N10Unchanged'!H129)/100)+103/POWER(1+('CurrentPor-N10Unchanged'!D129+'CurrentPor-N10Unchanged'!H129)/100,2))*100</f>
        <v>9615.9542959949868</v>
      </c>
      <c r="E129">
        <f>(3/(1+('CurrentPor-N10Unchanged'!C129+'CurrentPor-N10Unchanged'!I129)/100)+103/POWER(1+('CurrentPor-N10Unchanged'!D129+'CurrentPor-N10Unchanged'!I129)/100,2))*100</f>
        <v>9683.594076940919</v>
      </c>
      <c r="F129">
        <f>Portfolio!B$5*'CurrentPor-N10Unchanged'!E129</f>
        <v>52143.895533915893</v>
      </c>
      <c r="G129">
        <f>Portfolio!B$6*'CurrentPor-N10Unchanged'!F129</f>
        <v>3696.2945087936532</v>
      </c>
      <c r="H129">
        <f>Portfolio!B$7*'CurrentPor-N10Unchanged'!J129</f>
        <v>2064.4046351425077</v>
      </c>
      <c r="I129">
        <f t="shared" si="2"/>
        <v>96548.367950893851</v>
      </c>
      <c r="J129">
        <f t="shared" si="3"/>
        <v>11.019143928933772</v>
      </c>
    </row>
    <row r="130" spans="1:10">
      <c r="A130" s="1">
        <v>45651</v>
      </c>
      <c r="B130">
        <f>(3/(1+('CurrentPor-N10Unchanged'!C130)/100)+103/POWER(1+('CurrentPor-N10Unchanged'!D130)/100,2))*100</f>
        <v>9707.5857774288397</v>
      </c>
      <c r="C130">
        <f>(3/(1+('CurrentPor-N10Unchanged'!C130+'CurrentPor-N10Unchanged'!G130)/100)+103/POWER(1+('CurrentPor-N10Unchanged'!D130+'CurrentPor-N10Unchanged'!G130)/100,2))*100</f>
        <v>9636.6391226770629</v>
      </c>
      <c r="D130">
        <f>(3/(1+('CurrentPor-N10Unchanged'!C130+'CurrentPor-N10Unchanged'!H130)/100)+103/POWER(1+('CurrentPor-N10Unchanged'!D130+'CurrentPor-N10Unchanged'!H130)/100,2))*100</f>
        <v>9604.4626392167083</v>
      </c>
      <c r="E130">
        <f>(3/(1+('CurrentPor-N10Unchanged'!C130+'CurrentPor-N10Unchanged'!I130)/100)+103/POWER(1+('CurrentPor-N10Unchanged'!D130+'CurrentPor-N10Unchanged'!I130)/100,2))*100</f>
        <v>9683.0291486470051</v>
      </c>
      <c r="F130">
        <f>Portfolio!B$5*'CurrentPor-N10Unchanged'!E130</f>
        <v>52143.895533915893</v>
      </c>
      <c r="G130">
        <f>Portfolio!B$6*'CurrentPor-N10Unchanged'!F130</f>
        <v>3696.2945087936532</v>
      </c>
      <c r="H130">
        <f>Portfolio!B$7*'CurrentPor-N10Unchanged'!J130</f>
        <v>2064.3877631634914</v>
      </c>
      <c r="I130">
        <f t="shared" si="2"/>
        <v>96536.294493842652</v>
      </c>
      <c r="J130">
        <f t="shared" si="3"/>
        <v>18.283036039676517</v>
      </c>
    </row>
    <row r="131" spans="1:10">
      <c r="A131" s="1">
        <v>45652</v>
      </c>
      <c r="B131">
        <f>(3/(1+('CurrentPor-N10Unchanged'!C131)/100)+103/POWER(1+('CurrentPor-N10Unchanged'!D131)/100,2))*100</f>
        <v>9707.5857774288397</v>
      </c>
      <c r="C131">
        <f>(3/(1+('CurrentPor-N10Unchanged'!C131+'CurrentPor-N10Unchanged'!G131)/100)+103/POWER(1+('CurrentPor-N10Unchanged'!D131+'CurrentPor-N10Unchanged'!G131)/100,2))*100</f>
        <v>9638.4484425779829</v>
      </c>
      <c r="D131">
        <f>(3/(1+('CurrentPor-N10Unchanged'!C131+'CurrentPor-N10Unchanged'!H131)/100)+103/POWER(1+('CurrentPor-N10Unchanged'!D131+'CurrentPor-N10Unchanged'!H131)/100,2))*100</f>
        <v>9607.1139099875763</v>
      </c>
      <c r="E131">
        <f>(3/(1+('CurrentPor-N10Unchanged'!C131+'CurrentPor-N10Unchanged'!I131)/100)+103/POWER(1+('CurrentPor-N10Unchanged'!D131+'CurrentPor-N10Unchanged'!I131)/100,2))*100</f>
        <v>9683.3753889296495</v>
      </c>
      <c r="F131">
        <f>Portfolio!B$5*'CurrentPor-N10Unchanged'!E131</f>
        <v>52143.895533915893</v>
      </c>
      <c r="G131">
        <f>Portfolio!B$6*'CurrentPor-N10Unchanged'!F131</f>
        <v>3696.2945087936532</v>
      </c>
      <c r="H131">
        <f>Portfolio!B$7*'CurrentPor-N10Unchanged'!J131</f>
        <v>2064.3994233655199</v>
      </c>
      <c r="I131">
        <f t="shared" si="2"/>
        <v>96541.112984999127</v>
      </c>
      <c r="J131">
        <f t="shared" si="3"/>
        <v>7.2653147290257039</v>
      </c>
    </row>
    <row r="132" spans="1:10">
      <c r="A132" s="1">
        <v>45653</v>
      </c>
      <c r="B132">
        <f>(3/(1+('CurrentPor-N10Unchanged'!C132)/100)+103/POWER(1+('CurrentPor-N10Unchanged'!D132)/100,2))*100</f>
        <v>9707.5857774288397</v>
      </c>
      <c r="C132">
        <f>(3/(1+('CurrentPor-N10Unchanged'!C132+'CurrentPor-N10Unchanged'!G132)/100)+103/POWER(1+('CurrentPor-N10Unchanged'!D132+'CurrentPor-N10Unchanged'!G132)/100,2))*100</f>
        <v>9638.4484425779829</v>
      </c>
      <c r="D132">
        <f>(3/(1+('CurrentPor-N10Unchanged'!C132+'CurrentPor-N10Unchanged'!H132)/100)+103/POWER(1+('CurrentPor-N10Unchanged'!D132+'CurrentPor-N10Unchanged'!H132)/100,2))*100</f>
        <v>9597.3097298767407</v>
      </c>
      <c r="E132">
        <f>(3/(1+('CurrentPor-N10Unchanged'!C132+'CurrentPor-N10Unchanged'!I132)/100)+103/POWER(1+('CurrentPor-N10Unchanged'!D132+'CurrentPor-N10Unchanged'!I132)/100,2))*100</f>
        <v>9682.755812656851</v>
      </c>
      <c r="F132">
        <f>Portfolio!B$5*'CurrentPor-N10Unchanged'!E132</f>
        <v>52143.895533915893</v>
      </c>
      <c r="G132">
        <f>Portfolio!B$6*'CurrentPor-N10Unchanged'!F132</f>
        <v>3696.2945087936532</v>
      </c>
      <c r="H132">
        <f>Portfolio!B$7*'CurrentPor-N10Unchanged'!J132</f>
        <v>2064.3967342419933</v>
      </c>
      <c r="I132">
        <f t="shared" ref="I132:I187" si="4">SUM(B132:H132)</f>
        <v>96530.686539491944</v>
      </c>
      <c r="J132">
        <f t="shared" si="3"/>
        <v>-12.18230168678565</v>
      </c>
    </row>
    <row r="133" spans="1:10">
      <c r="A133" s="1">
        <v>45656</v>
      </c>
      <c r="B133">
        <f>(3/(1+('CurrentPor-N10Unchanged'!C133)/100)+103/POWER(1+('CurrentPor-N10Unchanged'!D133)/100,2))*100</f>
        <v>9707.5857774288397</v>
      </c>
      <c r="C133">
        <f>(3/(1+('CurrentPor-N10Unchanged'!C133+'CurrentPor-N10Unchanged'!G133)/100)+103/POWER(1+('CurrentPor-N10Unchanged'!D133+'CurrentPor-N10Unchanged'!G133)/100,2))*100</f>
        <v>9631.2142491337127</v>
      </c>
      <c r="D133">
        <f>(3/(1+('CurrentPor-N10Unchanged'!C133+'CurrentPor-N10Unchanged'!H133)/100)+103/POWER(1+('CurrentPor-N10Unchanged'!D133+'CurrentPor-N10Unchanged'!H133)/100,2))*100</f>
        <v>9609.6940714917473</v>
      </c>
      <c r="E133">
        <f>(3/(1+('CurrentPor-N10Unchanged'!C133+'CurrentPor-N10Unchanged'!I133)/100)+103/POWER(1+('CurrentPor-N10Unchanged'!D133+'CurrentPor-N10Unchanged'!I133)/100,2))*100</f>
        <v>9682.2456191808233</v>
      </c>
      <c r="F133">
        <f>Portfolio!B$5*'CurrentPor-N10Unchanged'!E133</f>
        <v>52143.895533915893</v>
      </c>
      <c r="G133">
        <f>Portfolio!B$6*'CurrentPor-N10Unchanged'!F133</f>
        <v>3696.2945087936532</v>
      </c>
      <c r="H133">
        <f>Portfolio!B$7*'CurrentPor-N10Unchanged'!J133</f>
        <v>2064.4012710093903</v>
      </c>
      <c r="I133">
        <f t="shared" si="4"/>
        <v>96535.331030954068</v>
      </c>
      <c r="J133">
        <f t="shared" si="3"/>
        <v>3.5895205610868288</v>
      </c>
    </row>
    <row r="134" spans="1:10">
      <c r="A134" s="1">
        <v>45657</v>
      </c>
      <c r="B134">
        <f>(3/(1+('CurrentPor-N10Unchanged'!C134)/100)+103/POWER(1+('CurrentPor-N10Unchanged'!D134)/100,2))*100</f>
        <v>9707.5857774288397</v>
      </c>
      <c r="C134">
        <f>(3/(1+('CurrentPor-N10Unchanged'!C134+'CurrentPor-N10Unchanged'!G134)/100)+103/POWER(1+('CurrentPor-N10Unchanged'!D134+'CurrentPor-N10Unchanged'!G134)/100,2))*100</f>
        <v>9631.2142491337127</v>
      </c>
      <c r="D134">
        <f>(3/(1+('CurrentPor-N10Unchanged'!C134+'CurrentPor-N10Unchanged'!H134)/100)+103/POWER(1+('CurrentPor-N10Unchanged'!D134+'CurrentPor-N10Unchanged'!H134)/100,2))*100</f>
        <v>9602.7745050467329</v>
      </c>
      <c r="E134">
        <f>(3/(1+('CurrentPor-N10Unchanged'!C134+'CurrentPor-N10Unchanged'!I134)/100)+103/POWER(1+('CurrentPor-N10Unchanged'!D134+'CurrentPor-N10Unchanged'!I134)/100,2))*100</f>
        <v>9682.3002803851778</v>
      </c>
      <c r="F134">
        <f>Portfolio!B$5*'CurrentPor-N10Unchanged'!E134</f>
        <v>52143.895533915893</v>
      </c>
      <c r="G134">
        <f>Portfolio!B$6*'CurrentPor-N10Unchanged'!F134</f>
        <v>3696.2945087936532</v>
      </c>
      <c r="H134">
        <f>Portfolio!B$7*'CurrentPor-N10Unchanged'!J134</f>
        <v>2064.3896998929049</v>
      </c>
      <c r="I134">
        <f t="shared" si="4"/>
        <v>96528.454554596916</v>
      </c>
      <c r="J134">
        <f t="shared" si="3"/>
        <v>-0.43872020045819227</v>
      </c>
    </row>
    <row r="135" spans="1:10">
      <c r="A135" s="1">
        <v>45658</v>
      </c>
      <c r="B135">
        <f>(3/(1+('CurrentPor-N10Unchanged'!C135)/100)+103/POWER(1+('CurrentPor-N10Unchanged'!D135)/100,2))*100</f>
        <v>9707.5857774288397</v>
      </c>
      <c r="C135">
        <f>(3/(1+('CurrentPor-N10Unchanged'!C135+'CurrentPor-N10Unchanged'!G135)/100)+103/POWER(1+('CurrentPor-N10Unchanged'!D135+'CurrentPor-N10Unchanged'!G135)/100,2))*100</f>
        <v>9629.4069860209238</v>
      </c>
      <c r="D135">
        <f>(3/(1+('CurrentPor-N10Unchanged'!C135+'CurrentPor-N10Unchanged'!H135)/100)+103/POWER(1+('CurrentPor-N10Unchanged'!D135+'CurrentPor-N10Unchanged'!H135)/100,2))*100</f>
        <v>9593.0970046067578</v>
      </c>
      <c r="E135">
        <f>(3/(1+('CurrentPor-N10Unchanged'!C135+'CurrentPor-N10Unchanged'!I135)/100)+103/POWER(1+('CurrentPor-N10Unchanged'!D135+'CurrentPor-N10Unchanged'!I135)/100,2))*100</f>
        <v>9682.6282609042173</v>
      </c>
      <c r="F135">
        <f>Portfolio!B$5*'CurrentPor-N10Unchanged'!E135</f>
        <v>52143.895533915893</v>
      </c>
      <c r="G135">
        <f>Portfolio!B$6*'CurrentPor-N10Unchanged'!F135</f>
        <v>3696.2945087936532</v>
      </c>
      <c r="H135">
        <f>Portfolio!B$7*'CurrentPor-N10Unchanged'!J135</f>
        <v>2064.3971753801011</v>
      </c>
      <c r="I135">
        <f t="shared" si="4"/>
        <v>96517.30524705039</v>
      </c>
      <c r="J135">
        <f t="shared" si="3"/>
        <v>-6.3778339961572783</v>
      </c>
    </row>
    <row r="136" spans="1:10">
      <c r="A136" s="1">
        <v>45659</v>
      </c>
      <c r="B136">
        <f>(3/(1+('CurrentPor-N10Unchanged'!C136)/100)+103/POWER(1+('CurrentPor-N10Unchanged'!D136)/100,2))*100</f>
        <v>9707.5857774288397</v>
      </c>
      <c r="C136">
        <f>(3/(1+('CurrentPor-N10Unchanged'!C136+'CurrentPor-N10Unchanged'!G136)/100)+103/POWER(1+('CurrentPor-N10Unchanged'!D136+'CurrentPor-N10Unchanged'!G136)/100,2))*100</f>
        <v>9631.2142491337127</v>
      </c>
      <c r="D136">
        <f>(3/(1+('CurrentPor-N10Unchanged'!C136+'CurrentPor-N10Unchanged'!H136)/100)+103/POWER(1+('CurrentPor-N10Unchanged'!D136+'CurrentPor-N10Unchanged'!H136)/100,2))*100</f>
        <v>9592.9984301086824</v>
      </c>
      <c r="E136">
        <f>(3/(1+('CurrentPor-N10Unchanged'!C136+'CurrentPor-N10Unchanged'!I136)/100)+103/POWER(1+('CurrentPor-N10Unchanged'!D136+'CurrentPor-N10Unchanged'!I136)/100,2))*100</f>
        <v>9683.739873105038</v>
      </c>
      <c r="F136">
        <f>Portfolio!B$5*'CurrentPor-N10Unchanged'!E136</f>
        <v>52143.895533915893</v>
      </c>
      <c r="G136">
        <f>Portfolio!B$6*'CurrentPor-N10Unchanged'!F136</f>
        <v>3696.2945087936532</v>
      </c>
      <c r="H136">
        <f>Portfolio!B$7*'CurrentPor-N10Unchanged'!J136</f>
        <v>2064.395508961396</v>
      </c>
      <c r="I136">
        <f t="shared" si="4"/>
        <v>96520.123881447216</v>
      </c>
      <c r="J136">
        <f t="shared" si="3"/>
        <v>-4.655127797901514</v>
      </c>
    </row>
    <row r="137" spans="1:10">
      <c r="A137" s="1">
        <v>45660</v>
      </c>
      <c r="B137">
        <f>(3/(1+('CurrentPor-N10Unchanged'!C137)/100)+103/POWER(1+('CurrentPor-N10Unchanged'!D137)/100,2))*100</f>
        <v>9707.5857774288397</v>
      </c>
      <c r="C137">
        <f>(3/(1+('CurrentPor-N10Unchanged'!C137+'CurrentPor-N10Unchanged'!G137)/100)+103/POWER(1+('CurrentPor-N10Unchanged'!D137+'CurrentPor-N10Unchanged'!G137)/100,2))*100</f>
        <v>9629.4069860209238</v>
      </c>
      <c r="D137">
        <f>(3/(1+('CurrentPor-N10Unchanged'!C137+'CurrentPor-N10Unchanged'!H137)/100)+103/POWER(1+('CurrentPor-N10Unchanged'!D137+'CurrentPor-N10Unchanged'!H137)/100,2))*100</f>
        <v>9605.7658854391539</v>
      </c>
      <c r="E137">
        <f>(3/(1+('CurrentPor-N10Unchanged'!C137+'CurrentPor-N10Unchanged'!I137)/100)+103/POWER(1+('CurrentPor-N10Unchanged'!D137+'CurrentPor-N10Unchanged'!I137)/100,2))*100</f>
        <v>9684.1590569043819</v>
      </c>
      <c r="F137">
        <f>Portfolio!B$5*'CurrentPor-N10Unchanged'!E137</f>
        <v>52143.895533915893</v>
      </c>
      <c r="G137">
        <f>Portfolio!B$6*'CurrentPor-N10Unchanged'!F137</f>
        <v>3696.2945087936532</v>
      </c>
      <c r="H137">
        <f>Portfolio!B$7*'CurrentPor-N10Unchanged'!J137</f>
        <v>2064.3960092795583</v>
      </c>
      <c r="I137">
        <f t="shared" si="4"/>
        <v>96531.503757782411</v>
      </c>
      <c r="J137">
        <f t="shared" si="3"/>
        <v>-6.7860611145442817</v>
      </c>
    </row>
    <row r="138" spans="1:10">
      <c r="A138" s="1">
        <v>45663</v>
      </c>
      <c r="B138">
        <f>(3/(1+('CurrentPor-N10Unchanged'!C138)/100)+103/POWER(1+('CurrentPor-N10Unchanged'!D138)/100,2))*100</f>
        <v>9707.5857774288397</v>
      </c>
      <c r="C138">
        <f>(3/(1+('CurrentPor-N10Unchanged'!C138+'CurrentPor-N10Unchanged'!G138)/100)+103/POWER(1+('CurrentPor-N10Unchanged'!D138+'CurrentPor-N10Unchanged'!G138)/100,2))*100</f>
        <v>9638.4484425779829</v>
      </c>
      <c r="D138">
        <f>(3/(1+('CurrentPor-N10Unchanged'!C138+'CurrentPor-N10Unchanged'!H138)/100)+103/POWER(1+('CurrentPor-N10Unchanged'!D138+'CurrentPor-N10Unchanged'!H138)/100,2))*100</f>
        <v>9603.1750789171438</v>
      </c>
      <c r="E138">
        <f>(3/(1+('CurrentPor-N10Unchanged'!C138+'CurrentPor-N10Unchanged'!I138)/100)+103/POWER(1+('CurrentPor-N10Unchanged'!D138+'CurrentPor-N10Unchanged'!I138)/100,2))*100</f>
        <v>9682.1545170539957</v>
      </c>
      <c r="F138">
        <f>Portfolio!B$5*'CurrentPor-N10Unchanged'!E138</f>
        <v>52143.895533915893</v>
      </c>
      <c r="G138">
        <f>Portfolio!B$6*'CurrentPor-N10Unchanged'!F138</f>
        <v>3696.2945087936532</v>
      </c>
      <c r="H138">
        <f>Portfolio!B$7*'CurrentPor-N10Unchanged'!J138</f>
        <v>2064.4037681970558</v>
      </c>
      <c r="I138">
        <f t="shared" si="4"/>
        <v>96535.95762688457</v>
      </c>
      <c r="J138">
        <f t="shared" si="3"/>
        <v>7.0831432170525659</v>
      </c>
    </row>
    <row r="139" spans="1:10">
      <c r="A139" s="1">
        <v>45664</v>
      </c>
      <c r="B139">
        <f>(3/(1+('CurrentPor-N10Unchanged'!C139)/100)+103/POWER(1+('CurrentPor-N10Unchanged'!D139)/100,2))*100</f>
        <v>9707.5857774288397</v>
      </c>
      <c r="C139">
        <f>(3/(1+('CurrentPor-N10Unchanged'!C139+'CurrentPor-N10Unchanged'!G139)/100)+103/POWER(1+('CurrentPor-N10Unchanged'!D139+'CurrentPor-N10Unchanged'!G139)/100,2))*100</f>
        <v>9640.2582771647722</v>
      </c>
      <c r="D139">
        <f>(3/(1+('CurrentPor-N10Unchanged'!C139+'CurrentPor-N10Unchanged'!H139)/100)+103/POWER(1+('CurrentPor-N10Unchanged'!D139+'CurrentPor-N10Unchanged'!H139)/100,2))*100</f>
        <v>9592.95319154563</v>
      </c>
      <c r="E139">
        <f>(3/(1+('CurrentPor-N10Unchanged'!C139+'CurrentPor-N10Unchanged'!I139)/100)+103/POWER(1+('CurrentPor-N10Unchanged'!D139+'CurrentPor-N10Unchanged'!I139)/100,2))*100</f>
        <v>9678.6571906891168</v>
      </c>
      <c r="F139">
        <f>Portfolio!B$5*'CurrentPor-N10Unchanged'!E139</f>
        <v>52143.895533915893</v>
      </c>
      <c r="G139">
        <f>Portfolio!B$6*'CurrentPor-N10Unchanged'!F139</f>
        <v>3696.2945087936532</v>
      </c>
      <c r="H139">
        <f>Portfolio!B$7*'CurrentPor-N10Unchanged'!J139</f>
        <v>2064.4019222576876</v>
      </c>
      <c r="I139">
        <f t="shared" si="4"/>
        <v>96524.046401795596</v>
      </c>
      <c r="J139">
        <f t="shared" si="3"/>
        <v>-24.321549098254764</v>
      </c>
    </row>
    <row r="140" spans="1:10">
      <c r="A140" s="1">
        <v>45665</v>
      </c>
      <c r="B140">
        <f>(3/(1+('CurrentPor-N10Unchanged'!C140)/100)+103/POWER(1+('CurrentPor-N10Unchanged'!D140)/100,2))*100</f>
        <v>9707.5857774288397</v>
      </c>
      <c r="C140">
        <f>(3/(1+('CurrentPor-N10Unchanged'!C140+'CurrentPor-N10Unchanged'!G140)/100)+103/POWER(1+('CurrentPor-N10Unchanged'!D140+'CurrentPor-N10Unchanged'!G140)/100,2))*100</f>
        <v>9638.4484425779829</v>
      </c>
      <c r="D140">
        <f>(3/(1+('CurrentPor-N10Unchanged'!C140+'CurrentPor-N10Unchanged'!H140)/100)+103/POWER(1+('CurrentPor-N10Unchanged'!D140+'CurrentPor-N10Unchanged'!H140)/100,2))*100</f>
        <v>9590.5436465270923</v>
      </c>
      <c r="E140">
        <f>(3/(1+('CurrentPor-N10Unchanged'!C140+'CurrentPor-N10Unchanged'!I140)/100)+103/POWER(1+('CurrentPor-N10Unchanged'!D140+'CurrentPor-N10Unchanged'!I140)/100,2))*100</f>
        <v>9681.3346598198714</v>
      </c>
      <c r="F140">
        <f>Portfolio!B$5*'CurrentPor-N10Unchanged'!E140</f>
        <v>52143.895533915893</v>
      </c>
      <c r="G140">
        <f>Portfolio!B$6*'CurrentPor-N10Unchanged'!F140</f>
        <v>3696.2945087936532</v>
      </c>
      <c r="H140">
        <f>Portfolio!B$7*'CurrentPor-N10Unchanged'!J140</f>
        <v>2064.400303984829</v>
      </c>
      <c r="I140">
        <f t="shared" si="4"/>
        <v>96522.502873048172</v>
      </c>
      <c r="J140">
        <f t="shared" si="3"/>
        <v>-13.791620794479968</v>
      </c>
    </row>
    <row r="141" spans="1:10">
      <c r="A141" s="1">
        <v>45666</v>
      </c>
      <c r="B141">
        <f>(3/(1+('CurrentPor-N10Unchanged'!C141)/100)+103/POWER(1+('CurrentPor-N10Unchanged'!D141)/100,2))*100</f>
        <v>9707.5857774288397</v>
      </c>
      <c r="C141">
        <f>(3/(1+('CurrentPor-N10Unchanged'!C141+'CurrentPor-N10Unchanged'!G141)/100)+103/POWER(1+('CurrentPor-N10Unchanged'!D141+'CurrentPor-N10Unchanged'!G141)/100,2))*100</f>
        <v>9638.4484425779829</v>
      </c>
      <c r="D141">
        <f>(3/(1+('CurrentPor-N10Unchanged'!C141+'CurrentPor-N10Unchanged'!H141)/100)+103/POWER(1+('CurrentPor-N10Unchanged'!D141+'CurrentPor-N10Unchanged'!H141)/100,2))*100</f>
        <v>9597.9619523323472</v>
      </c>
      <c r="E141">
        <f>(3/(1+('CurrentPor-N10Unchanged'!C141+'CurrentPor-N10Unchanged'!I141)/100)+103/POWER(1+('CurrentPor-N10Unchanged'!D141+'CurrentPor-N10Unchanged'!I141)/100,2))*100</f>
        <v>9682.0087570471096</v>
      </c>
      <c r="F141">
        <f>Portfolio!B$5*'CurrentPor-N10Unchanged'!E141</f>
        <v>52143.895533915893</v>
      </c>
      <c r="G141">
        <f>Portfolio!B$6*'CurrentPor-N10Unchanged'!F141</f>
        <v>3696.2945087936532</v>
      </c>
      <c r="H141">
        <f>Portfolio!B$7*'CurrentPor-N10Unchanged'!J141</f>
        <v>2064.4045349314647</v>
      </c>
      <c r="I141">
        <f t="shared" si="4"/>
        <v>96530.599507027291</v>
      </c>
      <c r="J141">
        <f t="shared" si="3"/>
        <v>-10.513477971835528</v>
      </c>
    </row>
    <row r="142" spans="1:10">
      <c r="A142" s="1">
        <v>45667</v>
      </c>
      <c r="B142">
        <f>(3/(1+('CurrentPor-N10Unchanged'!C142)/100)+103/POWER(1+('CurrentPor-N10Unchanged'!D142)/100,2))*100</f>
        <v>9707.5857774288397</v>
      </c>
      <c r="C142">
        <f>(3/(1+('CurrentPor-N10Unchanged'!C142+'CurrentPor-N10Unchanged'!G142)/100)+103/POWER(1+('CurrentPor-N10Unchanged'!D142+'CurrentPor-N10Unchanged'!G142)/100,2))*100</f>
        <v>9640.2582771647722</v>
      </c>
      <c r="D142">
        <f>(3/(1+('CurrentPor-N10Unchanged'!C142+'CurrentPor-N10Unchanged'!H142)/100)+103/POWER(1+('CurrentPor-N10Unchanged'!D142+'CurrentPor-N10Unchanged'!H142)/100,2))*100</f>
        <v>9601.8037275358856</v>
      </c>
      <c r="E142">
        <f>(3/(1+('CurrentPor-N10Unchanged'!C142+'CurrentPor-N10Unchanged'!I142)/100)+103/POWER(1+('CurrentPor-N10Unchanged'!D142+'CurrentPor-N10Unchanged'!I142)/100,2))*100</f>
        <v>9681.5897159781507</v>
      </c>
      <c r="F142">
        <f>Portfolio!B$5*'CurrentPor-N10Unchanged'!E142</f>
        <v>52143.895533915893</v>
      </c>
      <c r="G142">
        <f>Portfolio!B$6*'CurrentPor-N10Unchanged'!F142</f>
        <v>3696.2945087936532</v>
      </c>
      <c r="H142">
        <f>Portfolio!B$7*'CurrentPor-N10Unchanged'!J142</f>
        <v>2064.4023080235784</v>
      </c>
      <c r="I142">
        <f t="shared" si="4"/>
        <v>96535.829848840775</v>
      </c>
      <c r="J142">
        <f t="shared" ref="J142:J187" si="5">I142-I132</f>
        <v>5.1433093488303712</v>
      </c>
    </row>
    <row r="143" spans="1:10">
      <c r="A143" s="1">
        <v>45670</v>
      </c>
      <c r="B143">
        <f>(3/(1+('CurrentPor-N10Unchanged'!C143)/100)+103/POWER(1+('CurrentPor-N10Unchanged'!D143)/100,2))*100</f>
        <v>9707.5857774288397</v>
      </c>
      <c r="C143">
        <f>(3/(1+('CurrentPor-N10Unchanged'!C143+'CurrentPor-N10Unchanged'!G143)/100)+103/POWER(1+('CurrentPor-N10Unchanged'!D143+'CurrentPor-N10Unchanged'!G143)/100,2))*100</f>
        <v>9640.2582771647722</v>
      </c>
      <c r="D143">
        <f>(3/(1+('CurrentPor-N10Unchanged'!C143+'CurrentPor-N10Unchanged'!H143)/100)+103/POWER(1+('CurrentPor-N10Unchanged'!D143+'CurrentPor-N10Unchanged'!H143)/100,2))*100</f>
        <v>9592.9156680648466</v>
      </c>
      <c r="E143">
        <f>(3/(1+('CurrentPor-N10Unchanged'!C143+'CurrentPor-N10Unchanged'!I143)/100)+103/POWER(1+('CurrentPor-N10Unchanged'!D143+'CurrentPor-N10Unchanged'!I143)/100,2))*100</f>
        <v>9681.0431805243425</v>
      </c>
      <c r="F143">
        <f>Portfolio!B$5*'CurrentPor-N10Unchanged'!E143</f>
        <v>52143.895533915893</v>
      </c>
      <c r="G143">
        <f>Portfolio!B$6*'CurrentPor-N10Unchanged'!F143</f>
        <v>3696.2945087936532</v>
      </c>
      <c r="H143">
        <f>Portfolio!B$7*'CurrentPor-N10Unchanged'!J143</f>
        <v>2064.401855281028</v>
      </c>
      <c r="I143">
        <f t="shared" si="4"/>
        <v>96526.394801173374</v>
      </c>
      <c r="J143">
        <f t="shared" si="5"/>
        <v>-8.9362297806947026</v>
      </c>
    </row>
    <row r="144" spans="1:10">
      <c r="A144" s="1">
        <v>45671</v>
      </c>
      <c r="B144">
        <f>(3/(1+('CurrentPor-N10Unchanged'!C144)/100)+103/POWER(1+('CurrentPor-N10Unchanged'!D144)/100,2))*100</f>
        <v>9707.5857774288397</v>
      </c>
      <c r="C144">
        <f>(3/(1+('CurrentPor-N10Unchanged'!C144+'CurrentPor-N10Unchanged'!G144)/100)+103/POWER(1+('CurrentPor-N10Unchanged'!D144+'CurrentPor-N10Unchanged'!G144)/100,2))*100</f>
        <v>9640.2582771647722</v>
      </c>
      <c r="D144">
        <f>(3/(1+('CurrentPor-N10Unchanged'!C144+'CurrentPor-N10Unchanged'!H144)/100)+103/POWER(1+('CurrentPor-N10Unchanged'!D144+'CurrentPor-N10Unchanged'!H144)/100,2))*100</f>
        <v>9592.8315612080532</v>
      </c>
      <c r="E144">
        <f>(3/(1+('CurrentPor-N10Unchanged'!C144+'CurrentPor-N10Unchanged'!I144)/100)+103/POWER(1+('CurrentPor-N10Unchanged'!D144+'CurrentPor-N10Unchanged'!I144)/100,2))*100</f>
        <v>9682.4824900929671</v>
      </c>
      <c r="F144">
        <f>Portfolio!B$5*'CurrentPor-N10Unchanged'!E144</f>
        <v>52143.895533915893</v>
      </c>
      <c r="G144">
        <f>Portfolio!B$6*'CurrentPor-N10Unchanged'!F144</f>
        <v>3696.2945087936532</v>
      </c>
      <c r="H144">
        <f>Portfolio!B$7*'CurrentPor-N10Unchanged'!J144</f>
        <v>2064.396078251058</v>
      </c>
      <c r="I144">
        <f t="shared" si="4"/>
        <v>96527.74422685524</v>
      </c>
      <c r="J144">
        <f t="shared" si="5"/>
        <v>-0.71032774167542811</v>
      </c>
    </row>
    <row r="145" spans="1:10">
      <c r="A145" s="1">
        <v>45672</v>
      </c>
      <c r="B145">
        <f>(3/(1+('CurrentPor-N10Unchanged'!C145)/100)+103/POWER(1+('CurrentPor-N10Unchanged'!D145)/100,2))*100</f>
        <v>9707.5857774288397</v>
      </c>
      <c r="C145">
        <f>(3/(1+('CurrentPor-N10Unchanged'!C145+'CurrentPor-N10Unchanged'!G145)/100)+103/POWER(1+('CurrentPor-N10Unchanged'!D145+'CurrentPor-N10Unchanged'!G145)/100,2))*100</f>
        <v>9638.4484425779829</v>
      </c>
      <c r="D145">
        <f>(3/(1+('CurrentPor-N10Unchanged'!C145+'CurrentPor-N10Unchanged'!H145)/100)+103/POWER(1+('CurrentPor-N10Unchanged'!D145+'CurrentPor-N10Unchanged'!H145)/100,2))*100</f>
        <v>9595.5621573486842</v>
      </c>
      <c r="E145">
        <f>(3/(1+('CurrentPor-N10Unchanged'!C145+'CurrentPor-N10Unchanged'!I145)/100)+103/POWER(1+('CurrentPor-N10Unchanged'!D145+'CurrentPor-N10Unchanged'!I145)/100,2))*100</f>
        <v>9682.5007116969864</v>
      </c>
      <c r="F145">
        <f>Portfolio!B$5*'CurrentPor-N10Unchanged'!E145</f>
        <v>52143.895533915893</v>
      </c>
      <c r="G145">
        <f>Portfolio!B$6*'CurrentPor-N10Unchanged'!F145</f>
        <v>3696.2945087936532</v>
      </c>
      <c r="H145">
        <f>Portfolio!B$7*'CurrentPor-N10Unchanged'!J145</f>
        <v>2064.4037943858766</v>
      </c>
      <c r="I145">
        <f t="shared" si="4"/>
        <v>96528.690926147916</v>
      </c>
      <c r="J145">
        <f t="shared" si="5"/>
        <v>11.385679097526008</v>
      </c>
    </row>
    <row r="146" spans="1:10">
      <c r="A146" s="1">
        <v>45673</v>
      </c>
      <c r="B146">
        <f>(3/(1+('CurrentPor-N10Unchanged'!C146)/100)+103/POWER(1+('CurrentPor-N10Unchanged'!D146)/100,2))*100</f>
        <v>9707.5857774288397</v>
      </c>
      <c r="C146">
        <f>(3/(1+('CurrentPor-N10Unchanged'!C146+'CurrentPor-N10Unchanged'!G146)/100)+103/POWER(1+('CurrentPor-N10Unchanged'!D146+'CurrentPor-N10Unchanged'!G146)/100,2))*100</f>
        <v>9638.4484425779829</v>
      </c>
      <c r="D146">
        <f>(3/(1+('CurrentPor-N10Unchanged'!C146+'CurrentPor-N10Unchanged'!H146)/100)+103/POWER(1+('CurrentPor-N10Unchanged'!D146+'CurrentPor-N10Unchanged'!H146)/100,2))*100</f>
        <v>9596.7480418199193</v>
      </c>
      <c r="E146">
        <f>(3/(1+('CurrentPor-N10Unchanged'!C146+'CurrentPor-N10Unchanged'!I146)/100)+103/POWER(1+('CurrentPor-N10Unchanged'!D146+'CurrentPor-N10Unchanged'!I146)/100,2))*100</f>
        <v>9683.0655932861519</v>
      </c>
      <c r="F146">
        <f>Portfolio!B$5*'CurrentPor-N10Unchanged'!E146</f>
        <v>52143.895533915893</v>
      </c>
      <c r="G146">
        <f>Portfolio!B$6*'CurrentPor-N10Unchanged'!F146</f>
        <v>3696.2945087936532</v>
      </c>
      <c r="H146">
        <f>Portfolio!B$7*'CurrentPor-N10Unchanged'!J146</f>
        <v>2064.3992776707141</v>
      </c>
      <c r="I146">
        <f t="shared" si="4"/>
        <v>96530.437175493164</v>
      </c>
      <c r="J146">
        <f t="shared" si="5"/>
        <v>10.313294045947259</v>
      </c>
    </row>
    <row r="147" spans="1:10">
      <c r="A147" s="1">
        <v>45674</v>
      </c>
      <c r="B147">
        <f>(3/(1+('CurrentPor-N10Unchanged'!C147)/100)+103/POWER(1+('CurrentPor-N10Unchanged'!D147)/100,2))*100</f>
        <v>9707.5857774288397</v>
      </c>
      <c r="C147">
        <f>(3/(1+('CurrentPor-N10Unchanged'!C147+'CurrentPor-N10Unchanged'!G147)/100)+103/POWER(1+('CurrentPor-N10Unchanged'!D147+'CurrentPor-N10Unchanged'!G147)/100,2))*100</f>
        <v>9638.4484425779829</v>
      </c>
      <c r="D147">
        <f>(3/(1+('CurrentPor-N10Unchanged'!C147+'CurrentPor-N10Unchanged'!H147)/100)+103/POWER(1+('CurrentPor-N10Unchanged'!D147+'CurrentPor-N10Unchanged'!H147)/100,2))*100</f>
        <v>9598.2428418131494</v>
      </c>
      <c r="E147">
        <f>(3/(1+('CurrentPor-N10Unchanged'!C147+'CurrentPor-N10Unchanged'!I147)/100)+103/POWER(1+('CurrentPor-N10Unchanged'!D147+'CurrentPor-N10Unchanged'!I147)/100,2))*100</f>
        <v>9682.3185014697392</v>
      </c>
      <c r="F147">
        <f>Portfolio!B$5*'CurrentPor-N10Unchanged'!E147</f>
        <v>52143.895533915893</v>
      </c>
      <c r="G147">
        <f>Portfolio!B$6*'CurrentPor-N10Unchanged'!F147</f>
        <v>3696.2945087936532</v>
      </c>
      <c r="H147">
        <f>Portfolio!B$7*'CurrentPor-N10Unchanged'!J147</f>
        <v>2064.3995465197372</v>
      </c>
      <c r="I147">
        <f t="shared" si="4"/>
        <v>96531.185152519</v>
      </c>
      <c r="J147">
        <f t="shared" si="5"/>
        <v>-0.31860526341188233</v>
      </c>
    </row>
    <row r="148" spans="1:10">
      <c r="A148" s="1">
        <v>45677</v>
      </c>
      <c r="B148">
        <f>(3/(1+('CurrentPor-N10Unchanged'!C148)/100)+103/POWER(1+('CurrentPor-N10Unchanged'!D148)/100,2))*100</f>
        <v>9707.5857774288397</v>
      </c>
      <c r="C148">
        <f>(3/(1+('CurrentPor-N10Unchanged'!C148+'CurrentPor-N10Unchanged'!G148)/100)+103/POWER(1+('CurrentPor-N10Unchanged'!D148+'CurrentPor-N10Unchanged'!G148)/100,2))*100</f>
        <v>9634.8303172663855</v>
      </c>
      <c r="D148">
        <f>(3/(1+('CurrentPor-N10Unchanged'!C148+'CurrentPor-N10Unchanged'!H148)/100)+103/POWER(1+('CurrentPor-N10Unchanged'!D148+'CurrentPor-N10Unchanged'!H148)/100,2))*100</f>
        <v>9579.7448049340383</v>
      </c>
      <c r="E148">
        <f>(3/(1+('CurrentPor-N10Unchanged'!C148+'CurrentPor-N10Unchanged'!I148)/100)+103/POWER(1+('CurrentPor-N10Unchanged'!D148+'CurrentPor-N10Unchanged'!I148)/100,2))*100</f>
        <v>9682.9562582542785</v>
      </c>
      <c r="F148">
        <f>Portfolio!B$5*'CurrentPor-N10Unchanged'!E148</f>
        <v>52143.895533915893</v>
      </c>
      <c r="G148">
        <f>Portfolio!B$6*'CurrentPor-N10Unchanged'!F148</f>
        <v>3696.2945087936532</v>
      </c>
      <c r="H148">
        <f>Portfolio!B$7*'CurrentPor-N10Unchanged'!J148</f>
        <v>2064.4070024337816</v>
      </c>
      <c r="I148">
        <f t="shared" si="4"/>
        <v>96509.714203026873</v>
      </c>
      <c r="J148">
        <f t="shared" si="5"/>
        <v>-26.243423857697053</v>
      </c>
    </row>
    <row r="149" spans="1:10">
      <c r="A149" s="1">
        <v>45678</v>
      </c>
      <c r="B149">
        <f>(3/(1+('CurrentPor-N10Unchanged'!C149)/100)+103/POWER(1+('CurrentPor-N10Unchanged'!D149)/100,2))*100</f>
        <v>9707.5857774288397</v>
      </c>
      <c r="C149">
        <f>(3/(1+('CurrentPor-N10Unchanged'!C149+'CurrentPor-N10Unchanged'!G149)/100)+103/POWER(1+('CurrentPor-N10Unchanged'!D149+'CurrentPor-N10Unchanged'!G149)/100,2))*100</f>
        <v>9633.0220261504182</v>
      </c>
      <c r="D149">
        <f>(3/(1+('CurrentPor-N10Unchanged'!C149+'CurrentPor-N10Unchanged'!H149)/100)+103/POWER(1+('CurrentPor-N10Unchanged'!D149+'CurrentPor-N10Unchanged'!H149)/100,2))*100</f>
        <v>9606.2032974685899</v>
      </c>
      <c r="E149">
        <f>(3/(1+('CurrentPor-N10Unchanged'!C149+'CurrentPor-N10Unchanged'!I149)/100)+103/POWER(1+('CurrentPor-N10Unchanged'!D149+'CurrentPor-N10Unchanged'!I149)/100,2))*100</f>
        <v>9681.1889185102937</v>
      </c>
      <c r="F149">
        <f>Portfolio!B$5*'CurrentPor-N10Unchanged'!E149</f>
        <v>52143.895533915893</v>
      </c>
      <c r="G149">
        <f>Portfolio!B$6*'CurrentPor-N10Unchanged'!F149</f>
        <v>3696.2945087936532</v>
      </c>
      <c r="H149">
        <f>Portfolio!B$7*'CurrentPor-N10Unchanged'!J149</f>
        <v>2064.4042552645456</v>
      </c>
      <c r="I149">
        <f t="shared" si="4"/>
        <v>96532.594317532232</v>
      </c>
      <c r="J149">
        <f t="shared" si="5"/>
        <v>8.547915736635332</v>
      </c>
    </row>
    <row r="150" spans="1:10">
      <c r="A150" s="1">
        <v>45679</v>
      </c>
      <c r="B150">
        <f>(3/(1+('CurrentPor-N10Unchanged'!C150)/100)+103/POWER(1+('CurrentPor-N10Unchanged'!D150)/100,2))*100</f>
        <v>9707.5857774288397</v>
      </c>
      <c r="C150">
        <f>(3/(1+('CurrentPor-N10Unchanged'!C150+'CurrentPor-N10Unchanged'!G150)/100)+103/POWER(1+('CurrentPor-N10Unchanged'!D150+'CurrentPor-N10Unchanged'!G150)/100,2))*100</f>
        <v>9634.8303172663855</v>
      </c>
      <c r="D150">
        <f>(3/(1+('CurrentPor-N10Unchanged'!C150+'CurrentPor-N10Unchanged'!H150)/100)+103/POWER(1+('CurrentPor-N10Unchanged'!D150+'CurrentPor-N10Unchanged'!H150)/100,2))*100</f>
        <v>9600.6024648327857</v>
      </c>
      <c r="E150">
        <f>(3/(1+('CurrentPor-N10Unchanged'!C150+'CurrentPor-N10Unchanged'!I150)/100)+103/POWER(1+('CurrentPor-N10Unchanged'!D150+'CurrentPor-N10Unchanged'!I150)/100,2))*100</f>
        <v>9681.1160491018709</v>
      </c>
      <c r="F150">
        <f>Portfolio!B$5*'CurrentPor-N10Unchanged'!E150</f>
        <v>52143.895533915893</v>
      </c>
      <c r="G150">
        <f>Portfolio!B$6*'CurrentPor-N10Unchanged'!F150</f>
        <v>3696.2945087936532</v>
      </c>
      <c r="H150">
        <f>Portfolio!B$7*'CurrentPor-N10Unchanged'!J150</f>
        <v>2064.3934211587507</v>
      </c>
      <c r="I150">
        <f t="shared" si="4"/>
        <v>96528.718072498188</v>
      </c>
      <c r="J150">
        <f t="shared" si="5"/>
        <v>6.215199450016371</v>
      </c>
    </row>
    <row r="151" spans="1:10">
      <c r="A151" s="1">
        <v>45680</v>
      </c>
      <c r="B151">
        <f>(3/(1+('CurrentPor-N10Unchanged'!C151)/100)+103/POWER(1+('CurrentPor-N10Unchanged'!D151)/100,2))*100</f>
        <v>9707.5857774288397</v>
      </c>
      <c r="C151">
        <f>(3/(1+('CurrentPor-N10Unchanged'!C151+'CurrentPor-N10Unchanged'!G151)/100)+103/POWER(1+('CurrentPor-N10Unchanged'!D151+'CurrentPor-N10Unchanged'!G151)/100,2))*100</f>
        <v>9629.4069860209238</v>
      </c>
      <c r="D151">
        <f>(3/(1+('CurrentPor-N10Unchanged'!C151+'CurrentPor-N10Unchanged'!H151)/100)+103/POWER(1+('CurrentPor-N10Unchanged'!D151+'CurrentPor-N10Unchanged'!H151)/100,2))*100</f>
        <v>9603.5700485732868</v>
      </c>
      <c r="E151">
        <f>(3/(1+('CurrentPor-N10Unchanged'!C151+'CurrentPor-N10Unchanged'!I151)/100)+103/POWER(1+('CurrentPor-N10Unchanged'!D151+'CurrentPor-N10Unchanged'!I151)/100,2))*100</f>
        <v>9681.2253543947754</v>
      </c>
      <c r="F151">
        <f>Portfolio!B$5*'CurrentPor-N10Unchanged'!E151</f>
        <v>52143.895533915893</v>
      </c>
      <c r="G151">
        <f>Portfolio!B$6*'CurrentPor-N10Unchanged'!F151</f>
        <v>3696.2945087936532</v>
      </c>
      <c r="H151">
        <f>Portfolio!B$7*'CurrentPor-N10Unchanged'!J151</f>
        <v>2064.404633826015</v>
      </c>
      <c r="I151">
        <f t="shared" si="4"/>
        <v>96526.38284295339</v>
      </c>
      <c r="J151">
        <f t="shared" si="5"/>
        <v>-4.2166640739014838</v>
      </c>
    </row>
    <row r="152" spans="1:10">
      <c r="A152" s="1">
        <v>45681</v>
      </c>
      <c r="B152">
        <f>(3/(1+('CurrentPor-N10Unchanged'!C152)/100)+103/POWER(1+('CurrentPor-N10Unchanged'!D152)/100,2))*100</f>
        <v>9707.5857774288397</v>
      </c>
      <c r="C152">
        <f>(3/(1+('CurrentPor-N10Unchanged'!C152+'CurrentPor-N10Unchanged'!G152)/100)+103/POWER(1+('CurrentPor-N10Unchanged'!D152+'CurrentPor-N10Unchanged'!G152)/100,2))*100</f>
        <v>9622.1830687052025</v>
      </c>
      <c r="D152">
        <f>(3/(1+('CurrentPor-N10Unchanged'!C152+'CurrentPor-N10Unchanged'!H152)/100)+103/POWER(1+('CurrentPor-N10Unchanged'!D152+'CurrentPor-N10Unchanged'!H152)/100,2))*100</f>
        <v>9597.6154154921751</v>
      </c>
      <c r="E152">
        <f>(3/(1+('CurrentPor-N10Unchanged'!C152+'CurrentPor-N10Unchanged'!I152)/100)+103/POWER(1+('CurrentPor-N10Unchanged'!D152+'CurrentPor-N10Unchanged'!I152)/100,2))*100</f>
        <v>9680.6788500996772</v>
      </c>
      <c r="F152">
        <f>Portfolio!B$5*'CurrentPor-N10Unchanged'!E152</f>
        <v>52143.895533915893</v>
      </c>
      <c r="G152">
        <f>Portfolio!B$6*'CurrentPor-N10Unchanged'!F152</f>
        <v>3696.2945087936532</v>
      </c>
      <c r="H152">
        <f>Portfolio!B$7*'CurrentPor-N10Unchanged'!J152</f>
        <v>2064.4083084986014</v>
      </c>
      <c r="I152">
        <f t="shared" si="4"/>
        <v>96512.661462934047</v>
      </c>
      <c r="J152">
        <f t="shared" si="5"/>
        <v>-23.168385906727053</v>
      </c>
    </row>
    <row r="153" spans="1:10">
      <c r="A153" s="1">
        <v>45684</v>
      </c>
      <c r="B153">
        <f>(3/(1+('CurrentPor-N10Unchanged'!C153)/100)+103/POWER(1+('CurrentPor-N10Unchanged'!D153)/100,2))*100</f>
        <v>9707.5857774288397</v>
      </c>
      <c r="C153">
        <f>(3/(1+('CurrentPor-N10Unchanged'!C153+'CurrentPor-N10Unchanged'!G153)/100)+103/POWER(1+('CurrentPor-N10Unchanged'!D153+'CurrentPor-N10Unchanged'!G153)/100,2))*100</f>
        <v>9625.7940007261659</v>
      </c>
      <c r="D153">
        <f>(3/(1+('CurrentPor-N10Unchanged'!C153+'CurrentPor-N10Unchanged'!H153)/100)+103/POWER(1+('CurrentPor-N10Unchanged'!D153+'CurrentPor-N10Unchanged'!H153)/100,2))*100</f>
        <v>9585.6662410424724</v>
      </c>
      <c r="E153">
        <f>(3/(1+('CurrentPor-N10Unchanged'!C153+'CurrentPor-N10Unchanged'!I153)/100)+103/POWER(1+('CurrentPor-N10Unchanged'!D153+'CurrentPor-N10Unchanged'!I153)/100,2))*100</f>
        <v>9682.4824900929671</v>
      </c>
      <c r="F153">
        <f>Portfolio!B$5*'CurrentPor-N10Unchanged'!E153</f>
        <v>52143.895533915893</v>
      </c>
      <c r="G153">
        <f>Portfolio!B$6*'CurrentPor-N10Unchanged'!F153</f>
        <v>3696.2945087936532</v>
      </c>
      <c r="H153">
        <f>Portfolio!B$7*'CurrentPor-N10Unchanged'!J153</f>
        <v>2064.403100425694</v>
      </c>
      <c r="I153">
        <f t="shared" si="4"/>
        <v>96506.121652425689</v>
      </c>
      <c r="J153">
        <f t="shared" si="5"/>
        <v>-20.2731487476849</v>
      </c>
    </row>
    <row r="154" spans="1:10">
      <c r="A154" s="1">
        <v>45685</v>
      </c>
      <c r="B154">
        <f>(3/(1+('CurrentPor-N10Unchanged'!C154)/100)+103/POWER(1+('CurrentPor-N10Unchanged'!D154)/100,2))*100</f>
        <v>9707.5857774288397</v>
      </c>
      <c r="C154">
        <f>(3/(1+('CurrentPor-N10Unchanged'!C154+'CurrentPor-N10Unchanged'!G154)/100)+103/POWER(1+('CurrentPor-N10Unchanged'!D154+'CurrentPor-N10Unchanged'!G154)/100,2))*100</f>
        <v>9623.98827815396</v>
      </c>
      <c r="D154">
        <f>(3/(1+('CurrentPor-N10Unchanged'!C154+'CurrentPor-N10Unchanged'!H154)/100)+103/POWER(1+('CurrentPor-N10Unchanged'!D154+'CurrentPor-N10Unchanged'!H154)/100,2))*100</f>
        <v>9597.1922474597613</v>
      </c>
      <c r="E154">
        <f>(3/(1+('CurrentPor-N10Unchanged'!C154+'CurrentPor-N10Unchanged'!I154)/100)+103/POWER(1+('CurrentPor-N10Unchanged'!D154+'CurrentPor-N10Unchanged'!I154)/100,2))*100</f>
        <v>9681.2982250495716</v>
      </c>
      <c r="F154">
        <f>Portfolio!B$5*'CurrentPor-N10Unchanged'!E154</f>
        <v>52143.895533915893</v>
      </c>
      <c r="G154">
        <f>Portfolio!B$6*'CurrentPor-N10Unchanged'!F154</f>
        <v>3696.2945087936532</v>
      </c>
      <c r="H154">
        <f>Portfolio!B$7*'CurrentPor-N10Unchanged'!J154</f>
        <v>2064.3991270014781</v>
      </c>
      <c r="I154">
        <f t="shared" si="4"/>
        <v>96514.653697803165</v>
      </c>
      <c r="J154">
        <f t="shared" si="5"/>
        <v>-13.090529052074999</v>
      </c>
    </row>
    <row r="155" spans="1:10">
      <c r="A155" s="1">
        <v>45686</v>
      </c>
      <c r="B155">
        <f>(3/(1+('CurrentPor-N10Unchanged'!C155)/100)+103/POWER(1+('CurrentPor-N10Unchanged'!D155)/100,2))*100</f>
        <v>9707.5857774288397</v>
      </c>
      <c r="C155">
        <f>(3/(1+('CurrentPor-N10Unchanged'!C155+'CurrentPor-N10Unchanged'!G155)/100)+103/POWER(1+('CurrentPor-N10Unchanged'!D155+'CurrentPor-N10Unchanged'!G155)/100,2))*100</f>
        <v>9625.7940007261659</v>
      </c>
      <c r="D155">
        <f>(3/(1+('CurrentPor-N10Unchanged'!C155+'CurrentPor-N10Unchanged'!H155)/100)+103/POWER(1+('CurrentPor-N10Unchanged'!D155+'CurrentPor-N10Unchanged'!H155)/100,2))*100</f>
        <v>9583.1501190318959</v>
      </c>
      <c r="E155">
        <f>(3/(1+('CurrentPor-N10Unchanged'!C155+'CurrentPor-N10Unchanged'!I155)/100)+103/POWER(1+('CurrentPor-N10Unchanged'!D155+'CurrentPor-N10Unchanged'!I155)/100,2))*100</f>
        <v>9681.2800068736287</v>
      </c>
      <c r="F155">
        <f>Portfolio!B$5*'CurrentPor-N10Unchanged'!E155</f>
        <v>52143.895533915893</v>
      </c>
      <c r="G155">
        <f>Portfolio!B$6*'CurrentPor-N10Unchanged'!F155</f>
        <v>3696.2945087936532</v>
      </c>
      <c r="H155">
        <f>Portfolio!B$7*'CurrentPor-N10Unchanged'!J155</f>
        <v>2064.4000078542563</v>
      </c>
      <c r="I155">
        <f t="shared" si="4"/>
        <v>96502.399954624343</v>
      </c>
      <c r="J155">
        <f t="shared" si="5"/>
        <v>-26.290971523572807</v>
      </c>
    </row>
    <row r="156" spans="1:10">
      <c r="A156" s="1">
        <v>45687</v>
      </c>
      <c r="B156">
        <f>(3/(1+('CurrentPor-N10Unchanged'!C156)/100)+103/POWER(1+('CurrentPor-N10Unchanged'!D156)/100,2))*100</f>
        <v>9707.5857774288397</v>
      </c>
      <c r="C156">
        <f>(3/(1+('CurrentPor-N10Unchanged'!C156+'CurrentPor-N10Unchanged'!G156)/100)+103/POWER(1+('CurrentPor-N10Unchanged'!D156+'CurrentPor-N10Unchanged'!G156)/100,2))*100</f>
        <v>9627.6002366167941</v>
      </c>
      <c r="D156">
        <f>(3/(1+('CurrentPor-N10Unchanged'!C156+'CurrentPor-N10Unchanged'!H156)/100)+103/POWER(1+('CurrentPor-N10Unchanged'!D156+'CurrentPor-N10Unchanged'!H156)/100,2))*100</f>
        <v>9591.4492405190867</v>
      </c>
      <c r="E156">
        <f>(3/(1+('CurrentPor-N10Unchanged'!C156+'CurrentPor-N10Unchanged'!I156)/100)+103/POWER(1+('CurrentPor-N10Unchanged'!D156+'CurrentPor-N10Unchanged'!I156)/100,2))*100</f>
        <v>9681.4257502605342</v>
      </c>
      <c r="F156">
        <f>Portfolio!B$5*'CurrentPor-N10Unchanged'!E156</f>
        <v>52143.895533915893</v>
      </c>
      <c r="G156">
        <f>Portfolio!B$6*'CurrentPor-N10Unchanged'!F156</f>
        <v>3696.2945087936532</v>
      </c>
      <c r="H156">
        <f>Portfolio!B$7*'CurrentPor-N10Unchanged'!J156</f>
        <v>2064.4073513154121</v>
      </c>
      <c r="I156">
        <f t="shared" si="4"/>
        <v>96512.658398850224</v>
      </c>
      <c r="J156">
        <f t="shared" si="5"/>
        <v>-17.778776642939192</v>
      </c>
    </row>
    <row r="157" spans="1:10">
      <c r="A157" s="1">
        <v>45688</v>
      </c>
      <c r="B157">
        <f>(3/(1+('CurrentPor-N10Unchanged'!C157)/100)+103/POWER(1+('CurrentPor-N10Unchanged'!D157)/100,2))*100</f>
        <v>9707.5857774288397</v>
      </c>
      <c r="C157">
        <f>(3/(1+('CurrentPor-N10Unchanged'!C157+'CurrentPor-N10Unchanged'!G157)/100)+103/POWER(1+('CurrentPor-N10Unchanged'!D157+'CurrentPor-N10Unchanged'!G157)/100,2))*100</f>
        <v>9634.8303172663855</v>
      </c>
      <c r="D157">
        <f>(3/(1+('CurrentPor-N10Unchanged'!C157+'CurrentPor-N10Unchanged'!H157)/100)+103/POWER(1+('CurrentPor-N10Unchanged'!D157+'CurrentPor-N10Unchanged'!H157)/100,2))*100</f>
        <v>9585.3150119342426</v>
      </c>
      <c r="E157">
        <f>(3/(1+('CurrentPor-N10Unchanged'!C157+'CurrentPor-N10Unchanged'!I157)/100)+103/POWER(1+('CurrentPor-N10Unchanged'!D157+'CurrentPor-N10Unchanged'!I157)/100,2))*100</f>
        <v>9682.3549437946931</v>
      </c>
      <c r="F157">
        <f>Portfolio!B$5*'CurrentPor-N10Unchanged'!E157</f>
        <v>52143.895533915893</v>
      </c>
      <c r="G157">
        <f>Portfolio!B$6*'CurrentPor-N10Unchanged'!F157</f>
        <v>3696.2945087936532</v>
      </c>
      <c r="H157">
        <f>Portfolio!B$7*'CurrentPor-N10Unchanged'!J157</f>
        <v>2064.4049988255447</v>
      </c>
      <c r="I157">
        <f t="shared" si="4"/>
        <v>96514.681091959239</v>
      </c>
      <c r="J157">
        <f t="shared" si="5"/>
        <v>-16.504060559760546</v>
      </c>
    </row>
    <row r="158" spans="1:10">
      <c r="A158" s="1">
        <v>45691</v>
      </c>
      <c r="B158">
        <f>(3/(1+('CurrentPor-N10Unchanged'!C158)/100)+103/POWER(1+('CurrentPor-N10Unchanged'!D158)/100,2))*100</f>
        <v>9707.5857774288397</v>
      </c>
      <c r="C158">
        <f>(3/(1+('CurrentPor-N10Unchanged'!C158+'CurrentPor-N10Unchanged'!G158)/100)+103/POWER(1+('CurrentPor-N10Unchanged'!D158+'CurrentPor-N10Unchanged'!G158)/100,2))*100</f>
        <v>9636.6391226770629</v>
      </c>
      <c r="D158">
        <f>(3/(1+('CurrentPor-N10Unchanged'!C158+'CurrentPor-N10Unchanged'!H158)/100)+103/POWER(1+('CurrentPor-N10Unchanged'!D158+'CurrentPor-N10Unchanged'!H158)/100,2))*100</f>
        <v>9589.328558094252</v>
      </c>
      <c r="E158">
        <f>(3/(1+('CurrentPor-N10Unchanged'!C158+'CurrentPor-N10Unchanged'!I158)/100)+103/POWER(1+('CurrentPor-N10Unchanged'!D158+'CurrentPor-N10Unchanged'!I158)/100,2))*100</f>
        <v>9683.739873105038</v>
      </c>
      <c r="F158">
        <f>Portfolio!B$5*'CurrentPor-N10Unchanged'!E158</f>
        <v>52143.895533915893</v>
      </c>
      <c r="G158">
        <f>Portfolio!B$6*'CurrentPor-N10Unchanged'!F158</f>
        <v>3696.2945087936532</v>
      </c>
      <c r="H158">
        <f>Portfolio!B$7*'CurrentPor-N10Unchanged'!J158</f>
        <v>2064.4049882061327</v>
      </c>
      <c r="I158">
        <f t="shared" si="4"/>
        <v>96521.888362220867</v>
      </c>
      <c r="J158">
        <f t="shared" si="5"/>
        <v>12.174159193993546</v>
      </c>
    </row>
    <row r="159" spans="1:10">
      <c r="A159" s="1">
        <v>45692</v>
      </c>
      <c r="B159">
        <f>(3/(1+('CurrentPor-N10Unchanged'!C159)/100)+103/POWER(1+('CurrentPor-N10Unchanged'!D159)/100,2))*100</f>
        <v>9707.5857774288397</v>
      </c>
      <c r="C159">
        <f>(3/(1+('CurrentPor-N10Unchanged'!C159+'CurrentPor-N10Unchanged'!G159)/100)+103/POWER(1+('CurrentPor-N10Unchanged'!D159+'CurrentPor-N10Unchanged'!G159)/100,2))*100</f>
        <v>9638.4484425779829</v>
      </c>
      <c r="D159">
        <f>(3/(1+('CurrentPor-N10Unchanged'!C159+'CurrentPor-N10Unchanged'!H159)/100)+103/POWER(1+('CurrentPor-N10Unchanged'!D159+'CurrentPor-N10Unchanged'!H159)/100,2))*100</f>
        <v>9601.7982107596163</v>
      </c>
      <c r="E159">
        <f>(3/(1+('CurrentPor-N10Unchanged'!C159+'CurrentPor-N10Unchanged'!I159)/100)+103/POWER(1+('CurrentPor-N10Unchanged'!D159+'CurrentPor-N10Unchanged'!I159)/100,2))*100</f>
        <v>9683.5029573304655</v>
      </c>
      <c r="F159">
        <f>Portfolio!B$5*'CurrentPor-N10Unchanged'!E159</f>
        <v>52143.895533915893</v>
      </c>
      <c r="G159">
        <f>Portfolio!B$6*'CurrentPor-N10Unchanged'!F159</f>
        <v>3696.2945087936532</v>
      </c>
      <c r="H159">
        <f>Portfolio!B$7*'CurrentPor-N10Unchanged'!J159</f>
        <v>2064.4113981340711</v>
      </c>
      <c r="I159">
        <f t="shared" si="4"/>
        <v>96535.936828940525</v>
      </c>
      <c r="J159">
        <f t="shared" si="5"/>
        <v>3.3425114082929213</v>
      </c>
    </row>
    <row r="160" spans="1:10">
      <c r="A160" s="1">
        <v>45693</v>
      </c>
      <c r="B160">
        <f>(3/(1+('CurrentPor-N10Unchanged'!C160)/100)+103/POWER(1+('CurrentPor-N10Unchanged'!D160)/100,2))*100</f>
        <v>9707.5857774288397</v>
      </c>
      <c r="C160">
        <f>(3/(1+('CurrentPor-N10Unchanged'!C160+'CurrentPor-N10Unchanged'!G160)/100)+103/POWER(1+('CurrentPor-N10Unchanged'!D160+'CurrentPor-N10Unchanged'!G160)/100,2))*100</f>
        <v>9638.4484425779829</v>
      </c>
      <c r="D160">
        <f>(3/(1+('CurrentPor-N10Unchanged'!C160+'CurrentPor-N10Unchanged'!H160)/100)+103/POWER(1+('CurrentPor-N10Unchanged'!D160+'CurrentPor-N10Unchanged'!H160)/100,2))*100</f>
        <v>9601.3179423393958</v>
      </c>
      <c r="E160">
        <f>(3/(1+('CurrentPor-N10Unchanged'!C160+'CurrentPor-N10Unchanged'!I160)/100)+103/POWER(1+('CurrentPor-N10Unchanged'!D160+'CurrentPor-N10Unchanged'!I160)/100,2))*100</f>
        <v>9683.4118372809407</v>
      </c>
      <c r="F160">
        <f>Portfolio!B$5*'CurrentPor-N10Unchanged'!E160</f>
        <v>52143.895533915893</v>
      </c>
      <c r="G160">
        <f>Portfolio!B$6*'CurrentPor-N10Unchanged'!F160</f>
        <v>3696.2945087936532</v>
      </c>
      <c r="H160">
        <f>Portfolio!B$7*'CurrentPor-N10Unchanged'!J160</f>
        <v>2064.4089617617151</v>
      </c>
      <c r="I160">
        <f t="shared" si="4"/>
        <v>96535.363004098414</v>
      </c>
      <c r="J160">
        <f t="shared" si="5"/>
        <v>6.6449316002253909</v>
      </c>
    </row>
    <row r="161" spans="1:10">
      <c r="A161" s="1">
        <v>45694</v>
      </c>
      <c r="B161">
        <f>(3/(1+('CurrentPor-N10Unchanged'!C161)/100)+103/POWER(1+('CurrentPor-N10Unchanged'!D161)/100,2))*100</f>
        <v>9707.5857774288397</v>
      </c>
      <c r="C161">
        <f>(3/(1+('CurrentPor-N10Unchanged'!C161+'CurrentPor-N10Unchanged'!G161)/100)+103/POWER(1+('CurrentPor-N10Unchanged'!D161+'CurrentPor-N10Unchanged'!G161)/100,2))*100</f>
        <v>9638.4484425779829</v>
      </c>
      <c r="D161">
        <f>(3/(1+('CurrentPor-N10Unchanged'!C161+'CurrentPor-N10Unchanged'!H161)/100)+103/POWER(1+('CurrentPor-N10Unchanged'!D161+'CurrentPor-N10Unchanged'!H161)/100,2))*100</f>
        <v>9601.9975188898134</v>
      </c>
      <c r="E161">
        <f>(3/(1+('CurrentPor-N10Unchanged'!C161+'CurrentPor-N10Unchanged'!I161)/100)+103/POWER(1+('CurrentPor-N10Unchanged'!D161+'CurrentPor-N10Unchanged'!I161)/100,2))*100</f>
        <v>9684.2501876058432</v>
      </c>
      <c r="F161">
        <f>Portfolio!B$5*'CurrentPor-N10Unchanged'!E161</f>
        <v>52143.895533915893</v>
      </c>
      <c r="G161">
        <f>Portfolio!B$6*'CurrentPor-N10Unchanged'!F161</f>
        <v>3696.2945087936532</v>
      </c>
      <c r="H161">
        <f>Portfolio!B$7*'CurrentPor-N10Unchanged'!J161</f>
        <v>2064.4066717147507</v>
      </c>
      <c r="I161">
        <f t="shared" si="4"/>
        <v>96536.878640926778</v>
      </c>
      <c r="J161">
        <f t="shared" si="5"/>
        <v>10.495797973388107</v>
      </c>
    </row>
    <row r="162" spans="1:10">
      <c r="A162" s="1">
        <v>45695</v>
      </c>
      <c r="B162">
        <f>(3/(1+('CurrentPor-N10Unchanged'!C162)/100)+103/POWER(1+('CurrentPor-N10Unchanged'!D162)/100,2))*100</f>
        <v>9707.5857774288397</v>
      </c>
      <c r="C162">
        <f>(3/(1+('CurrentPor-N10Unchanged'!C162+'CurrentPor-N10Unchanged'!G162)/100)+103/POWER(1+('CurrentPor-N10Unchanged'!D162+'CurrentPor-N10Unchanged'!G162)/100,2))*100</f>
        <v>9640.2582771647722</v>
      </c>
      <c r="D162">
        <f>(3/(1+('CurrentPor-N10Unchanged'!C162+'CurrentPor-N10Unchanged'!H162)/100)+103/POWER(1+('CurrentPor-N10Unchanged'!D162+'CurrentPor-N10Unchanged'!H162)/100,2))*100</f>
        <v>9596.7568168842481</v>
      </c>
      <c r="E162">
        <f>(3/(1+('CurrentPor-N10Unchanged'!C162+'CurrentPor-N10Unchanged'!I162)/100)+103/POWER(1+('CurrentPor-N10Unchanged'!D162+'CurrentPor-N10Unchanged'!I162)/100,2))*100</f>
        <v>9683.8309978308025</v>
      </c>
      <c r="F162">
        <f>Portfolio!B$5*'CurrentPor-N10Unchanged'!E162</f>
        <v>52143.895533915893</v>
      </c>
      <c r="G162">
        <f>Portfolio!B$6*'CurrentPor-N10Unchanged'!F162</f>
        <v>3696.2945087936532</v>
      </c>
      <c r="H162">
        <f>Portfolio!B$7*'CurrentPor-N10Unchanged'!J162</f>
        <v>2064.400037489871</v>
      </c>
      <c r="I162">
        <f t="shared" si="4"/>
        <v>96533.021949508082</v>
      </c>
      <c r="J162">
        <f t="shared" si="5"/>
        <v>20.360486574034439</v>
      </c>
    </row>
    <row r="163" spans="1:10">
      <c r="A163" s="1">
        <v>45698</v>
      </c>
      <c r="B163">
        <f>(3/(1+('CurrentPor-N10Unchanged'!C163)/100)+103/POWER(1+('CurrentPor-N10Unchanged'!D163)/100,2))*100</f>
        <v>9707.5857774288397</v>
      </c>
      <c r="C163">
        <f>(3/(1+('CurrentPor-N10Unchanged'!C163+'CurrentPor-N10Unchanged'!G163)/100)+103/POWER(1+('CurrentPor-N10Unchanged'!D163+'CurrentPor-N10Unchanged'!G163)/100,2))*100</f>
        <v>9634.8303172663855</v>
      </c>
      <c r="D163">
        <f>(3/(1+('CurrentPor-N10Unchanged'!C163+'CurrentPor-N10Unchanged'!H163)/100)+103/POWER(1+('CurrentPor-N10Unchanged'!D163+'CurrentPor-N10Unchanged'!H163)/100,2))*100</f>
        <v>9593.2860701476184</v>
      </c>
      <c r="E163">
        <f>(3/(1+('CurrentPor-N10Unchanged'!C163+'CurrentPor-N10Unchanged'!I163)/100)+103/POWER(1+('CurrentPor-N10Unchanged'!D163+'CurrentPor-N10Unchanged'!I163)/100,2))*100</f>
        <v>9681.4257502605342</v>
      </c>
      <c r="F163">
        <f>Portfolio!B$5*'CurrentPor-N10Unchanged'!E163</f>
        <v>52143.895533915893</v>
      </c>
      <c r="G163">
        <f>Portfolio!B$6*'CurrentPor-N10Unchanged'!F163</f>
        <v>3696.2945087936532</v>
      </c>
      <c r="H163">
        <f>Portfolio!B$7*'CurrentPor-N10Unchanged'!J163</f>
        <v>2064.394227569433</v>
      </c>
      <c r="I163">
        <f t="shared" si="4"/>
        <v>96521.712185382348</v>
      </c>
      <c r="J163">
        <f t="shared" si="5"/>
        <v>15.590532956659445</v>
      </c>
    </row>
    <row r="164" spans="1:10">
      <c r="A164" s="1">
        <v>45699</v>
      </c>
      <c r="B164">
        <f>(3/(1+('CurrentPor-N10Unchanged'!C164)/100)+103/POWER(1+('CurrentPor-N10Unchanged'!D164)/100,2))*100</f>
        <v>9707.5857774288397</v>
      </c>
      <c r="C164">
        <f>(3/(1+('CurrentPor-N10Unchanged'!C164+'CurrentPor-N10Unchanged'!G164)/100)+103/POWER(1+('CurrentPor-N10Unchanged'!D164+'CurrentPor-N10Unchanged'!G164)/100,2))*100</f>
        <v>9634.8303172663855</v>
      </c>
      <c r="D164">
        <f>(3/(1+('CurrentPor-N10Unchanged'!C164+'CurrentPor-N10Unchanged'!H164)/100)+103/POWER(1+('CurrentPor-N10Unchanged'!D164+'CurrentPor-N10Unchanged'!H164)/100,2))*100</f>
        <v>9597.0295239138231</v>
      </c>
      <c r="E164">
        <f>(3/(1+('CurrentPor-N10Unchanged'!C164+'CurrentPor-N10Unchanged'!I164)/100)+103/POWER(1+('CurrentPor-N10Unchanged'!D164+'CurrentPor-N10Unchanged'!I164)/100,2))*100</f>
        <v>9677.7467427287811</v>
      </c>
      <c r="F164">
        <f>Portfolio!B$5*'CurrentPor-N10Unchanged'!E164</f>
        <v>52143.895533915893</v>
      </c>
      <c r="G164">
        <f>Portfolio!B$6*'CurrentPor-N10Unchanged'!F164</f>
        <v>3696.2945087936532</v>
      </c>
      <c r="H164">
        <f>Portfolio!B$7*'CurrentPor-N10Unchanged'!J164</f>
        <v>2064.4040351235335</v>
      </c>
      <c r="I164">
        <f t="shared" si="4"/>
        <v>96521.786439170915</v>
      </c>
      <c r="J164">
        <f t="shared" si="5"/>
        <v>7.1327413677499862</v>
      </c>
    </row>
    <row r="165" spans="1:10">
      <c r="A165" s="1">
        <v>45700</v>
      </c>
      <c r="B165">
        <f>(3/(1+('CurrentPor-N10Unchanged'!C165)/100)+103/POWER(1+('CurrentPor-N10Unchanged'!D165)/100,2))*100</f>
        <v>9707.5857774288397</v>
      </c>
      <c r="C165">
        <f>(3/(1+('CurrentPor-N10Unchanged'!C165+'CurrentPor-N10Unchanged'!G165)/100)+103/POWER(1+('CurrentPor-N10Unchanged'!D165+'CurrentPor-N10Unchanged'!G165)/100,2))*100</f>
        <v>9634.8303172663855</v>
      </c>
      <c r="D165">
        <f>(3/(1+('CurrentPor-N10Unchanged'!C165+'CurrentPor-N10Unchanged'!H165)/100)+103/POWER(1+('CurrentPor-N10Unchanged'!D165+'CurrentPor-N10Unchanged'!H165)/100,2))*100</f>
        <v>9591.2353080564626</v>
      </c>
      <c r="E165">
        <f>(3/(1+('CurrentPor-N10Unchanged'!C165+'CurrentPor-N10Unchanged'!I165)/100)+103/POWER(1+('CurrentPor-N10Unchanged'!D165+'CurrentPor-N10Unchanged'!I165)/100,2))*100</f>
        <v>9678.3294139205445</v>
      </c>
      <c r="F165">
        <f>Portfolio!B$5*'CurrentPor-N10Unchanged'!E165</f>
        <v>52143.895533915893</v>
      </c>
      <c r="G165">
        <f>Portfolio!B$6*'CurrentPor-N10Unchanged'!F165</f>
        <v>3696.2945087936532</v>
      </c>
      <c r="H165">
        <f>Portfolio!B$7*'CurrentPor-N10Unchanged'!J165</f>
        <v>2064.3956683754477</v>
      </c>
      <c r="I165">
        <f t="shared" si="4"/>
        <v>96516.566527757241</v>
      </c>
      <c r="J165">
        <f t="shared" si="5"/>
        <v>14.166573132897611</v>
      </c>
    </row>
    <row r="166" spans="1:10">
      <c r="A166" s="1">
        <v>45701</v>
      </c>
      <c r="B166">
        <f>(3/(1+('CurrentPor-N10Unchanged'!C166)/100)+103/POWER(1+('CurrentPor-N10Unchanged'!D166)/100,2))*100</f>
        <v>9707.5857774288397</v>
      </c>
      <c r="C166">
        <f>(3/(1+('CurrentPor-N10Unchanged'!C166+'CurrentPor-N10Unchanged'!G166)/100)+103/POWER(1+('CurrentPor-N10Unchanged'!D166+'CurrentPor-N10Unchanged'!G166)/100,2))*100</f>
        <v>9634.8303172663855</v>
      </c>
      <c r="D166">
        <f>(3/(1+('CurrentPor-N10Unchanged'!C166+'CurrentPor-N10Unchanged'!H166)/100)+103/POWER(1+('CurrentPor-N10Unchanged'!D166+'CurrentPor-N10Unchanged'!H166)/100,2))*100</f>
        <v>9603.818716326834</v>
      </c>
      <c r="E166">
        <f>(3/(1+('CurrentPor-N10Unchanged'!C166+'CurrentPor-N10Unchanged'!I166)/100)+103/POWER(1+('CurrentPor-N10Unchanged'!D166+'CurrentPor-N10Unchanged'!I166)/100,2))*100</f>
        <v>9679.8591821495302</v>
      </c>
      <c r="F166">
        <f>Portfolio!B$5*'CurrentPor-N10Unchanged'!E166</f>
        <v>52143.895533915893</v>
      </c>
      <c r="G166">
        <f>Portfolio!B$6*'CurrentPor-N10Unchanged'!F166</f>
        <v>3696.2945087936532</v>
      </c>
      <c r="H166">
        <f>Portfolio!B$7*'CurrentPor-N10Unchanged'!J166</f>
        <v>2064.4037793221833</v>
      </c>
      <c r="I166">
        <f t="shared" si="4"/>
        <v>96530.687815203317</v>
      </c>
      <c r="J166">
        <f t="shared" si="5"/>
        <v>18.029416353092529</v>
      </c>
    </row>
    <row r="167" spans="1:10">
      <c r="A167" s="1">
        <v>45702</v>
      </c>
      <c r="B167">
        <f>(3/(1+('CurrentPor-N10Unchanged'!C167)/100)+103/POWER(1+('CurrentPor-N10Unchanged'!D167)/100,2))*100</f>
        <v>9707.5857774288397</v>
      </c>
      <c r="C167">
        <f>(3/(1+('CurrentPor-N10Unchanged'!C167+'CurrentPor-N10Unchanged'!G167)/100)+103/POWER(1+('CurrentPor-N10Unchanged'!D167+'CurrentPor-N10Unchanged'!G167)/100,2))*100</f>
        <v>9633.0220261504182</v>
      </c>
      <c r="D167">
        <f>(3/(1+('CurrentPor-N10Unchanged'!C167+'CurrentPor-N10Unchanged'!H167)/100)+103/POWER(1+('CurrentPor-N10Unchanged'!D167+'CurrentPor-N10Unchanged'!H167)/100,2))*100</f>
        <v>9601.2690624786501</v>
      </c>
      <c r="E167">
        <f>(3/(1+('CurrentPor-N10Unchanged'!C167+'CurrentPor-N10Unchanged'!I167)/100)+103/POWER(1+('CurrentPor-N10Unchanged'!D167+'CurrentPor-N10Unchanged'!I167)/100,2))*100</f>
        <v>9680.2416810069553</v>
      </c>
      <c r="F167">
        <f>Portfolio!B$5*'CurrentPor-N10Unchanged'!E167</f>
        <v>52143.895533915893</v>
      </c>
      <c r="G167">
        <f>Portfolio!B$6*'CurrentPor-N10Unchanged'!F167</f>
        <v>3696.2945087936532</v>
      </c>
      <c r="H167">
        <f>Portfolio!B$7*'CurrentPor-N10Unchanged'!J167</f>
        <v>2064.4042275078041</v>
      </c>
      <c r="I167">
        <f t="shared" si="4"/>
        <v>96526.712817282227</v>
      </c>
      <c r="J167">
        <f t="shared" si="5"/>
        <v>12.031725322987768</v>
      </c>
    </row>
    <row r="168" spans="1:10">
      <c r="A168" s="1">
        <v>45705</v>
      </c>
      <c r="B168">
        <f>(3/(1+('CurrentPor-N10Unchanged'!C168)/100)+103/POWER(1+('CurrentPor-N10Unchanged'!D168)/100,2))*100</f>
        <v>9707.5857774288397</v>
      </c>
      <c r="C168">
        <f>(3/(1+('CurrentPor-N10Unchanged'!C168+'CurrentPor-N10Unchanged'!G168)/100)+103/POWER(1+('CurrentPor-N10Unchanged'!D168+'CurrentPor-N10Unchanged'!G168)/100,2))*100</f>
        <v>9640.2582771647722</v>
      </c>
      <c r="D168">
        <f>(3/(1+('CurrentPor-N10Unchanged'!C168+'CurrentPor-N10Unchanged'!H168)/100)+103/POWER(1+('CurrentPor-N10Unchanged'!D168+'CurrentPor-N10Unchanged'!H168)/100,2))*100</f>
        <v>9599.5328865609517</v>
      </c>
      <c r="E168">
        <f>(3/(1+('CurrentPor-N10Unchanged'!C168+'CurrentPor-N10Unchanged'!I168)/100)+103/POWER(1+('CurrentPor-N10Unchanged'!D168+'CurrentPor-N10Unchanged'!I168)/100,2))*100</f>
        <v>9675.9990479662356</v>
      </c>
      <c r="F168">
        <f>Portfolio!B$5*'CurrentPor-N10Unchanged'!E168</f>
        <v>52143.895533915893</v>
      </c>
      <c r="G168">
        <f>Portfolio!B$6*'CurrentPor-N10Unchanged'!F168</f>
        <v>3696.2945087936532</v>
      </c>
      <c r="H168">
        <f>Portfolio!B$7*'CurrentPor-N10Unchanged'!J168</f>
        <v>2064.3962955537681</v>
      </c>
      <c r="I168">
        <f t="shared" si="4"/>
        <v>96527.962327384113</v>
      </c>
      <c r="J168">
        <f t="shared" si="5"/>
        <v>6.0739651632466121</v>
      </c>
    </row>
    <row r="169" spans="1:10">
      <c r="A169" s="1">
        <v>45706</v>
      </c>
      <c r="B169">
        <f>(3/(1+('CurrentPor-N10Unchanged'!C169)/100)+103/POWER(1+('CurrentPor-N10Unchanged'!D169)/100,2))*100</f>
        <v>9707.5857774288397</v>
      </c>
      <c r="C169">
        <f>(3/(1+('CurrentPor-N10Unchanged'!C169+'CurrentPor-N10Unchanged'!G169)/100)+103/POWER(1+('CurrentPor-N10Unchanged'!D169+'CurrentPor-N10Unchanged'!G169)/100,2))*100</f>
        <v>9642.0686266331541</v>
      </c>
      <c r="D169">
        <f>(3/(1+('CurrentPor-N10Unchanged'!C169+'CurrentPor-N10Unchanged'!H169)/100)+103/POWER(1+('CurrentPor-N10Unchanged'!D169+'CurrentPor-N10Unchanged'!H169)/100,2))*100</f>
        <v>9596.2856929428399</v>
      </c>
      <c r="E169">
        <f>(3/(1+('CurrentPor-N10Unchanged'!C169+'CurrentPor-N10Unchanged'!I169)/100)+103/POWER(1+('CurrentPor-N10Unchanged'!D169+'CurrentPor-N10Unchanged'!I169)/100,2))*100</f>
        <v>9672.5050890457296</v>
      </c>
      <c r="F169">
        <f>Portfolio!B$5*'CurrentPor-N10Unchanged'!E169</f>
        <v>52143.895533915893</v>
      </c>
      <c r="G169">
        <f>Portfolio!B$6*'CurrentPor-N10Unchanged'!F169</f>
        <v>3696.2945087936532</v>
      </c>
      <c r="H169">
        <f>Portfolio!B$7*'CurrentPor-N10Unchanged'!J169</f>
        <v>2064.405935637893</v>
      </c>
      <c r="I169">
        <f t="shared" si="4"/>
        <v>96523.04116439799</v>
      </c>
      <c r="J169">
        <f t="shared" si="5"/>
        <v>-12.895664542535087</v>
      </c>
    </row>
    <row r="170" spans="1:10">
      <c r="A170" s="1">
        <v>45707</v>
      </c>
      <c r="B170">
        <f>(3/(1+('CurrentPor-N10Unchanged'!C170)/100)+103/POWER(1+('CurrentPor-N10Unchanged'!D170)/100,2))*100</f>
        <v>9707.5857774288397</v>
      </c>
      <c r="C170">
        <f>(3/(1+('CurrentPor-N10Unchanged'!C170+'CurrentPor-N10Unchanged'!G170)/100)+103/POWER(1+('CurrentPor-N10Unchanged'!D170+'CurrentPor-N10Unchanged'!G170)/100,2))*100</f>
        <v>9645.6908709980435</v>
      </c>
      <c r="D170">
        <f>(3/(1+('CurrentPor-N10Unchanged'!C170+'CurrentPor-N10Unchanged'!H170)/100)+103/POWER(1+('CurrentPor-N10Unchanged'!D170+'CurrentPor-N10Unchanged'!H170)/100,2))*100</f>
        <v>9589.9931499623963</v>
      </c>
      <c r="E170">
        <f>(3/(1+('CurrentPor-N10Unchanged'!C170+'CurrentPor-N10Unchanged'!I170)/100)+103/POWER(1+('CurrentPor-N10Unchanged'!D170+'CurrentPor-N10Unchanged'!I170)/100,2))*100</f>
        <v>9674.0152636029943</v>
      </c>
      <c r="F170">
        <f>Portfolio!B$5*'CurrentPor-N10Unchanged'!E170</f>
        <v>52143.895533915893</v>
      </c>
      <c r="G170">
        <f>Portfolio!B$6*'CurrentPor-N10Unchanged'!F170</f>
        <v>3696.2945087936532</v>
      </c>
      <c r="H170">
        <f>Portfolio!B$7*'CurrentPor-N10Unchanged'!J170</f>
        <v>2064.4019144532094</v>
      </c>
      <c r="I170">
        <f t="shared" si="4"/>
        <v>96521.877019155028</v>
      </c>
      <c r="J170">
        <f t="shared" si="5"/>
        <v>-13.48598494338512</v>
      </c>
    </row>
    <row r="171" spans="1:10">
      <c r="A171" s="1">
        <v>45708</v>
      </c>
      <c r="B171">
        <f>(3/(1+('CurrentPor-N10Unchanged'!C171)/100)+103/POWER(1+('CurrentPor-N10Unchanged'!D171)/100,2))*100</f>
        <v>9707.5857774288397</v>
      </c>
      <c r="C171">
        <f>(3/(1+('CurrentPor-N10Unchanged'!C171+'CurrentPor-N10Unchanged'!G171)/100)+103/POWER(1+('CurrentPor-N10Unchanged'!D171+'CurrentPor-N10Unchanged'!G171)/100,2))*100</f>
        <v>9647.5027662864559</v>
      </c>
      <c r="D171">
        <f>(3/(1+('CurrentPor-N10Unchanged'!C171+'CurrentPor-N10Unchanged'!H171)/100)+103/POWER(1+('CurrentPor-N10Unchanged'!D171+'CurrentPor-N10Unchanged'!H171)/100,2))*100</f>
        <v>9597.4343629947107</v>
      </c>
      <c r="E171">
        <f>(3/(1+('CurrentPor-N10Unchanged'!C171+'CurrentPor-N10Unchanged'!I171)/100)+103/POWER(1+('CurrentPor-N10Unchanged'!D171+'CurrentPor-N10Unchanged'!I171)/100,2))*100</f>
        <v>9674.3610174584901</v>
      </c>
      <c r="F171">
        <f>Portfolio!B$5*'CurrentPor-N10Unchanged'!E171</f>
        <v>52143.895533915893</v>
      </c>
      <c r="G171">
        <f>Portfolio!B$6*'CurrentPor-N10Unchanged'!F171</f>
        <v>3696.2945087936532</v>
      </c>
      <c r="H171">
        <f>Portfolio!B$7*'CurrentPor-N10Unchanged'!J171</f>
        <v>2064.4027087500576</v>
      </c>
      <c r="I171">
        <f t="shared" si="4"/>
        <v>96531.476675628102</v>
      </c>
      <c r="J171">
        <f t="shared" si="5"/>
        <v>-5.4019652986753499</v>
      </c>
    </row>
    <row r="172" spans="1:10">
      <c r="A172" s="1">
        <v>45709</v>
      </c>
      <c r="B172">
        <f>(3/(1+('CurrentPor-N10Unchanged'!C172)/100)+103/POWER(1+('CurrentPor-N10Unchanged'!D172)/100,2))*100</f>
        <v>9707.5857774288397</v>
      </c>
      <c r="C172">
        <f>(3/(1+('CurrentPor-N10Unchanged'!C172+'CurrentPor-N10Unchanged'!G172)/100)+103/POWER(1+('CurrentPor-N10Unchanged'!D172+'CurrentPor-N10Unchanged'!G172)/100,2))*100</f>
        <v>9645.6908709980435</v>
      </c>
      <c r="D172">
        <f>(3/(1+('CurrentPor-N10Unchanged'!C172+'CurrentPor-N10Unchanged'!H172)/100)+103/POWER(1+('CurrentPor-N10Unchanged'!D172+'CurrentPor-N10Unchanged'!H172)/100,2))*100</f>
        <v>9588.0556703680959</v>
      </c>
      <c r="E172">
        <f>(3/(1+('CurrentPor-N10Unchanged'!C172+'CurrentPor-N10Unchanged'!I172)/100)+103/POWER(1+('CurrentPor-N10Unchanged'!D172+'CurrentPor-N10Unchanged'!I172)/100,2))*100</f>
        <v>9674.7431854966417</v>
      </c>
      <c r="F172">
        <f>Portfolio!B$5*'CurrentPor-N10Unchanged'!E172</f>
        <v>52143.895533915893</v>
      </c>
      <c r="G172">
        <f>Portfolio!B$6*'CurrentPor-N10Unchanged'!F172</f>
        <v>3696.2945087936532</v>
      </c>
      <c r="H172">
        <f>Portfolio!B$7*'CurrentPor-N10Unchanged'!J172</f>
        <v>2064.3964103880935</v>
      </c>
      <c r="I172">
        <f t="shared" si="4"/>
        <v>96520.661957389268</v>
      </c>
      <c r="J172">
        <f t="shared" si="5"/>
        <v>-12.359992118814262</v>
      </c>
    </row>
    <row r="173" spans="1:10">
      <c r="A173" s="1">
        <v>45712</v>
      </c>
      <c r="B173">
        <f>(3/(1+('CurrentPor-N10Unchanged'!C173)/100)+103/POWER(1+('CurrentPor-N10Unchanged'!D173)/100,2))*100</f>
        <v>9707.5857774288397</v>
      </c>
      <c r="C173">
        <f>(3/(1+('CurrentPor-N10Unchanged'!C173+'CurrentPor-N10Unchanged'!G173)/100)+103/POWER(1+('CurrentPor-N10Unchanged'!D173+'CurrentPor-N10Unchanged'!G173)/100,2))*100</f>
        <v>9645.6908709980435</v>
      </c>
      <c r="D173">
        <f>(3/(1+('CurrentPor-N10Unchanged'!C173+'CurrentPor-N10Unchanged'!H173)/100)+103/POWER(1+('CurrentPor-N10Unchanged'!D173+'CurrentPor-N10Unchanged'!H173)/100,2))*100</f>
        <v>9601.5192982912249</v>
      </c>
      <c r="E173">
        <f>(3/(1+('CurrentPor-N10Unchanged'!C173+'CurrentPor-N10Unchanged'!I173)/100)+103/POWER(1+('CurrentPor-N10Unchanged'!D173+'CurrentPor-N10Unchanged'!I173)/100,2))*100</f>
        <v>9678.9485628995772</v>
      </c>
      <c r="F173">
        <f>Portfolio!B$5*'CurrentPor-N10Unchanged'!E173</f>
        <v>52143.895533915893</v>
      </c>
      <c r="G173">
        <f>Portfolio!B$6*'CurrentPor-N10Unchanged'!F173</f>
        <v>3696.2945087936532</v>
      </c>
      <c r="H173">
        <f>Portfolio!B$7*'CurrentPor-N10Unchanged'!J173</f>
        <v>2064.3939018549245</v>
      </c>
      <c r="I173">
        <f t="shared" si="4"/>
        <v>96538.328454182163</v>
      </c>
      <c r="J173">
        <f t="shared" si="5"/>
        <v>16.616268799814861</v>
      </c>
    </row>
    <row r="174" spans="1:10">
      <c r="A174" s="1">
        <v>45713</v>
      </c>
      <c r="B174">
        <f>(3/(1+('CurrentPor-N10Unchanged'!C174)/100)+103/POWER(1+('CurrentPor-N10Unchanged'!D174)/100,2))*100</f>
        <v>9707.5857774288397</v>
      </c>
      <c r="C174">
        <f>(3/(1+('CurrentPor-N10Unchanged'!C174+'CurrentPor-N10Unchanged'!G174)/100)+103/POWER(1+('CurrentPor-N10Unchanged'!D174+'CurrentPor-N10Unchanged'!G174)/100,2))*100</f>
        <v>9647.5027662864559</v>
      </c>
      <c r="D174">
        <f>(3/(1+('CurrentPor-N10Unchanged'!C174+'CurrentPor-N10Unchanged'!H174)/100)+103/POWER(1+('CurrentPor-N10Unchanged'!D174+'CurrentPor-N10Unchanged'!H174)/100,2))*100</f>
        <v>9602.0150861927086</v>
      </c>
      <c r="E174">
        <f>(3/(1+('CurrentPor-N10Unchanged'!C174+'CurrentPor-N10Unchanged'!I174)/100)+103/POWER(1+('CurrentPor-N10Unchanged'!D174+'CurrentPor-N10Unchanged'!I174)/100,2))*100</f>
        <v>9678.4386715537785</v>
      </c>
      <c r="F174">
        <f>Portfolio!B$5*'CurrentPor-N10Unchanged'!E174</f>
        <v>52143.895533915893</v>
      </c>
      <c r="G174">
        <f>Portfolio!B$6*'CurrentPor-N10Unchanged'!F174</f>
        <v>3696.2945087936532</v>
      </c>
      <c r="H174">
        <f>Portfolio!B$7*'CurrentPor-N10Unchanged'!J174</f>
        <v>2064.3893241583969</v>
      </c>
      <c r="I174">
        <f t="shared" si="4"/>
        <v>96540.121668329724</v>
      </c>
      <c r="J174">
        <f t="shared" si="5"/>
        <v>18.335229158808943</v>
      </c>
    </row>
    <row r="175" spans="1:10">
      <c r="A175" s="1">
        <v>45714</v>
      </c>
      <c r="B175">
        <f>(3/(1+('CurrentPor-N10Unchanged'!C175)/100)+103/POWER(1+('CurrentPor-N10Unchanged'!D175)/100,2))*100</f>
        <v>9707.5857774288397</v>
      </c>
      <c r="C175">
        <f>(3/(1+('CurrentPor-N10Unchanged'!C175+'CurrentPor-N10Unchanged'!G175)/100)+103/POWER(1+('CurrentPor-N10Unchanged'!D175+'CurrentPor-N10Unchanged'!G175)/100,2))*100</f>
        <v>9651.1281040556933</v>
      </c>
      <c r="D175">
        <f>(3/(1+('CurrentPor-N10Unchanged'!C175+'CurrentPor-N10Unchanged'!H175)/100)+103/POWER(1+('CurrentPor-N10Unchanged'!D175+'CurrentPor-N10Unchanged'!H175)/100,2))*100</f>
        <v>9604.4913975121763</v>
      </c>
      <c r="E175">
        <f>(3/(1+('CurrentPor-N10Unchanged'!C175+'CurrentPor-N10Unchanged'!I175)/100)+103/POWER(1+('CurrentPor-N10Unchanged'!D175+'CurrentPor-N10Unchanged'!I175)/100,2))*100</f>
        <v>9679.5313437128316</v>
      </c>
      <c r="F175">
        <f>Portfolio!B$5*'CurrentPor-N10Unchanged'!E175</f>
        <v>52143.895533915893</v>
      </c>
      <c r="G175">
        <f>Portfolio!B$6*'CurrentPor-N10Unchanged'!F175</f>
        <v>3696.2945087936532</v>
      </c>
      <c r="H175">
        <f>Portfolio!B$7*'CurrentPor-N10Unchanged'!J175</f>
        <v>2064.4019725805838</v>
      </c>
      <c r="I175">
        <f t="shared" si="4"/>
        <v>96547.328637999657</v>
      </c>
      <c r="J175">
        <f t="shared" si="5"/>
        <v>30.762110242416384</v>
      </c>
    </row>
    <row r="176" spans="1:10">
      <c r="A176" s="1">
        <v>45715</v>
      </c>
      <c r="B176">
        <f>(3/(1+('CurrentPor-N10Unchanged'!C176)/100)+103/POWER(1+('CurrentPor-N10Unchanged'!D176)/100,2))*100</f>
        <v>9707.5857774288397</v>
      </c>
      <c r="C176">
        <f>(3/(1+('CurrentPor-N10Unchanged'!C176+'CurrentPor-N10Unchanged'!G176)/100)+103/POWER(1+('CurrentPor-N10Unchanged'!D176+'CurrentPor-N10Unchanged'!G176)/100,2))*100</f>
        <v>9649.3151772402762</v>
      </c>
      <c r="D176">
        <f>(3/(1+('CurrentPor-N10Unchanged'!C176+'CurrentPor-N10Unchanged'!H176)/100)+103/POWER(1+('CurrentPor-N10Unchanged'!D176+'CurrentPor-N10Unchanged'!H176)/100,2))*100</f>
        <v>9582.6105389378336</v>
      </c>
      <c r="E176">
        <f>(3/(1+('CurrentPor-N10Unchanged'!C176+'CurrentPor-N10Unchanged'!I176)/100)+103/POWER(1+('CurrentPor-N10Unchanged'!D176+'CurrentPor-N10Unchanged'!I176)/100,2))*100</f>
        <v>9680.1506074427598</v>
      </c>
      <c r="F176">
        <f>Portfolio!B$5*'CurrentPor-N10Unchanged'!E176</f>
        <v>52143.895533915893</v>
      </c>
      <c r="G176">
        <f>Portfolio!B$6*'CurrentPor-N10Unchanged'!F176</f>
        <v>3696.2945087936532</v>
      </c>
      <c r="H176">
        <f>Portfolio!B$7*'CurrentPor-N10Unchanged'!J176</f>
        <v>2064.3958265949764</v>
      </c>
      <c r="I176">
        <f t="shared" si="4"/>
        <v>96524.247970354234</v>
      </c>
      <c r="J176">
        <f t="shared" si="5"/>
        <v>-6.4398448490828741</v>
      </c>
    </row>
    <row r="177" spans="1:10">
      <c r="A177" s="1">
        <v>45716</v>
      </c>
      <c r="B177">
        <f>(3/(1+('CurrentPor-N10Unchanged'!C177)/100)+103/POWER(1+('CurrentPor-N10Unchanged'!D177)/100,2))*100</f>
        <v>9707.5857774288397</v>
      </c>
      <c r="C177">
        <f>(3/(1+('CurrentPor-N10Unchanged'!C177+'CurrentPor-N10Unchanged'!G177)/100)+103/POWER(1+('CurrentPor-N10Unchanged'!D177+'CurrentPor-N10Unchanged'!G177)/100,2))*100</f>
        <v>9649.3151772402762</v>
      </c>
      <c r="D177">
        <f>(3/(1+('CurrentPor-N10Unchanged'!C177+'CurrentPor-N10Unchanged'!H177)/100)+103/POWER(1+('CurrentPor-N10Unchanged'!D177+'CurrentPor-N10Unchanged'!H177)/100,2))*100</f>
        <v>9615.4896586602463</v>
      </c>
      <c r="E177">
        <f>(3/(1+('CurrentPor-N10Unchanged'!C177+'CurrentPor-N10Unchanged'!I177)/100)+103/POWER(1+('CurrentPor-N10Unchanged'!D177+'CurrentPor-N10Unchanged'!I177)/100,2))*100</f>
        <v>9680.8063629512781</v>
      </c>
      <c r="F177">
        <f>Portfolio!B$5*'CurrentPor-N10Unchanged'!E177</f>
        <v>52143.895533915893</v>
      </c>
      <c r="G177">
        <f>Portfolio!B$6*'CurrentPor-N10Unchanged'!F177</f>
        <v>3696.2945087936532</v>
      </c>
      <c r="H177">
        <f>Portfolio!B$7*'CurrentPor-N10Unchanged'!J177</f>
        <v>2064.4024192813299</v>
      </c>
      <c r="I177">
        <f t="shared" si="4"/>
        <v>96557.789438271502</v>
      </c>
      <c r="J177">
        <f t="shared" si="5"/>
        <v>31.076620989275398</v>
      </c>
    </row>
    <row r="178" spans="1:10">
      <c r="A178" s="1">
        <v>45719</v>
      </c>
      <c r="B178">
        <f>(3/(1+('CurrentPor-N10Unchanged'!C178)/100)+103/POWER(1+('CurrentPor-N10Unchanged'!D178)/100,2))*100</f>
        <v>9707.5857774288397</v>
      </c>
      <c r="C178">
        <f>(3/(1+('CurrentPor-N10Unchanged'!C178+'CurrentPor-N10Unchanged'!G178)/100)+103/POWER(1+('CurrentPor-N10Unchanged'!D178+'CurrentPor-N10Unchanged'!G178)/100,2))*100</f>
        <v>9651.1281040556933</v>
      </c>
      <c r="D178">
        <f>(3/(1+('CurrentPor-N10Unchanged'!C178+'CurrentPor-N10Unchanged'!H178)/100)+103/POWER(1+('CurrentPor-N10Unchanged'!D178+'CurrentPor-N10Unchanged'!H178)/100,2))*100</f>
        <v>9597.8964400579171</v>
      </c>
      <c r="E178">
        <f>(3/(1+('CurrentPor-N10Unchanged'!C178+'CurrentPor-N10Unchanged'!I178)/100)+103/POWER(1+('CurrentPor-N10Unchanged'!D178+'CurrentPor-N10Unchanged'!I178)/100,2))*100</f>
        <v>9680.788146177485</v>
      </c>
      <c r="F178">
        <f>Portfolio!B$5*'CurrentPor-N10Unchanged'!E178</f>
        <v>52143.895533915893</v>
      </c>
      <c r="G178">
        <f>Portfolio!B$6*'CurrentPor-N10Unchanged'!F178</f>
        <v>3696.2945087936532</v>
      </c>
      <c r="H178">
        <f>Portfolio!B$7*'CurrentPor-N10Unchanged'!J178</f>
        <v>2064.3991559766087</v>
      </c>
      <c r="I178">
        <f t="shared" si="4"/>
        <v>96541.987666406101</v>
      </c>
      <c r="J178">
        <f t="shared" si="5"/>
        <v>14.025339021987747</v>
      </c>
    </row>
    <row r="179" spans="1:10">
      <c r="A179" s="1">
        <v>45720</v>
      </c>
      <c r="B179">
        <f>(3/(1+('CurrentPor-N10Unchanged'!C179)/100)+103/POWER(1+('CurrentPor-N10Unchanged'!D179)/100,2))*100</f>
        <v>9707.5857774288397</v>
      </c>
      <c r="C179">
        <f>(3/(1+('CurrentPor-N10Unchanged'!C179+'CurrentPor-N10Unchanged'!G179)/100)+103/POWER(1+('CurrentPor-N10Unchanged'!D179+'CurrentPor-N10Unchanged'!G179)/100,2))*100</f>
        <v>9652.9415469289834</v>
      </c>
      <c r="D179">
        <f>(3/(1+('CurrentPor-N10Unchanged'!C179+'CurrentPor-N10Unchanged'!H179)/100)+103/POWER(1+('CurrentPor-N10Unchanged'!D179+'CurrentPor-N10Unchanged'!H179)/100,2))*100</f>
        <v>9591.6438731449743</v>
      </c>
      <c r="E179">
        <f>(3/(1+('CurrentPor-N10Unchanged'!C179+'CurrentPor-N10Unchanged'!I179)/100)+103/POWER(1+('CurrentPor-N10Unchanged'!D179+'CurrentPor-N10Unchanged'!I179)/100,2))*100</f>
        <v>9682.9562582542785</v>
      </c>
      <c r="F179">
        <f>Portfolio!B$5*'CurrentPor-N10Unchanged'!E179</f>
        <v>52143.895533915893</v>
      </c>
      <c r="G179">
        <f>Portfolio!B$6*'CurrentPor-N10Unchanged'!F179</f>
        <v>3696.2945087936532</v>
      </c>
      <c r="H179">
        <f>Portfolio!B$7*'CurrentPor-N10Unchanged'!J179</f>
        <v>2064.403627923532</v>
      </c>
      <c r="I179">
        <f t="shared" si="4"/>
        <v>96539.721126390141</v>
      </c>
      <c r="J179">
        <f t="shared" si="5"/>
        <v>16.67996199215122</v>
      </c>
    </row>
    <row r="180" spans="1:10">
      <c r="A180" s="1">
        <v>45721</v>
      </c>
      <c r="B180">
        <f>(3/(1+('CurrentPor-N10Unchanged'!C180)/100)+103/POWER(1+('CurrentPor-N10Unchanged'!D180)/100,2))*100</f>
        <v>9707.5857774288397</v>
      </c>
      <c r="C180">
        <f>(3/(1+('CurrentPor-N10Unchanged'!C180+'CurrentPor-N10Unchanged'!G180)/100)+103/POWER(1+('CurrentPor-N10Unchanged'!D180+'CurrentPor-N10Unchanged'!G180)/100,2))*100</f>
        <v>9652.9415469289834</v>
      </c>
      <c r="D180">
        <f>(3/(1+('CurrentPor-N10Unchanged'!C180+'CurrentPor-N10Unchanged'!H180)/100)+103/POWER(1+('CurrentPor-N10Unchanged'!D180+'CurrentPor-N10Unchanged'!H180)/100,2))*100</f>
        <v>9602.6036785744218</v>
      </c>
      <c r="E180">
        <f>(3/(1+('CurrentPor-N10Unchanged'!C180+'CurrentPor-N10Unchanged'!I180)/100)+103/POWER(1+('CurrentPor-N10Unchanged'!D180+'CurrentPor-N10Unchanged'!I180)/100,2))*100</f>
        <v>9682.9562582542785</v>
      </c>
      <c r="F180">
        <f>Portfolio!B$5*'CurrentPor-N10Unchanged'!E180</f>
        <v>52143.895533915893</v>
      </c>
      <c r="G180">
        <f>Portfolio!B$6*'CurrentPor-N10Unchanged'!F180</f>
        <v>3696.2945087936532</v>
      </c>
      <c r="H180">
        <f>Portfolio!B$7*'CurrentPor-N10Unchanged'!J180</f>
        <v>2064.3957304970641</v>
      </c>
      <c r="I180">
        <f t="shared" si="4"/>
        <v>96550.673034393127</v>
      </c>
      <c r="J180">
        <f t="shared" si="5"/>
        <v>28.796015238098335</v>
      </c>
    </row>
    <row r="181" spans="1:10">
      <c r="A181" s="1">
        <v>45722</v>
      </c>
      <c r="B181">
        <f>(3/(1+('CurrentPor-N10Unchanged'!C181)/100)+103/POWER(1+('CurrentPor-N10Unchanged'!D181)/100,2))*100</f>
        <v>9707.5857774288397</v>
      </c>
      <c r="C181">
        <f>(3/(1+('CurrentPor-N10Unchanged'!C181+'CurrentPor-N10Unchanged'!G181)/100)+103/POWER(1+('CurrentPor-N10Unchanged'!D181+'CurrentPor-N10Unchanged'!G181)/100,2))*100</f>
        <v>9652.9415469289834</v>
      </c>
      <c r="D181">
        <f>(3/(1+('CurrentPor-N10Unchanged'!C181+'CurrentPor-N10Unchanged'!H181)/100)+103/POWER(1+('CurrentPor-N10Unchanged'!D181+'CurrentPor-N10Unchanged'!H181)/100,2))*100</f>
        <v>9606.8862764337082</v>
      </c>
      <c r="E181">
        <f>(3/(1+('CurrentPor-N10Unchanged'!C181+'CurrentPor-N10Unchanged'!I181)/100)+103/POWER(1+('CurrentPor-N10Unchanged'!D181+'CurrentPor-N10Unchanged'!I181)/100,2))*100</f>
        <v>9683.4300615345237</v>
      </c>
      <c r="F181">
        <f>Portfolio!B$5*'CurrentPor-N10Unchanged'!E181</f>
        <v>52143.895533915893</v>
      </c>
      <c r="G181">
        <f>Portfolio!B$6*'CurrentPor-N10Unchanged'!F181</f>
        <v>3696.2945087936532</v>
      </c>
      <c r="H181">
        <f>Portfolio!B$7*'CurrentPor-N10Unchanged'!J181</f>
        <v>2064.4071729945736</v>
      </c>
      <c r="I181">
        <f t="shared" si="4"/>
        <v>96555.440878030175</v>
      </c>
      <c r="J181">
        <f t="shared" si="5"/>
        <v>23.96420240207226</v>
      </c>
    </row>
    <row r="182" spans="1:10">
      <c r="A182" s="1">
        <v>45723</v>
      </c>
      <c r="B182">
        <f>(3/(1+('CurrentPor-N10Unchanged'!C182)/100)+103/POWER(1+('CurrentPor-N10Unchanged'!D182)/100,2))*100</f>
        <v>9707.5857774288397</v>
      </c>
      <c r="C182">
        <f>(3/(1+('CurrentPor-N10Unchanged'!C182+'CurrentPor-N10Unchanged'!G182)/100)+103/POWER(1+('CurrentPor-N10Unchanged'!D182+'CurrentPor-N10Unchanged'!G182)/100,2))*100</f>
        <v>9647.5027662864559</v>
      </c>
      <c r="D182">
        <f>(3/(1+('CurrentPor-N10Unchanged'!C182+'CurrentPor-N10Unchanged'!H182)/100)+103/POWER(1+('CurrentPor-N10Unchanged'!D182+'CurrentPor-N10Unchanged'!H182)/100,2))*100</f>
        <v>9600.5729960441913</v>
      </c>
      <c r="E182">
        <f>(3/(1+('CurrentPor-N10Unchanged'!C182+'CurrentPor-N10Unchanged'!I182)/100)+103/POWER(1+('CurrentPor-N10Unchanged'!D182+'CurrentPor-N10Unchanged'!I182)/100,2))*100</f>
        <v>9683.8492232794542</v>
      </c>
      <c r="F182">
        <f>Portfolio!B$5*'CurrentPor-N10Unchanged'!E182</f>
        <v>52143.895533915893</v>
      </c>
      <c r="G182">
        <f>Portfolio!B$6*'CurrentPor-N10Unchanged'!F182</f>
        <v>3696.2945087936532</v>
      </c>
      <c r="H182">
        <f>Portfolio!B$7*'CurrentPor-N10Unchanged'!J182</f>
        <v>2064.3972918057912</v>
      </c>
      <c r="I182">
        <f t="shared" si="4"/>
        <v>96544.098097554277</v>
      </c>
      <c r="J182">
        <f t="shared" si="5"/>
        <v>23.436140165009419</v>
      </c>
    </row>
    <row r="183" spans="1:10">
      <c r="A183" s="1">
        <v>45726</v>
      </c>
      <c r="B183">
        <f>(3/(1+('CurrentPor-N10Unchanged'!C183)/100)+103/POWER(1+('CurrentPor-N10Unchanged'!D183)/100,2))*100</f>
        <v>9707.5857774288397</v>
      </c>
      <c r="C183">
        <f>(3/(1+('CurrentPor-N10Unchanged'!C183+'CurrentPor-N10Unchanged'!G183)/100)+103/POWER(1+('CurrentPor-N10Unchanged'!D183+'CurrentPor-N10Unchanged'!G183)/100,2))*100</f>
        <v>9649.3151772402762</v>
      </c>
      <c r="D183">
        <f>(3/(1+('CurrentPor-N10Unchanged'!C183+'CurrentPor-N10Unchanged'!H183)/100)+103/POWER(1+('CurrentPor-N10Unchanged'!D183+'CurrentPor-N10Unchanged'!H183)/100,2))*100</f>
        <v>9597.5780764416104</v>
      </c>
      <c r="E183">
        <f>(3/(1+('CurrentPor-N10Unchanged'!C183+'CurrentPor-N10Unchanged'!I183)/100)+103/POWER(1+('CurrentPor-N10Unchanged'!D183+'CurrentPor-N10Unchanged'!I183)/100,2))*100</f>
        <v>9682.755812656851</v>
      </c>
      <c r="F183">
        <f>Portfolio!B$5*'CurrentPor-N10Unchanged'!E183</f>
        <v>52143.895533915893</v>
      </c>
      <c r="G183">
        <f>Portfolio!B$6*'CurrentPor-N10Unchanged'!F183</f>
        <v>3696.2945087936532</v>
      </c>
      <c r="H183">
        <f>Portfolio!B$7*'CurrentPor-N10Unchanged'!J183</f>
        <v>2064.3986874549742</v>
      </c>
      <c r="I183">
        <f t="shared" si="4"/>
        <v>96541.823573932095</v>
      </c>
      <c r="J183">
        <f t="shared" si="5"/>
        <v>3.4951197499322006</v>
      </c>
    </row>
    <row r="184" spans="1:10">
      <c r="A184" s="1">
        <v>45727</v>
      </c>
      <c r="B184">
        <f>(3/(1+('CurrentPor-N10Unchanged'!C184)/100)+103/POWER(1+('CurrentPor-N10Unchanged'!D184)/100,2))*100</f>
        <v>9707.5857774288397</v>
      </c>
      <c r="C184">
        <f>(3/(1+('CurrentPor-N10Unchanged'!C184+'CurrentPor-N10Unchanged'!G184)/100)+103/POWER(1+('CurrentPor-N10Unchanged'!D184+'CurrentPor-N10Unchanged'!G184)/100,2))*100</f>
        <v>9649.3151772402762</v>
      </c>
      <c r="D184">
        <f>(3/(1+('CurrentPor-N10Unchanged'!C184+'CurrentPor-N10Unchanged'!H184)/100)+103/POWER(1+('CurrentPor-N10Unchanged'!D184+'CurrentPor-N10Unchanged'!H184)/100,2))*100</f>
        <v>9605.658322180685</v>
      </c>
      <c r="E184">
        <f>(3/(1+('CurrentPor-N10Unchanged'!C184+'CurrentPor-N10Unchanged'!I184)/100)+103/POWER(1+('CurrentPor-N10Unchanged'!D184+'CurrentPor-N10Unchanged'!I184)/100,2))*100</f>
        <v>9683.0838165525784</v>
      </c>
      <c r="F184">
        <f>Portfolio!B$5*'CurrentPor-N10Unchanged'!E184</f>
        <v>52143.895533915893</v>
      </c>
      <c r="G184">
        <f>Portfolio!B$6*'CurrentPor-N10Unchanged'!F184</f>
        <v>3696.2945087936532</v>
      </c>
      <c r="H184">
        <f>Portfolio!B$7*'CurrentPor-N10Unchanged'!J184</f>
        <v>2064.3958519049738</v>
      </c>
      <c r="I184">
        <f t="shared" si="4"/>
        <v>96550.228988016912</v>
      </c>
      <c r="J184">
        <f t="shared" si="5"/>
        <v>10.107319687187555</v>
      </c>
    </row>
    <row r="185" spans="1:10">
      <c r="A185" s="1">
        <v>45728</v>
      </c>
      <c r="B185">
        <f>(3/(1+('CurrentPor-N10Unchanged'!C185)/100)+103/POWER(1+('CurrentPor-N10Unchanged'!D185)/100,2))*100</f>
        <v>9707.5857774288397</v>
      </c>
      <c r="C185">
        <f>(3/(1+('CurrentPor-N10Unchanged'!C185+'CurrentPor-N10Unchanged'!G185)/100)+103/POWER(1+('CurrentPor-N10Unchanged'!D185+'CurrentPor-N10Unchanged'!G185)/100,2))*100</f>
        <v>9643.879491178941</v>
      </c>
      <c r="D185">
        <f>(3/(1+('CurrentPor-N10Unchanged'!C185+'CurrentPor-N10Unchanged'!H185)/100)+103/POWER(1+('CurrentPor-N10Unchanged'!D185+'CurrentPor-N10Unchanged'!H185)/100,2))*100</f>
        <v>9592.7074768612092</v>
      </c>
      <c r="E185">
        <f>(3/(1+('CurrentPor-N10Unchanged'!C185+'CurrentPor-N10Unchanged'!I185)/100)+103/POWER(1+('CurrentPor-N10Unchanged'!D185+'CurrentPor-N10Unchanged'!I185)/100,2))*100</f>
        <v>9684.8516803853108</v>
      </c>
      <c r="F185">
        <f>Portfolio!B$5*'CurrentPor-N10Unchanged'!E185</f>
        <v>52143.895533915893</v>
      </c>
      <c r="G185">
        <f>Portfolio!B$6*'CurrentPor-N10Unchanged'!F185</f>
        <v>3696.2945087936532</v>
      </c>
      <c r="H185">
        <f>Portfolio!B$7*'CurrentPor-N10Unchanged'!J185</f>
        <v>2064.3992355957321</v>
      </c>
      <c r="I185">
        <f t="shared" si="4"/>
        <v>96533.613704159579</v>
      </c>
      <c r="J185">
        <f t="shared" si="5"/>
        <v>-13.71493384007772</v>
      </c>
    </row>
    <row r="186" spans="1:10">
      <c r="A186" s="1">
        <v>45729</v>
      </c>
      <c r="B186">
        <f>(3/(1+('CurrentPor-N10Unchanged'!C186)/100)+103/POWER(1+('CurrentPor-N10Unchanged'!D186)/100,2))*100</f>
        <v>9707.5857774288397</v>
      </c>
      <c r="C186">
        <f>(3/(1+('CurrentPor-N10Unchanged'!C186+'CurrentPor-N10Unchanged'!G186)/100)+103/POWER(1+('CurrentPor-N10Unchanged'!D186+'CurrentPor-N10Unchanged'!G186)/100,2))*100</f>
        <v>9645.6908709980435</v>
      </c>
      <c r="D186">
        <f>(3/(1+('CurrentPor-N10Unchanged'!C186+'CurrentPor-N10Unchanged'!H186)/100)+103/POWER(1+('CurrentPor-N10Unchanged'!D186+'CurrentPor-N10Unchanged'!H186)/100,2))*100</f>
        <v>9593.1008892286372</v>
      </c>
      <c r="E186">
        <f>(3/(1+('CurrentPor-N10Unchanged'!C186+'CurrentPor-N10Unchanged'!I186)/100)+103/POWER(1+('CurrentPor-N10Unchanged'!D186+'CurrentPor-N10Unchanged'!I186)/100,2))*100</f>
        <v>9684.9063638793396</v>
      </c>
      <c r="F186">
        <f>Portfolio!B$5*'CurrentPor-N10Unchanged'!E186</f>
        <v>52143.895533915893</v>
      </c>
      <c r="G186">
        <f>Portfolio!B$6*'CurrentPor-N10Unchanged'!F186</f>
        <v>3696.2945087936532</v>
      </c>
      <c r="H186">
        <f>Portfolio!B$7*'CurrentPor-N10Unchanged'!J186</f>
        <v>2064.3963092917661</v>
      </c>
      <c r="I186">
        <f t="shared" si="4"/>
        <v>96535.870253536181</v>
      </c>
      <c r="J186">
        <f t="shared" si="5"/>
        <v>11.622283181946841</v>
      </c>
    </row>
    <row r="187" spans="1:10">
      <c r="A187" s="1">
        <v>45730</v>
      </c>
      <c r="B187">
        <f>(3/(1+('CurrentPor-N10Unchanged'!C187)/100)+103/POWER(1+('CurrentPor-N10Unchanged'!D187)/100,2))*100</f>
        <v>9707.5857774288397</v>
      </c>
      <c r="C187">
        <f>(3/(1+('CurrentPor-N10Unchanged'!C187+'CurrentPor-N10Unchanged'!G187)/100)+103/POWER(1+('CurrentPor-N10Unchanged'!D187+'CurrentPor-N10Unchanged'!G187)/100,2))*100</f>
        <v>9645.6908709980435</v>
      </c>
      <c r="D187">
        <f>(3/(1+('CurrentPor-N10Unchanged'!C187+'CurrentPor-N10Unchanged'!H187)/100)+103/POWER(1+('CurrentPor-N10Unchanged'!D187+'CurrentPor-N10Unchanged'!H187)/100,2))*100</f>
        <v>9598.7985397152024</v>
      </c>
      <c r="E187">
        <f>(3/(1+('CurrentPor-N10Unchanged'!C187+'CurrentPor-N10Unchanged'!I187)/100)+103/POWER(1+('CurrentPor-N10Unchanged'!D187+'CurrentPor-N10Unchanged'!I187)/100,2))*100</f>
        <v>9685.6902195630955</v>
      </c>
      <c r="F187">
        <f>Portfolio!B$5*'CurrentPor-N10Unchanged'!E187</f>
        <v>52143.895533915893</v>
      </c>
      <c r="G187">
        <f>Portfolio!B$6*'CurrentPor-N10Unchanged'!F187</f>
        <v>3696.2945087936532</v>
      </c>
      <c r="H187">
        <f>Portfolio!B$7*'CurrentPor-N10Unchanged'!J187</f>
        <v>2064.3989210591103</v>
      </c>
      <c r="I187">
        <f t="shared" si="4"/>
        <v>96542.354371473848</v>
      </c>
      <c r="J187">
        <f t="shared" si="5"/>
        <v>-15.435066797654144</v>
      </c>
    </row>
    <row r="188" spans="1:10">
      <c r="A188" s="14">
        <v>45733</v>
      </c>
      <c r="B188">
        <f>(3/(1+('CurrentPor-N10Unchanged'!C188)/100)+103/POWER(1+('CurrentPor-N10Unchanged'!D188)/100,2))*100</f>
        <v>9707.5857774288397</v>
      </c>
      <c r="C188">
        <f>(3/(1+('CurrentPor-N10Unchanged'!C188+'CurrentPor-N10Unchanged'!G188)/100)+103/POWER(1+('CurrentPor-N10Unchanged'!D188+'CurrentPor-N10Unchanged'!G188)/100,2))*100</f>
        <v>9647.5028913948045</v>
      </c>
      <c r="D188">
        <f>(3/(1+('CurrentPor-N10Unchanged'!C188+'CurrentPor-N10Unchanged'!H188)/100)+103/POWER(1+('CurrentPor-N10Unchanged'!D188+'CurrentPor-N10Unchanged'!H188)/100,2))*100</f>
        <v>9629.1227718222744</v>
      </c>
      <c r="E188">
        <f>(3/(1+('CurrentPor-N10Unchanged'!C188+'CurrentPor-N10Unchanged'!I188)/100)+103/POWER(1+('CurrentPor-N10Unchanged'!D188+'CurrentPor-N10Unchanged'!I188)/100,2))*100</f>
        <v>9580.6454985559321</v>
      </c>
      <c r="F188">
        <f>Portfolio!B$5*'CurrentPor-N10Unchanged'!E188</f>
        <v>52143.895533915893</v>
      </c>
      <c r="G188">
        <f>Portfolio!B$6*'CurrentPor-N10Unchanged'!F188</f>
        <v>3696.2945087936532</v>
      </c>
      <c r="H188">
        <f>Portfolio!B$7*'CurrentPor-N10Unchanged'!J188</f>
        <v>2064.4006531118903</v>
      </c>
      <c r="I188">
        <f t="shared" ref="I188:I251" si="6">SUM(B188:H188)</f>
        <v>96469.447635023287</v>
      </c>
      <c r="J188">
        <f t="shared" ref="J188:J251" si="7">I188-I178</f>
        <v>-72.54003138281405</v>
      </c>
    </row>
    <row r="189" spans="1:10">
      <c r="A189" s="1">
        <v>45734</v>
      </c>
      <c r="B189">
        <f>(3/(1+('CurrentPor-N10Unchanged'!C189)/100)+103/POWER(1+('CurrentPor-N10Unchanged'!D189)/100,2))*100</f>
        <v>9707.5857774288397</v>
      </c>
      <c r="C189">
        <f>(3/(1+('CurrentPor-N10Unchanged'!C189+'CurrentPor-N10Unchanged'!G189)/100)+103/POWER(1+('CurrentPor-N10Unchanged'!D189+'CurrentPor-N10Unchanged'!G189)/100,2))*100</f>
        <v>9645.3417364441684</v>
      </c>
      <c r="D189">
        <f>(3/(1+('CurrentPor-N10Unchanged'!C189+'CurrentPor-N10Unchanged'!H189)/100)+103/POWER(1+('CurrentPor-N10Unchanged'!D189+'CurrentPor-N10Unchanged'!H189)/100,2))*100</f>
        <v>9587.4564671772368</v>
      </c>
      <c r="E189">
        <f>(3/(1+('CurrentPor-N10Unchanged'!C189+'CurrentPor-N10Unchanged'!I189)/100)+103/POWER(1+('CurrentPor-N10Unchanged'!D189+'CurrentPor-N10Unchanged'!I189)/100,2))*100</f>
        <v>9580.3887991504871</v>
      </c>
      <c r="F189">
        <f>Portfolio!B$5*'CurrentPor-N10Unchanged'!E189</f>
        <v>52143.895533915893</v>
      </c>
      <c r="G189">
        <f>Portfolio!B$6*'CurrentPor-N10Unchanged'!F189</f>
        <v>3696.2945087936532</v>
      </c>
      <c r="H189">
        <f>Portfolio!B$7*'CurrentPor-N10Unchanged'!J189</f>
        <v>2064.4023156184312</v>
      </c>
      <c r="I189">
        <f t="shared" si="6"/>
        <v>96425.365138528708</v>
      </c>
      <c r="J189">
        <f t="shared" si="7"/>
        <v>-114.35598786143237</v>
      </c>
    </row>
    <row r="190" spans="1:10">
      <c r="A190" s="1">
        <v>45735</v>
      </c>
      <c r="B190">
        <f>(3/(1+('CurrentPor-N10Unchanged'!C190)/100)+103/POWER(1+('CurrentPor-N10Unchanged'!D190)/100,2))*100</f>
        <v>9707.5857774288397</v>
      </c>
      <c r="C190">
        <f>(3/(1+('CurrentPor-N10Unchanged'!C190+'CurrentPor-N10Unchanged'!G190)/100)+103/POWER(1+('CurrentPor-N10Unchanged'!D190+'CurrentPor-N10Unchanged'!G190)/100,2))*100</f>
        <v>9644.67166122241</v>
      </c>
      <c r="D190">
        <f>(3/(1+('CurrentPor-N10Unchanged'!C190+'CurrentPor-N10Unchanged'!H190)/100)+103/POWER(1+('CurrentPor-N10Unchanged'!D190+'CurrentPor-N10Unchanged'!H190)/100,2))*100</f>
        <v>9615.2582549951694</v>
      </c>
      <c r="E190">
        <f>(3/(1+('CurrentPor-N10Unchanged'!C190+'CurrentPor-N10Unchanged'!I190)/100)+103/POWER(1+('CurrentPor-N10Unchanged'!D190+'CurrentPor-N10Unchanged'!I190)/100,2))*100</f>
        <v>9582.1119724264627</v>
      </c>
      <c r="F190">
        <f>Portfolio!B$5*'CurrentPor-N10Unchanged'!E190</f>
        <v>52143.895533915893</v>
      </c>
      <c r="G190">
        <f>Portfolio!B$6*'CurrentPor-N10Unchanged'!F190</f>
        <v>3696.2945087936532</v>
      </c>
      <c r="H190">
        <f>Portfolio!B$7*'CurrentPor-N10Unchanged'!J190</f>
        <v>2064.4019801724662</v>
      </c>
      <c r="I190">
        <f t="shared" si="6"/>
        <v>96454.219688954894</v>
      </c>
      <c r="J190">
        <f t="shared" si="7"/>
        <v>-96.453345438232645</v>
      </c>
    </row>
    <row r="191" spans="1:10">
      <c r="A191" s="1">
        <v>45736</v>
      </c>
      <c r="B191">
        <f>(3/(1+('CurrentPor-N10Unchanged'!C191)/100)+103/POWER(1+('CurrentPor-N10Unchanged'!D191)/100,2))*100</f>
        <v>9707.5857774288397</v>
      </c>
      <c r="C191">
        <f>(3/(1+('CurrentPor-N10Unchanged'!C191+'CurrentPor-N10Unchanged'!G191)/100)+103/POWER(1+('CurrentPor-N10Unchanged'!D191+'CurrentPor-N10Unchanged'!G191)/100,2))*100</f>
        <v>9665.9088657140892</v>
      </c>
      <c r="D191">
        <f>(3/(1+('CurrentPor-N10Unchanged'!C191+'CurrentPor-N10Unchanged'!H191)/100)+103/POWER(1+('CurrentPor-N10Unchanged'!D191+'CurrentPor-N10Unchanged'!H191)/100,2))*100</f>
        <v>9603.9733500566435</v>
      </c>
      <c r="E191">
        <f>(3/(1+('CurrentPor-N10Unchanged'!C191+'CurrentPor-N10Unchanged'!I191)/100)+103/POWER(1+('CurrentPor-N10Unchanged'!D191+'CurrentPor-N10Unchanged'!I191)/100,2))*100</f>
        <v>9581.5416821441668</v>
      </c>
      <c r="F191">
        <f>Portfolio!B$5*'CurrentPor-N10Unchanged'!E191</f>
        <v>52143.895533915893</v>
      </c>
      <c r="G191">
        <f>Portfolio!B$6*'CurrentPor-N10Unchanged'!F191</f>
        <v>3696.2945087936532</v>
      </c>
      <c r="H191">
        <f>Portfolio!B$7*'CurrentPor-N10Unchanged'!J191</f>
        <v>2064.4058666861629</v>
      </c>
      <c r="I191">
        <f t="shared" si="6"/>
        <v>96463.605584739445</v>
      </c>
      <c r="J191">
        <f t="shared" si="7"/>
        <v>-91.835293290729169</v>
      </c>
    </row>
    <row r="192" spans="1:10">
      <c r="A192" s="1">
        <v>45737</v>
      </c>
      <c r="B192">
        <f>(3/(1+('CurrentPor-N10Unchanged'!C192)/100)+103/POWER(1+('CurrentPor-N10Unchanged'!D192)/100,2))*100</f>
        <v>9707.5857774288397</v>
      </c>
      <c r="C192">
        <f>(3/(1+('CurrentPor-N10Unchanged'!C192+'CurrentPor-N10Unchanged'!G192)/100)+103/POWER(1+('CurrentPor-N10Unchanged'!D192+'CurrentPor-N10Unchanged'!G192)/100,2))*100</f>
        <v>9641.2477691855656</v>
      </c>
      <c r="D192">
        <f>(3/(1+('CurrentPor-N10Unchanged'!C192+'CurrentPor-N10Unchanged'!H192)/100)+103/POWER(1+('CurrentPor-N10Unchanged'!D192+'CurrentPor-N10Unchanged'!H192)/100,2))*100</f>
        <v>9606.0550098903641</v>
      </c>
      <c r="E192">
        <f>(3/(1+('CurrentPor-N10Unchanged'!C192+'CurrentPor-N10Unchanged'!I192)/100)+103/POWER(1+('CurrentPor-N10Unchanged'!D192+'CurrentPor-N10Unchanged'!I192)/100,2))*100</f>
        <v>9578.2999225113654</v>
      </c>
      <c r="F192">
        <f>Portfolio!B$5*'CurrentPor-N10Unchanged'!E192</f>
        <v>52143.895533915893</v>
      </c>
      <c r="G192">
        <f>Portfolio!B$6*'CurrentPor-N10Unchanged'!F192</f>
        <v>3696.2945087936532</v>
      </c>
      <c r="H192">
        <f>Portfolio!B$7*'CurrentPor-N10Unchanged'!J192</f>
        <v>2064.3956387099715</v>
      </c>
      <c r="I192">
        <f t="shared" si="6"/>
        <v>96437.774160435656</v>
      </c>
      <c r="J192">
        <f t="shared" si="7"/>
        <v>-106.32393711862096</v>
      </c>
    </row>
    <row r="193" spans="1:10">
      <c r="A193" s="1">
        <v>45740</v>
      </c>
      <c r="B193">
        <f>(3/(1+('CurrentPor-N10Unchanged'!C193)/100)+103/POWER(1+('CurrentPor-N10Unchanged'!D193)/100,2))*100</f>
        <v>9707.5857774288397</v>
      </c>
      <c r="C193">
        <f>(3/(1+('CurrentPor-N10Unchanged'!C193+'CurrentPor-N10Unchanged'!G193)/100)+103/POWER(1+('CurrentPor-N10Unchanged'!D193+'CurrentPor-N10Unchanged'!G193)/100,2))*100</f>
        <v>9647.6012759639034</v>
      </c>
      <c r="D193">
        <f>(3/(1+('CurrentPor-N10Unchanged'!C193+'CurrentPor-N10Unchanged'!H193)/100)+103/POWER(1+('CurrentPor-N10Unchanged'!D193+'CurrentPor-N10Unchanged'!H193)/100,2))*100</f>
        <v>9600.8417031250701</v>
      </c>
      <c r="E193">
        <f>(3/(1+('CurrentPor-N10Unchanged'!C193+'CurrentPor-N10Unchanged'!I193)/100)+103/POWER(1+('CurrentPor-N10Unchanged'!D193+'CurrentPor-N10Unchanged'!I193)/100,2))*100</f>
        <v>9581.0793804743462</v>
      </c>
      <c r="F193">
        <f>Portfolio!B$5*'CurrentPor-N10Unchanged'!E193</f>
        <v>52143.895533915893</v>
      </c>
      <c r="G193">
        <f>Portfolio!B$6*'CurrentPor-N10Unchanged'!F193</f>
        <v>3696.2945087936532</v>
      </c>
      <c r="H193">
        <f>Portfolio!B$7*'CurrentPor-N10Unchanged'!J193</f>
        <v>2064.4060753178123</v>
      </c>
      <c r="I193">
        <f t="shared" si="6"/>
        <v>96441.704255019504</v>
      </c>
      <c r="J193">
        <f t="shared" si="7"/>
        <v>-100.11931891259155</v>
      </c>
    </row>
    <row r="194" spans="1:10">
      <c r="A194" s="1">
        <v>45741</v>
      </c>
      <c r="B194">
        <f>(3/(1+('CurrentPor-N10Unchanged'!C194)/100)+103/POWER(1+('CurrentPor-N10Unchanged'!D194)/100,2))*100</f>
        <v>9707.5857774288397</v>
      </c>
      <c r="C194">
        <f>(3/(1+('CurrentPor-N10Unchanged'!C194+'CurrentPor-N10Unchanged'!G194)/100)+103/POWER(1+('CurrentPor-N10Unchanged'!D194+'CurrentPor-N10Unchanged'!G194)/100,2))*100</f>
        <v>9648.565676399814</v>
      </c>
      <c r="D194">
        <f>(3/(1+('CurrentPor-N10Unchanged'!C194+'CurrentPor-N10Unchanged'!H194)/100)+103/POWER(1+('CurrentPor-N10Unchanged'!D194+'CurrentPor-N10Unchanged'!H194)/100,2))*100</f>
        <v>9606.6247838101717</v>
      </c>
      <c r="E194">
        <f>(3/(1+('CurrentPor-N10Unchanged'!C194+'CurrentPor-N10Unchanged'!I194)/100)+103/POWER(1+('CurrentPor-N10Unchanged'!D194+'CurrentPor-N10Unchanged'!I194)/100,2))*100</f>
        <v>9580.8460628314042</v>
      </c>
      <c r="F194">
        <f>Portfolio!B$5*'CurrentPor-N10Unchanged'!E194</f>
        <v>52143.895533915893</v>
      </c>
      <c r="G194">
        <f>Portfolio!B$6*'CurrentPor-N10Unchanged'!F194</f>
        <v>3696.2945087936532</v>
      </c>
      <c r="H194">
        <f>Portfolio!B$7*'CurrentPor-N10Unchanged'!J194</f>
        <v>2064.3919272177909</v>
      </c>
      <c r="I194">
        <f t="shared" si="6"/>
        <v>96448.20427039756</v>
      </c>
      <c r="J194">
        <f t="shared" si="7"/>
        <v>-102.02471761935158</v>
      </c>
    </row>
    <row r="195" spans="1:10">
      <c r="A195" s="1">
        <v>45742</v>
      </c>
      <c r="B195">
        <f>(3/(1+('CurrentPor-N10Unchanged'!C195)/100)+103/POWER(1+('CurrentPor-N10Unchanged'!D195)/100,2))*100</f>
        <v>9707.5857774288397</v>
      </c>
      <c r="C195">
        <f>(3/(1+('CurrentPor-N10Unchanged'!C195+'CurrentPor-N10Unchanged'!G195)/100)+103/POWER(1+('CurrentPor-N10Unchanged'!D195+'CurrentPor-N10Unchanged'!G195)/100,2))*100</f>
        <v>9649.5679654341329</v>
      </c>
      <c r="D195">
        <f>(3/(1+('CurrentPor-N10Unchanged'!C195+'CurrentPor-N10Unchanged'!H195)/100)+103/POWER(1+('CurrentPor-N10Unchanged'!D195+'CurrentPor-N10Unchanged'!H195)/100,2))*100</f>
        <v>9597.2656959728192</v>
      </c>
      <c r="E195">
        <f>(3/(1+('CurrentPor-N10Unchanged'!C195+'CurrentPor-N10Unchanged'!I195)/100)+103/POWER(1+('CurrentPor-N10Unchanged'!D195+'CurrentPor-N10Unchanged'!I195)/100,2))*100</f>
        <v>9578.3316448618443</v>
      </c>
      <c r="F195">
        <f>Portfolio!B$5*'CurrentPor-N10Unchanged'!E195</f>
        <v>52143.895533915893</v>
      </c>
      <c r="G195">
        <f>Portfolio!B$6*'CurrentPor-N10Unchanged'!F195</f>
        <v>3696.2945087936532</v>
      </c>
      <c r="H195">
        <f>Portfolio!B$7*'CurrentPor-N10Unchanged'!J195</f>
        <v>2064.4030907355468</v>
      </c>
      <c r="I195">
        <f t="shared" si="6"/>
        <v>96437.34421714273</v>
      </c>
      <c r="J195">
        <f t="shared" si="7"/>
        <v>-96.269487016848871</v>
      </c>
    </row>
    <row r="196" spans="1:10">
      <c r="A196" s="1">
        <v>45743</v>
      </c>
      <c r="B196">
        <f>(3/(1+('CurrentPor-N10Unchanged'!C196)/100)+103/POWER(1+('CurrentPor-N10Unchanged'!D196)/100,2))*100</f>
        <v>9707.5857774288397</v>
      </c>
      <c r="C196">
        <f>(3/(1+('CurrentPor-N10Unchanged'!C196+'CurrentPor-N10Unchanged'!G196)/100)+103/POWER(1+('CurrentPor-N10Unchanged'!D196+'CurrentPor-N10Unchanged'!G196)/100,2))*100</f>
        <v>9650.4696874141664</v>
      </c>
      <c r="D196">
        <f>(3/(1+('CurrentPor-N10Unchanged'!C196+'CurrentPor-N10Unchanged'!H196)/100)+103/POWER(1+('CurrentPor-N10Unchanged'!D196+'CurrentPor-N10Unchanged'!H196)/100,2))*100</f>
        <v>9602.001826533331</v>
      </c>
      <c r="E196">
        <f>(3/(1+('CurrentPor-N10Unchanged'!C196+'CurrentPor-N10Unchanged'!I196)/100)+103/POWER(1+('CurrentPor-N10Unchanged'!D196+'CurrentPor-N10Unchanged'!I196)/100,2))*100</f>
        <v>9580.4631807122314</v>
      </c>
      <c r="F196">
        <f>Portfolio!B$5*'CurrentPor-N10Unchanged'!E196</f>
        <v>52143.895533915893</v>
      </c>
      <c r="G196">
        <f>Portfolio!B$6*'CurrentPor-N10Unchanged'!F196</f>
        <v>3696.2945087936532</v>
      </c>
      <c r="H196">
        <f>Portfolio!B$7*'CurrentPor-N10Unchanged'!J196</f>
        <v>2064.3986998262872</v>
      </c>
      <c r="I196">
        <f t="shared" si="6"/>
        <v>96445.109214624405</v>
      </c>
      <c r="J196">
        <f t="shared" si="7"/>
        <v>-90.761038911776268</v>
      </c>
    </row>
    <row r="197" spans="1:10">
      <c r="A197" s="1">
        <v>45744</v>
      </c>
      <c r="B197">
        <f>(3/(1+('CurrentPor-N10Unchanged'!C197)/100)+103/POWER(1+('CurrentPor-N10Unchanged'!D197)/100,2))*100</f>
        <v>9707.5857774288397</v>
      </c>
      <c r="C197">
        <f>(3/(1+('CurrentPor-N10Unchanged'!C197+'CurrentPor-N10Unchanged'!G197)/100)+103/POWER(1+('CurrentPor-N10Unchanged'!D197+'CurrentPor-N10Unchanged'!G197)/100,2))*100</f>
        <v>9638.1314605737862</v>
      </c>
      <c r="D197">
        <f>(3/(1+('CurrentPor-N10Unchanged'!C197+'CurrentPor-N10Unchanged'!H197)/100)+103/POWER(1+('CurrentPor-N10Unchanged'!D197+'CurrentPor-N10Unchanged'!H197)/100,2))*100</f>
        <v>9598.4098553516797</v>
      </c>
      <c r="E197">
        <f>(3/(1+('CurrentPor-N10Unchanged'!C197+'CurrentPor-N10Unchanged'!I197)/100)+103/POWER(1+('CurrentPor-N10Unchanged'!D197+'CurrentPor-N10Unchanged'!I197)/100,2))*100</f>
        <v>9579.9611182409244</v>
      </c>
      <c r="F197">
        <f>Portfolio!B$5*'CurrentPor-N10Unchanged'!E197</f>
        <v>52143.895533915893</v>
      </c>
      <c r="G197">
        <f>Portfolio!B$6*'CurrentPor-N10Unchanged'!F197</f>
        <v>3696.2945087936532</v>
      </c>
      <c r="H197">
        <f>Portfolio!B$7*'CurrentPor-N10Unchanged'!J197</f>
        <v>2064.4045443978703</v>
      </c>
      <c r="I197">
        <f t="shared" si="6"/>
        <v>96428.682798702648</v>
      </c>
      <c r="J197">
        <f t="shared" si="7"/>
        <v>-113.67157277119986</v>
      </c>
    </row>
    <row r="198" spans="1:10">
      <c r="A198" s="1">
        <v>45747</v>
      </c>
      <c r="B198">
        <f>(3/(1+('CurrentPor-N10Unchanged'!C198)/100)+103/POWER(1+('CurrentPor-N10Unchanged'!D198)/100,2))*100</f>
        <v>9707.5857774288397</v>
      </c>
      <c r="C198">
        <f>(3/(1+('CurrentPor-N10Unchanged'!C198+'CurrentPor-N10Unchanged'!G198)/100)+103/POWER(1+('CurrentPor-N10Unchanged'!D198+'CurrentPor-N10Unchanged'!G198)/100,2))*100</f>
        <v>9633.7586103368812</v>
      </c>
      <c r="D198">
        <f>(3/(1+('CurrentPor-N10Unchanged'!C198+'CurrentPor-N10Unchanged'!H198)/100)+103/POWER(1+('CurrentPor-N10Unchanged'!D198+'CurrentPor-N10Unchanged'!H198)/100,2))*100</f>
        <v>9613.8115361290984</v>
      </c>
      <c r="E198">
        <f>(3/(1+('CurrentPor-N10Unchanged'!C198+'CurrentPor-N10Unchanged'!I198)/100)+103/POWER(1+('CurrentPor-N10Unchanged'!D198+'CurrentPor-N10Unchanged'!I198)/100,2))*100</f>
        <v>9582.3862248828591</v>
      </c>
      <c r="F198">
        <f>Portfolio!B$5*'CurrentPor-N10Unchanged'!E198</f>
        <v>52143.895533915893</v>
      </c>
      <c r="G198">
        <f>Portfolio!B$6*'CurrentPor-N10Unchanged'!F198</f>
        <v>3696.2945087936532</v>
      </c>
      <c r="H198">
        <f>Portfolio!B$7*'CurrentPor-N10Unchanged'!J198</f>
        <v>2064.4005592961284</v>
      </c>
      <c r="I198">
        <f t="shared" si="6"/>
        <v>96442.132750783348</v>
      </c>
      <c r="J198">
        <f t="shared" si="7"/>
        <v>-27.314884239938692</v>
      </c>
    </row>
    <row r="199" spans="1:10">
      <c r="A199" s="1">
        <v>45748</v>
      </c>
      <c r="B199">
        <f>(3/(1+('CurrentPor-N10Unchanged'!C199)/100)+103/POWER(1+('CurrentPor-N10Unchanged'!D199)/100,2))*100</f>
        <v>9707.5857774288397</v>
      </c>
      <c r="C199">
        <f>(3/(1+('CurrentPor-N10Unchanged'!C199+'CurrentPor-N10Unchanged'!G199)/100)+103/POWER(1+('CurrentPor-N10Unchanged'!D199+'CurrentPor-N10Unchanged'!G199)/100,2))*100</f>
        <v>9642.0720964899192</v>
      </c>
      <c r="D199">
        <f>(3/(1+('CurrentPor-N10Unchanged'!C199+'CurrentPor-N10Unchanged'!H199)/100)+103/POWER(1+('CurrentPor-N10Unchanged'!D199+'CurrentPor-N10Unchanged'!H199)/100,2))*100</f>
        <v>9592.2905525057686</v>
      </c>
      <c r="E199">
        <f>(3/(1+('CurrentPor-N10Unchanged'!C199+'CurrentPor-N10Unchanged'!I199)/100)+103/POWER(1+('CurrentPor-N10Unchanged'!D199+'CurrentPor-N10Unchanged'!I199)/100,2))*100</f>
        <v>9579.8614289936904</v>
      </c>
      <c r="F199">
        <f>Portfolio!B$5*'CurrentPor-N10Unchanged'!E199</f>
        <v>52143.895533915893</v>
      </c>
      <c r="G199">
        <f>Portfolio!B$6*'CurrentPor-N10Unchanged'!F199</f>
        <v>3696.2945087936532</v>
      </c>
      <c r="H199">
        <f>Portfolio!B$7*'CurrentPor-N10Unchanged'!J199</f>
        <v>2064.4073903897424</v>
      </c>
      <c r="I199">
        <f t="shared" si="6"/>
        <v>96426.407288517512</v>
      </c>
      <c r="J199">
        <f t="shared" si="7"/>
        <v>1.0421499888034305</v>
      </c>
    </row>
    <row r="200" spans="1:10">
      <c r="A200" s="1">
        <v>45749</v>
      </c>
      <c r="B200">
        <f>(3/(1+('CurrentPor-N10Unchanged'!C200)/100)+103/POWER(1+('CurrentPor-N10Unchanged'!D200)/100,2))*100</f>
        <v>9707.5857774288397</v>
      </c>
      <c r="C200">
        <f>(3/(1+('CurrentPor-N10Unchanged'!C200+'CurrentPor-N10Unchanged'!G200)/100)+103/POWER(1+('CurrentPor-N10Unchanged'!D200+'CurrentPor-N10Unchanged'!G200)/100,2))*100</f>
        <v>9645.8054394874944</v>
      </c>
      <c r="D200">
        <f>(3/(1+('CurrentPor-N10Unchanged'!C200+'CurrentPor-N10Unchanged'!H200)/100)+103/POWER(1+('CurrentPor-N10Unchanged'!D200+'CurrentPor-N10Unchanged'!H200)/100,2))*100</f>
        <v>9585.3384234862369</v>
      </c>
      <c r="E200">
        <f>(3/(1+('CurrentPor-N10Unchanged'!C200+'CurrentPor-N10Unchanged'!I200)/100)+103/POWER(1+('CurrentPor-N10Unchanged'!D200+'CurrentPor-N10Unchanged'!I200)/100,2))*100</f>
        <v>9578.9470947184327</v>
      </c>
      <c r="F200">
        <f>Portfolio!B$5*'CurrentPor-N10Unchanged'!E200</f>
        <v>52143.895533915893</v>
      </c>
      <c r="G200">
        <f>Portfolio!B$6*'CurrentPor-N10Unchanged'!F200</f>
        <v>3696.2945087936532</v>
      </c>
      <c r="H200">
        <f>Portfolio!B$7*'CurrentPor-N10Unchanged'!J200</f>
        <v>2064.3930144591172</v>
      </c>
      <c r="I200">
        <f t="shared" si="6"/>
        <v>96422.259792289668</v>
      </c>
      <c r="J200">
        <f t="shared" si="7"/>
        <v>-31.959896665226552</v>
      </c>
    </row>
    <row r="201" spans="1:10">
      <c r="A201" s="1">
        <v>45750</v>
      </c>
      <c r="B201">
        <f>(3/(1+('CurrentPor-N10Unchanged'!C201)/100)+103/POWER(1+('CurrentPor-N10Unchanged'!D201)/100,2))*100</f>
        <v>9707.5857774288397</v>
      </c>
      <c r="C201">
        <f>(3/(1+('CurrentPor-N10Unchanged'!C201+'CurrentPor-N10Unchanged'!G201)/100)+103/POWER(1+('CurrentPor-N10Unchanged'!D201+'CurrentPor-N10Unchanged'!G201)/100,2))*100</f>
        <v>9649.9902804390349</v>
      </c>
      <c r="D201">
        <f>(3/(1+('CurrentPor-N10Unchanged'!C201+'CurrentPor-N10Unchanged'!H201)/100)+103/POWER(1+('CurrentPor-N10Unchanged'!D201+'CurrentPor-N10Unchanged'!H201)/100,2))*100</f>
        <v>9604.6807048775063</v>
      </c>
      <c r="E201">
        <f>(3/(1+('CurrentPor-N10Unchanged'!C201+'CurrentPor-N10Unchanged'!I201)/100)+103/POWER(1+('CurrentPor-N10Unchanged'!D201+'CurrentPor-N10Unchanged'!I201)/100,2))*100</f>
        <v>9580.5931539777375</v>
      </c>
      <c r="F201">
        <f>Portfolio!B$5*'CurrentPor-N10Unchanged'!E201</f>
        <v>52143.895533915893</v>
      </c>
      <c r="G201">
        <f>Portfolio!B$6*'CurrentPor-N10Unchanged'!F201</f>
        <v>3696.2945087936532</v>
      </c>
      <c r="H201">
        <f>Portfolio!B$7*'CurrentPor-N10Unchanged'!J201</f>
        <v>2064.4023558379804</v>
      </c>
      <c r="I201">
        <f t="shared" si="6"/>
        <v>96447.442315270659</v>
      </c>
      <c r="J201">
        <f t="shared" si="7"/>
        <v>-16.163269468786893</v>
      </c>
    </row>
    <row r="202" spans="1:10">
      <c r="A202" s="1">
        <v>45751</v>
      </c>
      <c r="B202">
        <f>(3/(1+('CurrentPor-N10Unchanged'!C202)/100)+103/POWER(1+('CurrentPor-N10Unchanged'!D202)/100,2))*100</f>
        <v>9707.5857774288397</v>
      </c>
      <c r="C202">
        <f>(3/(1+('CurrentPor-N10Unchanged'!C202+'CurrentPor-N10Unchanged'!G202)/100)+103/POWER(1+('CurrentPor-N10Unchanged'!D202+'CurrentPor-N10Unchanged'!G202)/100,2))*100</f>
        <v>9655.200658732052</v>
      </c>
      <c r="D202">
        <f>(3/(1+('CurrentPor-N10Unchanged'!C202+'CurrentPor-N10Unchanged'!H202)/100)+103/POWER(1+('CurrentPor-N10Unchanged'!D202+'CurrentPor-N10Unchanged'!H202)/100,2))*100</f>
        <v>9594.4475817672246</v>
      </c>
      <c r="E202">
        <f>(3/(1+('CurrentPor-N10Unchanged'!C202+'CurrentPor-N10Unchanged'!I202)/100)+103/POWER(1+('CurrentPor-N10Unchanged'!D202+'CurrentPor-N10Unchanged'!I202)/100,2))*100</f>
        <v>9579.580617643187</v>
      </c>
      <c r="F202">
        <f>Portfolio!B$5*'CurrentPor-N10Unchanged'!E202</f>
        <v>52143.895533915893</v>
      </c>
      <c r="G202">
        <f>Portfolio!B$6*'CurrentPor-N10Unchanged'!F202</f>
        <v>3696.2945087936532</v>
      </c>
      <c r="H202">
        <f>Portfolio!B$7*'CurrentPor-N10Unchanged'!J202</f>
        <v>2064.4019950456754</v>
      </c>
      <c r="I202">
        <f t="shared" si="6"/>
        <v>96441.406673326521</v>
      </c>
      <c r="J202">
        <f t="shared" si="7"/>
        <v>3.6325128908647457</v>
      </c>
    </row>
    <row r="203" spans="1:10">
      <c r="A203" s="1">
        <v>45754</v>
      </c>
      <c r="B203">
        <f>(3/(1+('CurrentPor-N10Unchanged'!C203)/100)+103/POWER(1+('CurrentPor-N10Unchanged'!D203)/100,2))*100</f>
        <v>9707.5857774288397</v>
      </c>
      <c r="C203">
        <f>(3/(1+('CurrentPor-N10Unchanged'!C203+'CurrentPor-N10Unchanged'!G203)/100)+103/POWER(1+('CurrentPor-N10Unchanged'!D203+'CurrentPor-N10Unchanged'!G203)/100,2))*100</f>
        <v>9647.4124356729208</v>
      </c>
      <c r="D203">
        <f>(3/(1+('CurrentPor-N10Unchanged'!C203+'CurrentPor-N10Unchanged'!H203)/100)+103/POWER(1+('CurrentPor-N10Unchanged'!D203+'CurrentPor-N10Unchanged'!H203)/100,2))*100</f>
        <v>9592.1545286175424</v>
      </c>
      <c r="E203">
        <f>(3/(1+('CurrentPor-N10Unchanged'!C203+'CurrentPor-N10Unchanged'!I203)/100)+103/POWER(1+('CurrentPor-N10Unchanged'!D203+'CurrentPor-N10Unchanged'!I203)/100,2))*100</f>
        <v>9580.0890355199026</v>
      </c>
      <c r="F203">
        <f>Portfolio!B$5*'CurrentPor-N10Unchanged'!E203</f>
        <v>52143.895533915893</v>
      </c>
      <c r="G203">
        <f>Portfolio!B$6*'CurrentPor-N10Unchanged'!F203</f>
        <v>3696.2945087936532</v>
      </c>
      <c r="H203">
        <f>Portfolio!B$7*'CurrentPor-N10Unchanged'!J203</f>
        <v>2064.3981450224614</v>
      </c>
      <c r="I203">
        <f t="shared" si="6"/>
        <v>96431.829964971213</v>
      </c>
      <c r="J203">
        <f t="shared" si="7"/>
        <v>-9.8742900482902769</v>
      </c>
    </row>
    <row r="204" spans="1:10">
      <c r="A204" s="1">
        <v>45755</v>
      </c>
      <c r="B204">
        <f>(3/(1+('CurrentPor-N10Unchanged'!C204)/100)+103/POWER(1+('CurrentPor-N10Unchanged'!D204)/100,2))*100</f>
        <v>9707.5857774288397</v>
      </c>
      <c r="C204">
        <f>(3/(1+('CurrentPor-N10Unchanged'!C204+'CurrentPor-N10Unchanged'!G204)/100)+103/POWER(1+('CurrentPor-N10Unchanged'!D204+'CurrentPor-N10Unchanged'!G204)/100,2))*100</f>
        <v>9654.5198898354465</v>
      </c>
      <c r="D204">
        <f>(3/(1+('CurrentPor-N10Unchanged'!C204+'CurrentPor-N10Unchanged'!H204)/100)+103/POWER(1+('CurrentPor-N10Unchanged'!D204+'CurrentPor-N10Unchanged'!H204)/100,2))*100</f>
        <v>9602.2104434592766</v>
      </c>
      <c r="E204">
        <f>(3/(1+('CurrentPor-N10Unchanged'!C204+'CurrentPor-N10Unchanged'!I204)/100)+103/POWER(1+('CurrentPor-N10Unchanged'!D204+'CurrentPor-N10Unchanged'!I204)/100,2))*100</f>
        <v>9577.4744915782867</v>
      </c>
      <c r="F204">
        <f>Portfolio!B$5*'CurrentPor-N10Unchanged'!E204</f>
        <v>52143.895533915893</v>
      </c>
      <c r="G204">
        <f>Portfolio!B$6*'CurrentPor-N10Unchanged'!F204</f>
        <v>3696.2945087936532</v>
      </c>
      <c r="H204">
        <f>Portfolio!B$7*'CurrentPor-N10Unchanged'!J204</f>
        <v>2064.397130628272</v>
      </c>
      <c r="I204">
        <f t="shared" si="6"/>
        <v>96446.377775639674</v>
      </c>
      <c r="J204">
        <f t="shared" si="7"/>
        <v>-1.8264947578863939</v>
      </c>
    </row>
    <row r="205" spans="1:10">
      <c r="A205" s="1">
        <v>45756</v>
      </c>
      <c r="B205">
        <f>(3/(1+('CurrentPor-N10Unchanged'!C205)/100)+103/POWER(1+('CurrentPor-N10Unchanged'!D205)/100,2))*100</f>
        <v>9707.5857774288397</v>
      </c>
      <c r="C205">
        <f>(3/(1+('CurrentPor-N10Unchanged'!C205+'CurrentPor-N10Unchanged'!G205)/100)+103/POWER(1+('CurrentPor-N10Unchanged'!D205+'CurrentPor-N10Unchanged'!G205)/100,2))*100</f>
        <v>9646.6206418266629</v>
      </c>
      <c r="D205">
        <f>(3/(1+('CurrentPor-N10Unchanged'!C205+'CurrentPor-N10Unchanged'!H205)/100)+103/POWER(1+('CurrentPor-N10Unchanged'!D205+'CurrentPor-N10Unchanged'!H205)/100,2))*100</f>
        <v>9575.6895528802452</v>
      </c>
      <c r="E205">
        <f>(3/(1+('CurrentPor-N10Unchanged'!C205+'CurrentPor-N10Unchanged'!I205)/100)+103/POWER(1+('CurrentPor-N10Unchanged'!D205+'CurrentPor-N10Unchanged'!I205)/100,2))*100</f>
        <v>9579.3318572727694</v>
      </c>
      <c r="F205">
        <f>Portfolio!B$5*'CurrentPor-N10Unchanged'!E205</f>
        <v>52143.895533915893</v>
      </c>
      <c r="G205">
        <f>Portfolio!B$6*'CurrentPor-N10Unchanged'!F205</f>
        <v>3696.2945087936532</v>
      </c>
      <c r="H205">
        <f>Portfolio!B$7*'CurrentPor-N10Unchanged'!J205</f>
        <v>2064.3936442014797</v>
      </c>
      <c r="I205">
        <f t="shared" si="6"/>
        <v>96413.811516319547</v>
      </c>
      <c r="J205">
        <f t="shared" si="7"/>
        <v>-23.532700823183404</v>
      </c>
    </row>
    <row r="206" spans="1:10">
      <c r="A206" s="1">
        <v>45757</v>
      </c>
      <c r="B206">
        <f>(3/(1+('CurrentPor-N10Unchanged'!C206)/100)+103/POWER(1+('CurrentPor-N10Unchanged'!D206)/100,2))*100</f>
        <v>9707.5857774288397</v>
      </c>
      <c r="C206">
        <f>(3/(1+('CurrentPor-N10Unchanged'!C206+'CurrentPor-N10Unchanged'!G206)/100)+103/POWER(1+('CurrentPor-N10Unchanged'!D206+'CurrentPor-N10Unchanged'!G206)/100,2))*100</f>
        <v>9634.7033366477299</v>
      </c>
      <c r="D206">
        <f>(3/(1+('CurrentPor-N10Unchanged'!C206+'CurrentPor-N10Unchanged'!H206)/100)+103/POWER(1+('CurrentPor-N10Unchanged'!D206+'CurrentPor-N10Unchanged'!H206)/100,2))*100</f>
        <v>9599.1470407770994</v>
      </c>
      <c r="E206">
        <f>(3/(1+('CurrentPor-N10Unchanged'!C206+'CurrentPor-N10Unchanged'!I206)/100)+103/POWER(1+('CurrentPor-N10Unchanged'!D206+'CurrentPor-N10Unchanged'!I206)/100,2))*100</f>
        <v>9579.8326749195712</v>
      </c>
      <c r="F206">
        <f>Portfolio!B$5*'CurrentPor-N10Unchanged'!E206</f>
        <v>52143.895533915893</v>
      </c>
      <c r="G206">
        <f>Portfolio!B$6*'CurrentPor-N10Unchanged'!F206</f>
        <v>3696.2945087936532</v>
      </c>
      <c r="H206">
        <f>Portfolio!B$7*'CurrentPor-N10Unchanged'!J206</f>
        <v>2064.408110306716</v>
      </c>
      <c r="I206">
        <f t="shared" si="6"/>
        <v>96425.866982789506</v>
      </c>
      <c r="J206">
        <f t="shared" si="7"/>
        <v>-19.242231834898121</v>
      </c>
    </row>
    <row r="207" spans="1:10">
      <c r="A207" s="1">
        <v>45758</v>
      </c>
      <c r="B207">
        <f>(3/(1+('CurrentPor-N10Unchanged'!C207)/100)+103/POWER(1+('CurrentPor-N10Unchanged'!D207)/100,2))*100</f>
        <v>9707.5857774288397</v>
      </c>
      <c r="C207">
        <f>(3/(1+('CurrentPor-N10Unchanged'!C207+'CurrentPor-N10Unchanged'!G207)/100)+103/POWER(1+('CurrentPor-N10Unchanged'!D207+'CurrentPor-N10Unchanged'!G207)/100,2))*100</f>
        <v>9647.1932491235348</v>
      </c>
      <c r="D207">
        <f>(3/(1+('CurrentPor-N10Unchanged'!C207+'CurrentPor-N10Unchanged'!H207)/100)+103/POWER(1+('CurrentPor-N10Unchanged'!D207+'CurrentPor-N10Unchanged'!H207)/100,2))*100</f>
        <v>9608.8092282369835</v>
      </c>
      <c r="E207">
        <f>(3/(1+('CurrentPor-N10Unchanged'!C207+'CurrentPor-N10Unchanged'!I207)/100)+103/POWER(1+('CurrentPor-N10Unchanged'!D207+'CurrentPor-N10Unchanged'!I207)/100,2))*100</f>
        <v>9580.4885829514042</v>
      </c>
      <c r="F207">
        <f>Portfolio!B$5*'CurrentPor-N10Unchanged'!E207</f>
        <v>52143.895533915893</v>
      </c>
      <c r="G207">
        <f>Portfolio!B$6*'CurrentPor-N10Unchanged'!F207</f>
        <v>3696.2945087936532</v>
      </c>
      <c r="H207">
        <f>Portfolio!B$7*'CurrentPor-N10Unchanged'!J207</f>
        <v>2064.4090961173033</v>
      </c>
      <c r="I207">
        <f t="shared" si="6"/>
        <v>96448.675976567611</v>
      </c>
      <c r="J207">
        <f t="shared" si="7"/>
        <v>19.99317786496249</v>
      </c>
    </row>
    <row r="208" spans="1:10">
      <c r="A208" s="1">
        <v>45761</v>
      </c>
      <c r="B208">
        <f>(3/(1+('CurrentPor-N10Unchanged'!C208)/100)+103/POWER(1+('CurrentPor-N10Unchanged'!D208)/100,2))*100</f>
        <v>9707.5857774288397</v>
      </c>
      <c r="C208">
        <f>(3/(1+('CurrentPor-N10Unchanged'!C208+'CurrentPor-N10Unchanged'!G208)/100)+103/POWER(1+('CurrentPor-N10Unchanged'!D208+'CurrentPor-N10Unchanged'!G208)/100,2))*100</f>
        <v>9633.4368832101572</v>
      </c>
      <c r="D208">
        <f>(3/(1+('CurrentPor-N10Unchanged'!C208+'CurrentPor-N10Unchanged'!H208)/100)+103/POWER(1+('CurrentPor-N10Unchanged'!D208+'CurrentPor-N10Unchanged'!H208)/100,2))*100</f>
        <v>9587.2812008711026</v>
      </c>
      <c r="E208">
        <f>(3/(1+('CurrentPor-N10Unchanged'!C208+'CurrentPor-N10Unchanged'!I208)/100)+103/POWER(1+('CurrentPor-N10Unchanged'!D208+'CurrentPor-N10Unchanged'!I208)/100,2))*100</f>
        <v>9582.2911040117997</v>
      </c>
      <c r="F208">
        <f>Portfolio!B$5*'CurrentPor-N10Unchanged'!E208</f>
        <v>52143.895533915893</v>
      </c>
      <c r="G208">
        <f>Portfolio!B$6*'CurrentPor-N10Unchanged'!F208</f>
        <v>3696.2945087936532</v>
      </c>
      <c r="H208">
        <f>Portfolio!B$7*'CurrentPor-N10Unchanged'!J208</f>
        <v>2064.4002881265824</v>
      </c>
      <c r="I208">
        <f t="shared" si="6"/>
        <v>96415.185296358017</v>
      </c>
      <c r="J208">
        <f t="shared" si="7"/>
        <v>-26.947454425331671</v>
      </c>
    </row>
    <row r="209" spans="1:10">
      <c r="A209" s="1">
        <v>45762</v>
      </c>
      <c r="B209">
        <f>(3/(1+('CurrentPor-N10Unchanged'!C209)/100)+103/POWER(1+('CurrentPor-N10Unchanged'!D209)/100,2))*100</f>
        <v>9707.5857774288397</v>
      </c>
      <c r="C209">
        <f>(3/(1+('CurrentPor-N10Unchanged'!C209+'CurrentPor-N10Unchanged'!G209)/100)+103/POWER(1+('CurrentPor-N10Unchanged'!D209+'CurrentPor-N10Unchanged'!G209)/100,2))*100</f>
        <v>9649.8047479716624</v>
      </c>
      <c r="D209">
        <f>(3/(1+('CurrentPor-N10Unchanged'!C209+'CurrentPor-N10Unchanged'!H209)/100)+103/POWER(1+('CurrentPor-N10Unchanged'!D209+'CurrentPor-N10Unchanged'!H209)/100,2))*100</f>
        <v>9597.2389014352339</v>
      </c>
      <c r="E209">
        <f>(3/(1+('CurrentPor-N10Unchanged'!C209+'CurrentPor-N10Unchanged'!I209)/100)+103/POWER(1+('CurrentPor-N10Unchanged'!D209+'CurrentPor-N10Unchanged'!I209)/100,2))*100</f>
        <v>9582.2866714527445</v>
      </c>
      <c r="F209">
        <f>Portfolio!B$5*'CurrentPor-N10Unchanged'!E209</f>
        <v>52143.895533915893</v>
      </c>
      <c r="G209">
        <f>Portfolio!B$6*'CurrentPor-N10Unchanged'!F209</f>
        <v>3696.2945087936532</v>
      </c>
      <c r="H209">
        <f>Portfolio!B$7*'CurrentPor-N10Unchanged'!J209</f>
        <v>2064.3999012969766</v>
      </c>
      <c r="I209">
        <f t="shared" si="6"/>
        <v>96441.50604229499</v>
      </c>
      <c r="J209">
        <f t="shared" si="7"/>
        <v>15.098753777478123</v>
      </c>
    </row>
    <row r="210" spans="1:10">
      <c r="A210" s="1">
        <v>45763</v>
      </c>
      <c r="B210">
        <f>(3/(1+('CurrentPor-N10Unchanged'!C210)/100)+103/POWER(1+('CurrentPor-N10Unchanged'!D210)/100,2))*100</f>
        <v>9707.5857774288397</v>
      </c>
      <c r="C210">
        <f>(3/(1+('CurrentPor-N10Unchanged'!C210+'CurrentPor-N10Unchanged'!G210)/100)+103/POWER(1+('CurrentPor-N10Unchanged'!D210+'CurrentPor-N10Unchanged'!G210)/100,2))*100</f>
        <v>9643.9979123927151</v>
      </c>
      <c r="D210">
        <f>(3/(1+('CurrentPor-N10Unchanged'!C210+'CurrentPor-N10Unchanged'!H210)/100)+103/POWER(1+('CurrentPor-N10Unchanged'!D210+'CurrentPor-N10Unchanged'!H210)/100,2))*100</f>
        <v>9609.2692128664075</v>
      </c>
      <c r="E210">
        <f>(3/(1+('CurrentPor-N10Unchanged'!C210+'CurrentPor-N10Unchanged'!I210)/100)+103/POWER(1+('CurrentPor-N10Unchanged'!D210+'CurrentPor-N10Unchanged'!I210)/100,2))*100</f>
        <v>9580.4366410927123</v>
      </c>
      <c r="F210">
        <f>Portfolio!B$5*'CurrentPor-N10Unchanged'!E210</f>
        <v>52143.895533915893</v>
      </c>
      <c r="G210">
        <f>Portfolio!B$6*'CurrentPor-N10Unchanged'!F210</f>
        <v>3696.2945087936532</v>
      </c>
      <c r="H210">
        <f>Portfolio!B$7*'CurrentPor-N10Unchanged'!J210</f>
        <v>2064.3949062206511</v>
      </c>
      <c r="I210">
        <f t="shared" si="6"/>
        <v>96445.874492710878</v>
      </c>
      <c r="J210">
        <f t="shared" si="7"/>
        <v>23.614700421210728</v>
      </c>
    </row>
    <row r="211" spans="1:10">
      <c r="A211" s="1">
        <v>45764</v>
      </c>
      <c r="B211">
        <f>(3/(1+('CurrentPor-N10Unchanged'!C211)/100)+103/POWER(1+('CurrentPor-N10Unchanged'!D211)/100,2))*100</f>
        <v>9707.5857774288397</v>
      </c>
      <c r="C211">
        <f>(3/(1+('CurrentPor-N10Unchanged'!C211+'CurrentPor-N10Unchanged'!G211)/100)+103/POWER(1+('CurrentPor-N10Unchanged'!D211+'CurrentPor-N10Unchanged'!G211)/100,2))*100</f>
        <v>9639.9980040705886</v>
      </c>
      <c r="D211">
        <f>(3/(1+('CurrentPor-N10Unchanged'!C211+'CurrentPor-N10Unchanged'!H211)/100)+103/POWER(1+('CurrentPor-N10Unchanged'!D211+'CurrentPor-N10Unchanged'!H211)/100,2))*100</f>
        <v>9607.2616685294888</v>
      </c>
      <c r="E211">
        <f>(3/(1+('CurrentPor-N10Unchanged'!C211+'CurrentPor-N10Unchanged'!I211)/100)+103/POWER(1+('CurrentPor-N10Unchanged'!D211+'CurrentPor-N10Unchanged'!I211)/100,2))*100</f>
        <v>9580.8447310471183</v>
      </c>
      <c r="F211">
        <f>Portfolio!B$5*'CurrentPor-N10Unchanged'!E211</f>
        <v>52143.895533915893</v>
      </c>
      <c r="G211">
        <f>Portfolio!B$6*'CurrentPor-N10Unchanged'!F211</f>
        <v>3696.2945087936532</v>
      </c>
      <c r="H211">
        <f>Portfolio!B$7*'CurrentPor-N10Unchanged'!J211</f>
        <v>2064.3990050773032</v>
      </c>
      <c r="I211">
        <f t="shared" si="6"/>
        <v>96440.279228862884</v>
      </c>
      <c r="J211">
        <f t="shared" si="7"/>
        <v>-7.1630864077742444</v>
      </c>
    </row>
    <row r="212" spans="1:10">
      <c r="A212" s="1">
        <v>45765</v>
      </c>
      <c r="B212">
        <f>(3/(1+('CurrentPor-N10Unchanged'!C212)/100)+103/POWER(1+('CurrentPor-N10Unchanged'!D212)/100,2))*100</f>
        <v>9707.5857774288397</v>
      </c>
      <c r="C212">
        <f>(3/(1+('CurrentPor-N10Unchanged'!C212+'CurrentPor-N10Unchanged'!G212)/100)+103/POWER(1+('CurrentPor-N10Unchanged'!D212+'CurrentPor-N10Unchanged'!G212)/100,2))*100</f>
        <v>9639.5034991930734</v>
      </c>
      <c r="D212">
        <f>(3/(1+('CurrentPor-N10Unchanged'!C212+'CurrentPor-N10Unchanged'!H212)/100)+103/POWER(1+('CurrentPor-N10Unchanged'!D212+'CurrentPor-N10Unchanged'!H212)/100,2))*100</f>
        <v>9598.8375028257615</v>
      </c>
      <c r="E212">
        <f>(3/(1+('CurrentPor-N10Unchanged'!C212+'CurrentPor-N10Unchanged'!I212)/100)+103/POWER(1+('CurrentPor-N10Unchanged'!D212+'CurrentPor-N10Unchanged'!I212)/100,2))*100</f>
        <v>9579.5132129173362</v>
      </c>
      <c r="F212">
        <f>Portfolio!B$5*'CurrentPor-N10Unchanged'!E212</f>
        <v>52143.895533915893</v>
      </c>
      <c r="G212">
        <f>Portfolio!B$6*'CurrentPor-N10Unchanged'!F212</f>
        <v>3696.2945087936532</v>
      </c>
      <c r="H212">
        <f>Portfolio!B$7*'CurrentPor-N10Unchanged'!J212</f>
        <v>2064.4091608983817</v>
      </c>
      <c r="I212">
        <f t="shared" si="6"/>
        <v>96430.039195972931</v>
      </c>
      <c r="J212">
        <f t="shared" si="7"/>
        <v>-11.367477353589493</v>
      </c>
    </row>
    <row r="213" spans="1:10">
      <c r="A213" s="1">
        <v>45768</v>
      </c>
      <c r="B213">
        <f>(3/(1+('CurrentPor-N10Unchanged'!C213)/100)+103/POWER(1+('CurrentPor-N10Unchanged'!D213)/100,2))*100</f>
        <v>9707.5857774288397</v>
      </c>
      <c r="C213">
        <f>(3/(1+('CurrentPor-N10Unchanged'!C213+'CurrentPor-N10Unchanged'!G213)/100)+103/POWER(1+('CurrentPor-N10Unchanged'!D213+'CurrentPor-N10Unchanged'!G213)/100,2))*100</f>
        <v>9642.0509443110041</v>
      </c>
      <c r="D213">
        <f>(3/(1+('CurrentPor-N10Unchanged'!C213+'CurrentPor-N10Unchanged'!H213)/100)+103/POWER(1+('CurrentPor-N10Unchanged'!D213+'CurrentPor-N10Unchanged'!H213)/100,2))*100</f>
        <v>9605.445928657351</v>
      </c>
      <c r="E213">
        <f>(3/(1+('CurrentPor-N10Unchanged'!C213+'CurrentPor-N10Unchanged'!I213)/100)+103/POWER(1+('CurrentPor-N10Unchanged'!D213+'CurrentPor-N10Unchanged'!I213)/100,2))*100</f>
        <v>9580.0160112982776</v>
      </c>
      <c r="F213">
        <f>Portfolio!B$5*'CurrentPor-N10Unchanged'!E213</f>
        <v>52143.895533915893</v>
      </c>
      <c r="G213">
        <f>Portfolio!B$6*'CurrentPor-N10Unchanged'!F213</f>
        <v>3696.2945087936532</v>
      </c>
      <c r="H213">
        <f>Portfolio!B$7*'CurrentPor-N10Unchanged'!J213</f>
        <v>2064.3972181152649</v>
      </c>
      <c r="I213">
        <f t="shared" si="6"/>
        <v>96439.685922520279</v>
      </c>
      <c r="J213">
        <f t="shared" si="7"/>
        <v>7.8559575490653515</v>
      </c>
    </row>
    <row r="214" spans="1:10">
      <c r="A214" s="1">
        <v>45769</v>
      </c>
      <c r="B214">
        <f>(3/(1+('CurrentPor-N10Unchanged'!C214)/100)+103/POWER(1+('CurrentPor-N10Unchanged'!D214)/100,2))*100</f>
        <v>9707.5857774288397</v>
      </c>
      <c r="C214">
        <f>(3/(1+('CurrentPor-N10Unchanged'!C214+'CurrentPor-N10Unchanged'!G214)/100)+103/POWER(1+('CurrentPor-N10Unchanged'!D214+'CurrentPor-N10Unchanged'!G214)/100,2))*100</f>
        <v>9652.6575591464825</v>
      </c>
      <c r="D214">
        <f>(3/(1+('CurrentPor-N10Unchanged'!C214+'CurrentPor-N10Unchanged'!H214)/100)+103/POWER(1+('CurrentPor-N10Unchanged'!D214+'CurrentPor-N10Unchanged'!H214)/100,2))*100</f>
        <v>9612.6754825690132</v>
      </c>
      <c r="E214">
        <f>(3/(1+('CurrentPor-N10Unchanged'!C214+'CurrentPor-N10Unchanged'!I214)/100)+103/POWER(1+('CurrentPor-N10Unchanged'!D214+'CurrentPor-N10Unchanged'!I214)/100,2))*100</f>
        <v>9580.6461702907818</v>
      </c>
      <c r="F214">
        <f>Portfolio!B$5*'CurrentPor-N10Unchanged'!E214</f>
        <v>52143.895533915893</v>
      </c>
      <c r="G214">
        <f>Portfolio!B$6*'CurrentPor-N10Unchanged'!F214</f>
        <v>3696.2945087936532</v>
      </c>
      <c r="H214">
        <f>Portfolio!B$7*'CurrentPor-N10Unchanged'!J214</f>
        <v>2064.3942880008622</v>
      </c>
      <c r="I214">
        <f t="shared" si="6"/>
        <v>96458.149320145531</v>
      </c>
      <c r="J214">
        <f t="shared" si="7"/>
        <v>11.771544505856582</v>
      </c>
    </row>
    <row r="215" spans="1:10">
      <c r="A215" s="1">
        <v>45770</v>
      </c>
      <c r="B215">
        <f>(3/(1+('CurrentPor-N10Unchanged'!C215)/100)+103/POWER(1+('CurrentPor-N10Unchanged'!D215)/100,2))*100</f>
        <v>9707.5857774288397</v>
      </c>
      <c r="C215">
        <f>(3/(1+('CurrentPor-N10Unchanged'!C215+'CurrentPor-N10Unchanged'!G215)/100)+103/POWER(1+('CurrentPor-N10Unchanged'!D215+'CurrentPor-N10Unchanged'!G215)/100,2))*100</f>
        <v>9644.5302009398765</v>
      </c>
      <c r="D215">
        <f>(3/(1+('CurrentPor-N10Unchanged'!C215+'CurrentPor-N10Unchanged'!H215)/100)+103/POWER(1+('CurrentPor-N10Unchanged'!D215+'CurrentPor-N10Unchanged'!H215)/100,2))*100</f>
        <v>9591.0603875672477</v>
      </c>
      <c r="E215">
        <f>(3/(1+('CurrentPor-N10Unchanged'!C215+'CurrentPor-N10Unchanged'!I215)/100)+103/POWER(1+('CurrentPor-N10Unchanged'!D215+'CurrentPor-N10Unchanged'!I215)/100,2))*100</f>
        <v>9581.1060732120277</v>
      </c>
      <c r="F215">
        <f>Portfolio!B$5*'CurrentPor-N10Unchanged'!E215</f>
        <v>52143.895533915893</v>
      </c>
      <c r="G215">
        <f>Portfolio!B$6*'CurrentPor-N10Unchanged'!F215</f>
        <v>3696.2945087936532</v>
      </c>
      <c r="H215">
        <f>Portfolio!B$7*'CurrentPor-N10Unchanged'!J215</f>
        <v>2064.4027107376464</v>
      </c>
      <c r="I215">
        <f t="shared" si="6"/>
        <v>96428.875192595195</v>
      </c>
      <c r="J215">
        <f t="shared" si="7"/>
        <v>15.063676275647595</v>
      </c>
    </row>
    <row r="216" spans="1:10">
      <c r="A216" s="1">
        <v>45771</v>
      </c>
      <c r="B216">
        <f>(3/(1+('CurrentPor-N10Unchanged'!C216)/100)+103/POWER(1+('CurrentPor-N10Unchanged'!D216)/100,2))*100</f>
        <v>9707.5857774288397</v>
      </c>
      <c r="C216">
        <f>(3/(1+('CurrentPor-N10Unchanged'!C216+'CurrentPor-N10Unchanged'!G216)/100)+103/POWER(1+('CurrentPor-N10Unchanged'!D216+'CurrentPor-N10Unchanged'!G216)/100,2))*100</f>
        <v>9626.1882367315247</v>
      </c>
      <c r="D216">
        <f>(3/(1+('CurrentPor-N10Unchanged'!C216+'CurrentPor-N10Unchanged'!H216)/100)+103/POWER(1+('CurrentPor-N10Unchanged'!D216+'CurrentPor-N10Unchanged'!H216)/100,2))*100</f>
        <v>9613.7113936162423</v>
      </c>
      <c r="E216">
        <f>(3/(1+('CurrentPor-N10Unchanged'!C216+'CurrentPor-N10Unchanged'!I216)/100)+103/POWER(1+('CurrentPor-N10Unchanged'!D216+'CurrentPor-N10Unchanged'!I216)/100,2))*100</f>
        <v>9579.9643646704317</v>
      </c>
      <c r="F216">
        <f>Portfolio!B$5*'CurrentPor-N10Unchanged'!E216</f>
        <v>52143.895533915893</v>
      </c>
      <c r="G216">
        <f>Portfolio!B$6*'CurrentPor-N10Unchanged'!F216</f>
        <v>3696.2945087936532</v>
      </c>
      <c r="H216">
        <f>Portfolio!B$7*'CurrentPor-N10Unchanged'!J216</f>
        <v>2064.4064033664572</v>
      </c>
      <c r="I216">
        <f t="shared" si="6"/>
        <v>96432.046218523043</v>
      </c>
      <c r="J216">
        <f t="shared" si="7"/>
        <v>6.1792357335361885</v>
      </c>
    </row>
    <row r="217" spans="1:10">
      <c r="A217" s="1">
        <v>45772</v>
      </c>
      <c r="B217">
        <f>(3/(1+('CurrentPor-N10Unchanged'!C217)/100)+103/POWER(1+('CurrentPor-N10Unchanged'!D217)/100,2))*100</f>
        <v>9707.5857774288397</v>
      </c>
      <c r="C217">
        <f>(3/(1+('CurrentPor-N10Unchanged'!C217+'CurrentPor-N10Unchanged'!G217)/100)+103/POWER(1+('CurrentPor-N10Unchanged'!D217+'CurrentPor-N10Unchanged'!G217)/100,2))*100</f>
        <v>9641.8705028039603</v>
      </c>
      <c r="D217">
        <f>(3/(1+('CurrentPor-N10Unchanged'!C217+'CurrentPor-N10Unchanged'!H217)/100)+103/POWER(1+('CurrentPor-N10Unchanged'!D217+'CurrentPor-N10Unchanged'!H217)/100,2))*100</f>
        <v>9594.564727189756</v>
      </c>
      <c r="E217">
        <f>(3/(1+('CurrentPor-N10Unchanged'!C217+'CurrentPor-N10Unchanged'!I217)/100)+103/POWER(1+('CurrentPor-N10Unchanged'!D217+'CurrentPor-N10Unchanged'!I217)/100,2))*100</f>
        <v>9581.2738336585917</v>
      </c>
      <c r="F217">
        <f>Portfolio!B$5*'CurrentPor-N10Unchanged'!E217</f>
        <v>52143.895533915893</v>
      </c>
      <c r="G217">
        <f>Portfolio!B$6*'CurrentPor-N10Unchanged'!F217</f>
        <v>3696.2945087936532</v>
      </c>
      <c r="H217">
        <f>Portfolio!B$7*'CurrentPor-N10Unchanged'!J217</f>
        <v>2064.4105189824886</v>
      </c>
      <c r="I217">
        <f t="shared" si="6"/>
        <v>96429.895402773182</v>
      </c>
      <c r="J217">
        <f t="shared" si="7"/>
        <v>-18.780573794429074</v>
      </c>
    </row>
    <row r="218" spans="1:10">
      <c r="A218" s="1">
        <v>45775</v>
      </c>
      <c r="B218">
        <f>(3/(1+('CurrentPor-N10Unchanged'!C218)/100)+103/POWER(1+('CurrentPor-N10Unchanged'!D218)/100,2))*100</f>
        <v>9707.5857774288397</v>
      </c>
      <c r="C218">
        <f>(3/(1+('CurrentPor-N10Unchanged'!C218+'CurrentPor-N10Unchanged'!G218)/100)+103/POWER(1+('CurrentPor-N10Unchanged'!D218+'CurrentPor-N10Unchanged'!G218)/100,2))*100</f>
        <v>9647.8390182945259</v>
      </c>
      <c r="D218">
        <f>(3/(1+('CurrentPor-N10Unchanged'!C218+'CurrentPor-N10Unchanged'!H218)/100)+103/POWER(1+('CurrentPor-N10Unchanged'!D218+'CurrentPor-N10Unchanged'!H218)/100,2))*100</f>
        <v>9610.4476064957453</v>
      </c>
      <c r="E218">
        <f>(3/(1+('CurrentPor-N10Unchanged'!C218+'CurrentPor-N10Unchanged'!I218)/100)+103/POWER(1+('CurrentPor-N10Unchanged'!D218+'CurrentPor-N10Unchanged'!I218)/100,2))*100</f>
        <v>9581.7461701869233</v>
      </c>
      <c r="F218">
        <f>Portfolio!B$5*'CurrentPor-N10Unchanged'!E218</f>
        <v>52143.895533915893</v>
      </c>
      <c r="G218">
        <f>Portfolio!B$6*'CurrentPor-N10Unchanged'!F218</f>
        <v>3696.2945087936532</v>
      </c>
      <c r="H218">
        <f>Portfolio!B$7*'CurrentPor-N10Unchanged'!J218</f>
        <v>2064.4041079474327</v>
      </c>
      <c r="I218">
        <f t="shared" si="6"/>
        <v>96452.212723063014</v>
      </c>
      <c r="J218">
        <f t="shared" si="7"/>
        <v>37.027426704997197</v>
      </c>
    </row>
    <row r="219" spans="1:10">
      <c r="A219" s="1">
        <v>45776</v>
      </c>
      <c r="B219">
        <f>(3/(1+('CurrentPor-N10Unchanged'!C219)/100)+103/POWER(1+('CurrentPor-N10Unchanged'!D219)/100,2))*100</f>
        <v>9707.5857774288397</v>
      </c>
      <c r="C219">
        <f>(3/(1+('CurrentPor-N10Unchanged'!C219+'CurrentPor-N10Unchanged'!G219)/100)+103/POWER(1+('CurrentPor-N10Unchanged'!D219+'CurrentPor-N10Unchanged'!G219)/100,2))*100</f>
        <v>9639.5905880257851</v>
      </c>
      <c r="D219">
        <f>(3/(1+('CurrentPor-N10Unchanged'!C219+'CurrentPor-N10Unchanged'!H219)/100)+103/POWER(1+('CurrentPor-N10Unchanged'!D219+'CurrentPor-N10Unchanged'!H219)/100,2))*100</f>
        <v>9611.3718539671845</v>
      </c>
      <c r="E219">
        <f>(3/(1+('CurrentPor-N10Unchanged'!C219+'CurrentPor-N10Unchanged'!I219)/100)+103/POWER(1+('CurrentPor-N10Unchanged'!D219+'CurrentPor-N10Unchanged'!I219)/100,2))*100</f>
        <v>9580.1848347560372</v>
      </c>
      <c r="F219">
        <f>Portfolio!B$5*'CurrentPor-N10Unchanged'!E219</f>
        <v>52143.895533915893</v>
      </c>
      <c r="G219">
        <f>Portfolio!B$6*'CurrentPor-N10Unchanged'!F219</f>
        <v>3696.2945087936532</v>
      </c>
      <c r="H219">
        <f>Portfolio!B$7*'CurrentPor-N10Unchanged'!J219</f>
        <v>2064.4021603528699</v>
      </c>
      <c r="I219">
        <f t="shared" si="6"/>
        <v>96443.325257240256</v>
      </c>
      <c r="J219">
        <f t="shared" si="7"/>
        <v>1.8192149452661397</v>
      </c>
    </row>
    <row r="220" spans="1:10">
      <c r="A220" s="1">
        <v>45777</v>
      </c>
      <c r="B220">
        <f>(3/(1+('CurrentPor-N10Unchanged'!C220)/100)+103/POWER(1+('CurrentPor-N10Unchanged'!D220)/100,2))*100</f>
        <v>9707.5857774288397</v>
      </c>
      <c r="C220">
        <f>(3/(1+('CurrentPor-N10Unchanged'!C220+'CurrentPor-N10Unchanged'!G220)/100)+103/POWER(1+('CurrentPor-N10Unchanged'!D220+'CurrentPor-N10Unchanged'!G220)/100,2))*100</f>
        <v>9645.1015144982321</v>
      </c>
      <c r="D220">
        <f>(3/(1+('CurrentPor-N10Unchanged'!C220+'CurrentPor-N10Unchanged'!H220)/100)+103/POWER(1+('CurrentPor-N10Unchanged'!D220+'CurrentPor-N10Unchanged'!H220)/100,2))*100</f>
        <v>9610.637222203186</v>
      </c>
      <c r="E220">
        <f>(3/(1+('CurrentPor-N10Unchanged'!C220+'CurrentPor-N10Unchanged'!I220)/100)+103/POWER(1+('CurrentPor-N10Unchanged'!D220+'CurrentPor-N10Unchanged'!I220)/100,2))*100</f>
        <v>9579.8196664277166</v>
      </c>
      <c r="F220">
        <f>Portfolio!B$5*'CurrentPor-N10Unchanged'!E220</f>
        <v>52143.895533915893</v>
      </c>
      <c r="G220">
        <f>Portfolio!B$6*'CurrentPor-N10Unchanged'!F220</f>
        <v>3696.2945087936532</v>
      </c>
      <c r="H220">
        <f>Portfolio!B$7*'CurrentPor-N10Unchanged'!J220</f>
        <v>2064.4094707316713</v>
      </c>
      <c r="I220">
        <f t="shared" si="6"/>
        <v>96447.743693999189</v>
      </c>
      <c r="J220">
        <f t="shared" si="7"/>
        <v>1.8692012883111602</v>
      </c>
    </row>
    <row r="221" spans="1:10">
      <c r="A221" s="1">
        <v>45778</v>
      </c>
      <c r="B221">
        <f>(3/(1+('CurrentPor-N10Unchanged'!C221)/100)+103/POWER(1+('CurrentPor-N10Unchanged'!D221)/100,2))*100</f>
        <v>9707.5857774288397</v>
      </c>
      <c r="C221">
        <f>(3/(1+('CurrentPor-N10Unchanged'!C221+'CurrentPor-N10Unchanged'!G221)/100)+103/POWER(1+('CurrentPor-N10Unchanged'!D221+'CurrentPor-N10Unchanged'!G221)/100,2))*100</f>
        <v>9644.4796778694363</v>
      </c>
      <c r="D221">
        <f>(3/(1+('CurrentPor-N10Unchanged'!C221+'CurrentPor-N10Unchanged'!H221)/100)+103/POWER(1+('CurrentPor-N10Unchanged'!D221+'CurrentPor-N10Unchanged'!H221)/100,2))*100</f>
        <v>9608.9736424990479</v>
      </c>
      <c r="E221">
        <f>(3/(1+('CurrentPor-N10Unchanged'!C221+'CurrentPor-N10Unchanged'!I221)/100)+103/POWER(1+('CurrentPor-N10Unchanged'!D221+'CurrentPor-N10Unchanged'!I221)/100,2))*100</f>
        <v>9582.0116488298263</v>
      </c>
      <c r="F221">
        <f>Portfolio!B$5*'CurrentPor-N10Unchanged'!E221</f>
        <v>52143.895533915893</v>
      </c>
      <c r="G221">
        <f>Portfolio!B$6*'CurrentPor-N10Unchanged'!F221</f>
        <v>3696.2945087936532</v>
      </c>
      <c r="H221">
        <f>Portfolio!B$7*'CurrentPor-N10Unchanged'!J221</f>
        <v>2064.3934105967924</v>
      </c>
      <c r="I221">
        <f t="shared" si="6"/>
        <v>96447.634199933498</v>
      </c>
      <c r="J221">
        <f t="shared" si="7"/>
        <v>7.3549710706138285</v>
      </c>
    </row>
    <row r="222" spans="1:10">
      <c r="A222" s="1">
        <v>45779</v>
      </c>
      <c r="B222">
        <f>(3/(1+('CurrentPor-N10Unchanged'!C222)/100)+103/POWER(1+('CurrentPor-N10Unchanged'!D222)/100,2))*100</f>
        <v>9707.5857774288397</v>
      </c>
      <c r="C222">
        <f>(3/(1+('CurrentPor-N10Unchanged'!C222+'CurrentPor-N10Unchanged'!G222)/100)+103/POWER(1+('CurrentPor-N10Unchanged'!D222+'CurrentPor-N10Unchanged'!G222)/100,2))*100</f>
        <v>9650.7244348274071</v>
      </c>
      <c r="D222">
        <f>(3/(1+('CurrentPor-N10Unchanged'!C222+'CurrentPor-N10Unchanged'!H222)/100)+103/POWER(1+('CurrentPor-N10Unchanged'!D222+'CurrentPor-N10Unchanged'!H222)/100,2))*100</f>
        <v>9585.6351176792741</v>
      </c>
      <c r="E222">
        <f>(3/(1+('CurrentPor-N10Unchanged'!C222+'CurrentPor-N10Unchanged'!I222)/100)+103/POWER(1+('CurrentPor-N10Unchanged'!D222+'CurrentPor-N10Unchanged'!I222)/100,2))*100</f>
        <v>9582.1326987173798</v>
      </c>
      <c r="F222">
        <f>Portfolio!B$5*'CurrentPor-N10Unchanged'!E222</f>
        <v>52143.895533915893</v>
      </c>
      <c r="G222">
        <f>Portfolio!B$6*'CurrentPor-N10Unchanged'!F222</f>
        <v>3696.2945087936532</v>
      </c>
      <c r="H222">
        <f>Portfolio!B$7*'CurrentPor-N10Unchanged'!J222</f>
        <v>2064.4021840293049</v>
      </c>
      <c r="I222">
        <f t="shared" si="6"/>
        <v>96430.670255391757</v>
      </c>
      <c r="J222">
        <f t="shared" si="7"/>
        <v>0.63105941882531624</v>
      </c>
    </row>
    <row r="223" spans="1:10">
      <c r="A223" s="1">
        <v>45782</v>
      </c>
      <c r="B223">
        <f>(3/(1+('CurrentPor-N10Unchanged'!C223)/100)+103/POWER(1+('CurrentPor-N10Unchanged'!D223)/100,2))*100</f>
        <v>9707.5857774288397</v>
      </c>
      <c r="C223">
        <f>(3/(1+('CurrentPor-N10Unchanged'!C223+'CurrentPor-N10Unchanged'!G223)/100)+103/POWER(1+('CurrentPor-N10Unchanged'!D223+'CurrentPor-N10Unchanged'!G223)/100,2))*100</f>
        <v>9641.0591063330576</v>
      </c>
      <c r="D223">
        <f>(3/(1+('CurrentPor-N10Unchanged'!C223+'CurrentPor-N10Unchanged'!H223)/100)+103/POWER(1+('CurrentPor-N10Unchanged'!D223+'CurrentPor-N10Unchanged'!H223)/100,2))*100</f>
        <v>9595.2798181774815</v>
      </c>
      <c r="E223">
        <f>(3/(1+('CurrentPor-N10Unchanged'!C223+'CurrentPor-N10Unchanged'!I223)/100)+103/POWER(1+('CurrentPor-N10Unchanged'!D223+'CurrentPor-N10Unchanged'!I223)/100,2))*100</f>
        <v>9581.3670498975716</v>
      </c>
      <c r="F223">
        <f>Portfolio!B$5*'CurrentPor-N10Unchanged'!E223</f>
        <v>52143.895533915893</v>
      </c>
      <c r="G223">
        <f>Portfolio!B$6*'CurrentPor-N10Unchanged'!F223</f>
        <v>3696.2945087936532</v>
      </c>
      <c r="H223">
        <f>Portfolio!B$7*'CurrentPor-N10Unchanged'!J223</f>
        <v>2064.3937853299844</v>
      </c>
      <c r="I223">
        <f t="shared" si="6"/>
        <v>96429.875579876491</v>
      </c>
      <c r="J223">
        <f t="shared" si="7"/>
        <v>-9.8103426437883172</v>
      </c>
    </row>
    <row r="224" spans="1:10">
      <c r="A224" s="1">
        <v>45783</v>
      </c>
      <c r="B224">
        <f>(3/(1+('CurrentPor-N10Unchanged'!C224)/100)+103/POWER(1+('CurrentPor-N10Unchanged'!D224)/100,2))*100</f>
        <v>9707.5857774288397</v>
      </c>
      <c r="C224">
        <f>(3/(1+('CurrentPor-N10Unchanged'!C224+'CurrentPor-N10Unchanged'!G224)/100)+103/POWER(1+('CurrentPor-N10Unchanged'!D224+'CurrentPor-N10Unchanged'!G224)/100,2))*100</f>
        <v>9652.3563005486722</v>
      </c>
      <c r="D224">
        <f>(3/(1+('CurrentPor-N10Unchanged'!C224+'CurrentPor-N10Unchanged'!H224)/100)+103/POWER(1+('CurrentPor-N10Unchanged'!D224+'CurrentPor-N10Unchanged'!H224)/100,2))*100</f>
        <v>9600.7052993837169</v>
      </c>
      <c r="E224">
        <f>(3/(1+('CurrentPor-N10Unchanged'!C224+'CurrentPor-N10Unchanged'!I224)/100)+103/POWER(1+('CurrentPor-N10Unchanged'!D224+'CurrentPor-N10Unchanged'!I224)/100,2))*100</f>
        <v>9580.5783462320705</v>
      </c>
      <c r="F224">
        <f>Portfolio!B$5*'CurrentPor-N10Unchanged'!E224</f>
        <v>52143.895533915893</v>
      </c>
      <c r="G224">
        <f>Portfolio!B$6*'CurrentPor-N10Unchanged'!F224</f>
        <v>3696.2945087936532</v>
      </c>
      <c r="H224">
        <f>Portfolio!B$7*'CurrentPor-N10Unchanged'!J224</f>
        <v>2064.3998287565078</v>
      </c>
      <c r="I224">
        <f t="shared" si="6"/>
        <v>96445.81559505935</v>
      </c>
      <c r="J224">
        <f t="shared" si="7"/>
        <v>-12.333725086180493</v>
      </c>
    </row>
    <row r="225" spans="1:10">
      <c r="A225" s="1">
        <v>45784</v>
      </c>
      <c r="B225">
        <f>(3/(1+('CurrentPor-N10Unchanged'!C225)/100)+103/POWER(1+('CurrentPor-N10Unchanged'!D225)/100,2))*100</f>
        <v>9707.5857774288397</v>
      </c>
      <c r="C225">
        <f>(3/(1+('CurrentPor-N10Unchanged'!C225+'CurrentPor-N10Unchanged'!G225)/100)+103/POWER(1+('CurrentPor-N10Unchanged'!D225+'CurrentPor-N10Unchanged'!G225)/100,2))*100</f>
        <v>9629.1985445241935</v>
      </c>
      <c r="D225">
        <f>(3/(1+('CurrentPor-N10Unchanged'!C225+'CurrentPor-N10Unchanged'!H225)/100)+103/POWER(1+('CurrentPor-N10Unchanged'!D225+'CurrentPor-N10Unchanged'!H225)/100,2))*100</f>
        <v>9606.0650582133603</v>
      </c>
      <c r="E225">
        <f>(3/(1+('CurrentPor-N10Unchanged'!C225+'CurrentPor-N10Unchanged'!I225)/100)+103/POWER(1+('CurrentPor-N10Unchanged'!D225+'CurrentPor-N10Unchanged'!I225)/100,2))*100</f>
        <v>9579.4241231332035</v>
      </c>
      <c r="F225">
        <f>Portfolio!B$5*'CurrentPor-N10Unchanged'!E225</f>
        <v>52143.895533915893</v>
      </c>
      <c r="G225">
        <f>Portfolio!B$6*'CurrentPor-N10Unchanged'!F225</f>
        <v>3696.2945087936532</v>
      </c>
      <c r="H225">
        <f>Portfolio!B$7*'CurrentPor-N10Unchanged'!J225</f>
        <v>2064.3979126074769</v>
      </c>
      <c r="I225">
        <f t="shared" si="6"/>
        <v>96426.861458616622</v>
      </c>
      <c r="J225">
        <f t="shared" si="7"/>
        <v>-2.013733978572418</v>
      </c>
    </row>
    <row r="226" spans="1:10">
      <c r="A226" s="1">
        <v>45785</v>
      </c>
      <c r="B226">
        <f>(3/(1+('CurrentPor-N10Unchanged'!C226)/100)+103/POWER(1+('CurrentPor-N10Unchanged'!D226)/100,2))*100</f>
        <v>9707.5857774288397</v>
      </c>
      <c r="C226">
        <f>(3/(1+('CurrentPor-N10Unchanged'!C226+'CurrentPor-N10Unchanged'!G226)/100)+103/POWER(1+('CurrentPor-N10Unchanged'!D226+'CurrentPor-N10Unchanged'!G226)/100,2))*100</f>
        <v>9657.7862016212403</v>
      </c>
      <c r="D226">
        <f>(3/(1+('CurrentPor-N10Unchanged'!C226+'CurrentPor-N10Unchanged'!H226)/100)+103/POWER(1+('CurrentPor-N10Unchanged'!D226+'CurrentPor-N10Unchanged'!H226)/100,2))*100</f>
        <v>9594.9564080463606</v>
      </c>
      <c r="E226">
        <f>(3/(1+('CurrentPor-N10Unchanged'!C226+'CurrentPor-N10Unchanged'!I226)/100)+103/POWER(1+('CurrentPor-N10Unchanged'!D226+'CurrentPor-N10Unchanged'!I226)/100,2))*100</f>
        <v>9579.3005286208645</v>
      </c>
      <c r="F226">
        <f>Portfolio!B$5*'CurrentPor-N10Unchanged'!E226</f>
        <v>52143.895533915893</v>
      </c>
      <c r="G226">
        <f>Portfolio!B$6*'CurrentPor-N10Unchanged'!F226</f>
        <v>3696.2945087936532</v>
      </c>
      <c r="H226">
        <f>Portfolio!B$7*'CurrentPor-N10Unchanged'!J226</f>
        <v>2064.3954125071436</v>
      </c>
      <c r="I226">
        <f t="shared" si="6"/>
        <v>96444.214370934002</v>
      </c>
      <c r="J226">
        <f t="shared" si="7"/>
        <v>12.16815241095901</v>
      </c>
    </row>
    <row r="227" spans="1:10">
      <c r="A227" s="1">
        <v>45786</v>
      </c>
      <c r="B227">
        <f>(3/(1+('CurrentPor-N10Unchanged'!C227)/100)+103/POWER(1+('CurrentPor-N10Unchanged'!D227)/100,2))*100</f>
        <v>9707.5857774288397</v>
      </c>
      <c r="C227">
        <f>(3/(1+('CurrentPor-N10Unchanged'!C227+'CurrentPor-N10Unchanged'!G227)/100)+103/POWER(1+('CurrentPor-N10Unchanged'!D227+'CurrentPor-N10Unchanged'!G227)/100,2))*100</f>
        <v>9646.1305966188611</v>
      </c>
      <c r="D227">
        <f>(3/(1+('CurrentPor-N10Unchanged'!C227+'CurrentPor-N10Unchanged'!H227)/100)+103/POWER(1+('CurrentPor-N10Unchanged'!D227+'CurrentPor-N10Unchanged'!H227)/100,2))*100</f>
        <v>9578.1818572321154</v>
      </c>
      <c r="E227">
        <f>(3/(1+('CurrentPor-N10Unchanged'!C227+'CurrentPor-N10Unchanged'!I227)/100)+103/POWER(1+('CurrentPor-N10Unchanged'!D227+'CurrentPor-N10Unchanged'!I227)/100,2))*100</f>
        <v>9580.996708806304</v>
      </c>
      <c r="F227">
        <f>Portfolio!B$5*'CurrentPor-N10Unchanged'!E227</f>
        <v>52143.895533915893</v>
      </c>
      <c r="G227">
        <f>Portfolio!B$6*'CurrentPor-N10Unchanged'!F227</f>
        <v>3696.2945087936532</v>
      </c>
      <c r="H227">
        <f>Portfolio!B$7*'CurrentPor-N10Unchanged'!J227</f>
        <v>2064.3952143930742</v>
      </c>
      <c r="I227">
        <f t="shared" si="6"/>
        <v>96417.48019718875</v>
      </c>
      <c r="J227">
        <f t="shared" si="7"/>
        <v>-12.415205584431533</v>
      </c>
    </row>
    <row r="228" spans="1:10">
      <c r="A228" s="1">
        <v>45789</v>
      </c>
      <c r="B228">
        <f>(3/(1+('CurrentPor-N10Unchanged'!C228)/100)+103/POWER(1+('CurrentPor-N10Unchanged'!D228)/100,2))*100</f>
        <v>9707.5857774288397</v>
      </c>
      <c r="C228">
        <f>(3/(1+('CurrentPor-N10Unchanged'!C228+'CurrentPor-N10Unchanged'!G228)/100)+103/POWER(1+('CurrentPor-N10Unchanged'!D228+'CurrentPor-N10Unchanged'!G228)/100,2))*100</f>
        <v>9648.3865624339469</v>
      </c>
      <c r="D228">
        <f>(3/(1+('CurrentPor-N10Unchanged'!C228+'CurrentPor-N10Unchanged'!H228)/100)+103/POWER(1+('CurrentPor-N10Unchanged'!D228+'CurrentPor-N10Unchanged'!H228)/100,2))*100</f>
        <v>9578.893126976549</v>
      </c>
      <c r="E228">
        <f>(3/(1+('CurrentPor-N10Unchanged'!C228+'CurrentPor-N10Unchanged'!I228)/100)+103/POWER(1+('CurrentPor-N10Unchanged'!D228+'CurrentPor-N10Unchanged'!I228)/100,2))*100</f>
        <v>9580.3650991372488</v>
      </c>
      <c r="F228">
        <f>Portfolio!B$5*'CurrentPor-N10Unchanged'!E228</f>
        <v>52143.895533915893</v>
      </c>
      <c r="G228">
        <f>Portfolio!B$6*'CurrentPor-N10Unchanged'!F228</f>
        <v>3696.2945087936532</v>
      </c>
      <c r="H228">
        <f>Portfolio!B$7*'CurrentPor-N10Unchanged'!J228</f>
        <v>2064.3979847800438</v>
      </c>
      <c r="I228">
        <f t="shared" si="6"/>
        <v>96419.818593466189</v>
      </c>
      <c r="J228">
        <f t="shared" si="7"/>
        <v>-32.394129596825223</v>
      </c>
    </row>
    <row r="229" spans="1:10">
      <c r="A229" s="1">
        <v>45790</v>
      </c>
      <c r="B229">
        <f>(3/(1+('CurrentPor-N10Unchanged'!C229)/100)+103/POWER(1+('CurrentPor-N10Unchanged'!D229)/100,2))*100</f>
        <v>9707.5857774288397</v>
      </c>
      <c r="C229">
        <f>(3/(1+('CurrentPor-N10Unchanged'!C229+'CurrentPor-N10Unchanged'!G229)/100)+103/POWER(1+('CurrentPor-N10Unchanged'!D229+'CurrentPor-N10Unchanged'!G229)/100,2))*100</f>
        <v>9634.7273167274871</v>
      </c>
      <c r="D229">
        <f>(3/(1+('CurrentPor-N10Unchanged'!C229+'CurrentPor-N10Unchanged'!H229)/100)+103/POWER(1+('CurrentPor-N10Unchanged'!D229+'CurrentPor-N10Unchanged'!H229)/100,2))*100</f>
        <v>9606.6627172992467</v>
      </c>
      <c r="E229">
        <f>(3/(1+('CurrentPor-N10Unchanged'!C229+'CurrentPor-N10Unchanged'!I229)/100)+103/POWER(1+('CurrentPor-N10Unchanged'!D229+'CurrentPor-N10Unchanged'!I229)/100,2))*100</f>
        <v>9580.2798343728318</v>
      </c>
      <c r="F229">
        <f>Portfolio!B$5*'CurrentPor-N10Unchanged'!E229</f>
        <v>52143.895533915893</v>
      </c>
      <c r="G229">
        <f>Portfolio!B$6*'CurrentPor-N10Unchanged'!F229</f>
        <v>3696.2945087936532</v>
      </c>
      <c r="H229">
        <f>Portfolio!B$7*'CurrentPor-N10Unchanged'!J229</f>
        <v>2064.3896344782497</v>
      </c>
      <c r="I229">
        <f t="shared" si="6"/>
        <v>96433.835323016217</v>
      </c>
      <c r="J229">
        <f t="shared" si="7"/>
        <v>-9.4899342240387341</v>
      </c>
    </row>
    <row r="230" spans="1:10">
      <c r="A230" s="1">
        <v>45791</v>
      </c>
      <c r="B230">
        <f>(3/(1+('CurrentPor-N10Unchanged'!C230)/100)+103/POWER(1+('CurrentPor-N10Unchanged'!D230)/100,2))*100</f>
        <v>9707.5857774288397</v>
      </c>
      <c r="C230">
        <f>(3/(1+('CurrentPor-N10Unchanged'!C230+'CurrentPor-N10Unchanged'!G230)/100)+103/POWER(1+('CurrentPor-N10Unchanged'!D230+'CurrentPor-N10Unchanged'!G230)/100,2))*100</f>
        <v>9632.7477693358414</v>
      </c>
      <c r="D230">
        <f>(3/(1+('CurrentPor-N10Unchanged'!C230+'CurrentPor-N10Unchanged'!H230)/100)+103/POWER(1+('CurrentPor-N10Unchanged'!D230+'CurrentPor-N10Unchanged'!H230)/100,2))*100</f>
        <v>9605.3464852354919</v>
      </c>
      <c r="E230">
        <f>(3/(1+('CurrentPor-N10Unchanged'!C230+'CurrentPor-N10Unchanged'!I230)/100)+103/POWER(1+('CurrentPor-N10Unchanged'!D230+'CurrentPor-N10Unchanged'!I230)/100,2))*100</f>
        <v>9580.7792612115554</v>
      </c>
      <c r="F230">
        <f>Portfolio!B$5*'CurrentPor-N10Unchanged'!E230</f>
        <v>52143.895533915893</v>
      </c>
      <c r="G230">
        <f>Portfolio!B$6*'CurrentPor-N10Unchanged'!F230</f>
        <v>3696.2945087936532</v>
      </c>
      <c r="H230">
        <f>Portfolio!B$7*'CurrentPor-N10Unchanged'!J230</f>
        <v>2064.404515300203</v>
      </c>
      <c r="I230">
        <f t="shared" si="6"/>
        <v>96431.053851221484</v>
      </c>
      <c r="J230">
        <f t="shared" si="7"/>
        <v>-16.689842777705053</v>
      </c>
    </row>
    <row r="231" spans="1:10">
      <c r="A231" s="1">
        <v>45792</v>
      </c>
      <c r="B231">
        <f>(3/(1+('CurrentPor-N10Unchanged'!C231)/100)+103/POWER(1+('CurrentPor-N10Unchanged'!D231)/100,2))*100</f>
        <v>9707.5857774288397</v>
      </c>
      <c r="C231">
        <f>(3/(1+('CurrentPor-N10Unchanged'!C231+'CurrentPor-N10Unchanged'!G231)/100)+103/POWER(1+('CurrentPor-N10Unchanged'!D231+'CurrentPor-N10Unchanged'!G231)/100,2))*100</f>
        <v>9647.778135369841</v>
      </c>
      <c r="D231">
        <f>(3/(1+('CurrentPor-N10Unchanged'!C231+'CurrentPor-N10Unchanged'!H231)/100)+103/POWER(1+('CurrentPor-N10Unchanged'!D231+'CurrentPor-N10Unchanged'!H231)/100,2))*100</f>
        <v>9604.8056388094919</v>
      </c>
      <c r="E231">
        <f>(3/(1+('CurrentPor-N10Unchanged'!C231+'CurrentPor-N10Unchanged'!I231)/100)+103/POWER(1+('CurrentPor-N10Unchanged'!D231+'CurrentPor-N10Unchanged'!I231)/100,2))*100</f>
        <v>9580.70713809466</v>
      </c>
      <c r="F231">
        <f>Portfolio!B$5*'CurrentPor-N10Unchanged'!E231</f>
        <v>52143.895533915893</v>
      </c>
      <c r="G231">
        <f>Portfolio!B$6*'CurrentPor-N10Unchanged'!F231</f>
        <v>3696.2945087936532</v>
      </c>
      <c r="H231">
        <f>Portfolio!B$7*'CurrentPor-N10Unchanged'!J231</f>
        <v>2064.4026009489071</v>
      </c>
      <c r="I231">
        <f t="shared" si="6"/>
        <v>96445.469333361281</v>
      </c>
      <c r="J231">
        <f t="shared" si="7"/>
        <v>-2.1648665722168516</v>
      </c>
    </row>
    <row r="232" spans="1:10">
      <c r="A232" s="1">
        <v>45793</v>
      </c>
      <c r="B232">
        <f>(3/(1+('CurrentPor-N10Unchanged'!C232)/100)+103/POWER(1+('CurrentPor-N10Unchanged'!D232)/100,2))*100</f>
        <v>9707.5857774288397</v>
      </c>
      <c r="C232">
        <f>(3/(1+('CurrentPor-N10Unchanged'!C232+'CurrentPor-N10Unchanged'!G232)/100)+103/POWER(1+('CurrentPor-N10Unchanged'!D232+'CurrentPor-N10Unchanged'!G232)/100,2))*100</f>
        <v>9647.6855440936397</v>
      </c>
      <c r="D232">
        <f>(3/(1+('CurrentPor-N10Unchanged'!C232+'CurrentPor-N10Unchanged'!H232)/100)+103/POWER(1+('CurrentPor-N10Unchanged'!D232+'CurrentPor-N10Unchanged'!H232)/100,2))*100</f>
        <v>9605.0002854818231</v>
      </c>
      <c r="E232">
        <f>(3/(1+('CurrentPor-N10Unchanged'!C232+'CurrentPor-N10Unchanged'!I232)/100)+103/POWER(1+('CurrentPor-N10Unchanged'!D232+'CurrentPor-N10Unchanged'!I232)/100,2))*100</f>
        <v>9580.6265560858756</v>
      </c>
      <c r="F232">
        <f>Portfolio!B$5*'CurrentPor-N10Unchanged'!E232</f>
        <v>52143.895533915893</v>
      </c>
      <c r="G232">
        <f>Portfolio!B$6*'CurrentPor-N10Unchanged'!F232</f>
        <v>3696.2945087936532</v>
      </c>
      <c r="H232">
        <f>Portfolio!B$7*'CurrentPor-N10Unchanged'!J232</f>
        <v>2064.400169284836</v>
      </c>
      <c r="I232">
        <f t="shared" si="6"/>
        <v>96445.488375084562</v>
      </c>
      <c r="J232">
        <f t="shared" si="7"/>
        <v>14.81811969280534</v>
      </c>
    </row>
    <row r="233" spans="1:10">
      <c r="A233" s="1">
        <v>45796</v>
      </c>
      <c r="B233">
        <f>(3/(1+('CurrentPor-N10Unchanged'!C233)/100)+103/POWER(1+('CurrentPor-N10Unchanged'!D233)/100,2))*100</f>
        <v>9707.5857774288397</v>
      </c>
      <c r="C233">
        <f>(3/(1+('CurrentPor-N10Unchanged'!C233+'CurrentPor-N10Unchanged'!G233)/100)+103/POWER(1+('CurrentPor-N10Unchanged'!D233+'CurrentPor-N10Unchanged'!G233)/100,2))*100</f>
        <v>9639.8215000133314</v>
      </c>
      <c r="D233">
        <f>(3/(1+('CurrentPor-N10Unchanged'!C233+'CurrentPor-N10Unchanged'!H233)/100)+103/POWER(1+('CurrentPor-N10Unchanged'!D233+'CurrentPor-N10Unchanged'!H233)/100,2))*100</f>
        <v>9592.1994997649181</v>
      </c>
      <c r="E233">
        <f>(3/(1+('CurrentPor-N10Unchanged'!C233+'CurrentPor-N10Unchanged'!I233)/100)+103/POWER(1+('CurrentPor-N10Unchanged'!D233+'CurrentPor-N10Unchanged'!I233)/100,2))*100</f>
        <v>9579.7043812262018</v>
      </c>
      <c r="F233">
        <f>Portfolio!B$5*'CurrentPor-N10Unchanged'!E233</f>
        <v>52143.895533915893</v>
      </c>
      <c r="G233">
        <f>Portfolio!B$6*'CurrentPor-N10Unchanged'!F233</f>
        <v>3696.2945087936532</v>
      </c>
      <c r="H233">
        <f>Portfolio!B$7*'CurrentPor-N10Unchanged'!J233</f>
        <v>2064.4044571786844</v>
      </c>
      <c r="I233">
        <f t="shared" si="6"/>
        <v>96423.905658321528</v>
      </c>
      <c r="J233">
        <f t="shared" si="7"/>
        <v>-5.9699215549626388</v>
      </c>
    </row>
    <row r="234" spans="1:10">
      <c r="A234" s="1">
        <v>45797</v>
      </c>
      <c r="B234">
        <f>(3/(1+('CurrentPor-N10Unchanged'!C234)/100)+103/POWER(1+('CurrentPor-N10Unchanged'!D234)/100,2))*100</f>
        <v>9707.5857774288397</v>
      </c>
      <c r="C234">
        <f>(3/(1+('CurrentPor-N10Unchanged'!C234+'CurrentPor-N10Unchanged'!G234)/100)+103/POWER(1+('CurrentPor-N10Unchanged'!D234+'CurrentPor-N10Unchanged'!G234)/100,2))*100</f>
        <v>9664.2207419427268</v>
      </c>
      <c r="D234">
        <f>(3/(1+('CurrentPor-N10Unchanged'!C234+'CurrentPor-N10Unchanged'!H234)/100)+103/POWER(1+('CurrentPor-N10Unchanged'!D234+'CurrentPor-N10Unchanged'!H234)/100,2))*100</f>
        <v>9592.7551537712206</v>
      </c>
      <c r="E234">
        <f>(3/(1+('CurrentPor-N10Unchanged'!C234+'CurrentPor-N10Unchanged'!I234)/100)+103/POWER(1+('CurrentPor-N10Unchanged'!D234+'CurrentPor-N10Unchanged'!I234)/100,2))*100</f>
        <v>9581.090087865281</v>
      </c>
      <c r="F234">
        <f>Portfolio!B$5*'CurrentPor-N10Unchanged'!E234</f>
        <v>52143.895533915893</v>
      </c>
      <c r="G234">
        <f>Portfolio!B$6*'CurrentPor-N10Unchanged'!F234</f>
        <v>3696.2945087936532</v>
      </c>
      <c r="H234">
        <f>Portfolio!B$7*'CurrentPor-N10Unchanged'!J234</f>
        <v>2064.4015075895113</v>
      </c>
      <c r="I234">
        <f t="shared" si="6"/>
        <v>96450.243311307131</v>
      </c>
      <c r="J234">
        <f t="shared" si="7"/>
        <v>4.4277162477810634</v>
      </c>
    </row>
    <row r="235" spans="1:10">
      <c r="A235" s="1">
        <v>45798</v>
      </c>
      <c r="B235">
        <f>(3/(1+('CurrentPor-N10Unchanged'!C235)/100)+103/POWER(1+('CurrentPor-N10Unchanged'!D235)/100,2))*100</f>
        <v>9707.5857774288397</v>
      </c>
      <c r="C235">
        <f>(3/(1+('CurrentPor-N10Unchanged'!C235+'CurrentPor-N10Unchanged'!G235)/100)+103/POWER(1+('CurrentPor-N10Unchanged'!D235+'CurrentPor-N10Unchanged'!G235)/100,2))*100</f>
        <v>9646.9633870994603</v>
      </c>
      <c r="D235">
        <f>(3/(1+('CurrentPor-N10Unchanged'!C235+'CurrentPor-N10Unchanged'!H235)/100)+103/POWER(1+('CurrentPor-N10Unchanged'!D235+'CurrentPor-N10Unchanged'!H235)/100,2))*100</f>
        <v>9614.3592258828867</v>
      </c>
      <c r="E235">
        <f>(3/(1+('CurrentPor-N10Unchanged'!C235+'CurrentPor-N10Unchanged'!I235)/100)+103/POWER(1+('CurrentPor-N10Unchanged'!D235+'CurrentPor-N10Unchanged'!I235)/100,2))*100</f>
        <v>9579.147512612697</v>
      </c>
      <c r="F235">
        <f>Portfolio!B$5*'CurrentPor-N10Unchanged'!E235</f>
        <v>52143.895533915893</v>
      </c>
      <c r="G235">
        <f>Portfolio!B$6*'CurrentPor-N10Unchanged'!F235</f>
        <v>3696.2945087936532</v>
      </c>
      <c r="H235">
        <f>Portfolio!B$7*'CurrentPor-N10Unchanged'!J235</f>
        <v>2064.404218237662</v>
      </c>
      <c r="I235">
        <f t="shared" si="6"/>
        <v>96452.650163971077</v>
      </c>
      <c r="J235">
        <f t="shared" si="7"/>
        <v>25.788705354454578</v>
      </c>
    </row>
    <row r="236" spans="1:10">
      <c r="A236" s="1">
        <v>45799</v>
      </c>
      <c r="B236">
        <f>(3/(1+('CurrentPor-N10Unchanged'!C236)/100)+103/POWER(1+('CurrentPor-N10Unchanged'!D236)/100,2))*100</f>
        <v>9707.5857774288397</v>
      </c>
      <c r="C236">
        <f>(3/(1+('CurrentPor-N10Unchanged'!C236+'CurrentPor-N10Unchanged'!G236)/100)+103/POWER(1+('CurrentPor-N10Unchanged'!D236+'CurrentPor-N10Unchanged'!G236)/100,2))*100</f>
        <v>9646.5146154149315</v>
      </c>
      <c r="D236">
        <f>(3/(1+('CurrentPor-N10Unchanged'!C236+'CurrentPor-N10Unchanged'!H236)/100)+103/POWER(1+('CurrentPor-N10Unchanged'!D236+'CurrentPor-N10Unchanged'!H236)/100,2))*100</f>
        <v>9605.9163525079039</v>
      </c>
      <c r="E236">
        <f>(3/(1+('CurrentPor-N10Unchanged'!C236+'CurrentPor-N10Unchanged'!I236)/100)+103/POWER(1+('CurrentPor-N10Unchanged'!D236+'CurrentPor-N10Unchanged'!I236)/100,2))*100</f>
        <v>9580.4976876146775</v>
      </c>
      <c r="F236">
        <f>Portfolio!B$5*'CurrentPor-N10Unchanged'!E236</f>
        <v>52143.895533915893</v>
      </c>
      <c r="G236">
        <f>Portfolio!B$6*'CurrentPor-N10Unchanged'!F236</f>
        <v>3696.2945087936532</v>
      </c>
      <c r="H236">
        <f>Portfolio!B$7*'CurrentPor-N10Unchanged'!J236</f>
        <v>2064.4103503672741</v>
      </c>
      <c r="I236">
        <f t="shared" si="6"/>
        <v>96445.114826043166</v>
      </c>
      <c r="J236">
        <f t="shared" si="7"/>
        <v>0.90045510916388594</v>
      </c>
    </row>
    <row r="237" spans="1:10">
      <c r="A237" s="1">
        <v>45800</v>
      </c>
      <c r="B237">
        <f>(3/(1+('CurrentPor-N10Unchanged'!C237)/100)+103/POWER(1+('CurrentPor-N10Unchanged'!D237)/100,2))*100</f>
        <v>9707.5857774288397</v>
      </c>
      <c r="C237">
        <f>(3/(1+('CurrentPor-N10Unchanged'!C237+'CurrentPor-N10Unchanged'!G237)/100)+103/POWER(1+('CurrentPor-N10Unchanged'!D237+'CurrentPor-N10Unchanged'!G237)/100,2))*100</f>
        <v>9636.9887960515243</v>
      </c>
      <c r="D237">
        <f>(3/(1+('CurrentPor-N10Unchanged'!C237+'CurrentPor-N10Unchanged'!H237)/100)+103/POWER(1+('CurrentPor-N10Unchanged'!D237+'CurrentPor-N10Unchanged'!H237)/100,2))*100</f>
        <v>9608.6255415378819</v>
      </c>
      <c r="E237">
        <f>(3/(1+('CurrentPor-N10Unchanged'!C237+'CurrentPor-N10Unchanged'!I237)/100)+103/POWER(1+('CurrentPor-N10Unchanged'!D237+'CurrentPor-N10Unchanged'!I237)/100,2))*100</f>
        <v>9580.6341961793714</v>
      </c>
      <c r="F237">
        <f>Portfolio!B$5*'CurrentPor-N10Unchanged'!E237</f>
        <v>52143.895533915893</v>
      </c>
      <c r="G237">
        <f>Portfolio!B$6*'CurrentPor-N10Unchanged'!F237</f>
        <v>3696.2945087936532</v>
      </c>
      <c r="H237">
        <f>Portfolio!B$7*'CurrentPor-N10Unchanged'!J237</f>
        <v>2064.3985780200387</v>
      </c>
      <c r="I237">
        <f t="shared" si="6"/>
        <v>96438.422931927213</v>
      </c>
      <c r="J237">
        <f t="shared" si="7"/>
        <v>20.942734738462605</v>
      </c>
    </row>
    <row r="238" spans="1:10">
      <c r="A238" s="1">
        <v>45803</v>
      </c>
      <c r="B238">
        <f>(3/(1+('CurrentPor-N10Unchanged'!C238)/100)+103/POWER(1+('CurrentPor-N10Unchanged'!D238)/100,2))*100</f>
        <v>9707.5857774288397</v>
      </c>
      <c r="C238">
        <f>(3/(1+('CurrentPor-N10Unchanged'!C238+'CurrentPor-N10Unchanged'!G238)/100)+103/POWER(1+('CurrentPor-N10Unchanged'!D238+'CurrentPor-N10Unchanged'!G238)/100,2))*100</f>
        <v>9652.2288910510651</v>
      </c>
      <c r="D238">
        <f>(3/(1+('CurrentPor-N10Unchanged'!C238+'CurrentPor-N10Unchanged'!H238)/100)+103/POWER(1+('CurrentPor-N10Unchanged'!D238+'CurrentPor-N10Unchanged'!H238)/100,2))*100</f>
        <v>9578.2449868172571</v>
      </c>
      <c r="E238">
        <f>(3/(1+('CurrentPor-N10Unchanged'!C238+'CurrentPor-N10Unchanged'!I238)/100)+103/POWER(1+('CurrentPor-N10Unchanged'!D238+'CurrentPor-N10Unchanged'!I238)/100,2))*100</f>
        <v>9580.3464922530602</v>
      </c>
      <c r="F238">
        <f>Portfolio!B$5*'CurrentPor-N10Unchanged'!E238</f>
        <v>52143.895533915893</v>
      </c>
      <c r="G238">
        <f>Portfolio!B$6*'CurrentPor-N10Unchanged'!F238</f>
        <v>3696.2945087936532</v>
      </c>
      <c r="H238">
        <f>Portfolio!B$7*'CurrentPor-N10Unchanged'!J238</f>
        <v>2064.4052594902346</v>
      </c>
      <c r="I238">
        <f t="shared" si="6"/>
        <v>96423.001449749994</v>
      </c>
      <c r="J238">
        <f t="shared" si="7"/>
        <v>3.1828562838054495</v>
      </c>
    </row>
    <row r="239" spans="1:10">
      <c r="A239" s="1">
        <v>45804</v>
      </c>
      <c r="B239">
        <f>(3/(1+('CurrentPor-N10Unchanged'!C239)/100)+103/POWER(1+('CurrentPor-N10Unchanged'!D239)/100,2))*100</f>
        <v>9707.5857774288397</v>
      </c>
      <c r="C239">
        <f>(3/(1+('CurrentPor-N10Unchanged'!C239+'CurrentPor-N10Unchanged'!G239)/100)+103/POWER(1+('CurrentPor-N10Unchanged'!D239+'CurrentPor-N10Unchanged'!G239)/100,2))*100</f>
        <v>9653.4411758878214</v>
      </c>
      <c r="D239">
        <f>(3/(1+('CurrentPor-N10Unchanged'!C239+'CurrentPor-N10Unchanged'!H239)/100)+103/POWER(1+('CurrentPor-N10Unchanged'!D239+'CurrentPor-N10Unchanged'!H239)/100,2))*100</f>
        <v>9593.2656739560534</v>
      </c>
      <c r="E239">
        <f>(3/(1+('CurrentPor-N10Unchanged'!C239+'CurrentPor-N10Unchanged'!I239)/100)+103/POWER(1+('CurrentPor-N10Unchanged'!D239+'CurrentPor-N10Unchanged'!I239)/100,2))*100</f>
        <v>9578.4733380283378</v>
      </c>
      <c r="F239">
        <f>Portfolio!B$5*'CurrentPor-N10Unchanged'!E239</f>
        <v>52143.895533915893</v>
      </c>
      <c r="G239">
        <f>Portfolio!B$6*'CurrentPor-N10Unchanged'!F239</f>
        <v>3696.2945087936532</v>
      </c>
      <c r="H239">
        <f>Portfolio!B$7*'CurrentPor-N10Unchanged'!J239</f>
        <v>2064.4014808083289</v>
      </c>
      <c r="I239">
        <f t="shared" si="6"/>
        <v>96437.357488818932</v>
      </c>
      <c r="J239">
        <f t="shared" si="7"/>
        <v>3.5221658027148806</v>
      </c>
    </row>
    <row r="240" spans="1:10">
      <c r="A240" s="1">
        <v>45805</v>
      </c>
      <c r="B240">
        <f>(3/(1+('CurrentPor-N10Unchanged'!C240)/100)+103/POWER(1+('CurrentPor-N10Unchanged'!D240)/100,2))*100</f>
        <v>9707.5857774288397</v>
      </c>
      <c r="C240">
        <f>(3/(1+('CurrentPor-N10Unchanged'!C240+'CurrentPor-N10Unchanged'!G240)/100)+103/POWER(1+('CurrentPor-N10Unchanged'!D240+'CurrentPor-N10Unchanged'!G240)/100,2))*100</f>
        <v>9652.8954429524256</v>
      </c>
      <c r="D240">
        <f>(3/(1+('CurrentPor-N10Unchanged'!C240+'CurrentPor-N10Unchanged'!H240)/100)+103/POWER(1+('CurrentPor-N10Unchanged'!D240+'CurrentPor-N10Unchanged'!H240)/100,2))*100</f>
        <v>9595.2920546977894</v>
      </c>
      <c r="E240">
        <f>(3/(1+('CurrentPor-N10Unchanged'!C240+'CurrentPor-N10Unchanged'!I240)/100)+103/POWER(1+('CurrentPor-N10Unchanged'!D240+'CurrentPor-N10Unchanged'!I240)/100,2))*100</f>
        <v>9580.0821636801211</v>
      </c>
      <c r="F240">
        <f>Portfolio!B$5*'CurrentPor-N10Unchanged'!E240</f>
        <v>52143.895533915893</v>
      </c>
      <c r="G240">
        <f>Portfolio!B$6*'CurrentPor-N10Unchanged'!F240</f>
        <v>3696.2945087936532</v>
      </c>
      <c r="H240">
        <f>Portfolio!B$7*'CurrentPor-N10Unchanged'!J240</f>
        <v>2064.3993572238028</v>
      </c>
      <c r="I240">
        <f t="shared" si="6"/>
        <v>96440.444838692521</v>
      </c>
      <c r="J240">
        <f t="shared" si="7"/>
        <v>9.3909874710370786</v>
      </c>
    </row>
    <row r="241" spans="1:10">
      <c r="A241" s="1">
        <v>45806</v>
      </c>
      <c r="B241">
        <f>(3/(1+('CurrentPor-N10Unchanged'!C241)/100)+103/POWER(1+('CurrentPor-N10Unchanged'!D241)/100,2))*100</f>
        <v>9707.5857774288397</v>
      </c>
      <c r="C241">
        <f>(3/(1+('CurrentPor-N10Unchanged'!C241+'CurrentPor-N10Unchanged'!G241)/100)+103/POWER(1+('CurrentPor-N10Unchanged'!D241+'CurrentPor-N10Unchanged'!G241)/100,2))*100</f>
        <v>9629.3462478417932</v>
      </c>
      <c r="D241">
        <f>(3/(1+('CurrentPor-N10Unchanged'!C241+'CurrentPor-N10Unchanged'!H241)/100)+103/POWER(1+('CurrentPor-N10Unchanged'!D241+'CurrentPor-N10Unchanged'!H241)/100,2))*100</f>
        <v>9607.5250496986118</v>
      </c>
      <c r="E241">
        <f>(3/(1+('CurrentPor-N10Unchanged'!C241+'CurrentPor-N10Unchanged'!I241)/100)+103/POWER(1+('CurrentPor-N10Unchanged'!D241+'CurrentPor-N10Unchanged'!I241)/100,2))*100</f>
        <v>9578.6026130307127</v>
      </c>
      <c r="F241">
        <f>Portfolio!B$5*'CurrentPor-N10Unchanged'!E241</f>
        <v>52143.895533915893</v>
      </c>
      <c r="G241">
        <f>Portfolio!B$6*'CurrentPor-N10Unchanged'!F241</f>
        <v>3696.2945087936532</v>
      </c>
      <c r="H241">
        <f>Portfolio!B$7*'CurrentPor-N10Unchanged'!J241</f>
        <v>2064.3976283872944</v>
      </c>
      <c r="I241">
        <f t="shared" si="6"/>
        <v>96427.647359096794</v>
      </c>
      <c r="J241">
        <f t="shared" si="7"/>
        <v>-17.821974264486926</v>
      </c>
    </row>
    <row r="242" spans="1:10">
      <c r="A242" s="1">
        <v>45807</v>
      </c>
      <c r="B242">
        <f>(3/(1+('CurrentPor-N10Unchanged'!C242)/100)+103/POWER(1+('CurrentPor-N10Unchanged'!D242)/100,2))*100</f>
        <v>9707.5857774288397</v>
      </c>
      <c r="C242">
        <f>(3/(1+('CurrentPor-N10Unchanged'!C242+'CurrentPor-N10Unchanged'!G242)/100)+103/POWER(1+('CurrentPor-N10Unchanged'!D242+'CurrentPor-N10Unchanged'!G242)/100,2))*100</f>
        <v>9647.4306754259378</v>
      </c>
      <c r="D242">
        <f>(3/(1+('CurrentPor-N10Unchanged'!C242+'CurrentPor-N10Unchanged'!H242)/100)+103/POWER(1+('CurrentPor-N10Unchanged'!D242+'CurrentPor-N10Unchanged'!H242)/100,2))*100</f>
        <v>9597.1837849055282</v>
      </c>
      <c r="E242">
        <f>(3/(1+('CurrentPor-N10Unchanged'!C242+'CurrentPor-N10Unchanged'!I242)/100)+103/POWER(1+('CurrentPor-N10Unchanged'!D242+'CurrentPor-N10Unchanged'!I242)/100,2))*100</f>
        <v>9582.1736022824825</v>
      </c>
      <c r="F242">
        <f>Portfolio!B$5*'CurrentPor-N10Unchanged'!E242</f>
        <v>52143.895533915893</v>
      </c>
      <c r="G242">
        <f>Portfolio!B$6*'CurrentPor-N10Unchanged'!F242</f>
        <v>3696.2945087936532</v>
      </c>
      <c r="H242">
        <f>Portfolio!B$7*'CurrentPor-N10Unchanged'!J242</f>
        <v>2064.3921817136552</v>
      </c>
      <c r="I242">
        <f t="shared" si="6"/>
        <v>96438.956064465994</v>
      </c>
      <c r="J242">
        <f t="shared" si="7"/>
        <v>-6.5323106185678625</v>
      </c>
    </row>
    <row r="243" spans="1:10">
      <c r="A243" s="1">
        <v>45810</v>
      </c>
      <c r="B243">
        <f>(3/(1+('CurrentPor-N10Unchanged'!C243)/100)+103/POWER(1+('CurrentPor-N10Unchanged'!D243)/100,2))*100</f>
        <v>9707.5857774288397</v>
      </c>
      <c r="C243">
        <f>(3/(1+('CurrentPor-N10Unchanged'!C243+'CurrentPor-N10Unchanged'!G243)/100)+103/POWER(1+('CurrentPor-N10Unchanged'!D243+'CurrentPor-N10Unchanged'!G243)/100,2))*100</f>
        <v>9646.443258596395</v>
      </c>
      <c r="D243">
        <f>(3/(1+('CurrentPor-N10Unchanged'!C243+'CurrentPor-N10Unchanged'!H243)/100)+103/POWER(1+('CurrentPor-N10Unchanged'!D243+'CurrentPor-N10Unchanged'!H243)/100,2))*100</f>
        <v>9572.7564993013239</v>
      </c>
      <c r="E243">
        <f>(3/(1+('CurrentPor-N10Unchanged'!C243+'CurrentPor-N10Unchanged'!I243)/100)+103/POWER(1+('CurrentPor-N10Unchanged'!D243+'CurrentPor-N10Unchanged'!I243)/100,2))*100</f>
        <v>9581.3238986982269</v>
      </c>
      <c r="F243">
        <f>Portfolio!B$5*'CurrentPor-N10Unchanged'!E243</f>
        <v>52143.895533915893</v>
      </c>
      <c r="G243">
        <f>Portfolio!B$6*'CurrentPor-N10Unchanged'!F243</f>
        <v>3696.2945087936532</v>
      </c>
      <c r="H243">
        <f>Portfolio!B$7*'CurrentPor-N10Unchanged'!J243</f>
        <v>2064.4038857321552</v>
      </c>
      <c r="I243">
        <f t="shared" si="6"/>
        <v>96412.703362466491</v>
      </c>
      <c r="J243">
        <f t="shared" si="7"/>
        <v>-11.202295855036937</v>
      </c>
    </row>
    <row r="244" spans="1:10">
      <c r="A244" s="1">
        <v>45811</v>
      </c>
      <c r="B244">
        <f>(3/(1+('CurrentPor-N10Unchanged'!C244)/100)+103/POWER(1+('CurrentPor-N10Unchanged'!D244)/100,2))*100</f>
        <v>9707.5857774288397</v>
      </c>
      <c r="C244">
        <f>(3/(1+('CurrentPor-N10Unchanged'!C244+'CurrentPor-N10Unchanged'!G244)/100)+103/POWER(1+('CurrentPor-N10Unchanged'!D244+'CurrentPor-N10Unchanged'!G244)/100,2))*100</f>
        <v>9637.7754587464933</v>
      </c>
      <c r="D244">
        <f>(3/(1+('CurrentPor-N10Unchanged'!C244+'CurrentPor-N10Unchanged'!H244)/100)+103/POWER(1+('CurrentPor-N10Unchanged'!D244+'CurrentPor-N10Unchanged'!H244)/100,2))*100</f>
        <v>9593.0813615029529</v>
      </c>
      <c r="E244">
        <f>(3/(1+('CurrentPor-N10Unchanged'!C244+'CurrentPor-N10Unchanged'!I244)/100)+103/POWER(1+('CurrentPor-N10Unchanged'!D244+'CurrentPor-N10Unchanged'!I244)/100,2))*100</f>
        <v>9582.0486269684279</v>
      </c>
      <c r="F244">
        <f>Portfolio!B$5*'CurrentPor-N10Unchanged'!E244</f>
        <v>52143.895533915893</v>
      </c>
      <c r="G244">
        <f>Portfolio!B$6*'CurrentPor-N10Unchanged'!F244</f>
        <v>3696.2945087936532</v>
      </c>
      <c r="H244">
        <f>Portfolio!B$7*'CurrentPor-N10Unchanged'!J244</f>
        <v>2064.4136984928641</v>
      </c>
      <c r="I244">
        <f t="shared" si="6"/>
        <v>96425.09496584913</v>
      </c>
      <c r="J244">
        <f t="shared" si="7"/>
        <v>-25.148345458001131</v>
      </c>
    </row>
    <row r="245" spans="1:10">
      <c r="A245" s="1">
        <v>45812</v>
      </c>
      <c r="B245">
        <f>(3/(1+('CurrentPor-N10Unchanged'!C245)/100)+103/POWER(1+('CurrentPor-N10Unchanged'!D245)/100,2))*100</f>
        <v>9707.5857774288397</v>
      </c>
      <c r="C245">
        <f>(3/(1+('CurrentPor-N10Unchanged'!C245+'CurrentPor-N10Unchanged'!G245)/100)+103/POWER(1+('CurrentPor-N10Unchanged'!D245+'CurrentPor-N10Unchanged'!G245)/100,2))*100</f>
        <v>9645.6825283360013</v>
      </c>
      <c r="D245">
        <f>(3/(1+('CurrentPor-N10Unchanged'!C245+'CurrentPor-N10Unchanged'!H245)/100)+103/POWER(1+('CurrentPor-N10Unchanged'!D245+'CurrentPor-N10Unchanged'!H245)/100,2))*100</f>
        <v>9597.8939726600911</v>
      </c>
      <c r="E245">
        <f>(3/(1+('CurrentPor-N10Unchanged'!C245+'CurrentPor-N10Unchanged'!I245)/100)+103/POWER(1+('CurrentPor-N10Unchanged'!D245+'CurrentPor-N10Unchanged'!I245)/100,2))*100</f>
        <v>9578.7316904421295</v>
      </c>
      <c r="F245">
        <f>Portfolio!B$5*'CurrentPor-N10Unchanged'!E245</f>
        <v>52143.895533915893</v>
      </c>
      <c r="G245">
        <f>Portfolio!B$6*'CurrentPor-N10Unchanged'!F245</f>
        <v>3696.2945087936532</v>
      </c>
      <c r="H245">
        <f>Portfolio!B$7*'CurrentPor-N10Unchanged'!J245</f>
        <v>2064.3970050226458</v>
      </c>
      <c r="I245">
        <f t="shared" si="6"/>
        <v>96434.481016599253</v>
      </c>
      <c r="J245">
        <f t="shared" si="7"/>
        <v>-18.169147371823783</v>
      </c>
    </row>
    <row r="246" spans="1:10">
      <c r="A246" s="1">
        <v>45813</v>
      </c>
      <c r="B246">
        <f>(3/(1+('CurrentPor-N10Unchanged'!C246)/100)+103/POWER(1+('CurrentPor-N10Unchanged'!D246)/100,2))*100</f>
        <v>9707.5857774288397</v>
      </c>
      <c r="C246">
        <f>(3/(1+('CurrentPor-N10Unchanged'!C246+'CurrentPor-N10Unchanged'!G246)/100)+103/POWER(1+('CurrentPor-N10Unchanged'!D246+'CurrentPor-N10Unchanged'!G246)/100,2))*100</f>
        <v>9644.3831316621963</v>
      </c>
      <c r="D246">
        <f>(3/(1+('CurrentPor-N10Unchanged'!C246+'CurrentPor-N10Unchanged'!H246)/100)+103/POWER(1+('CurrentPor-N10Unchanged'!D246+'CurrentPor-N10Unchanged'!H246)/100,2))*100</f>
        <v>9593.3096901691606</v>
      </c>
      <c r="E246">
        <f>(3/(1+('CurrentPor-N10Unchanged'!C246+'CurrentPor-N10Unchanged'!I246)/100)+103/POWER(1+('CurrentPor-N10Unchanged'!D246+'CurrentPor-N10Unchanged'!I246)/100,2))*100</f>
        <v>9580.5509122102358</v>
      </c>
      <c r="F246">
        <f>Portfolio!B$5*'CurrentPor-N10Unchanged'!E246</f>
        <v>52143.895533915893</v>
      </c>
      <c r="G246">
        <f>Portfolio!B$6*'CurrentPor-N10Unchanged'!F246</f>
        <v>3696.2945087936532</v>
      </c>
      <c r="H246">
        <f>Portfolio!B$7*'CurrentPor-N10Unchanged'!J246</f>
        <v>2064.4030061480421</v>
      </c>
      <c r="I246">
        <f t="shared" si="6"/>
        <v>96430.422560328021</v>
      </c>
      <c r="J246">
        <f t="shared" si="7"/>
        <v>-14.692265715144458</v>
      </c>
    </row>
    <row r="247" spans="1:10">
      <c r="A247" s="1">
        <v>45814</v>
      </c>
      <c r="B247">
        <f>(3/(1+('CurrentPor-N10Unchanged'!C247)/100)+103/POWER(1+('CurrentPor-N10Unchanged'!D247)/100,2))*100</f>
        <v>9707.5857774288397</v>
      </c>
      <c r="C247">
        <f>(3/(1+('CurrentPor-N10Unchanged'!C247+'CurrentPor-N10Unchanged'!G247)/100)+103/POWER(1+('CurrentPor-N10Unchanged'!D247+'CurrentPor-N10Unchanged'!G247)/100,2))*100</f>
        <v>9645.5767532526897</v>
      </c>
      <c r="D247">
        <f>(3/(1+('CurrentPor-N10Unchanged'!C247+'CurrentPor-N10Unchanged'!H247)/100)+103/POWER(1+('CurrentPor-N10Unchanged'!D247+'CurrentPor-N10Unchanged'!H247)/100,2))*100</f>
        <v>9610.7434309632899</v>
      </c>
      <c r="E247">
        <f>(3/(1+('CurrentPor-N10Unchanged'!C247+'CurrentPor-N10Unchanged'!I247)/100)+103/POWER(1+('CurrentPor-N10Unchanged'!D247+'CurrentPor-N10Unchanged'!I247)/100,2))*100</f>
        <v>9580.5703435403866</v>
      </c>
      <c r="F247">
        <f>Portfolio!B$5*'CurrentPor-N10Unchanged'!E247</f>
        <v>52143.895533915893</v>
      </c>
      <c r="G247">
        <f>Portfolio!B$6*'CurrentPor-N10Unchanged'!F247</f>
        <v>3696.2945087936532</v>
      </c>
      <c r="H247">
        <f>Portfolio!B$7*'CurrentPor-N10Unchanged'!J247</f>
        <v>2064.401812306849</v>
      </c>
      <c r="I247">
        <f t="shared" si="6"/>
        <v>96449.068160201612</v>
      </c>
      <c r="J247">
        <f t="shared" si="7"/>
        <v>10.645228274399415</v>
      </c>
    </row>
    <row r="248" spans="1:10">
      <c r="A248" s="1">
        <v>45817</v>
      </c>
      <c r="B248">
        <f>(3/(1+('CurrentPor-N10Unchanged'!C248)/100)+103/POWER(1+('CurrentPor-N10Unchanged'!D248)/100,2))*100</f>
        <v>9707.5857774288397</v>
      </c>
      <c r="C248">
        <f>(3/(1+('CurrentPor-N10Unchanged'!C248+'CurrentPor-N10Unchanged'!G248)/100)+103/POWER(1+('CurrentPor-N10Unchanged'!D248+'CurrentPor-N10Unchanged'!G248)/100,2))*100</f>
        <v>9649.2772476318569</v>
      </c>
      <c r="D248">
        <f>(3/(1+('CurrentPor-N10Unchanged'!C248+'CurrentPor-N10Unchanged'!H248)/100)+103/POWER(1+('CurrentPor-N10Unchanged'!D248+'CurrentPor-N10Unchanged'!H248)/100,2))*100</f>
        <v>9598.225577826046</v>
      </c>
      <c r="E248">
        <f>(3/(1+('CurrentPor-N10Unchanged'!C248+'CurrentPor-N10Unchanged'!I248)/100)+103/POWER(1+('CurrentPor-N10Unchanged'!D248+'CurrentPor-N10Unchanged'!I248)/100,2))*100</f>
        <v>9578.8212801099562</v>
      </c>
      <c r="F248">
        <f>Portfolio!B$5*'CurrentPor-N10Unchanged'!E248</f>
        <v>52143.895533915893</v>
      </c>
      <c r="G248">
        <f>Portfolio!B$6*'CurrentPor-N10Unchanged'!F248</f>
        <v>3696.2945087936532</v>
      </c>
      <c r="H248">
        <f>Portfolio!B$7*'CurrentPor-N10Unchanged'!J248</f>
        <v>2064.4048590287989</v>
      </c>
      <c r="I248">
        <f t="shared" si="6"/>
        <v>96438.504784735051</v>
      </c>
      <c r="J248">
        <f t="shared" si="7"/>
        <v>15.503334985056426</v>
      </c>
    </row>
    <row r="249" spans="1:10">
      <c r="A249" s="1">
        <v>45818</v>
      </c>
      <c r="B249">
        <f>(3/(1+('CurrentPor-N10Unchanged'!C249)/100)+103/POWER(1+('CurrentPor-N10Unchanged'!D249)/100,2))*100</f>
        <v>9707.5857774288397</v>
      </c>
      <c r="C249">
        <f>(3/(1+('CurrentPor-N10Unchanged'!C249+'CurrentPor-N10Unchanged'!G249)/100)+103/POWER(1+('CurrentPor-N10Unchanged'!D249+'CurrentPor-N10Unchanged'!G249)/100,2))*100</f>
        <v>9655.075733187794</v>
      </c>
      <c r="D249">
        <f>(3/(1+('CurrentPor-N10Unchanged'!C249+'CurrentPor-N10Unchanged'!H249)/100)+103/POWER(1+('CurrentPor-N10Unchanged'!D249+'CurrentPor-N10Unchanged'!H249)/100,2))*100</f>
        <v>9594.2397413920589</v>
      </c>
      <c r="E249">
        <f>(3/(1+('CurrentPor-N10Unchanged'!C249+'CurrentPor-N10Unchanged'!I249)/100)+103/POWER(1+('CurrentPor-N10Unchanged'!D249+'CurrentPor-N10Unchanged'!I249)/100,2))*100</f>
        <v>9580.40174148802</v>
      </c>
      <c r="F249">
        <f>Portfolio!B$5*'CurrentPor-N10Unchanged'!E249</f>
        <v>52143.895533915893</v>
      </c>
      <c r="G249">
        <f>Portfolio!B$6*'CurrentPor-N10Unchanged'!F249</f>
        <v>3696.2945087936532</v>
      </c>
      <c r="H249">
        <f>Portfolio!B$7*'CurrentPor-N10Unchanged'!J249</f>
        <v>2064.3954774843605</v>
      </c>
      <c r="I249">
        <f t="shared" si="6"/>
        <v>96441.888513690617</v>
      </c>
      <c r="J249">
        <f t="shared" si="7"/>
        <v>4.5310248716850765</v>
      </c>
    </row>
    <row r="250" spans="1:10">
      <c r="A250" s="1">
        <v>45819</v>
      </c>
      <c r="B250">
        <f>(3/(1+('CurrentPor-N10Unchanged'!C250)/100)+103/POWER(1+('CurrentPor-N10Unchanged'!D250)/100,2))*100</f>
        <v>9707.5857774288397</v>
      </c>
      <c r="C250">
        <f>(3/(1+('CurrentPor-N10Unchanged'!C250+'CurrentPor-N10Unchanged'!G250)/100)+103/POWER(1+('CurrentPor-N10Unchanged'!D250+'CurrentPor-N10Unchanged'!G250)/100,2))*100</f>
        <v>9650.3403534981917</v>
      </c>
      <c r="D250">
        <f>(3/(1+('CurrentPor-N10Unchanged'!C250+'CurrentPor-N10Unchanged'!H250)/100)+103/POWER(1+('CurrentPor-N10Unchanged'!D250+'CurrentPor-N10Unchanged'!H250)/100,2))*100</f>
        <v>9600.7061204328566</v>
      </c>
      <c r="E250">
        <f>(3/(1+('CurrentPor-N10Unchanged'!C250+'CurrentPor-N10Unchanged'!I250)/100)+103/POWER(1+('CurrentPor-N10Unchanged'!D250+'CurrentPor-N10Unchanged'!I250)/100,2))*100</f>
        <v>9582.3838735593145</v>
      </c>
      <c r="F250">
        <f>Portfolio!B$5*'CurrentPor-N10Unchanged'!E250</f>
        <v>52143.895533915893</v>
      </c>
      <c r="G250">
        <f>Portfolio!B$6*'CurrentPor-N10Unchanged'!F250</f>
        <v>3696.2945087936532</v>
      </c>
      <c r="H250">
        <f>Portfolio!B$7*'CurrentPor-N10Unchanged'!J250</f>
        <v>2064.3944658449</v>
      </c>
      <c r="I250">
        <f t="shared" si="6"/>
        <v>96445.600633473659</v>
      </c>
      <c r="J250">
        <f t="shared" si="7"/>
        <v>5.1557947811379563</v>
      </c>
    </row>
    <row r="251" spans="1:10">
      <c r="A251" s="1">
        <v>45820</v>
      </c>
      <c r="B251">
        <f>(3/(1+('CurrentPor-N10Unchanged'!C251)/100)+103/POWER(1+('CurrentPor-N10Unchanged'!D251)/100,2))*100</f>
        <v>9707.5857774288397</v>
      </c>
      <c r="C251">
        <f>(3/(1+('CurrentPor-N10Unchanged'!C251+'CurrentPor-N10Unchanged'!G251)/100)+103/POWER(1+('CurrentPor-N10Unchanged'!D251+'CurrentPor-N10Unchanged'!G251)/100,2))*100</f>
        <v>9629.526657333301</v>
      </c>
      <c r="D251">
        <f>(3/(1+('CurrentPor-N10Unchanged'!C251+'CurrentPor-N10Unchanged'!H251)/100)+103/POWER(1+('CurrentPor-N10Unchanged'!D251+'CurrentPor-N10Unchanged'!H251)/100,2))*100</f>
        <v>9595.4375715804908</v>
      </c>
      <c r="E251">
        <f>(3/(1+('CurrentPor-N10Unchanged'!C251+'CurrentPor-N10Unchanged'!I251)/100)+103/POWER(1+('CurrentPor-N10Unchanged'!D251+'CurrentPor-N10Unchanged'!I251)/100,2))*100</f>
        <v>9578.8778233571502</v>
      </c>
      <c r="F251">
        <f>Portfolio!B$5*'CurrentPor-N10Unchanged'!E251</f>
        <v>52143.895533915893</v>
      </c>
      <c r="G251">
        <f>Portfolio!B$6*'CurrentPor-N10Unchanged'!F251</f>
        <v>3696.2945087936532</v>
      </c>
      <c r="H251">
        <f>Portfolio!B$7*'CurrentPor-N10Unchanged'!J251</f>
        <v>2064.3989529929195</v>
      </c>
      <c r="I251">
        <f t="shared" si="6"/>
        <v>96416.016825402243</v>
      </c>
      <c r="J251">
        <f t="shared" si="7"/>
        <v>-11.630533694551559</v>
      </c>
    </row>
    <row r="252" spans="1:10">
      <c r="A252" s="1">
        <v>45821</v>
      </c>
      <c r="B252">
        <f>(3/(1+('CurrentPor-N10Unchanged'!C252)/100)+103/POWER(1+('CurrentPor-N10Unchanged'!D252)/100,2))*100</f>
        <v>9707.5857774288397</v>
      </c>
      <c r="C252">
        <f>(3/(1+('CurrentPor-N10Unchanged'!C252+'CurrentPor-N10Unchanged'!G252)/100)+103/POWER(1+('CurrentPor-N10Unchanged'!D252+'CurrentPor-N10Unchanged'!G252)/100,2))*100</f>
        <v>9639.3599360354947</v>
      </c>
      <c r="D252">
        <f>(3/(1+('CurrentPor-N10Unchanged'!C252+'CurrentPor-N10Unchanged'!H252)/100)+103/POWER(1+('CurrentPor-N10Unchanged'!D252+'CurrentPor-N10Unchanged'!H252)/100,2))*100</f>
        <v>9592.9537116926895</v>
      </c>
      <c r="E252">
        <f>(3/(1+('CurrentPor-N10Unchanged'!C252+'CurrentPor-N10Unchanged'!I252)/100)+103/POWER(1+('CurrentPor-N10Unchanged'!D252+'CurrentPor-N10Unchanged'!I252)/100,2))*100</f>
        <v>9580.31831520378</v>
      </c>
      <c r="F252">
        <f>Portfolio!B$5*'CurrentPor-N10Unchanged'!E252</f>
        <v>52143.895533915893</v>
      </c>
      <c r="G252">
        <f>Portfolio!B$6*'CurrentPor-N10Unchanged'!F252</f>
        <v>3696.2945087936532</v>
      </c>
      <c r="H252">
        <f>Portfolio!B$7*'CurrentPor-N10Unchanged'!J252</f>
        <v>2064.4024291325927</v>
      </c>
      <c r="I252">
        <f t="shared" ref="I252:I263" si="8">SUM(B252:H252)</f>
        <v>96424.810212202938</v>
      </c>
      <c r="J252">
        <f t="shared" ref="J252:J263" si="9">I252-I242</f>
        <v>-14.14585226305644</v>
      </c>
    </row>
    <row r="253" spans="1:10">
      <c r="A253" s="1">
        <v>45824</v>
      </c>
      <c r="B253">
        <f>(3/(1+('CurrentPor-N10Unchanged'!C253)/100)+103/POWER(1+('CurrentPor-N10Unchanged'!D253)/100,2))*100</f>
        <v>9707.5857774288397</v>
      </c>
      <c r="C253">
        <f>(3/(1+('CurrentPor-N10Unchanged'!C253+'CurrentPor-N10Unchanged'!G253)/100)+103/POWER(1+('CurrentPor-N10Unchanged'!D253+'CurrentPor-N10Unchanged'!G253)/100,2))*100</f>
        <v>9643.6287242966373</v>
      </c>
      <c r="D253">
        <f>(3/(1+('CurrentPor-N10Unchanged'!C253+'CurrentPor-N10Unchanged'!H253)/100)+103/POWER(1+('CurrentPor-N10Unchanged'!D253+'CurrentPor-N10Unchanged'!H253)/100,2))*100</f>
        <v>9589.1775051307741</v>
      </c>
      <c r="E253">
        <f>(3/(1+('CurrentPor-N10Unchanged'!C253+'CurrentPor-N10Unchanged'!I253)/100)+103/POWER(1+('CurrentPor-N10Unchanged'!D253+'CurrentPor-N10Unchanged'!I253)/100,2))*100</f>
        <v>9580.1762428978691</v>
      </c>
      <c r="F253">
        <f>Portfolio!B$5*'CurrentPor-N10Unchanged'!E253</f>
        <v>52143.895533915893</v>
      </c>
      <c r="G253">
        <f>Portfolio!B$6*'CurrentPor-N10Unchanged'!F253</f>
        <v>3696.2945087936532</v>
      </c>
      <c r="H253">
        <f>Portfolio!B$7*'CurrentPor-N10Unchanged'!J253</f>
        <v>2064.3971991186445</v>
      </c>
      <c r="I253">
        <f t="shared" si="8"/>
        <v>96425.155491582307</v>
      </c>
      <c r="J253">
        <f t="shared" si="9"/>
        <v>12.452129115816206</v>
      </c>
    </row>
    <row r="254" spans="1:10">
      <c r="A254" s="1">
        <v>45825</v>
      </c>
      <c r="B254">
        <f>(3/(1+('CurrentPor-N10Unchanged'!C254)/100)+103/POWER(1+('CurrentPor-N10Unchanged'!D254)/100,2))*100</f>
        <v>9707.5857774288397</v>
      </c>
      <c r="C254">
        <f>(3/(1+('CurrentPor-N10Unchanged'!C254+'CurrentPor-N10Unchanged'!G254)/100)+103/POWER(1+('CurrentPor-N10Unchanged'!D254+'CurrentPor-N10Unchanged'!G254)/100,2))*100</f>
        <v>9648.3062660592514</v>
      </c>
      <c r="D254">
        <f>(3/(1+('CurrentPor-N10Unchanged'!C254+'CurrentPor-N10Unchanged'!H254)/100)+103/POWER(1+('CurrentPor-N10Unchanged'!D254+'CurrentPor-N10Unchanged'!H254)/100,2))*100</f>
        <v>9599.9720638752624</v>
      </c>
      <c r="E254">
        <f>(3/(1+('CurrentPor-N10Unchanged'!C254+'CurrentPor-N10Unchanged'!I254)/100)+103/POWER(1+('CurrentPor-N10Unchanged'!D254+'CurrentPor-N10Unchanged'!I254)/100,2))*100</f>
        <v>9582.7185105677108</v>
      </c>
      <c r="F254">
        <f>Portfolio!B$5*'CurrentPor-N10Unchanged'!E254</f>
        <v>52143.895533915893</v>
      </c>
      <c r="G254">
        <f>Portfolio!B$6*'CurrentPor-N10Unchanged'!F254</f>
        <v>3696.2945087936532</v>
      </c>
      <c r="H254">
        <f>Portfolio!B$7*'CurrentPor-N10Unchanged'!J254</f>
        <v>2064.39918005345</v>
      </c>
      <c r="I254">
        <f t="shared" si="8"/>
        <v>96443.171840694078</v>
      </c>
      <c r="J254">
        <f t="shared" si="9"/>
        <v>18.076874844948179</v>
      </c>
    </row>
    <row r="255" spans="1:10">
      <c r="A255" s="1">
        <v>45826</v>
      </c>
      <c r="B255">
        <f>(3/(1+('CurrentPor-N10Unchanged'!C255)/100)+103/POWER(1+('CurrentPor-N10Unchanged'!D255)/100,2))*100</f>
        <v>9707.5857774288397</v>
      </c>
      <c r="C255">
        <f>(3/(1+('CurrentPor-N10Unchanged'!C255+'CurrentPor-N10Unchanged'!G255)/100)+103/POWER(1+('CurrentPor-N10Unchanged'!D255+'CurrentPor-N10Unchanged'!G255)/100,2))*100</f>
        <v>9653.6418991343235</v>
      </c>
      <c r="D255">
        <f>(3/(1+('CurrentPor-N10Unchanged'!C255+'CurrentPor-N10Unchanged'!H255)/100)+103/POWER(1+('CurrentPor-N10Unchanged'!D255+'CurrentPor-N10Unchanged'!H255)/100,2))*100</f>
        <v>9616.0143118851229</v>
      </c>
      <c r="E255">
        <f>(3/(1+('CurrentPor-N10Unchanged'!C255+'CurrentPor-N10Unchanged'!I255)/100)+103/POWER(1+('CurrentPor-N10Unchanged'!D255+'CurrentPor-N10Unchanged'!I255)/100,2))*100</f>
        <v>9579.010759048615</v>
      </c>
      <c r="F255">
        <f>Portfolio!B$5*'CurrentPor-N10Unchanged'!E255</f>
        <v>52143.895533915893</v>
      </c>
      <c r="G255">
        <f>Portfolio!B$6*'CurrentPor-N10Unchanged'!F255</f>
        <v>3696.2945087936532</v>
      </c>
      <c r="H255">
        <f>Portfolio!B$7*'CurrentPor-N10Unchanged'!J255</f>
        <v>2064.4001337328659</v>
      </c>
      <c r="I255">
        <f t="shared" si="8"/>
        <v>96460.842923939301</v>
      </c>
      <c r="J255">
        <f t="shared" si="9"/>
        <v>26.361907340047765</v>
      </c>
    </row>
    <row r="256" spans="1:10">
      <c r="A256" s="1">
        <v>45827</v>
      </c>
      <c r="B256">
        <f>(3/(1+('CurrentPor-N10Unchanged'!C256)/100)+103/POWER(1+('CurrentPor-N10Unchanged'!D256)/100,2))*100</f>
        <v>9707.5857774288397</v>
      </c>
      <c r="C256">
        <f>(3/(1+('CurrentPor-N10Unchanged'!C256+'CurrentPor-N10Unchanged'!G256)/100)+103/POWER(1+('CurrentPor-N10Unchanged'!D256+'CurrentPor-N10Unchanged'!G256)/100,2))*100</f>
        <v>9643.9084611421295</v>
      </c>
      <c r="D256">
        <f>(3/(1+('CurrentPor-N10Unchanged'!C256+'CurrentPor-N10Unchanged'!H256)/100)+103/POWER(1+('CurrentPor-N10Unchanged'!D256+'CurrentPor-N10Unchanged'!H256)/100,2))*100</f>
        <v>9603.2456808209172</v>
      </c>
      <c r="E256">
        <f>(3/(1+('CurrentPor-N10Unchanged'!C256+'CurrentPor-N10Unchanged'!I256)/100)+103/POWER(1+('CurrentPor-N10Unchanged'!D256+'CurrentPor-N10Unchanged'!I256)/100,2))*100</f>
        <v>9580.7188362021134</v>
      </c>
      <c r="F256">
        <f>Portfolio!B$5*'CurrentPor-N10Unchanged'!E256</f>
        <v>52143.895533915893</v>
      </c>
      <c r="G256">
        <f>Portfolio!B$6*'CurrentPor-N10Unchanged'!F256</f>
        <v>3696.2945087936532</v>
      </c>
      <c r="H256">
        <f>Portfolio!B$7*'CurrentPor-N10Unchanged'!J256</f>
        <v>2064.4097151191777</v>
      </c>
      <c r="I256">
        <f t="shared" si="8"/>
        <v>96440.058513422729</v>
      </c>
      <c r="J256">
        <f t="shared" si="9"/>
        <v>9.635953094708384</v>
      </c>
    </row>
    <row r="257" spans="1:10">
      <c r="A257" s="1">
        <v>45828</v>
      </c>
      <c r="B257">
        <f>(3/(1+('CurrentPor-N10Unchanged'!C257)/100)+103/POWER(1+('CurrentPor-N10Unchanged'!D257)/100,2))*100</f>
        <v>9707.5857774288397</v>
      </c>
      <c r="C257">
        <f>(3/(1+('CurrentPor-N10Unchanged'!C257+'CurrentPor-N10Unchanged'!G257)/100)+103/POWER(1+('CurrentPor-N10Unchanged'!D257+'CurrentPor-N10Unchanged'!G257)/100,2))*100</f>
        <v>9646.1527201648387</v>
      </c>
      <c r="D257">
        <f>(3/(1+('CurrentPor-N10Unchanged'!C257+'CurrentPor-N10Unchanged'!H257)/100)+103/POWER(1+('CurrentPor-N10Unchanged'!D257+'CurrentPor-N10Unchanged'!H257)/100,2))*100</f>
        <v>9580.7913676363278</v>
      </c>
      <c r="E257">
        <f>(3/(1+('CurrentPor-N10Unchanged'!C257+'CurrentPor-N10Unchanged'!I257)/100)+103/POWER(1+('CurrentPor-N10Unchanged'!D257+'CurrentPor-N10Unchanged'!I257)/100,2))*100</f>
        <v>9579.0823356422243</v>
      </c>
      <c r="F257">
        <f>Portfolio!B$5*'CurrentPor-N10Unchanged'!E257</f>
        <v>52143.895533915893</v>
      </c>
      <c r="G257">
        <f>Portfolio!B$6*'CurrentPor-N10Unchanged'!F257</f>
        <v>3696.2945087936532</v>
      </c>
      <c r="H257">
        <f>Portfolio!B$7*'CurrentPor-N10Unchanged'!J257</f>
        <v>2064.4030414302811</v>
      </c>
      <c r="I257">
        <f t="shared" si="8"/>
        <v>96418.205285012053</v>
      </c>
      <c r="J257">
        <f t="shared" si="9"/>
        <v>-30.862875189559418</v>
      </c>
    </row>
    <row r="258" spans="1:10">
      <c r="A258" s="1">
        <v>45831</v>
      </c>
      <c r="B258">
        <f>(3/(1+('CurrentPor-N10Unchanged'!C258)/100)+103/POWER(1+('CurrentPor-N10Unchanged'!D258)/100,2))*100</f>
        <v>9707.5857774288397</v>
      </c>
      <c r="C258">
        <f>(3/(1+('CurrentPor-N10Unchanged'!C258+'CurrentPor-N10Unchanged'!G258)/100)+103/POWER(1+('CurrentPor-N10Unchanged'!D258+'CurrentPor-N10Unchanged'!G258)/100,2))*100</f>
        <v>9641.887956649216</v>
      </c>
      <c r="D258">
        <f>(3/(1+('CurrentPor-N10Unchanged'!C258+'CurrentPor-N10Unchanged'!H258)/100)+103/POWER(1+('CurrentPor-N10Unchanged'!D258+'CurrentPor-N10Unchanged'!H258)/100,2))*100</f>
        <v>9609.6312191696743</v>
      </c>
      <c r="E258">
        <f>(3/(1+('CurrentPor-N10Unchanged'!C258+'CurrentPor-N10Unchanged'!I258)/100)+103/POWER(1+('CurrentPor-N10Unchanged'!D258+'CurrentPor-N10Unchanged'!I258)/100,2))*100</f>
        <v>9579.6288351442217</v>
      </c>
      <c r="F258">
        <f>Portfolio!B$5*'CurrentPor-N10Unchanged'!E258</f>
        <v>52143.895533915893</v>
      </c>
      <c r="G258">
        <f>Portfolio!B$6*'CurrentPor-N10Unchanged'!F258</f>
        <v>3696.2945087936532</v>
      </c>
      <c r="H258">
        <f>Portfolio!B$7*'CurrentPor-N10Unchanged'!J258</f>
        <v>2064.404248622759</v>
      </c>
      <c r="I258">
        <f t="shared" si="8"/>
        <v>96443.328079724262</v>
      </c>
      <c r="J258">
        <f t="shared" si="9"/>
        <v>4.8232949892117176</v>
      </c>
    </row>
    <row r="259" spans="1:10">
      <c r="A259" s="1">
        <v>45832</v>
      </c>
      <c r="B259">
        <f>(3/(1+('CurrentPor-N10Unchanged'!C259)/100)+103/POWER(1+('CurrentPor-N10Unchanged'!D259)/100,2))*100</f>
        <v>9707.5857774288397</v>
      </c>
      <c r="C259">
        <f>(3/(1+('CurrentPor-N10Unchanged'!C259+'CurrentPor-N10Unchanged'!G259)/100)+103/POWER(1+('CurrentPor-N10Unchanged'!D259+'CurrentPor-N10Unchanged'!G259)/100,2))*100</f>
        <v>9617.2088948996352</v>
      </c>
      <c r="D259">
        <f>(3/(1+('CurrentPor-N10Unchanged'!C259+'CurrentPor-N10Unchanged'!H259)/100)+103/POWER(1+('CurrentPor-N10Unchanged'!D259+'CurrentPor-N10Unchanged'!H259)/100,2))*100</f>
        <v>9599.9436299683312</v>
      </c>
      <c r="E259">
        <f>(3/(1+('CurrentPor-N10Unchanged'!C259+'CurrentPor-N10Unchanged'!I259)/100)+103/POWER(1+('CurrentPor-N10Unchanged'!D259+'CurrentPor-N10Unchanged'!I259)/100,2))*100</f>
        <v>9580.8706323447968</v>
      </c>
      <c r="F259">
        <f>Portfolio!B$5*'CurrentPor-N10Unchanged'!E259</f>
        <v>52143.895533915893</v>
      </c>
      <c r="G259">
        <f>Portfolio!B$6*'CurrentPor-N10Unchanged'!F259</f>
        <v>3696.2945087936532</v>
      </c>
      <c r="H259">
        <f>Portfolio!B$7*'CurrentPor-N10Unchanged'!J259</f>
        <v>2064.3986587500449</v>
      </c>
      <c r="I259">
        <f t="shared" si="8"/>
        <v>96410.197636101191</v>
      </c>
      <c r="J259">
        <f t="shared" si="9"/>
        <v>-31.690877589426236</v>
      </c>
    </row>
    <row r="260" spans="1:10">
      <c r="A260" s="1">
        <v>45833</v>
      </c>
      <c r="B260">
        <f>(3/(1+('CurrentPor-N10Unchanged'!C260)/100)+103/POWER(1+('CurrentPor-N10Unchanged'!D260)/100,2))*100</f>
        <v>9707.5857774288397</v>
      </c>
      <c r="C260">
        <f>(3/(1+('CurrentPor-N10Unchanged'!C260+'CurrentPor-N10Unchanged'!G260)/100)+103/POWER(1+('CurrentPor-N10Unchanged'!D260+'CurrentPor-N10Unchanged'!G260)/100,2))*100</f>
        <v>9638.968746779552</v>
      </c>
      <c r="D260">
        <f>(3/(1+('CurrentPor-N10Unchanged'!C260+'CurrentPor-N10Unchanged'!H260)/100)+103/POWER(1+('CurrentPor-N10Unchanged'!D260+'CurrentPor-N10Unchanged'!H260)/100,2))*100</f>
        <v>9600.1467176739607</v>
      </c>
      <c r="E260">
        <f>(3/(1+('CurrentPor-N10Unchanged'!C260+'CurrentPor-N10Unchanged'!I260)/100)+103/POWER(1+('CurrentPor-N10Unchanged'!D260+'CurrentPor-N10Unchanged'!I260)/100,2))*100</f>
        <v>9581.5270132168862</v>
      </c>
      <c r="F260">
        <f>Portfolio!B$5*'CurrentPor-N10Unchanged'!E260</f>
        <v>52143.895533915893</v>
      </c>
      <c r="G260">
        <f>Portfolio!B$6*'CurrentPor-N10Unchanged'!F260</f>
        <v>3696.2945087936532</v>
      </c>
      <c r="H260">
        <f>Portfolio!B$7*'CurrentPor-N10Unchanged'!J260</f>
        <v>2064.3999934932476</v>
      </c>
      <c r="I260">
        <f t="shared" si="8"/>
        <v>96432.818291302043</v>
      </c>
      <c r="J260">
        <f t="shared" si="9"/>
        <v>-12.782342171616619</v>
      </c>
    </row>
    <row r="261" spans="1:10">
      <c r="A261" s="1">
        <v>45834</v>
      </c>
      <c r="B261">
        <f>(3/(1+('CurrentPor-N10Unchanged'!C261)/100)+103/POWER(1+('CurrentPor-N10Unchanged'!D261)/100,2))*100</f>
        <v>9707.5857774288397</v>
      </c>
      <c r="C261">
        <f>(3/(1+('CurrentPor-N10Unchanged'!C261+'CurrentPor-N10Unchanged'!G261)/100)+103/POWER(1+('CurrentPor-N10Unchanged'!D261+'CurrentPor-N10Unchanged'!G261)/100,2))*100</f>
        <v>9620.4134052551908</v>
      </c>
      <c r="D261">
        <f>(3/(1+('CurrentPor-N10Unchanged'!C261+'CurrentPor-N10Unchanged'!H261)/100)+103/POWER(1+('CurrentPor-N10Unchanged'!D261+'CurrentPor-N10Unchanged'!H261)/100,2))*100</f>
        <v>9592.7745858498201</v>
      </c>
      <c r="E261">
        <f>(3/(1+('CurrentPor-N10Unchanged'!C261+'CurrentPor-N10Unchanged'!I261)/100)+103/POWER(1+('CurrentPor-N10Unchanged'!D261+'CurrentPor-N10Unchanged'!I261)/100,2))*100</f>
        <v>9579.9577290909056</v>
      </c>
      <c r="F261">
        <f>Portfolio!B$5*'CurrentPor-N10Unchanged'!E261</f>
        <v>52143.895533915893</v>
      </c>
      <c r="G261">
        <f>Portfolio!B$6*'CurrentPor-N10Unchanged'!F261</f>
        <v>3696.2945087936532</v>
      </c>
      <c r="H261">
        <f>Portfolio!B$7*'CurrentPor-N10Unchanged'!J261</f>
        <v>2064.4019508382348</v>
      </c>
      <c r="I261">
        <f t="shared" si="8"/>
        <v>96405.32349117253</v>
      </c>
      <c r="J261">
        <f t="shared" si="9"/>
        <v>-10.693334229712491</v>
      </c>
    </row>
    <row r="262" spans="1:10">
      <c r="A262" s="1">
        <v>45835</v>
      </c>
      <c r="B262">
        <f>(3/(1+('CurrentPor-N10Unchanged'!C262)/100)+103/POWER(1+('CurrentPor-N10Unchanged'!D262)/100,2))*100</f>
        <v>9707.5857774288397</v>
      </c>
      <c r="C262">
        <f>(3/(1+('CurrentPor-N10Unchanged'!C262+'CurrentPor-N10Unchanged'!G262)/100)+103/POWER(1+('CurrentPor-N10Unchanged'!D262+'CurrentPor-N10Unchanged'!G262)/100,2))*100</f>
        <v>9642.6262008599715</v>
      </c>
      <c r="D262">
        <f>(3/(1+('CurrentPor-N10Unchanged'!C262+'CurrentPor-N10Unchanged'!H262)/100)+103/POWER(1+('CurrentPor-N10Unchanged'!D262+'CurrentPor-N10Unchanged'!H262)/100,2))*100</f>
        <v>9601.0935830005292</v>
      </c>
      <c r="E262">
        <f>(3/(1+('CurrentPor-N10Unchanged'!C262+'CurrentPor-N10Unchanged'!I262)/100)+103/POWER(1+('CurrentPor-N10Unchanged'!D262+'CurrentPor-N10Unchanged'!I262)/100,2))*100</f>
        <v>9582.0954414573189</v>
      </c>
      <c r="F262">
        <f>Portfolio!B$5*'CurrentPor-N10Unchanged'!E262</f>
        <v>52143.895533915893</v>
      </c>
      <c r="G262">
        <f>Portfolio!B$6*'CurrentPor-N10Unchanged'!F262</f>
        <v>3696.2945087936532</v>
      </c>
      <c r="H262">
        <f>Portfolio!B$7*'CurrentPor-N10Unchanged'!J262</f>
        <v>2064.4007208145945</v>
      </c>
      <c r="I262">
        <f t="shared" si="8"/>
        <v>96437.991766270803</v>
      </c>
      <c r="J262">
        <f t="shared" si="9"/>
        <v>13.181554067865363</v>
      </c>
    </row>
    <row r="263" spans="1:10">
      <c r="A263" s="1">
        <v>45838</v>
      </c>
      <c r="B263">
        <f>(3/(1+('CurrentPor-N10Unchanged'!C263)/100)+103/POWER(1+('CurrentPor-N10Unchanged'!D263)/100,2))*100</f>
        <v>9707.5857774288397</v>
      </c>
      <c r="C263">
        <f>(3/(1+('CurrentPor-N10Unchanged'!C263+'CurrentPor-N10Unchanged'!G263)/100)+103/POWER(1+('CurrentPor-N10Unchanged'!D263+'CurrentPor-N10Unchanged'!G263)/100,2))*100</f>
        <v>9663.4973330196517</v>
      </c>
      <c r="D263">
        <f>(3/(1+('CurrentPor-N10Unchanged'!C263+'CurrentPor-N10Unchanged'!H263)/100)+103/POWER(1+('CurrentPor-N10Unchanged'!D263+'CurrentPor-N10Unchanged'!H263)/100,2))*100</f>
        <v>9604.1572253555169</v>
      </c>
      <c r="E263">
        <f>(3/(1+('CurrentPor-N10Unchanged'!C263+'CurrentPor-N10Unchanged'!I263)/100)+103/POWER(1+('CurrentPor-N10Unchanged'!D263+'CurrentPor-N10Unchanged'!I263)/100,2))*100</f>
        <v>9579.331729350537</v>
      </c>
      <c r="F263">
        <f>Portfolio!B$5*'CurrentPor-N10Unchanged'!E263</f>
        <v>52143.895533915893</v>
      </c>
      <c r="G263">
        <f>Portfolio!B$6*'CurrentPor-N10Unchanged'!F263</f>
        <v>3696.2945087936532</v>
      </c>
      <c r="H263">
        <f>Portfolio!B$7*'CurrentPor-N10Unchanged'!J263</f>
        <v>2064.405756097734</v>
      </c>
      <c r="I263">
        <f t="shared" si="8"/>
        <v>96459.167863961819</v>
      </c>
      <c r="J263">
        <f t="shared" si="9"/>
        <v>34.012372379511362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5055-F982-4C32-8F53-E60F50FE4EB4}">
  <dimension ref="A1:L263"/>
  <sheetViews>
    <sheetView tabSelected="1" topLeftCell="D1" workbookViewId="0">
      <selection activeCell="L3" sqref="L3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74</v>
      </c>
      <c r="C1" t="s">
        <v>75</v>
      </c>
      <c r="D1" t="s">
        <v>76</v>
      </c>
      <c r="E1" t="s">
        <v>77</v>
      </c>
      <c r="F1" t="s">
        <v>74</v>
      </c>
      <c r="G1" t="s">
        <v>74</v>
      </c>
      <c r="H1" t="s">
        <v>78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57</v>
      </c>
    </row>
    <row r="3" spans="1:12">
      <c r="A3" s="1">
        <v>45474</v>
      </c>
      <c r="B3">
        <f>(3/(1+('CurrentFact-N10,20Unchanged'!C3)/100)+103/POWER(1+('CurrentFact-N10,20Unchanged'!D3)/100,2))*100</f>
        <v>9707.5857774288397</v>
      </c>
      <c r="C3">
        <f>(3/(1+('CurrentFact-N10,20Unchanged'!C3+'CurrentFact-N10,20Unchanged'!G3)/100)+103/POWER(1+('CurrentFact-N10,20Unchanged'!D3+'CurrentFact-N10,20Unchanged'!G3)/100,2))*100</f>
        <v>9614.9673582483465</v>
      </c>
      <c r="D3">
        <f>(3/(1+('CurrentFact-N10,20Unchanged'!C3+'CurrentFact-N10,20Unchanged'!H3)/100)+103/POWER(1+('CurrentFact-N10,20Unchanged'!D3+'CurrentFact-N10,20Unchanged'!H3)/100,2))*100</f>
        <v>9601.2395558122898</v>
      </c>
      <c r="E3">
        <f>(3/(1+('CurrentFact-N10,20Unchanged'!C3+'CurrentFact-N10,20Unchanged'!I3)/100)+103/POWER(1+('CurrentFact-N10,20Unchanged'!D3+'CurrentFact-N10,20Unchanged'!I3)/100,2))*100</f>
        <v>9676.6907857653259</v>
      </c>
      <c r="F3">
        <f>Portfolio!B$5*'CurrentFact-N10,20Unchanged'!E3</f>
        <v>52143.895533915893</v>
      </c>
      <c r="G3">
        <f>Portfolio!B$6*'CurrentFact-N10,20Unchanged'!F3</f>
        <v>3696.2945087936532</v>
      </c>
      <c r="H3">
        <f>Portfolio!B$7*'CurrentFact-N10,20Unchanged'!J3</f>
        <v>2064.4550337304254</v>
      </c>
      <c r="I3">
        <f>SUM(B3:H3)</f>
        <v>96505.128553694783</v>
      </c>
      <c r="K3" s="8">
        <f>_xlfn.PERCENTILE.INC(J13:J263, 0.025)</f>
        <v>-97.695165589881071</v>
      </c>
      <c r="L3">
        <f>AVERAGEIF(J13:J263, "&lt;="&amp;K3,J13:J263)</f>
        <v>-102.76959392130291</v>
      </c>
    </row>
    <row r="4" spans="1:12">
      <c r="A4" s="1">
        <v>45475</v>
      </c>
      <c r="B4">
        <f>(3/(1+('CurrentFact-N10,20Unchanged'!C4)/100)+103/POWER(1+('CurrentFact-N10,20Unchanged'!D4)/100,2))*100</f>
        <v>9707.5857774288397</v>
      </c>
      <c r="C4">
        <f>(3/(1+('CurrentFact-N10,20Unchanged'!C4+'CurrentFact-N10,20Unchanged'!G4)/100)+103/POWER(1+('CurrentFact-N10,20Unchanged'!D4+'CurrentFact-N10,20Unchanged'!G4)/100,2))*100</f>
        <v>9614.9673582483465</v>
      </c>
      <c r="D4">
        <f>(3/(1+('CurrentFact-N10,20Unchanged'!C4+'CurrentFact-N10,20Unchanged'!H4)/100)+103/POWER(1+('CurrentFact-N10,20Unchanged'!D4+'CurrentFact-N10,20Unchanged'!H4)/100,2))*100</f>
        <v>9586.753643287564</v>
      </c>
      <c r="E4">
        <f>(3/(1+('CurrentFact-N10,20Unchanged'!C4+'CurrentFact-N10,20Unchanged'!I4)/100)+103/POWER(1+('CurrentFact-N10,20Unchanged'!D4+'CurrentFact-N10,20Unchanged'!I4)/100,2))*100</f>
        <v>9676.5087411427976</v>
      </c>
      <c r="F4">
        <f>Portfolio!B$5*'CurrentFact-N10,20Unchanged'!E4</f>
        <v>52143.895533915893</v>
      </c>
      <c r="G4">
        <f>Portfolio!B$6*'CurrentFact-N10,20Unchanged'!F4</f>
        <v>3696.2945087936532</v>
      </c>
      <c r="H4">
        <f>Portfolio!B$7*'CurrentFact-N10,20Unchanged'!J4</f>
        <v>2064.4550337304254</v>
      </c>
      <c r="I4">
        <f t="shared" ref="I4:I67" si="0">SUM(B4:H4)</f>
        <v>96490.46059654752</v>
      </c>
    </row>
    <row r="5" spans="1:12">
      <c r="A5" s="1">
        <v>45476</v>
      </c>
      <c r="B5">
        <f>(3/(1+('CurrentFact-N10,20Unchanged'!C5)/100)+103/POWER(1+('CurrentFact-N10,20Unchanged'!D5)/100,2))*100</f>
        <v>9707.5857774288397</v>
      </c>
      <c r="C5">
        <f>(3/(1+('CurrentFact-N10,20Unchanged'!C5+'CurrentFact-N10,20Unchanged'!G5)/100)+103/POWER(1+('CurrentFact-N10,20Unchanged'!D5+'CurrentFact-N10,20Unchanged'!G5)/100,2))*100</f>
        <v>9614.9673582483465</v>
      </c>
      <c r="D5">
        <f>(3/(1+('CurrentFact-N10,20Unchanged'!C5+'CurrentFact-N10,20Unchanged'!H5)/100)+103/POWER(1+('CurrentFact-N10,20Unchanged'!D5+'CurrentFact-N10,20Unchanged'!H5)/100,2))*100</f>
        <v>9603.4629610150168</v>
      </c>
      <c r="E5">
        <f>(3/(1+('CurrentFact-N10,20Unchanged'!C5+'CurrentFact-N10,20Unchanged'!I5)/100)+103/POWER(1+('CurrentFact-N10,20Unchanged'!D5+'CurrentFact-N10,20Unchanged'!I5)/100,2))*100</f>
        <v>9676.3449057655907</v>
      </c>
      <c r="F5">
        <f>Portfolio!B$5*'CurrentFact-N10,20Unchanged'!E5</f>
        <v>52143.895533915893</v>
      </c>
      <c r="G5">
        <f>Portfolio!B$6*'CurrentFact-N10,20Unchanged'!F5</f>
        <v>3696.2945087936532</v>
      </c>
      <c r="H5">
        <f>Portfolio!B$7*'CurrentFact-N10,20Unchanged'!J5</f>
        <v>2064.4550337304254</v>
      </c>
      <c r="I5">
        <f t="shared" si="0"/>
        <v>96507.006078897772</v>
      </c>
    </row>
    <row r="6" spans="1:12">
      <c r="A6" s="1">
        <v>45477</v>
      </c>
      <c r="B6">
        <f>(3/(1+('CurrentFact-N10,20Unchanged'!C6)/100)+103/POWER(1+('CurrentFact-N10,20Unchanged'!D6)/100,2))*100</f>
        <v>9707.5857774288397</v>
      </c>
      <c r="C6">
        <f>(3/(1+('CurrentFact-N10,20Unchanged'!C6+'CurrentFact-N10,20Unchanged'!G6)/100)+103/POWER(1+('CurrentFact-N10,20Unchanged'!D6+'CurrentFact-N10,20Unchanged'!G6)/100,2))*100</f>
        <v>9614.9673582483465</v>
      </c>
      <c r="D6">
        <f>(3/(1+('CurrentFact-N10,20Unchanged'!C6+'CurrentFact-N10,20Unchanged'!H6)/100)+103/POWER(1+('CurrentFact-N10,20Unchanged'!D6+'CurrentFact-N10,20Unchanged'!H6)/100,2))*100</f>
        <v>9607.0114786197646</v>
      </c>
      <c r="E6">
        <f>(3/(1+('CurrentFact-N10,20Unchanged'!C6+'CurrentFact-N10,20Unchanged'!I6)/100)+103/POWER(1+('CurrentFact-N10,20Unchanged'!D6+'CurrentFact-N10,20Unchanged'!I6)/100,2))*100</f>
        <v>9674.761385040998</v>
      </c>
      <c r="F6">
        <f>Portfolio!B$5*'CurrentFact-N10,20Unchanged'!E6</f>
        <v>52143.895533915893</v>
      </c>
      <c r="G6">
        <f>Portfolio!B$6*'CurrentFact-N10,20Unchanged'!F6</f>
        <v>3696.2945087936532</v>
      </c>
      <c r="H6">
        <f>Portfolio!B$7*'CurrentFact-N10,20Unchanged'!J6</f>
        <v>2064.4550337304254</v>
      </c>
      <c r="I6">
        <f t="shared" si="0"/>
        <v>96508.971075777925</v>
      </c>
    </row>
    <row r="7" spans="1:12">
      <c r="A7" s="1">
        <v>45478</v>
      </c>
      <c r="B7">
        <f>(3/(1+('CurrentFact-N10,20Unchanged'!C7)/100)+103/POWER(1+('CurrentFact-N10,20Unchanged'!D7)/100,2))*100</f>
        <v>9707.5857774288397</v>
      </c>
      <c r="C7">
        <f>(3/(1+('CurrentFact-N10,20Unchanged'!C7+'CurrentFact-N10,20Unchanged'!G7)/100)+103/POWER(1+('CurrentFact-N10,20Unchanged'!D7+'CurrentFact-N10,20Unchanged'!G7)/100,2))*100</f>
        <v>9614.9673582483465</v>
      </c>
      <c r="D7">
        <f>(3/(1+('CurrentFact-N10,20Unchanged'!C7+'CurrentFact-N10,20Unchanged'!H7)/100)+103/POWER(1+('CurrentFact-N10,20Unchanged'!D7+'CurrentFact-N10,20Unchanged'!H7)/100,2))*100</f>
        <v>9580.3056214308926</v>
      </c>
      <c r="E7">
        <f>(3/(1+('CurrentFact-N10,20Unchanged'!C7+'CurrentFact-N10,20Unchanged'!I7)/100)+103/POWER(1+('CurrentFact-N10,20Unchanged'!D7+'CurrentFact-N10,20Unchanged'!I7)/100,2))*100</f>
        <v>9676.8000136403025</v>
      </c>
      <c r="F7">
        <f>Portfolio!B$5*'CurrentFact-N10,20Unchanged'!E7</f>
        <v>52143.895533915893</v>
      </c>
      <c r="G7">
        <f>Portfolio!B$6*'CurrentFact-N10,20Unchanged'!F7</f>
        <v>3696.2945087936532</v>
      </c>
      <c r="H7">
        <f>Portfolio!B$7*'CurrentFact-N10,20Unchanged'!J7</f>
        <v>2064.4550337304254</v>
      </c>
      <c r="I7">
        <f t="shared" si="0"/>
        <v>96484.303847188363</v>
      </c>
    </row>
    <row r="8" spans="1:12">
      <c r="A8" s="1">
        <v>45481</v>
      </c>
      <c r="B8">
        <f>(3/(1+('CurrentFact-N10,20Unchanged'!C8)/100)+103/POWER(1+('CurrentFact-N10,20Unchanged'!D8)/100,2))*100</f>
        <v>9707.5857774288397</v>
      </c>
      <c r="C8">
        <f>(3/(1+('CurrentFact-N10,20Unchanged'!C8+'CurrentFact-N10,20Unchanged'!G8)/100)+103/POWER(1+('CurrentFact-N10,20Unchanged'!D8+'CurrentFact-N10,20Unchanged'!G8)/100,2))*100</f>
        <v>9614.9673582483465</v>
      </c>
      <c r="D8">
        <f>(3/(1+('CurrentFact-N10,20Unchanged'!C8+'CurrentFact-N10,20Unchanged'!H8)/100)+103/POWER(1+('CurrentFact-N10,20Unchanged'!D8+'CurrentFact-N10,20Unchanged'!H8)/100,2))*100</f>
        <v>9582.0863699912024</v>
      </c>
      <c r="E8">
        <f>(3/(1+('CurrentFact-N10,20Unchanged'!C8+'CurrentFact-N10,20Unchanged'!I8)/100)+103/POWER(1+('CurrentFact-N10,20Unchanged'!D8+'CurrentFact-N10,20Unchanged'!I8)/100,2))*100</f>
        <v>9676.1810780625983</v>
      </c>
      <c r="F8">
        <f>Portfolio!B$5*'CurrentFact-N10,20Unchanged'!E8</f>
        <v>52143.895533915893</v>
      </c>
      <c r="G8">
        <f>Portfolio!B$6*'CurrentFact-N10,20Unchanged'!F8</f>
        <v>3696.2945087936532</v>
      </c>
      <c r="H8">
        <f>Portfolio!B$7*'CurrentFact-N10,20Unchanged'!J8</f>
        <v>2064.4550337304254</v>
      </c>
      <c r="I8">
        <f t="shared" si="0"/>
        <v>96485.465660170958</v>
      </c>
    </row>
    <row r="9" spans="1:12">
      <c r="A9" s="1">
        <v>45482</v>
      </c>
      <c r="B9">
        <f>(3/(1+('CurrentFact-N10,20Unchanged'!C9)/100)+103/POWER(1+('CurrentFact-N10,20Unchanged'!D9)/100,2))*100</f>
        <v>9707.5857774288397</v>
      </c>
      <c r="C9">
        <f>(3/(1+('CurrentFact-N10,20Unchanged'!C9+'CurrentFact-N10,20Unchanged'!G9)/100)+103/POWER(1+('CurrentFact-N10,20Unchanged'!D9+'CurrentFact-N10,20Unchanged'!G9)/100,2))*100</f>
        <v>9614.9673582483465</v>
      </c>
      <c r="D9">
        <f>(3/(1+('CurrentFact-N10,20Unchanged'!C9+'CurrentFact-N10,20Unchanged'!H9)/100)+103/POWER(1+('CurrentFact-N10,20Unchanged'!D9+'CurrentFact-N10,20Unchanged'!H9)/100,2))*100</f>
        <v>9594.9699164194662</v>
      </c>
      <c r="E9">
        <f>(3/(1+('CurrentFact-N10,20Unchanged'!C9+'CurrentFact-N10,20Unchanged'!I9)/100)+103/POWER(1+('CurrentFact-N10,20Unchanged'!D9+'CurrentFact-N10,20Unchanged'!I9)/100,2))*100</f>
        <v>9673.7787046826343</v>
      </c>
      <c r="F9">
        <f>Portfolio!B$5*'CurrentFact-N10,20Unchanged'!E9</f>
        <v>52143.895533915893</v>
      </c>
      <c r="G9">
        <f>Portfolio!B$6*'CurrentFact-N10,20Unchanged'!F9</f>
        <v>3696.2945087936532</v>
      </c>
      <c r="H9">
        <f>Portfolio!B$7*'CurrentFact-N10,20Unchanged'!J9</f>
        <v>2064.4550337304254</v>
      </c>
      <c r="I9">
        <f t="shared" si="0"/>
        <v>96495.946833219263</v>
      </c>
    </row>
    <row r="10" spans="1:12">
      <c r="A10" s="1">
        <v>45483</v>
      </c>
      <c r="B10">
        <f>(3/(1+('CurrentFact-N10,20Unchanged'!C10)/100)+103/POWER(1+('CurrentFact-N10,20Unchanged'!D10)/100,2))*100</f>
        <v>9707.5857774288397</v>
      </c>
      <c r="C10">
        <f>(3/(1+('CurrentFact-N10,20Unchanged'!C10+'CurrentFact-N10,20Unchanged'!G10)/100)+103/POWER(1+('CurrentFact-N10,20Unchanged'!D10+'CurrentFact-N10,20Unchanged'!G10)/100,2))*100</f>
        <v>9614.9673582483465</v>
      </c>
      <c r="D10">
        <f>(3/(1+('CurrentFact-N10,20Unchanged'!C10+'CurrentFact-N10,20Unchanged'!H10)/100)+103/POWER(1+('CurrentFact-N10,20Unchanged'!D10+'CurrentFact-N10,20Unchanged'!H10)/100,2))*100</f>
        <v>9593.3699457073908</v>
      </c>
      <c r="E10">
        <f>(3/(1+('CurrentFact-N10,20Unchanged'!C10+'CurrentFact-N10,20Unchanged'!I10)/100)+103/POWER(1+('CurrentFact-N10,20Unchanged'!D10+'CurrentFact-N10,20Unchanged'!I10)/100,2))*100</f>
        <v>9671.0498348775582</v>
      </c>
      <c r="F10">
        <f>Portfolio!B$5*'CurrentFact-N10,20Unchanged'!E10</f>
        <v>52143.895533915893</v>
      </c>
      <c r="G10">
        <f>Portfolio!B$6*'CurrentFact-N10,20Unchanged'!F10</f>
        <v>3696.2945087936532</v>
      </c>
      <c r="H10">
        <f>Portfolio!B$7*'CurrentFact-N10,20Unchanged'!J10</f>
        <v>2064.4550337304254</v>
      </c>
      <c r="I10">
        <f t="shared" si="0"/>
        <v>96491.617992702115</v>
      </c>
    </row>
    <row r="11" spans="1:12">
      <c r="A11" s="1">
        <v>45484</v>
      </c>
      <c r="B11">
        <f>(3/(1+('CurrentFact-N10,20Unchanged'!C11)/100)+103/POWER(1+('CurrentFact-N10,20Unchanged'!D11)/100,2))*100</f>
        <v>9707.5857774288397</v>
      </c>
      <c r="C11">
        <f>(3/(1+('CurrentFact-N10,20Unchanged'!C11+'CurrentFact-N10,20Unchanged'!G11)/100)+103/POWER(1+('CurrentFact-N10,20Unchanged'!D11+'CurrentFact-N10,20Unchanged'!G11)/100,2))*100</f>
        <v>9614.9673582483465</v>
      </c>
      <c r="D11">
        <f>(3/(1+('CurrentFact-N10,20Unchanged'!C11+'CurrentFact-N10,20Unchanged'!H11)/100)+103/POWER(1+('CurrentFact-N10,20Unchanged'!D11+'CurrentFact-N10,20Unchanged'!H11)/100,2))*100</f>
        <v>9596.8685689189988</v>
      </c>
      <c r="E11">
        <f>(3/(1+('CurrentFact-N10,20Unchanged'!C11+'CurrentFact-N10,20Unchanged'!I11)/100)+103/POWER(1+('CurrentFact-N10,20Unchanged'!D11+'CurrentFact-N10,20Unchanged'!I11)/100,2))*100</f>
        <v>9672.6688259421371</v>
      </c>
      <c r="F11">
        <f>Portfolio!B$5*'CurrentFact-N10,20Unchanged'!E11</f>
        <v>52143.895533915893</v>
      </c>
      <c r="G11">
        <f>Portfolio!B$6*'CurrentFact-N10,20Unchanged'!F11</f>
        <v>3696.2945087936532</v>
      </c>
      <c r="H11">
        <f>Portfolio!B$7*'CurrentFact-N10,20Unchanged'!J11</f>
        <v>2064.4550337304254</v>
      </c>
      <c r="I11">
        <f t="shared" si="0"/>
        <v>96496.735606978298</v>
      </c>
    </row>
    <row r="12" spans="1:12">
      <c r="A12" s="1">
        <v>45485</v>
      </c>
      <c r="B12">
        <f>(3/(1+('CurrentFact-N10,20Unchanged'!C12)/100)+103/POWER(1+('CurrentFact-N10,20Unchanged'!D12)/100,2))*100</f>
        <v>9707.5857774288397</v>
      </c>
      <c r="C12">
        <f>(3/(1+('CurrentFact-N10,20Unchanged'!C12+'CurrentFact-N10,20Unchanged'!G12)/100)+103/POWER(1+('CurrentFact-N10,20Unchanged'!D12+'CurrentFact-N10,20Unchanged'!G12)/100,2))*100</f>
        <v>9614.9673582483465</v>
      </c>
      <c r="D12">
        <f>(3/(1+('CurrentFact-N10,20Unchanged'!C12+'CurrentFact-N10,20Unchanged'!H12)/100)+103/POWER(1+('CurrentFact-N10,20Unchanged'!D12+'CurrentFact-N10,20Unchanged'!H12)/100,2))*100</f>
        <v>9593.7415131480611</v>
      </c>
      <c r="E12">
        <f>(3/(1+('CurrentFact-N10,20Unchanged'!C12+'CurrentFact-N10,20Unchanged'!I12)/100)+103/POWER(1+('CurrentFact-N10,20Unchanged'!D12+'CurrentFact-N10,20Unchanged'!I12)/100,2))*100</f>
        <v>9674.8341802658124</v>
      </c>
      <c r="F12">
        <f>Portfolio!B$5*'CurrentFact-N10,20Unchanged'!E12</f>
        <v>52143.895533915893</v>
      </c>
      <c r="G12">
        <f>Portfolio!B$6*'CurrentFact-N10,20Unchanged'!F12</f>
        <v>3696.2945087936532</v>
      </c>
      <c r="H12">
        <f>Portfolio!B$7*'CurrentFact-N10,20Unchanged'!J12</f>
        <v>2064.4550337304254</v>
      </c>
      <c r="I12">
        <f t="shared" si="0"/>
        <v>96495.773905531038</v>
      </c>
    </row>
    <row r="13" spans="1:12">
      <c r="A13" s="1">
        <v>45488</v>
      </c>
      <c r="B13">
        <f>(3/(1+('CurrentFact-N10,20Unchanged'!C13)/100)+103/POWER(1+('CurrentFact-N10,20Unchanged'!D13)/100,2))*100</f>
        <v>9707.5857774288397</v>
      </c>
      <c r="C13">
        <f>(3/(1+('CurrentFact-N10,20Unchanged'!C13+'CurrentFact-N10,20Unchanged'!G13)/100)+103/POWER(1+('CurrentFact-N10,20Unchanged'!D13+'CurrentFact-N10,20Unchanged'!G13)/100,2))*100</f>
        <v>9614.9673582483465</v>
      </c>
      <c r="D13">
        <f>(3/(1+('CurrentFact-N10,20Unchanged'!C13+'CurrentFact-N10,20Unchanged'!H13)/100)+103/POWER(1+('CurrentFact-N10,20Unchanged'!D13+'CurrentFact-N10,20Unchanged'!H13)/100,2))*100</f>
        <v>9583.1352871394211</v>
      </c>
      <c r="E13">
        <f>(3/(1+('CurrentFact-N10,20Unchanged'!C13+'CurrentFact-N10,20Unchanged'!I13)/100)+103/POWER(1+('CurrentFact-N10,20Unchanged'!D13+'CurrentFact-N10,20Unchanged'!I13)/100,2))*100</f>
        <v>9679.0214075942895</v>
      </c>
      <c r="F13">
        <f>Portfolio!B$5*'CurrentFact-N10,20Unchanged'!E13</f>
        <v>52143.895533915893</v>
      </c>
      <c r="G13">
        <f>Portfolio!B$6*'CurrentFact-N10,20Unchanged'!F13</f>
        <v>3696.2945087936532</v>
      </c>
      <c r="H13">
        <f>Portfolio!B$7*'CurrentFact-N10,20Unchanged'!J13</f>
        <v>2064.4550337304254</v>
      </c>
      <c r="I13">
        <f t="shared" si="0"/>
        <v>96489.354906850873</v>
      </c>
      <c r="J13">
        <f>I13-I3</f>
        <v>-15.773646843910683</v>
      </c>
    </row>
    <row r="14" spans="1:12">
      <c r="A14" s="1">
        <v>45489</v>
      </c>
      <c r="B14">
        <f>(3/(1+('CurrentFact-N10,20Unchanged'!C14)/100)+103/POWER(1+('CurrentFact-N10,20Unchanged'!D14)/100,2))*100</f>
        <v>9707.5857774288397</v>
      </c>
      <c r="C14">
        <f>(3/(1+('CurrentFact-N10,20Unchanged'!C14+'CurrentFact-N10,20Unchanged'!G14)/100)+103/POWER(1+('CurrentFact-N10,20Unchanged'!D14+'CurrentFact-N10,20Unchanged'!G14)/100,2))*100</f>
        <v>9614.9673582483465</v>
      </c>
      <c r="D14">
        <f>(3/(1+('CurrentFact-N10,20Unchanged'!C14+'CurrentFact-N10,20Unchanged'!H14)/100)+103/POWER(1+('CurrentFact-N10,20Unchanged'!D14+'CurrentFact-N10,20Unchanged'!H14)/100,2))*100</f>
        <v>9608.4612314889109</v>
      </c>
      <c r="E14">
        <f>(3/(1+('CurrentFact-N10,20Unchanged'!C14+'CurrentFact-N10,20Unchanged'!I14)/100)+103/POWER(1+('CurrentFact-N10,20Unchanged'!D14+'CurrentFact-N10,20Unchanged'!I14)/100,2))*100</f>
        <v>9680.9338783473122</v>
      </c>
      <c r="F14">
        <f>Portfolio!B$5*'CurrentFact-N10,20Unchanged'!E14</f>
        <v>52143.895533915893</v>
      </c>
      <c r="G14">
        <f>Portfolio!B$6*'CurrentFact-N10,20Unchanged'!F14</f>
        <v>3696.2945087936532</v>
      </c>
      <c r="H14">
        <f>Portfolio!B$7*'CurrentFact-N10,20Unchanged'!J14</f>
        <v>2064.4550337304254</v>
      </c>
      <c r="I14">
        <f t="shared" si="0"/>
        <v>96516.593321953376</v>
      </c>
      <c r="J14">
        <f t="shared" ref="J14:J77" si="1">I14-I4</f>
        <v>26.132725405856036</v>
      </c>
    </row>
    <row r="15" spans="1:12">
      <c r="A15" s="1">
        <v>45490</v>
      </c>
      <c r="B15">
        <f>(3/(1+('CurrentFact-N10,20Unchanged'!C15)/100)+103/POWER(1+('CurrentFact-N10,20Unchanged'!D15)/100,2))*100</f>
        <v>9707.5857774288397</v>
      </c>
      <c r="C15">
        <f>(3/(1+('CurrentFact-N10,20Unchanged'!C15+'CurrentFact-N10,20Unchanged'!G15)/100)+103/POWER(1+('CurrentFact-N10,20Unchanged'!D15+'CurrentFact-N10,20Unchanged'!G15)/100,2))*100</f>
        <v>9614.9673582483465</v>
      </c>
      <c r="D15">
        <f>(3/(1+('CurrentFact-N10,20Unchanged'!C15+'CurrentFact-N10,20Unchanged'!H15)/100)+103/POWER(1+('CurrentFact-N10,20Unchanged'!D15+'CurrentFact-N10,20Unchanged'!H15)/100,2))*100</f>
        <v>9605.5320342821306</v>
      </c>
      <c r="E15">
        <f>(3/(1+('CurrentFact-N10,20Unchanged'!C15+'CurrentFact-N10,20Unchanged'!I15)/100)+103/POWER(1+('CurrentFact-N10,20Unchanged'!D15+'CurrentFact-N10,20Unchanged'!I15)/100,2))*100</f>
        <v>9680.6970665619065</v>
      </c>
      <c r="F15">
        <f>Portfolio!B$5*'CurrentFact-N10,20Unchanged'!E15</f>
        <v>52143.895533915893</v>
      </c>
      <c r="G15">
        <f>Portfolio!B$6*'CurrentFact-N10,20Unchanged'!F15</f>
        <v>3696.2945087936532</v>
      </c>
      <c r="H15">
        <f>Portfolio!B$7*'CurrentFact-N10,20Unchanged'!J15</f>
        <v>2064.4550337304254</v>
      </c>
      <c r="I15">
        <f t="shared" si="0"/>
        <v>96513.427312961197</v>
      </c>
      <c r="J15">
        <f t="shared" si="1"/>
        <v>6.4212340634257998</v>
      </c>
    </row>
    <row r="16" spans="1:12">
      <c r="A16" s="1">
        <v>45491</v>
      </c>
      <c r="B16">
        <f>(3/(1+('CurrentFact-N10,20Unchanged'!C16)/100)+103/POWER(1+('CurrentFact-N10,20Unchanged'!D16)/100,2))*100</f>
        <v>9707.5857774288397</v>
      </c>
      <c r="C16">
        <f>(3/(1+('CurrentFact-N10,20Unchanged'!C16+'CurrentFact-N10,20Unchanged'!G16)/100)+103/POWER(1+('CurrentFact-N10,20Unchanged'!D16+'CurrentFact-N10,20Unchanged'!G16)/100,2))*100</f>
        <v>9614.9673582483465</v>
      </c>
      <c r="D16">
        <f>(3/(1+('CurrentFact-N10,20Unchanged'!C16+'CurrentFact-N10,20Unchanged'!H16)/100)+103/POWER(1+('CurrentFact-N10,20Unchanged'!D16+'CurrentFact-N10,20Unchanged'!H16)/100,2))*100</f>
        <v>9595.4362388343052</v>
      </c>
      <c r="E16">
        <f>(3/(1+('CurrentFact-N10,20Unchanged'!C16+'CurrentFact-N10,20Unchanged'!I16)/100)+103/POWER(1+('CurrentFact-N10,20Unchanged'!D16+'CurrentFact-N10,20Unchanged'!I16)/100,2))*100</f>
        <v>9682.0998570962529</v>
      </c>
      <c r="F16">
        <f>Portfolio!B$5*'CurrentFact-N10,20Unchanged'!E16</f>
        <v>52143.895533915893</v>
      </c>
      <c r="G16">
        <f>Portfolio!B$6*'CurrentFact-N10,20Unchanged'!F16</f>
        <v>3696.2945087936532</v>
      </c>
      <c r="H16">
        <f>Portfolio!B$7*'CurrentFact-N10,20Unchanged'!J16</f>
        <v>2064.4550337304254</v>
      </c>
      <c r="I16">
        <f t="shared" si="0"/>
        <v>96504.734308047715</v>
      </c>
      <c r="J16">
        <f t="shared" si="1"/>
        <v>-4.2367677302099764</v>
      </c>
    </row>
    <row r="17" spans="1:10">
      <c r="A17" s="1">
        <v>45492</v>
      </c>
      <c r="B17">
        <f>(3/(1+('CurrentFact-N10,20Unchanged'!C17)/100)+103/POWER(1+('CurrentFact-N10,20Unchanged'!D17)/100,2))*100</f>
        <v>9707.5857774288397</v>
      </c>
      <c r="C17">
        <f>(3/(1+('CurrentFact-N10,20Unchanged'!C17+'CurrentFact-N10,20Unchanged'!G17)/100)+103/POWER(1+('CurrentFact-N10,20Unchanged'!D17+'CurrentFact-N10,20Unchanged'!G17)/100,2))*100</f>
        <v>9614.9673582483465</v>
      </c>
      <c r="D17">
        <f>(3/(1+('CurrentFact-N10,20Unchanged'!C17+'CurrentFact-N10,20Unchanged'!H17)/100)+103/POWER(1+('CurrentFact-N10,20Unchanged'!D17+'CurrentFact-N10,20Unchanged'!H17)/100,2))*100</f>
        <v>9607.924067800639</v>
      </c>
      <c r="E17">
        <f>(3/(1+('CurrentFact-N10,20Unchanged'!C17+'CurrentFact-N10,20Unchanged'!I17)/100)+103/POWER(1+('CurrentFact-N10,20Unchanged'!D17+'CurrentFact-N10,20Unchanged'!I17)/100,2))*100</f>
        <v>9682.136298174546</v>
      </c>
      <c r="F17">
        <f>Portfolio!B$5*'CurrentFact-N10,20Unchanged'!E17</f>
        <v>52143.895533915893</v>
      </c>
      <c r="G17">
        <f>Portfolio!B$6*'CurrentFact-N10,20Unchanged'!F17</f>
        <v>3696.2945087936532</v>
      </c>
      <c r="H17">
        <f>Portfolio!B$7*'CurrentFact-N10,20Unchanged'!J17</f>
        <v>2064.4550337304254</v>
      </c>
      <c r="I17">
        <f t="shared" si="0"/>
        <v>96517.25857809234</v>
      </c>
      <c r="J17">
        <f t="shared" si="1"/>
        <v>32.954730903977179</v>
      </c>
    </row>
    <row r="18" spans="1:10">
      <c r="A18" s="1">
        <v>45495</v>
      </c>
      <c r="B18">
        <f>(3/(1+('CurrentFact-N10,20Unchanged'!C18)/100)+103/POWER(1+('CurrentFact-N10,20Unchanged'!D18)/100,2))*100</f>
        <v>9707.5857774288397</v>
      </c>
      <c r="C18">
        <f>(3/(1+('CurrentFact-N10,20Unchanged'!C18+'CurrentFact-N10,20Unchanged'!G18)/100)+103/POWER(1+('CurrentFact-N10,20Unchanged'!D18+'CurrentFact-N10,20Unchanged'!G18)/100,2))*100</f>
        <v>9614.9673582483465</v>
      </c>
      <c r="D18">
        <f>(3/(1+('CurrentFact-N10,20Unchanged'!C18+'CurrentFact-N10,20Unchanged'!H18)/100)+103/POWER(1+('CurrentFact-N10,20Unchanged'!D18+'CurrentFact-N10,20Unchanged'!H18)/100,2))*100</f>
        <v>9603.7417214293109</v>
      </c>
      <c r="E18">
        <f>(3/(1+('CurrentFact-N10,20Unchanged'!C18+'CurrentFact-N10,20Unchanged'!I18)/100)+103/POWER(1+('CurrentFact-N10,20Unchanged'!D18+'CurrentFact-N10,20Unchanged'!I18)/100,2))*100</f>
        <v>9680.1870356704276</v>
      </c>
      <c r="F18">
        <f>Portfolio!B$5*'CurrentFact-N10,20Unchanged'!E18</f>
        <v>52143.895533915893</v>
      </c>
      <c r="G18">
        <f>Portfolio!B$6*'CurrentFact-N10,20Unchanged'!F18</f>
        <v>3696.2945087936532</v>
      </c>
      <c r="H18">
        <f>Portfolio!B$7*'CurrentFact-N10,20Unchanged'!J18</f>
        <v>2064.4550337304254</v>
      </c>
      <c r="I18">
        <f t="shared" si="0"/>
        <v>96511.126969216886</v>
      </c>
      <c r="J18">
        <f t="shared" si="1"/>
        <v>25.661309045928647</v>
      </c>
    </row>
    <row r="19" spans="1:10">
      <c r="A19" s="1">
        <v>45496</v>
      </c>
      <c r="B19">
        <f>(3/(1+('CurrentFact-N10,20Unchanged'!C19)/100)+103/POWER(1+('CurrentFact-N10,20Unchanged'!D19)/100,2))*100</f>
        <v>9707.5857774288397</v>
      </c>
      <c r="C19">
        <f>(3/(1+('CurrentFact-N10,20Unchanged'!C19+'CurrentFact-N10,20Unchanged'!G19)/100)+103/POWER(1+('CurrentFact-N10,20Unchanged'!D19+'CurrentFact-N10,20Unchanged'!G19)/100,2))*100</f>
        <v>9614.9673582483465</v>
      </c>
      <c r="D19">
        <f>(3/(1+('CurrentFact-N10,20Unchanged'!C19+'CurrentFact-N10,20Unchanged'!H19)/100)+103/POWER(1+('CurrentFact-N10,20Unchanged'!D19+'CurrentFact-N10,20Unchanged'!H19)/100,2))*100</f>
        <v>9590.1448307730843</v>
      </c>
      <c r="E19">
        <f>(3/(1+('CurrentFact-N10,20Unchanged'!C19+'CurrentFact-N10,20Unchanged'!I19)/100)+103/POWER(1+('CurrentFact-N10,20Unchanged'!D19+'CurrentFact-N10,20Unchanged'!I19)/100,2))*100</f>
        <v>9680.9156629472927</v>
      </c>
      <c r="F19">
        <f>Portfolio!B$5*'CurrentFact-N10,20Unchanged'!E19</f>
        <v>52143.895533915893</v>
      </c>
      <c r="G19">
        <f>Portfolio!B$6*'CurrentFact-N10,20Unchanged'!F19</f>
        <v>3696.2945087936532</v>
      </c>
      <c r="H19">
        <f>Portfolio!B$7*'CurrentFact-N10,20Unchanged'!J19</f>
        <v>2064.4550337304254</v>
      </c>
      <c r="I19">
        <f t="shared" si="0"/>
        <v>96498.258705837536</v>
      </c>
      <c r="J19">
        <f t="shared" si="1"/>
        <v>2.3118726182729006</v>
      </c>
    </row>
    <row r="20" spans="1:10">
      <c r="A20" s="1">
        <v>45497</v>
      </c>
      <c r="B20">
        <f>(3/(1+('CurrentFact-N10,20Unchanged'!C20)/100)+103/POWER(1+('CurrentFact-N10,20Unchanged'!D20)/100,2))*100</f>
        <v>9707.5857774288397</v>
      </c>
      <c r="C20">
        <f>(3/(1+('CurrentFact-N10,20Unchanged'!C20+'CurrentFact-N10,20Unchanged'!G20)/100)+103/POWER(1+('CurrentFact-N10,20Unchanged'!D20+'CurrentFact-N10,20Unchanged'!G20)/100,2))*100</f>
        <v>9614.9673582483465</v>
      </c>
      <c r="D20">
        <f>(3/(1+('CurrentFact-N10,20Unchanged'!C20+'CurrentFact-N10,20Unchanged'!H20)/100)+103/POWER(1+('CurrentFact-N10,20Unchanged'!D20+'CurrentFact-N10,20Unchanged'!H20)/100,2))*100</f>
        <v>9590.0803677000113</v>
      </c>
      <c r="E20">
        <f>(3/(1+('CurrentFact-N10,20Unchanged'!C20+'CurrentFact-N10,20Unchanged'!I20)/100)+103/POWER(1+('CurrentFact-N10,20Unchanged'!D20+'CurrentFact-N10,20Unchanged'!I20)/100,2))*100</f>
        <v>9682.2456191808233</v>
      </c>
      <c r="F20">
        <f>Portfolio!B$5*'CurrentFact-N10,20Unchanged'!E20</f>
        <v>52143.895533915893</v>
      </c>
      <c r="G20">
        <f>Portfolio!B$6*'CurrentFact-N10,20Unchanged'!F20</f>
        <v>3696.2945087936532</v>
      </c>
      <c r="H20">
        <f>Portfolio!B$7*'CurrentFact-N10,20Unchanged'!J20</f>
        <v>2064.4550337304254</v>
      </c>
      <c r="I20">
        <f t="shared" si="0"/>
        <v>96499.524198997999</v>
      </c>
      <c r="J20">
        <f t="shared" si="1"/>
        <v>7.9062062958837487</v>
      </c>
    </row>
    <row r="21" spans="1:10">
      <c r="A21" s="1">
        <v>45498</v>
      </c>
      <c r="B21">
        <f>(3/(1+('CurrentFact-N10,20Unchanged'!C21)/100)+103/POWER(1+('CurrentFact-N10,20Unchanged'!D21)/100,2))*100</f>
        <v>9707.5857774288397</v>
      </c>
      <c r="C21">
        <f>(3/(1+('CurrentFact-N10,20Unchanged'!C21+'CurrentFact-N10,20Unchanged'!G21)/100)+103/POWER(1+('CurrentFact-N10,20Unchanged'!D21+'CurrentFact-N10,20Unchanged'!G21)/100,2))*100</f>
        <v>9614.9673582483465</v>
      </c>
      <c r="D21">
        <f>(3/(1+('CurrentFact-N10,20Unchanged'!C21+'CurrentFact-N10,20Unchanged'!H21)/100)+103/POWER(1+('CurrentFact-N10,20Unchanged'!D21+'CurrentFact-N10,20Unchanged'!H21)/100,2))*100</f>
        <v>9601.3477255280559</v>
      </c>
      <c r="E21">
        <f>(3/(1+('CurrentFact-N10,20Unchanged'!C21+'CurrentFact-N10,20Unchanged'!I21)/100)+103/POWER(1+('CurrentFact-N10,20Unchanged'!D21+'CurrentFact-N10,20Unchanged'!I21)/100,2))*100</f>
        <v>9681.1160491018709</v>
      </c>
      <c r="F21">
        <f>Portfolio!B$5*'CurrentFact-N10,20Unchanged'!E21</f>
        <v>52143.895533915893</v>
      </c>
      <c r="G21">
        <f>Portfolio!B$6*'CurrentFact-N10,20Unchanged'!F21</f>
        <v>3696.2945087936532</v>
      </c>
      <c r="H21">
        <f>Portfolio!B$7*'CurrentFact-N10,20Unchanged'!J21</f>
        <v>2064.4550337304254</v>
      </c>
      <c r="I21">
        <f t="shared" si="0"/>
        <v>96509.661986747087</v>
      </c>
      <c r="J21">
        <f t="shared" si="1"/>
        <v>12.926379768789047</v>
      </c>
    </row>
    <row r="22" spans="1:10">
      <c r="A22" s="1">
        <v>45499</v>
      </c>
      <c r="B22">
        <f>(3/(1+('CurrentFact-N10,20Unchanged'!C22)/100)+103/POWER(1+('CurrentFact-N10,20Unchanged'!D22)/100,2))*100</f>
        <v>9707.5857774288397</v>
      </c>
      <c r="C22">
        <f>(3/(1+('CurrentFact-N10,20Unchanged'!C22+'CurrentFact-N10,20Unchanged'!G22)/100)+103/POWER(1+('CurrentFact-N10,20Unchanged'!D22+'CurrentFact-N10,20Unchanged'!G22)/100,2))*100</f>
        <v>9614.9673582483465</v>
      </c>
      <c r="D22">
        <f>(3/(1+('CurrentFact-N10,20Unchanged'!C22+'CurrentFact-N10,20Unchanged'!H22)/100)+103/POWER(1+('CurrentFact-N10,20Unchanged'!D22+'CurrentFact-N10,20Unchanged'!H22)/100,2))*100</f>
        <v>9591.6421671244771</v>
      </c>
      <c r="E22">
        <f>(3/(1+('CurrentFact-N10,20Unchanged'!C22+'CurrentFact-N10,20Unchanged'!I22)/100)+103/POWER(1+('CurrentFact-N10,20Unchanged'!D22+'CurrentFact-N10,20Unchanged'!I22)/100,2))*100</f>
        <v>9682.8651459978046</v>
      </c>
      <c r="F22">
        <f>Portfolio!B$5*'CurrentFact-N10,20Unchanged'!E22</f>
        <v>52143.895533915893</v>
      </c>
      <c r="G22">
        <f>Portfolio!B$6*'CurrentFact-N10,20Unchanged'!F22</f>
        <v>3696.2945087936532</v>
      </c>
      <c r="H22">
        <f>Portfolio!B$7*'CurrentFact-N10,20Unchanged'!J22</f>
        <v>2064.4550337304254</v>
      </c>
      <c r="I22">
        <f t="shared" si="0"/>
        <v>96501.705525239435</v>
      </c>
      <c r="J22">
        <f t="shared" si="1"/>
        <v>5.9316197083971929</v>
      </c>
    </row>
    <row r="23" spans="1:10">
      <c r="A23" s="1">
        <v>45502</v>
      </c>
      <c r="B23">
        <f>(3/(1+('CurrentFact-N10,20Unchanged'!C23)/100)+103/POWER(1+('CurrentFact-N10,20Unchanged'!D23)/100,2))*100</f>
        <v>9707.5857774288397</v>
      </c>
      <c r="C23">
        <f>(3/(1+('CurrentFact-N10,20Unchanged'!C23+'CurrentFact-N10,20Unchanged'!G23)/100)+103/POWER(1+('CurrentFact-N10,20Unchanged'!D23+'CurrentFact-N10,20Unchanged'!G23)/100,2))*100</f>
        <v>9614.9673582483465</v>
      </c>
      <c r="D23">
        <f>(3/(1+('CurrentFact-N10,20Unchanged'!C23+'CurrentFact-N10,20Unchanged'!H23)/100)+103/POWER(1+('CurrentFact-N10,20Unchanged'!D23+'CurrentFact-N10,20Unchanged'!H23)/100,2))*100</f>
        <v>9612.9613775579364</v>
      </c>
      <c r="E23">
        <f>(3/(1+('CurrentFact-N10,20Unchanged'!C23+'CurrentFact-N10,20Unchanged'!I23)/100)+103/POWER(1+('CurrentFact-N10,20Unchanged'!D23+'CurrentFact-N10,20Unchanged'!I23)/100,2))*100</f>
        <v>9684.0132511794254</v>
      </c>
      <c r="F23">
        <f>Portfolio!B$5*'CurrentFact-N10,20Unchanged'!E23</f>
        <v>52143.895533915893</v>
      </c>
      <c r="G23">
        <f>Portfolio!B$6*'CurrentFact-N10,20Unchanged'!F23</f>
        <v>3696.2945087936532</v>
      </c>
      <c r="H23">
        <f>Portfolio!B$7*'CurrentFact-N10,20Unchanged'!J23</f>
        <v>2064.4550337304254</v>
      </c>
      <c r="I23">
        <f t="shared" si="0"/>
        <v>96524.172840854531</v>
      </c>
      <c r="J23">
        <f t="shared" si="1"/>
        <v>34.817934003658593</v>
      </c>
    </row>
    <row r="24" spans="1:10">
      <c r="A24" s="1">
        <v>45503</v>
      </c>
      <c r="B24">
        <f>(3/(1+('CurrentFact-N10,20Unchanged'!C24)/100)+103/POWER(1+('CurrentFact-N10,20Unchanged'!D24)/100,2))*100</f>
        <v>9707.5857774288397</v>
      </c>
      <c r="C24">
        <f>(3/(1+('CurrentFact-N10,20Unchanged'!C24+'CurrentFact-N10,20Unchanged'!G24)/100)+103/POWER(1+('CurrentFact-N10,20Unchanged'!D24+'CurrentFact-N10,20Unchanged'!G24)/100,2))*100</f>
        <v>9614.9673582483465</v>
      </c>
      <c r="D24">
        <f>(3/(1+('CurrentFact-N10,20Unchanged'!C24+'CurrentFact-N10,20Unchanged'!H24)/100)+103/POWER(1+('CurrentFact-N10,20Unchanged'!D24+'CurrentFact-N10,20Unchanged'!H24)/100,2))*100</f>
        <v>9604.3100646544463</v>
      </c>
      <c r="E24">
        <f>(3/(1+('CurrentFact-N10,20Unchanged'!C24+'CurrentFact-N10,20Unchanged'!I24)/100)+103/POWER(1+('CurrentFact-N10,20Unchanged'!D24+'CurrentFact-N10,20Unchanged'!I24)/100,2))*100</f>
        <v>9683.0473718095345</v>
      </c>
      <c r="F24">
        <f>Portfolio!B$5*'CurrentFact-N10,20Unchanged'!E24</f>
        <v>52143.895533915893</v>
      </c>
      <c r="G24">
        <f>Portfolio!B$6*'CurrentFact-N10,20Unchanged'!F24</f>
        <v>3696.2945087936532</v>
      </c>
      <c r="H24">
        <f>Portfolio!B$7*'CurrentFact-N10,20Unchanged'!J24</f>
        <v>2064.4550337304254</v>
      </c>
      <c r="I24">
        <f t="shared" si="0"/>
        <v>96514.555648581125</v>
      </c>
      <c r="J24">
        <f t="shared" si="1"/>
        <v>-2.0376733722514473</v>
      </c>
    </row>
    <row r="25" spans="1:10">
      <c r="A25" s="1">
        <v>45504</v>
      </c>
      <c r="B25">
        <f>(3/(1+('CurrentFact-N10,20Unchanged'!C25)/100)+103/POWER(1+('CurrentFact-N10,20Unchanged'!D25)/100,2))*100</f>
        <v>9707.5857774288397</v>
      </c>
      <c r="C25">
        <f>(3/(1+('CurrentFact-N10,20Unchanged'!C25+'CurrentFact-N10,20Unchanged'!G25)/100)+103/POWER(1+('CurrentFact-N10,20Unchanged'!D25+'CurrentFact-N10,20Unchanged'!G25)/100,2))*100</f>
        <v>9614.9673582483465</v>
      </c>
      <c r="D25">
        <f>(3/(1+('CurrentFact-N10,20Unchanged'!C25+'CurrentFact-N10,20Unchanged'!H25)/100)+103/POWER(1+('CurrentFact-N10,20Unchanged'!D25+'CurrentFact-N10,20Unchanged'!H25)/100,2))*100</f>
        <v>9600.8525262647672</v>
      </c>
      <c r="E25">
        <f>(3/(1+('CurrentFact-N10,20Unchanged'!C25+'CurrentFact-N10,20Unchanged'!I25)/100)+103/POWER(1+('CurrentFact-N10,20Unchanged'!D25+'CurrentFact-N10,20Unchanged'!I25)/100,2))*100</f>
        <v>9681.5714969712353</v>
      </c>
      <c r="F25">
        <f>Portfolio!B$5*'CurrentFact-N10,20Unchanged'!E25</f>
        <v>52143.895533915893</v>
      </c>
      <c r="G25">
        <f>Portfolio!B$6*'CurrentFact-N10,20Unchanged'!F25</f>
        <v>3696.2945087936532</v>
      </c>
      <c r="H25">
        <f>Portfolio!B$7*'CurrentFact-N10,20Unchanged'!J25</f>
        <v>2064.4550337304254</v>
      </c>
      <c r="I25">
        <f t="shared" si="0"/>
        <v>96509.622235353163</v>
      </c>
      <c r="J25">
        <f t="shared" si="1"/>
        <v>-3.8050776080344804</v>
      </c>
    </row>
    <row r="26" spans="1:10">
      <c r="A26" s="1">
        <v>45505</v>
      </c>
      <c r="B26">
        <f>(3/(1+('CurrentFact-N10,20Unchanged'!C26)/100)+103/POWER(1+('CurrentFact-N10,20Unchanged'!D26)/100,2))*100</f>
        <v>9707.5857774288397</v>
      </c>
      <c r="C26">
        <f>(3/(1+('CurrentFact-N10,20Unchanged'!C26+'CurrentFact-N10,20Unchanged'!G26)/100)+103/POWER(1+('CurrentFact-N10,20Unchanged'!D26+'CurrentFact-N10,20Unchanged'!G26)/100,2))*100</f>
        <v>9614.9673582483465</v>
      </c>
      <c r="D26">
        <f>(3/(1+('CurrentFact-N10,20Unchanged'!C26+'CurrentFact-N10,20Unchanged'!H26)/100)+103/POWER(1+('CurrentFact-N10,20Unchanged'!D26+'CurrentFact-N10,20Unchanged'!H26)/100,2))*100</f>
        <v>9592.3973171120942</v>
      </c>
      <c r="E26">
        <f>(3/(1+('CurrentFact-N10,20Unchanged'!C26+'CurrentFact-N10,20Unchanged'!I26)/100)+103/POWER(1+('CurrentFact-N10,20Unchanged'!D26+'CurrentFact-N10,20Unchanged'!I26)/100,2))*100</f>
        <v>9682.5007116969864</v>
      </c>
      <c r="F26">
        <f>Portfolio!B$5*'CurrentFact-N10,20Unchanged'!E26</f>
        <v>52143.895533915893</v>
      </c>
      <c r="G26">
        <f>Portfolio!B$6*'CurrentFact-N10,20Unchanged'!F26</f>
        <v>3696.2945087936532</v>
      </c>
      <c r="H26">
        <f>Portfolio!B$7*'CurrentFact-N10,20Unchanged'!J26</f>
        <v>2064.4550337304254</v>
      </c>
      <c r="I26">
        <f t="shared" si="0"/>
        <v>96502.096240926243</v>
      </c>
      <c r="J26">
        <f t="shared" si="1"/>
        <v>-2.6380671214719769</v>
      </c>
    </row>
    <row r="27" spans="1:10">
      <c r="A27" s="1">
        <v>45506</v>
      </c>
      <c r="B27">
        <f>(3/(1+('CurrentFact-N10,20Unchanged'!C27)/100)+103/POWER(1+('CurrentFact-N10,20Unchanged'!D27)/100,2))*100</f>
        <v>9707.5857774288397</v>
      </c>
      <c r="C27">
        <f>(3/(1+('CurrentFact-N10,20Unchanged'!C27+'CurrentFact-N10,20Unchanged'!G27)/100)+103/POWER(1+('CurrentFact-N10,20Unchanged'!D27+'CurrentFact-N10,20Unchanged'!G27)/100,2))*100</f>
        <v>9614.9673582483465</v>
      </c>
      <c r="D27">
        <f>(3/(1+('CurrentFact-N10,20Unchanged'!C27+'CurrentFact-N10,20Unchanged'!H27)/100)+103/POWER(1+('CurrentFact-N10,20Unchanged'!D27+'CurrentFact-N10,20Unchanged'!H27)/100,2))*100</f>
        <v>9580.1025386134588</v>
      </c>
      <c r="E27">
        <f>(3/(1+('CurrentFact-N10,20Unchanged'!C27+'CurrentFact-N10,20Unchanged'!I27)/100)+103/POWER(1+('CurrentFact-N10,20Unchanged'!D27+'CurrentFact-N10,20Unchanged'!I27)/100,2))*100</f>
        <v>9683.0655932861519</v>
      </c>
      <c r="F27">
        <f>Portfolio!B$5*'CurrentFact-N10,20Unchanged'!E27</f>
        <v>52143.895533915893</v>
      </c>
      <c r="G27">
        <f>Portfolio!B$6*'CurrentFact-N10,20Unchanged'!F27</f>
        <v>3696.2945087936532</v>
      </c>
      <c r="H27">
        <f>Portfolio!B$7*'CurrentFact-N10,20Unchanged'!J27</f>
        <v>2064.4550337304254</v>
      </c>
      <c r="I27">
        <f t="shared" si="0"/>
        <v>96490.366344016773</v>
      </c>
      <c r="J27">
        <f t="shared" si="1"/>
        <v>-26.892234075567103</v>
      </c>
    </row>
    <row r="28" spans="1:10">
      <c r="A28" s="1">
        <v>45509</v>
      </c>
      <c r="B28">
        <f>(3/(1+('CurrentFact-N10,20Unchanged'!C28)/100)+103/POWER(1+('CurrentFact-N10,20Unchanged'!D28)/100,2))*100</f>
        <v>9707.5857774288397</v>
      </c>
      <c r="C28">
        <f>(3/(1+('CurrentFact-N10,20Unchanged'!C28+'CurrentFact-N10,20Unchanged'!G28)/100)+103/POWER(1+('CurrentFact-N10,20Unchanged'!D28+'CurrentFact-N10,20Unchanged'!G28)/100,2))*100</f>
        <v>9614.9673582483465</v>
      </c>
      <c r="D28">
        <f>(3/(1+('CurrentFact-N10,20Unchanged'!C28+'CurrentFact-N10,20Unchanged'!H28)/100)+103/POWER(1+('CurrentFact-N10,20Unchanged'!D28+'CurrentFact-N10,20Unchanged'!H28)/100,2))*100</f>
        <v>9613.4258203789323</v>
      </c>
      <c r="E28">
        <f>(3/(1+('CurrentFact-N10,20Unchanged'!C28+'CurrentFact-N10,20Unchanged'!I28)/100)+103/POWER(1+('CurrentFact-N10,20Unchanged'!D28+'CurrentFact-N10,20Unchanged'!I28)/100,2))*100</f>
        <v>9682.8104799624489</v>
      </c>
      <c r="F28">
        <f>Portfolio!B$5*'CurrentFact-N10,20Unchanged'!E28</f>
        <v>52143.895533915893</v>
      </c>
      <c r="G28">
        <f>Portfolio!B$6*'CurrentFact-N10,20Unchanged'!F28</f>
        <v>3696.2945087936532</v>
      </c>
      <c r="H28">
        <f>Portfolio!B$7*'CurrentFact-N10,20Unchanged'!J28</f>
        <v>2064.4550337304254</v>
      </c>
      <c r="I28">
        <f t="shared" si="0"/>
        <v>96523.434512458538</v>
      </c>
      <c r="J28">
        <f t="shared" si="1"/>
        <v>12.307543241651729</v>
      </c>
    </row>
    <row r="29" spans="1:10">
      <c r="A29" s="1">
        <v>45510</v>
      </c>
      <c r="B29">
        <f>(3/(1+('CurrentFact-N10,20Unchanged'!C29)/100)+103/POWER(1+('CurrentFact-N10,20Unchanged'!D29)/100,2))*100</f>
        <v>9707.5857774288397</v>
      </c>
      <c r="C29">
        <f>(3/(1+('CurrentFact-N10,20Unchanged'!C29+'CurrentFact-N10,20Unchanged'!G29)/100)+103/POWER(1+('CurrentFact-N10,20Unchanged'!D29+'CurrentFact-N10,20Unchanged'!G29)/100,2))*100</f>
        <v>9614.9673582483465</v>
      </c>
      <c r="D29">
        <f>(3/(1+('CurrentFact-N10,20Unchanged'!C29+'CurrentFact-N10,20Unchanged'!H29)/100)+103/POWER(1+('CurrentFact-N10,20Unchanged'!D29+'CurrentFact-N10,20Unchanged'!H29)/100,2))*100</f>
        <v>9596.3427647590433</v>
      </c>
      <c r="E29">
        <f>(3/(1+('CurrentFact-N10,20Unchanged'!C29+'CurrentFact-N10,20Unchanged'!I29)/100)+103/POWER(1+('CurrentFact-N10,20Unchanged'!D29+'CurrentFact-N10,20Unchanged'!I29)/100,2))*100</f>
        <v>9681.6990276353554</v>
      </c>
      <c r="F29">
        <f>Portfolio!B$5*'CurrentFact-N10,20Unchanged'!E29</f>
        <v>52143.895533915893</v>
      </c>
      <c r="G29">
        <f>Portfolio!B$6*'CurrentFact-N10,20Unchanged'!F29</f>
        <v>3696.2945087936532</v>
      </c>
      <c r="H29">
        <f>Portfolio!B$7*'CurrentFact-N10,20Unchanged'!J29</f>
        <v>2064.4550337304254</v>
      </c>
      <c r="I29">
        <f t="shared" si="0"/>
        <v>96505.24000451155</v>
      </c>
      <c r="J29">
        <f t="shared" si="1"/>
        <v>6.981298674014397</v>
      </c>
    </row>
    <row r="30" spans="1:10">
      <c r="A30" s="1">
        <v>45511</v>
      </c>
      <c r="B30">
        <f>(3/(1+('CurrentFact-N10,20Unchanged'!C30)/100)+103/POWER(1+('CurrentFact-N10,20Unchanged'!D30)/100,2))*100</f>
        <v>9707.5857774288397</v>
      </c>
      <c r="C30">
        <f>(3/(1+('CurrentFact-N10,20Unchanged'!C30+'CurrentFact-N10,20Unchanged'!G30)/100)+103/POWER(1+('CurrentFact-N10,20Unchanged'!D30+'CurrentFact-N10,20Unchanged'!G30)/100,2))*100</f>
        <v>9614.9673582483465</v>
      </c>
      <c r="D30">
        <f>(3/(1+('CurrentFact-N10,20Unchanged'!C30+'CurrentFact-N10,20Unchanged'!H30)/100)+103/POWER(1+('CurrentFact-N10,20Unchanged'!D30+'CurrentFact-N10,20Unchanged'!H30)/100,2))*100</f>
        <v>9614.4858949066092</v>
      </c>
      <c r="E30">
        <f>(3/(1+('CurrentFact-N10,20Unchanged'!C30+'CurrentFact-N10,20Unchanged'!I30)/100)+103/POWER(1+('CurrentFact-N10,20Unchanged'!D30+'CurrentFact-N10,20Unchanged'!I30)/100,2))*100</f>
        <v>9679.4038563019276</v>
      </c>
      <c r="F30">
        <f>Portfolio!B$5*'CurrentFact-N10,20Unchanged'!E30</f>
        <v>52143.895533915893</v>
      </c>
      <c r="G30">
        <f>Portfolio!B$6*'CurrentFact-N10,20Unchanged'!F30</f>
        <v>3696.2945087936532</v>
      </c>
      <c r="H30">
        <f>Portfolio!B$7*'CurrentFact-N10,20Unchanged'!J30</f>
        <v>2064.4550337304254</v>
      </c>
      <c r="I30">
        <f t="shared" si="0"/>
        <v>96521.087963325699</v>
      </c>
      <c r="J30">
        <f t="shared" si="1"/>
        <v>21.563764327700483</v>
      </c>
    </row>
    <row r="31" spans="1:10">
      <c r="A31" s="1">
        <v>45512</v>
      </c>
      <c r="B31">
        <f>(3/(1+('CurrentFact-N10,20Unchanged'!C31)/100)+103/POWER(1+('CurrentFact-N10,20Unchanged'!D31)/100,2))*100</f>
        <v>9707.5857774288397</v>
      </c>
      <c r="C31">
        <f>(3/(1+('CurrentFact-N10,20Unchanged'!C31+'CurrentFact-N10,20Unchanged'!G31)/100)+103/POWER(1+('CurrentFact-N10,20Unchanged'!D31+'CurrentFact-N10,20Unchanged'!G31)/100,2))*100</f>
        <v>9614.9673582483465</v>
      </c>
      <c r="D31">
        <f>(3/(1+('CurrentFact-N10,20Unchanged'!C31+'CurrentFact-N10,20Unchanged'!H31)/100)+103/POWER(1+('CurrentFact-N10,20Unchanged'!D31+'CurrentFact-N10,20Unchanged'!H31)/100,2))*100</f>
        <v>9597.2415742954363</v>
      </c>
      <c r="E31">
        <f>(3/(1+('CurrentFact-N10,20Unchanged'!C31+'CurrentFact-N10,20Unchanged'!I31)/100)+103/POWER(1+('CurrentFact-N10,20Unchanged'!D31+'CurrentFact-N10,20Unchanged'!I31)/100,2))*100</f>
        <v>9680.5149077507449</v>
      </c>
      <c r="F31">
        <f>Portfolio!B$5*'CurrentFact-N10,20Unchanged'!E31</f>
        <v>52143.895533915893</v>
      </c>
      <c r="G31">
        <f>Portfolio!B$6*'CurrentFact-N10,20Unchanged'!F31</f>
        <v>3696.2945087936532</v>
      </c>
      <c r="H31">
        <f>Portfolio!B$7*'CurrentFact-N10,20Unchanged'!J31</f>
        <v>2064.4550337304254</v>
      </c>
      <c r="I31">
        <f t="shared" si="0"/>
        <v>96504.954694163345</v>
      </c>
      <c r="J31">
        <f t="shared" si="1"/>
        <v>-4.7072925837419461</v>
      </c>
    </row>
    <row r="32" spans="1:10">
      <c r="A32" s="1">
        <v>45513</v>
      </c>
      <c r="B32">
        <f>(3/(1+('CurrentFact-N10,20Unchanged'!C32)/100)+103/POWER(1+('CurrentFact-N10,20Unchanged'!D32)/100,2))*100</f>
        <v>9707.5857774288397</v>
      </c>
      <c r="C32">
        <f>(3/(1+('CurrentFact-N10,20Unchanged'!C32+'CurrentFact-N10,20Unchanged'!G32)/100)+103/POWER(1+('CurrentFact-N10,20Unchanged'!D32+'CurrentFact-N10,20Unchanged'!G32)/100,2))*100</f>
        <v>9614.9673582483465</v>
      </c>
      <c r="D32">
        <f>(3/(1+('CurrentFact-N10,20Unchanged'!C32+'CurrentFact-N10,20Unchanged'!H32)/100)+103/POWER(1+('CurrentFact-N10,20Unchanged'!D32+'CurrentFact-N10,20Unchanged'!H32)/100,2))*100</f>
        <v>9608.6398236915338</v>
      </c>
      <c r="E32">
        <f>(3/(1+('CurrentFact-N10,20Unchanged'!C32+'CurrentFact-N10,20Unchanged'!I32)/100)+103/POWER(1+('CurrentFact-N10,20Unchanged'!D32+'CurrentFact-N10,20Unchanged'!I32)/100,2))*100</f>
        <v>9680.0777498733969</v>
      </c>
      <c r="F32">
        <f>Portfolio!B$5*'CurrentFact-N10,20Unchanged'!E32</f>
        <v>52143.895533915893</v>
      </c>
      <c r="G32">
        <f>Portfolio!B$6*'CurrentFact-N10,20Unchanged'!F32</f>
        <v>3696.2945087936532</v>
      </c>
      <c r="H32">
        <f>Portfolio!B$7*'CurrentFact-N10,20Unchanged'!J32</f>
        <v>2064.4550337304254</v>
      </c>
      <c r="I32">
        <f t="shared" si="0"/>
        <v>96515.915785682097</v>
      </c>
      <c r="J32">
        <f t="shared" si="1"/>
        <v>14.21026044266182</v>
      </c>
    </row>
    <row r="33" spans="1:10">
      <c r="A33" s="1">
        <v>45516</v>
      </c>
      <c r="B33">
        <f>(3/(1+('CurrentFact-N10,20Unchanged'!C33)/100)+103/POWER(1+('CurrentFact-N10,20Unchanged'!D33)/100,2))*100</f>
        <v>9707.5857774288397</v>
      </c>
      <c r="C33">
        <f>(3/(1+('CurrentFact-N10,20Unchanged'!C33+'CurrentFact-N10,20Unchanged'!G33)/100)+103/POWER(1+('CurrentFact-N10,20Unchanged'!D33+'CurrentFact-N10,20Unchanged'!G33)/100,2))*100</f>
        <v>9614.9673582483465</v>
      </c>
      <c r="D33">
        <f>(3/(1+('CurrentFact-N10,20Unchanged'!C33+'CurrentFact-N10,20Unchanged'!H33)/100)+103/POWER(1+('CurrentFact-N10,20Unchanged'!D33+'CurrentFact-N10,20Unchanged'!H33)/100,2))*100</f>
        <v>9606.527963993005</v>
      </c>
      <c r="E33">
        <f>(3/(1+('CurrentFact-N10,20Unchanged'!C33+'CurrentFact-N10,20Unchanged'!I33)/100)+103/POWER(1+('CurrentFact-N10,20Unchanged'!D33+'CurrentFact-N10,20Unchanged'!I33)/100,2))*100</f>
        <v>9682.7375920633258</v>
      </c>
      <c r="F33">
        <f>Portfolio!B$5*'CurrentFact-N10,20Unchanged'!E33</f>
        <v>52143.895533915893</v>
      </c>
      <c r="G33">
        <f>Portfolio!B$6*'CurrentFact-N10,20Unchanged'!F33</f>
        <v>3696.2945087936532</v>
      </c>
      <c r="H33">
        <f>Portfolio!B$7*'CurrentFact-N10,20Unchanged'!J33</f>
        <v>2064.4550337304254</v>
      </c>
      <c r="I33">
        <f t="shared" si="0"/>
        <v>96516.463768173489</v>
      </c>
      <c r="J33">
        <f t="shared" si="1"/>
        <v>-7.7090726810420165</v>
      </c>
    </row>
    <row r="34" spans="1:10">
      <c r="A34" s="1">
        <v>45517</v>
      </c>
      <c r="B34">
        <f>(3/(1+('CurrentFact-N10,20Unchanged'!C34)/100)+103/POWER(1+('CurrentFact-N10,20Unchanged'!D34)/100,2))*100</f>
        <v>9707.5857774288397</v>
      </c>
      <c r="C34">
        <f>(3/(1+('CurrentFact-N10,20Unchanged'!C34+'CurrentFact-N10,20Unchanged'!G34)/100)+103/POWER(1+('CurrentFact-N10,20Unchanged'!D34+'CurrentFact-N10,20Unchanged'!G34)/100,2))*100</f>
        <v>9614.9673582483465</v>
      </c>
      <c r="D34">
        <f>(3/(1+('CurrentFact-N10,20Unchanged'!C34+'CurrentFact-N10,20Unchanged'!H34)/100)+103/POWER(1+('CurrentFact-N10,20Unchanged'!D34+'CurrentFact-N10,20Unchanged'!H34)/100,2))*100</f>
        <v>9594.5377309936757</v>
      </c>
      <c r="E34">
        <f>(3/(1+('CurrentFact-N10,20Unchanged'!C34+'CurrentFact-N10,20Unchanged'!I34)/100)+103/POWER(1+('CurrentFact-N10,20Unchanged'!D34+'CurrentFact-N10,20Unchanged'!I34)/100,2))*100</f>
        <v>9683.2296010785903</v>
      </c>
      <c r="F34">
        <f>Portfolio!B$5*'CurrentFact-N10,20Unchanged'!E34</f>
        <v>52143.895533915893</v>
      </c>
      <c r="G34">
        <f>Portfolio!B$6*'CurrentFact-N10,20Unchanged'!F34</f>
        <v>3696.2945087936532</v>
      </c>
      <c r="H34">
        <f>Portfolio!B$7*'CurrentFact-N10,20Unchanged'!J34</f>
        <v>2064.4550337304254</v>
      </c>
      <c r="I34">
        <f t="shared" si="0"/>
        <v>96504.965544189414</v>
      </c>
      <c r="J34">
        <f t="shared" si="1"/>
        <v>-9.5901043917110655</v>
      </c>
    </row>
    <row r="35" spans="1:10">
      <c r="A35" s="1">
        <v>45518</v>
      </c>
      <c r="B35">
        <f>(3/(1+('CurrentFact-N10,20Unchanged'!C35)/100)+103/POWER(1+('CurrentFact-N10,20Unchanged'!D35)/100,2))*100</f>
        <v>9707.5857774288397</v>
      </c>
      <c r="C35">
        <f>(3/(1+('CurrentFact-N10,20Unchanged'!C35+'CurrentFact-N10,20Unchanged'!G35)/100)+103/POWER(1+('CurrentFact-N10,20Unchanged'!D35+'CurrentFact-N10,20Unchanged'!G35)/100,2))*100</f>
        <v>9614.9673582483465</v>
      </c>
      <c r="D35">
        <f>(3/(1+('CurrentFact-N10,20Unchanged'!C35+'CurrentFact-N10,20Unchanged'!H35)/100)+103/POWER(1+('CurrentFact-N10,20Unchanged'!D35+'CurrentFact-N10,20Unchanged'!H35)/100,2))*100</f>
        <v>9608.7326212558746</v>
      </c>
      <c r="E35">
        <f>(3/(1+('CurrentFact-N10,20Unchanged'!C35+'CurrentFact-N10,20Unchanged'!I35)/100)+103/POWER(1+('CurrentFact-N10,20Unchanged'!D35+'CurrentFact-N10,20Unchanged'!I35)/100,2))*100</f>
        <v>9682.9744812089939</v>
      </c>
      <c r="F35">
        <f>Portfolio!B$5*'CurrentFact-N10,20Unchanged'!E35</f>
        <v>52143.895533915893</v>
      </c>
      <c r="G35">
        <f>Portfolio!B$6*'CurrentFact-N10,20Unchanged'!F35</f>
        <v>3696.2945087936532</v>
      </c>
      <c r="H35">
        <f>Portfolio!B$7*'CurrentFact-N10,20Unchanged'!J35</f>
        <v>2064.4550337304254</v>
      </c>
      <c r="I35">
        <f t="shared" si="0"/>
        <v>96518.905314582022</v>
      </c>
      <c r="J35">
        <f t="shared" si="1"/>
        <v>9.2830792288586963</v>
      </c>
    </row>
    <row r="36" spans="1:10">
      <c r="A36" s="1">
        <v>45519</v>
      </c>
      <c r="B36">
        <f>(3/(1+('CurrentFact-N10,20Unchanged'!C36)/100)+103/POWER(1+('CurrentFact-N10,20Unchanged'!D36)/100,2))*100</f>
        <v>9707.5857774288397</v>
      </c>
      <c r="C36">
        <f>(3/(1+('CurrentFact-N10,20Unchanged'!C36+'CurrentFact-N10,20Unchanged'!G36)/100)+103/POWER(1+('CurrentFact-N10,20Unchanged'!D36+'CurrentFact-N10,20Unchanged'!G36)/100,2))*100</f>
        <v>9614.9673582483465</v>
      </c>
      <c r="D36">
        <f>(3/(1+('CurrentFact-N10,20Unchanged'!C36+'CurrentFact-N10,20Unchanged'!H36)/100)+103/POWER(1+('CurrentFact-N10,20Unchanged'!D36+'CurrentFact-N10,20Unchanged'!H36)/100,2))*100</f>
        <v>9607.5616854519176</v>
      </c>
      <c r="E36">
        <f>(3/(1+('CurrentFact-N10,20Unchanged'!C36+'CurrentFact-N10,20Unchanged'!I36)/100)+103/POWER(1+('CurrentFact-N10,20Unchanged'!D36+'CurrentFact-N10,20Unchanged'!I36)/100,2))*100</f>
        <v>9683.3024945884808</v>
      </c>
      <c r="F36">
        <f>Portfolio!B$5*'CurrentFact-N10,20Unchanged'!E36</f>
        <v>52143.895533915893</v>
      </c>
      <c r="G36">
        <f>Portfolio!B$6*'CurrentFact-N10,20Unchanged'!F36</f>
        <v>3696.2945087936532</v>
      </c>
      <c r="H36">
        <f>Portfolio!B$7*'CurrentFact-N10,20Unchanged'!J36</f>
        <v>2064.4550337304254</v>
      </c>
      <c r="I36">
        <f t="shared" si="0"/>
        <v>96518.062392157561</v>
      </c>
      <c r="J36">
        <f t="shared" si="1"/>
        <v>15.966151231317781</v>
      </c>
    </row>
    <row r="37" spans="1:10">
      <c r="A37" s="1">
        <v>45520</v>
      </c>
      <c r="B37">
        <f>(3/(1+('CurrentFact-N10,20Unchanged'!C37)/100)+103/POWER(1+('CurrentFact-N10,20Unchanged'!D37)/100,2))*100</f>
        <v>9707.5857774288397</v>
      </c>
      <c r="C37">
        <f>(3/(1+('CurrentFact-N10,20Unchanged'!C37+'CurrentFact-N10,20Unchanged'!G37)/100)+103/POWER(1+('CurrentFact-N10,20Unchanged'!D37+'CurrentFact-N10,20Unchanged'!G37)/100,2))*100</f>
        <v>9614.9673582483465</v>
      </c>
      <c r="D37">
        <f>(3/(1+('CurrentFact-N10,20Unchanged'!C37+'CurrentFact-N10,20Unchanged'!H37)/100)+103/POWER(1+('CurrentFact-N10,20Unchanged'!D37+'CurrentFact-N10,20Unchanged'!H37)/100,2))*100</f>
        <v>9606.1106357583994</v>
      </c>
      <c r="E37">
        <f>(3/(1+('CurrentFact-N10,20Unchanged'!C37+'CurrentFact-N10,20Unchanged'!I37)/100)+103/POWER(1+('CurrentFact-N10,20Unchanged'!D37+'CurrentFact-N10,20Unchanged'!I37)/100,2))*100</f>
        <v>9682.4642685408926</v>
      </c>
      <c r="F37">
        <f>Portfolio!B$5*'CurrentFact-N10,20Unchanged'!E37</f>
        <v>52143.895533915893</v>
      </c>
      <c r="G37">
        <f>Portfolio!B$6*'CurrentFact-N10,20Unchanged'!F37</f>
        <v>3696.2945087936532</v>
      </c>
      <c r="H37">
        <f>Portfolio!B$7*'CurrentFact-N10,20Unchanged'!J37</f>
        <v>2064.4550337304254</v>
      </c>
      <c r="I37">
        <f t="shared" si="0"/>
        <v>96515.773116416443</v>
      </c>
      <c r="J37">
        <f t="shared" si="1"/>
        <v>25.406772399670444</v>
      </c>
    </row>
    <row r="38" spans="1:10">
      <c r="A38" s="1">
        <v>45523</v>
      </c>
      <c r="B38">
        <f>(3/(1+('CurrentFact-N10,20Unchanged'!C38)/100)+103/POWER(1+('CurrentFact-N10,20Unchanged'!D38)/100,2))*100</f>
        <v>9707.5857774288397</v>
      </c>
      <c r="C38">
        <f>(3/(1+('CurrentFact-N10,20Unchanged'!C38+'CurrentFact-N10,20Unchanged'!G38)/100)+103/POWER(1+('CurrentFact-N10,20Unchanged'!D38+'CurrentFact-N10,20Unchanged'!G38)/100,2))*100</f>
        <v>9614.9673582483465</v>
      </c>
      <c r="D38">
        <f>(3/(1+('CurrentFact-N10,20Unchanged'!C38+'CurrentFact-N10,20Unchanged'!H38)/100)+103/POWER(1+('CurrentFact-N10,20Unchanged'!D38+'CurrentFact-N10,20Unchanged'!H38)/100,2))*100</f>
        <v>9584.5899894685554</v>
      </c>
      <c r="E38">
        <f>(3/(1+('CurrentFact-N10,20Unchanged'!C38+'CurrentFact-N10,20Unchanged'!I38)/100)+103/POWER(1+('CurrentFact-N10,20Unchanged'!D38+'CurrentFact-N10,20Unchanged'!I38)/100,2))*100</f>
        <v>9682.1909584439472</v>
      </c>
      <c r="F38">
        <f>Portfolio!B$5*'CurrentFact-N10,20Unchanged'!E38</f>
        <v>52143.895533915893</v>
      </c>
      <c r="G38">
        <f>Portfolio!B$6*'CurrentFact-N10,20Unchanged'!F38</f>
        <v>3696.2945087936532</v>
      </c>
      <c r="H38">
        <f>Portfolio!B$7*'CurrentFact-N10,20Unchanged'!J38</f>
        <v>2064.4550337304254</v>
      </c>
      <c r="I38">
        <f t="shared" si="0"/>
        <v>96493.979160029659</v>
      </c>
      <c r="J38">
        <f t="shared" si="1"/>
        <v>-29.455352428878541</v>
      </c>
    </row>
    <row r="39" spans="1:10">
      <c r="A39" s="1">
        <v>45524</v>
      </c>
      <c r="B39">
        <f>(3/(1+('CurrentFact-N10,20Unchanged'!C39)/100)+103/POWER(1+('CurrentFact-N10,20Unchanged'!D39)/100,2))*100</f>
        <v>9707.5857774288397</v>
      </c>
      <c r="C39">
        <f>(3/(1+('CurrentFact-N10,20Unchanged'!C39+'CurrentFact-N10,20Unchanged'!G39)/100)+103/POWER(1+('CurrentFact-N10,20Unchanged'!D39+'CurrentFact-N10,20Unchanged'!G39)/100,2))*100</f>
        <v>9614.9673582483465</v>
      </c>
      <c r="D39">
        <f>(3/(1+('CurrentFact-N10,20Unchanged'!C39+'CurrentFact-N10,20Unchanged'!H39)/100)+103/POWER(1+('CurrentFact-N10,20Unchanged'!D39+'CurrentFact-N10,20Unchanged'!H39)/100,2))*100</f>
        <v>9592.986627535307</v>
      </c>
      <c r="E39">
        <f>(3/(1+('CurrentFact-N10,20Unchanged'!C39+'CurrentFact-N10,20Unchanged'!I39)/100)+103/POWER(1+('CurrentFact-N10,20Unchanged'!D39+'CurrentFact-N10,20Unchanged'!I39)/100,2))*100</f>
        <v>9682.2820610902218</v>
      </c>
      <c r="F39">
        <f>Portfolio!B$5*'CurrentFact-N10,20Unchanged'!E39</f>
        <v>52143.895533915893</v>
      </c>
      <c r="G39">
        <f>Portfolio!B$6*'CurrentFact-N10,20Unchanged'!F39</f>
        <v>3696.2945087936532</v>
      </c>
      <c r="H39">
        <f>Portfolio!B$7*'CurrentFact-N10,20Unchanged'!J39</f>
        <v>2064.4550337304254</v>
      </c>
      <c r="I39">
        <f t="shared" si="0"/>
        <v>96502.466900742686</v>
      </c>
      <c r="J39">
        <f t="shared" si="1"/>
        <v>-2.7731037688645301</v>
      </c>
    </row>
    <row r="40" spans="1:10">
      <c r="A40" s="1">
        <v>45525</v>
      </c>
      <c r="B40">
        <f>(3/(1+('CurrentFact-N10,20Unchanged'!C40)/100)+103/POWER(1+('CurrentFact-N10,20Unchanged'!D40)/100,2))*100</f>
        <v>9707.5857774288397</v>
      </c>
      <c r="C40">
        <f>(3/(1+('CurrentFact-N10,20Unchanged'!C40+'CurrentFact-N10,20Unchanged'!G40)/100)+103/POWER(1+('CurrentFact-N10,20Unchanged'!D40+'CurrentFact-N10,20Unchanged'!G40)/100,2))*100</f>
        <v>9614.9673582483465</v>
      </c>
      <c r="D40">
        <f>(3/(1+('CurrentFact-N10,20Unchanged'!C40+'CurrentFact-N10,20Unchanged'!H40)/100)+103/POWER(1+('CurrentFact-N10,20Unchanged'!D40+'CurrentFact-N10,20Unchanged'!H40)/100,2))*100</f>
        <v>9590.0459785141047</v>
      </c>
      <c r="E40">
        <f>(3/(1+('CurrentFact-N10,20Unchanged'!C40+'CurrentFact-N10,20Unchanged'!I40)/100)+103/POWER(1+('CurrentFact-N10,20Unchanged'!D40+'CurrentFact-N10,20Unchanged'!I40)/100,2))*100</f>
        <v>9683.5029573304655</v>
      </c>
      <c r="F40">
        <f>Portfolio!B$5*'CurrentFact-N10,20Unchanged'!E40</f>
        <v>52143.895533915893</v>
      </c>
      <c r="G40">
        <f>Portfolio!B$6*'CurrentFact-N10,20Unchanged'!F40</f>
        <v>3696.2945087936532</v>
      </c>
      <c r="H40">
        <f>Portfolio!B$7*'CurrentFact-N10,20Unchanged'!J40</f>
        <v>2064.4550337304254</v>
      </c>
      <c r="I40">
        <f t="shared" si="0"/>
        <v>96500.747147961723</v>
      </c>
      <c r="J40">
        <f t="shared" si="1"/>
        <v>-20.340815363975707</v>
      </c>
    </row>
    <row r="41" spans="1:10">
      <c r="A41" s="1">
        <v>45526</v>
      </c>
      <c r="B41">
        <f>(3/(1+('CurrentFact-N10,20Unchanged'!C41)/100)+103/POWER(1+('CurrentFact-N10,20Unchanged'!D41)/100,2))*100</f>
        <v>9707.5857774288397</v>
      </c>
      <c r="C41">
        <f>(3/(1+('CurrentFact-N10,20Unchanged'!C41+'CurrentFact-N10,20Unchanged'!G41)/100)+103/POWER(1+('CurrentFact-N10,20Unchanged'!D41+'CurrentFact-N10,20Unchanged'!G41)/100,2))*100</f>
        <v>9614.9673582483465</v>
      </c>
      <c r="D41">
        <f>(3/(1+('CurrentFact-N10,20Unchanged'!C41+'CurrentFact-N10,20Unchanged'!H41)/100)+103/POWER(1+('CurrentFact-N10,20Unchanged'!D41+'CurrentFact-N10,20Unchanged'!H41)/100,2))*100</f>
        <v>9590.3986063913599</v>
      </c>
      <c r="E41">
        <f>(3/(1+('CurrentFact-N10,20Unchanged'!C41+'CurrentFact-N10,20Unchanged'!I41)/100)+103/POWER(1+('CurrentFact-N10,20Unchanged'!D41+'CurrentFact-N10,20Unchanged'!I41)/100,2))*100</f>
        <v>9681.2800068736287</v>
      </c>
      <c r="F41">
        <f>Portfolio!B$5*'CurrentFact-N10,20Unchanged'!E41</f>
        <v>52143.895533915893</v>
      </c>
      <c r="G41">
        <f>Portfolio!B$6*'CurrentFact-N10,20Unchanged'!F41</f>
        <v>3696.2945087936532</v>
      </c>
      <c r="H41">
        <f>Portfolio!B$7*'CurrentFact-N10,20Unchanged'!J41</f>
        <v>2064.4550337304254</v>
      </c>
      <c r="I41">
        <f t="shared" si="0"/>
        <v>96498.876825382147</v>
      </c>
      <c r="J41">
        <f t="shared" si="1"/>
        <v>-6.077868781198049</v>
      </c>
    </row>
    <row r="42" spans="1:10">
      <c r="A42" s="1">
        <v>45527</v>
      </c>
      <c r="B42">
        <f>(3/(1+('CurrentFact-N10,20Unchanged'!C42)/100)+103/POWER(1+('CurrentFact-N10,20Unchanged'!D42)/100,2))*100</f>
        <v>9707.5857774288397</v>
      </c>
      <c r="C42">
        <f>(3/(1+('CurrentFact-N10,20Unchanged'!C42+'CurrentFact-N10,20Unchanged'!G42)/100)+103/POWER(1+('CurrentFact-N10,20Unchanged'!D42+'CurrentFact-N10,20Unchanged'!G42)/100,2))*100</f>
        <v>9614.9673582483465</v>
      </c>
      <c r="D42">
        <f>(3/(1+('CurrentFact-N10,20Unchanged'!C42+'CurrentFact-N10,20Unchanged'!H42)/100)+103/POWER(1+('CurrentFact-N10,20Unchanged'!D42+'CurrentFact-N10,20Unchanged'!H42)/100,2))*100</f>
        <v>9598.9630495882157</v>
      </c>
      <c r="E42">
        <f>(3/(1+('CurrentFact-N10,20Unchanged'!C42+'CurrentFact-N10,20Unchanged'!I42)/100)+103/POWER(1+('CurrentFact-N10,20Unchanged'!D42+'CurrentFact-N10,20Unchanged'!I42)/100,2))*100</f>
        <v>9683.2478248126099</v>
      </c>
      <c r="F42">
        <f>Portfolio!B$5*'CurrentFact-N10,20Unchanged'!E42</f>
        <v>52143.895533915893</v>
      </c>
      <c r="G42">
        <f>Portfolio!B$6*'CurrentFact-N10,20Unchanged'!F42</f>
        <v>3696.2945087936532</v>
      </c>
      <c r="H42">
        <f>Portfolio!B$7*'CurrentFact-N10,20Unchanged'!J42</f>
        <v>2064.4550337304254</v>
      </c>
      <c r="I42">
        <f t="shared" si="0"/>
        <v>96509.40908651799</v>
      </c>
      <c r="J42">
        <f t="shared" si="1"/>
        <v>-6.5066991641069762</v>
      </c>
    </row>
    <row r="43" spans="1:10">
      <c r="A43" s="1">
        <v>45530</v>
      </c>
      <c r="B43">
        <f>(3/(1+('CurrentFact-N10,20Unchanged'!C43)/100)+103/POWER(1+('CurrentFact-N10,20Unchanged'!D43)/100,2))*100</f>
        <v>9707.5857774288397</v>
      </c>
      <c r="C43">
        <f>(3/(1+('CurrentFact-N10,20Unchanged'!C43+'CurrentFact-N10,20Unchanged'!G43)/100)+103/POWER(1+('CurrentFact-N10,20Unchanged'!D43+'CurrentFact-N10,20Unchanged'!G43)/100,2))*100</f>
        <v>9614.9673582483465</v>
      </c>
      <c r="D43">
        <f>(3/(1+('CurrentFact-N10,20Unchanged'!C43+'CurrentFact-N10,20Unchanged'!H43)/100)+103/POWER(1+('CurrentFact-N10,20Unchanged'!D43+'CurrentFact-N10,20Unchanged'!H43)/100,2))*100</f>
        <v>9606.9286815533123</v>
      </c>
      <c r="E43">
        <f>(3/(1+('CurrentFact-N10,20Unchanged'!C43+'CurrentFact-N10,20Unchanged'!I43)/100)+103/POWER(1+('CurrentFact-N10,20Unchanged'!D43+'CurrentFact-N10,20Unchanged'!I43)/100,2))*100</f>
        <v>9678.2201598923075</v>
      </c>
      <c r="F43">
        <f>Portfolio!B$5*'CurrentFact-N10,20Unchanged'!E43</f>
        <v>52143.895533915893</v>
      </c>
      <c r="G43">
        <f>Portfolio!B$6*'CurrentFact-N10,20Unchanged'!F43</f>
        <v>3696.2945087936532</v>
      </c>
      <c r="H43">
        <f>Portfolio!B$7*'CurrentFact-N10,20Unchanged'!J43</f>
        <v>2064.4550337304254</v>
      </c>
      <c r="I43">
        <f t="shared" si="0"/>
        <v>96512.347053562786</v>
      </c>
      <c r="J43">
        <f t="shared" si="1"/>
        <v>-4.1167146107036388</v>
      </c>
    </row>
    <row r="44" spans="1:10">
      <c r="A44" s="1">
        <v>45531</v>
      </c>
      <c r="B44">
        <f>(3/(1+('CurrentFact-N10,20Unchanged'!C44)/100)+103/POWER(1+('CurrentFact-N10,20Unchanged'!D44)/100,2))*100</f>
        <v>9707.5857774288397</v>
      </c>
      <c r="C44">
        <f>(3/(1+('CurrentFact-N10,20Unchanged'!C44+'CurrentFact-N10,20Unchanged'!G44)/100)+103/POWER(1+('CurrentFact-N10,20Unchanged'!D44+'CurrentFact-N10,20Unchanged'!G44)/100,2))*100</f>
        <v>9614.9673582483465</v>
      </c>
      <c r="D44">
        <f>(3/(1+('CurrentFact-N10,20Unchanged'!C44+'CurrentFact-N10,20Unchanged'!H44)/100)+103/POWER(1+('CurrentFact-N10,20Unchanged'!D44+'CurrentFact-N10,20Unchanged'!H44)/100,2))*100</f>
        <v>9600.4295335271127</v>
      </c>
      <c r="E44">
        <f>(3/(1+('CurrentFact-N10,20Unchanged'!C44+'CurrentFact-N10,20Unchanged'!I44)/100)+103/POWER(1+('CurrentFact-N10,20Unchanged'!D44+'CurrentFact-N10,20Unchanged'!I44)/100,2))*100</f>
        <v>9678.5297207193616</v>
      </c>
      <c r="F44">
        <f>Portfolio!B$5*'CurrentFact-N10,20Unchanged'!E44</f>
        <v>52143.895533915893</v>
      </c>
      <c r="G44">
        <f>Portfolio!B$6*'CurrentFact-N10,20Unchanged'!F44</f>
        <v>3696.2945087936532</v>
      </c>
      <c r="H44">
        <f>Portfolio!B$7*'CurrentFact-N10,20Unchanged'!J44</f>
        <v>2064.4550337304254</v>
      </c>
      <c r="I44">
        <f t="shared" si="0"/>
        <v>96506.157466363627</v>
      </c>
      <c r="J44">
        <f t="shared" si="1"/>
        <v>1.191922174213687</v>
      </c>
    </row>
    <row r="45" spans="1:10">
      <c r="A45" s="1">
        <v>45532</v>
      </c>
      <c r="B45">
        <f>(3/(1+('CurrentFact-N10,20Unchanged'!C45)/100)+103/POWER(1+('CurrentFact-N10,20Unchanged'!D45)/100,2))*100</f>
        <v>9707.5857774288397</v>
      </c>
      <c r="C45">
        <f>(3/(1+('CurrentFact-N10,20Unchanged'!C45+'CurrentFact-N10,20Unchanged'!G45)/100)+103/POWER(1+('CurrentFact-N10,20Unchanged'!D45+'CurrentFact-N10,20Unchanged'!G45)/100,2))*100</f>
        <v>9614.9673582483465</v>
      </c>
      <c r="D45">
        <f>(3/(1+('CurrentFact-N10,20Unchanged'!C45+'CurrentFact-N10,20Unchanged'!H45)/100)+103/POWER(1+('CurrentFact-N10,20Unchanged'!D45+'CurrentFact-N10,20Unchanged'!H45)/100,2))*100</f>
        <v>9604.6783978490421</v>
      </c>
      <c r="E45">
        <f>(3/(1+('CurrentFact-N10,20Unchanged'!C45+'CurrentFact-N10,20Unchanged'!I45)/100)+103/POWER(1+('CurrentFact-N10,20Unchanged'!D45+'CurrentFact-N10,20Unchanged'!I45)/100,2))*100</f>
        <v>9676.3813140356069</v>
      </c>
      <c r="F45">
        <f>Portfolio!B$5*'CurrentFact-N10,20Unchanged'!E45</f>
        <v>52143.895533915893</v>
      </c>
      <c r="G45">
        <f>Portfolio!B$6*'CurrentFact-N10,20Unchanged'!F45</f>
        <v>3696.2945087936532</v>
      </c>
      <c r="H45">
        <f>Portfolio!B$7*'CurrentFact-N10,20Unchanged'!J45</f>
        <v>2064.4550337304254</v>
      </c>
      <c r="I45">
        <f t="shared" si="0"/>
        <v>96508.257924001809</v>
      </c>
      <c r="J45">
        <f t="shared" si="1"/>
        <v>-10.647390580212232</v>
      </c>
    </row>
    <row r="46" spans="1:10">
      <c r="A46" s="1">
        <v>45533</v>
      </c>
      <c r="B46">
        <f>(3/(1+('CurrentFact-N10,20Unchanged'!C46)/100)+103/POWER(1+('CurrentFact-N10,20Unchanged'!D46)/100,2))*100</f>
        <v>9707.5857774288397</v>
      </c>
      <c r="C46">
        <f>(3/(1+('CurrentFact-N10,20Unchanged'!C46+'CurrentFact-N10,20Unchanged'!G46)/100)+103/POWER(1+('CurrentFact-N10,20Unchanged'!D46+'CurrentFact-N10,20Unchanged'!G46)/100,2))*100</f>
        <v>9614.9673582483465</v>
      </c>
      <c r="D46">
        <f>(3/(1+('CurrentFact-N10,20Unchanged'!C46+'CurrentFact-N10,20Unchanged'!H46)/100)+103/POWER(1+('CurrentFact-N10,20Unchanged'!D46+'CurrentFact-N10,20Unchanged'!H46)/100,2))*100</f>
        <v>9603.5136274222132</v>
      </c>
      <c r="E46">
        <f>(3/(1+('CurrentFact-N10,20Unchanged'!C46+'CurrentFact-N10,20Unchanged'!I46)/100)+103/POWER(1+('CurrentFact-N10,20Unchanged'!D46+'CurrentFact-N10,20Unchanged'!I46)/100,2))*100</f>
        <v>9678.8028742649876</v>
      </c>
      <c r="F46">
        <f>Portfolio!B$5*'CurrentFact-N10,20Unchanged'!E46</f>
        <v>52143.895533915893</v>
      </c>
      <c r="G46">
        <f>Portfolio!B$6*'CurrentFact-N10,20Unchanged'!F46</f>
        <v>3696.2945087936532</v>
      </c>
      <c r="H46">
        <f>Portfolio!B$7*'CurrentFact-N10,20Unchanged'!J46</f>
        <v>2064.4550337304254</v>
      </c>
      <c r="I46">
        <f t="shared" si="0"/>
        <v>96509.514713804354</v>
      </c>
      <c r="J46">
        <f t="shared" si="1"/>
        <v>-8.5476783532067202</v>
      </c>
    </row>
    <row r="47" spans="1:10">
      <c r="A47" s="1">
        <v>45534</v>
      </c>
      <c r="B47">
        <f>(3/(1+('CurrentFact-N10,20Unchanged'!C47)/100)+103/POWER(1+('CurrentFact-N10,20Unchanged'!D47)/100,2))*100</f>
        <v>9707.5857774288397</v>
      </c>
      <c r="C47">
        <f>(3/(1+('CurrentFact-N10,20Unchanged'!C47+'CurrentFact-N10,20Unchanged'!G47)/100)+103/POWER(1+('CurrentFact-N10,20Unchanged'!D47+'CurrentFact-N10,20Unchanged'!G47)/100,2))*100</f>
        <v>9614.9673582483465</v>
      </c>
      <c r="D47">
        <f>(3/(1+('CurrentFact-N10,20Unchanged'!C47+'CurrentFact-N10,20Unchanged'!H47)/100)+103/POWER(1+('CurrentFact-N10,20Unchanged'!D47+'CurrentFact-N10,20Unchanged'!H47)/100,2))*100</f>
        <v>9595.1709859650473</v>
      </c>
      <c r="E47">
        <f>(3/(1+('CurrentFact-N10,20Unchanged'!C47+'CurrentFact-N10,20Unchanged'!I47)/100)+103/POWER(1+('CurrentFact-N10,20Unchanged'!D47+'CurrentFact-N10,20Unchanged'!I47)/100,2))*100</f>
        <v>9678.4022532928229</v>
      </c>
      <c r="F47">
        <f>Portfolio!B$5*'CurrentFact-N10,20Unchanged'!E47</f>
        <v>52143.895533915893</v>
      </c>
      <c r="G47">
        <f>Portfolio!B$6*'CurrentFact-N10,20Unchanged'!F47</f>
        <v>3696.2945087936532</v>
      </c>
      <c r="H47">
        <f>Portfolio!B$7*'CurrentFact-N10,20Unchanged'!J47</f>
        <v>2064.4550337304254</v>
      </c>
      <c r="I47">
        <f t="shared" si="0"/>
        <v>96500.771451375025</v>
      </c>
      <c r="J47">
        <f t="shared" si="1"/>
        <v>-15.001665041418164</v>
      </c>
    </row>
    <row r="48" spans="1:10">
      <c r="A48" s="1">
        <v>45537</v>
      </c>
      <c r="B48">
        <f>(3/(1+('CurrentFact-N10,20Unchanged'!C48)/100)+103/POWER(1+('CurrentFact-N10,20Unchanged'!D48)/100,2))*100</f>
        <v>9707.5857774288397</v>
      </c>
      <c r="C48">
        <f>(3/(1+('CurrentFact-N10,20Unchanged'!C48+'CurrentFact-N10,20Unchanged'!G48)/100)+103/POWER(1+('CurrentFact-N10,20Unchanged'!D48+'CurrentFact-N10,20Unchanged'!G48)/100,2))*100</f>
        <v>9614.9673582483465</v>
      </c>
      <c r="D48">
        <f>(3/(1+('CurrentFact-N10,20Unchanged'!C48+'CurrentFact-N10,20Unchanged'!H48)/100)+103/POWER(1+('CurrentFact-N10,20Unchanged'!D48+'CurrentFact-N10,20Unchanged'!H48)/100,2))*100</f>
        <v>9596.8867541885575</v>
      </c>
      <c r="E48">
        <f>(3/(1+('CurrentFact-N10,20Unchanged'!C48+'CurrentFact-N10,20Unchanged'!I48)/100)+103/POWER(1+('CurrentFact-N10,20Unchanged'!D48+'CurrentFact-N10,20Unchanged'!I48)/100,2))*100</f>
        <v>9680.496691807788</v>
      </c>
      <c r="F48">
        <f>Portfolio!B$5*'CurrentFact-N10,20Unchanged'!E48</f>
        <v>52143.895533915893</v>
      </c>
      <c r="G48">
        <f>Portfolio!B$6*'CurrentFact-N10,20Unchanged'!F48</f>
        <v>3696.2945087936532</v>
      </c>
      <c r="H48">
        <f>Portfolio!B$7*'CurrentFact-N10,20Unchanged'!J48</f>
        <v>2064.4550337304254</v>
      </c>
      <c r="I48">
        <f t="shared" si="0"/>
        <v>96504.581658113515</v>
      </c>
      <c r="J48">
        <f t="shared" si="1"/>
        <v>10.602498083855608</v>
      </c>
    </row>
    <row r="49" spans="1:10">
      <c r="A49" s="1">
        <v>45538</v>
      </c>
      <c r="B49">
        <f>(3/(1+('CurrentFact-N10,20Unchanged'!C49)/100)+103/POWER(1+('CurrentFact-N10,20Unchanged'!D49)/100,2))*100</f>
        <v>9707.5857774288397</v>
      </c>
      <c r="C49">
        <f>(3/(1+('CurrentFact-N10,20Unchanged'!C49+'CurrentFact-N10,20Unchanged'!G49)/100)+103/POWER(1+('CurrentFact-N10,20Unchanged'!D49+'CurrentFact-N10,20Unchanged'!G49)/100,2))*100</f>
        <v>9614.9673582483465</v>
      </c>
      <c r="D49">
        <f>(3/(1+('CurrentFact-N10,20Unchanged'!C49+'CurrentFact-N10,20Unchanged'!H49)/100)+103/POWER(1+('CurrentFact-N10,20Unchanged'!D49+'CurrentFact-N10,20Unchanged'!H49)/100,2))*100</f>
        <v>9624.7030766889202</v>
      </c>
      <c r="E49">
        <f>(3/(1+('CurrentFact-N10,20Unchanged'!C49+'CurrentFact-N10,20Unchanged'!I49)/100)+103/POWER(1+('CurrentFact-N10,20Unchanged'!D49+'CurrentFact-N10,20Unchanged'!I49)/100,2))*100</f>
        <v>9680.5331237456321</v>
      </c>
      <c r="F49">
        <f>Portfolio!B$5*'CurrentFact-N10,20Unchanged'!E49</f>
        <v>52143.895533915893</v>
      </c>
      <c r="G49">
        <f>Portfolio!B$6*'CurrentFact-N10,20Unchanged'!F49</f>
        <v>3696.2945087936532</v>
      </c>
      <c r="H49">
        <f>Portfolio!B$7*'CurrentFact-N10,20Unchanged'!J49</f>
        <v>2064.4550337304254</v>
      </c>
      <c r="I49">
        <f t="shared" si="0"/>
        <v>96532.434412551709</v>
      </c>
      <c r="J49">
        <f t="shared" si="1"/>
        <v>29.967511809023563</v>
      </c>
    </row>
    <row r="50" spans="1:10">
      <c r="A50" s="1">
        <v>45539</v>
      </c>
      <c r="B50">
        <f>(3/(1+('CurrentFact-N10,20Unchanged'!C50)/100)+103/POWER(1+('CurrentFact-N10,20Unchanged'!D50)/100,2))*100</f>
        <v>9707.5857774288397</v>
      </c>
      <c r="C50">
        <f>(3/(1+('CurrentFact-N10,20Unchanged'!C50+'CurrentFact-N10,20Unchanged'!G50)/100)+103/POWER(1+('CurrentFact-N10,20Unchanged'!D50+'CurrentFact-N10,20Unchanged'!G50)/100,2))*100</f>
        <v>9614.9673582483465</v>
      </c>
      <c r="D50">
        <f>(3/(1+('CurrentFact-N10,20Unchanged'!C50+'CurrentFact-N10,20Unchanged'!H50)/100)+103/POWER(1+('CurrentFact-N10,20Unchanged'!D50+'CurrentFact-N10,20Unchanged'!H50)/100,2))*100</f>
        <v>9610.8341407352054</v>
      </c>
      <c r="E50">
        <f>(3/(1+('CurrentFact-N10,20Unchanged'!C50+'CurrentFact-N10,20Unchanged'!I50)/100)+103/POWER(1+('CurrentFact-N10,20Unchanged'!D50+'CurrentFact-N10,20Unchanged'!I50)/100,2))*100</f>
        <v>9677.5464639503971</v>
      </c>
      <c r="F50">
        <f>Portfolio!B$5*'CurrentFact-N10,20Unchanged'!E50</f>
        <v>52143.895533915893</v>
      </c>
      <c r="G50">
        <f>Portfolio!B$6*'CurrentFact-N10,20Unchanged'!F50</f>
        <v>3696.2945087936532</v>
      </c>
      <c r="H50">
        <f>Portfolio!B$7*'CurrentFact-N10,20Unchanged'!J50</f>
        <v>2064.4550337304254</v>
      </c>
      <c r="I50">
        <f t="shared" si="0"/>
        <v>96515.578816802765</v>
      </c>
      <c r="J50">
        <f t="shared" si="1"/>
        <v>14.831668841041392</v>
      </c>
    </row>
    <row r="51" spans="1:10">
      <c r="A51" s="1">
        <v>45540</v>
      </c>
      <c r="B51">
        <f>(3/(1+('CurrentFact-N10,20Unchanged'!C51)/100)+103/POWER(1+('CurrentFact-N10,20Unchanged'!D51)/100,2))*100</f>
        <v>9707.5857774288397</v>
      </c>
      <c r="C51">
        <f>(3/(1+('CurrentFact-N10,20Unchanged'!C51+'CurrentFact-N10,20Unchanged'!G51)/100)+103/POWER(1+('CurrentFact-N10,20Unchanged'!D51+'CurrentFact-N10,20Unchanged'!G51)/100,2))*100</f>
        <v>9614.9673582483465</v>
      </c>
      <c r="D51">
        <f>(3/(1+('CurrentFact-N10,20Unchanged'!C51+'CurrentFact-N10,20Unchanged'!H51)/100)+103/POWER(1+('CurrentFact-N10,20Unchanged'!D51+'CurrentFact-N10,20Unchanged'!H51)/100,2))*100</f>
        <v>9591.9017329797862</v>
      </c>
      <c r="E51">
        <f>(3/(1+('CurrentFact-N10,20Unchanged'!C51+'CurrentFact-N10,20Unchanged'!I51)/100)+103/POWER(1+('CurrentFact-N10,20Unchanged'!D51+'CurrentFact-N10,20Unchanged'!I51)/100,2))*100</f>
        <v>9676.9638606911049</v>
      </c>
      <c r="F51">
        <f>Portfolio!B$5*'CurrentFact-N10,20Unchanged'!E51</f>
        <v>52143.895533915893</v>
      </c>
      <c r="G51">
        <f>Portfolio!B$6*'CurrentFact-N10,20Unchanged'!F51</f>
        <v>3696.2945087936532</v>
      </c>
      <c r="H51">
        <f>Portfolio!B$7*'CurrentFact-N10,20Unchanged'!J51</f>
        <v>2064.4550337304254</v>
      </c>
      <c r="I51">
        <f t="shared" si="0"/>
        <v>96496.063805788057</v>
      </c>
      <c r="J51">
        <f t="shared" si="1"/>
        <v>-2.8130195940902922</v>
      </c>
    </row>
    <row r="52" spans="1:10">
      <c r="A52" s="1">
        <v>45541</v>
      </c>
      <c r="B52">
        <f>(3/(1+('CurrentFact-N10,20Unchanged'!C52)/100)+103/POWER(1+('CurrentFact-N10,20Unchanged'!D52)/100,2))*100</f>
        <v>9707.5857774288397</v>
      </c>
      <c r="C52">
        <f>(3/(1+('CurrentFact-N10,20Unchanged'!C52+'CurrentFact-N10,20Unchanged'!G52)/100)+103/POWER(1+('CurrentFact-N10,20Unchanged'!D52+'CurrentFact-N10,20Unchanged'!G52)/100,2))*100</f>
        <v>9614.9673582483465</v>
      </c>
      <c r="D52">
        <f>(3/(1+('CurrentFact-N10,20Unchanged'!C52+'CurrentFact-N10,20Unchanged'!H52)/100)+103/POWER(1+('CurrentFact-N10,20Unchanged'!D52+'CurrentFact-N10,20Unchanged'!H52)/100,2))*100</f>
        <v>9602.5500356131615</v>
      </c>
      <c r="E52">
        <f>(3/(1+('CurrentFact-N10,20Unchanged'!C52+'CurrentFact-N10,20Unchanged'!I52)/100)+103/POWER(1+('CurrentFact-N10,20Unchanged'!D52+'CurrentFact-N10,20Unchanged'!I52)/100,2))*100</f>
        <v>9674.9433798658083</v>
      </c>
      <c r="F52">
        <f>Portfolio!B$5*'CurrentFact-N10,20Unchanged'!E52</f>
        <v>52143.895533915893</v>
      </c>
      <c r="G52">
        <f>Portfolio!B$6*'CurrentFact-N10,20Unchanged'!F52</f>
        <v>3696.2945087936532</v>
      </c>
      <c r="H52">
        <f>Portfolio!B$7*'CurrentFact-N10,20Unchanged'!J52</f>
        <v>2064.4550337304254</v>
      </c>
      <c r="I52">
        <f t="shared" si="0"/>
        <v>96504.691627596127</v>
      </c>
      <c r="J52">
        <f t="shared" si="1"/>
        <v>-4.717458921862999</v>
      </c>
    </row>
    <row r="53" spans="1:10">
      <c r="A53" s="1">
        <v>45544</v>
      </c>
      <c r="B53">
        <f>(3/(1+('CurrentFact-N10,20Unchanged'!C53)/100)+103/POWER(1+('CurrentFact-N10,20Unchanged'!D53)/100,2))*100</f>
        <v>9707.5857774288397</v>
      </c>
      <c r="C53">
        <f>(3/(1+('CurrentFact-N10,20Unchanged'!C53+'CurrentFact-N10,20Unchanged'!G53)/100)+103/POWER(1+('CurrentFact-N10,20Unchanged'!D53+'CurrentFact-N10,20Unchanged'!G53)/100,2))*100</f>
        <v>9614.9673582483465</v>
      </c>
      <c r="D53">
        <f>(3/(1+('CurrentFact-N10,20Unchanged'!C53+'CurrentFact-N10,20Unchanged'!H53)/100)+103/POWER(1+('CurrentFact-N10,20Unchanged'!D53+'CurrentFact-N10,20Unchanged'!H53)/100,2))*100</f>
        <v>9610.7303003650195</v>
      </c>
      <c r="E53">
        <f>(3/(1+('CurrentFact-N10,20Unchanged'!C53+'CurrentFact-N10,20Unchanged'!I53)/100)+103/POWER(1+('CurrentFact-N10,20Unchanged'!D53+'CurrentFact-N10,20Unchanged'!I53)/100,2))*100</f>
        <v>9676.6179693770573</v>
      </c>
      <c r="F53">
        <f>Portfolio!B$5*'CurrentFact-N10,20Unchanged'!E53</f>
        <v>52143.895533915893</v>
      </c>
      <c r="G53">
        <f>Portfolio!B$6*'CurrentFact-N10,20Unchanged'!F53</f>
        <v>3696.2945087936532</v>
      </c>
      <c r="H53">
        <f>Portfolio!B$7*'CurrentFact-N10,20Unchanged'!J53</f>
        <v>2064.4550337304254</v>
      </c>
      <c r="I53">
        <f t="shared" si="0"/>
        <v>96514.54648185923</v>
      </c>
      <c r="J53">
        <f t="shared" si="1"/>
        <v>2.1994282964442391</v>
      </c>
    </row>
    <row r="54" spans="1:10">
      <c r="A54" s="1">
        <v>45545</v>
      </c>
      <c r="B54">
        <f>(3/(1+('CurrentFact-N10,20Unchanged'!C54)/100)+103/POWER(1+('CurrentFact-N10,20Unchanged'!D54)/100,2))*100</f>
        <v>9707.5857774288397</v>
      </c>
      <c r="C54">
        <f>(3/(1+('CurrentFact-N10,20Unchanged'!C54+'CurrentFact-N10,20Unchanged'!G54)/100)+103/POWER(1+('CurrentFact-N10,20Unchanged'!D54+'CurrentFact-N10,20Unchanged'!G54)/100,2))*100</f>
        <v>9614.9673582483465</v>
      </c>
      <c r="D54">
        <f>(3/(1+('CurrentFact-N10,20Unchanged'!C54+'CurrentFact-N10,20Unchanged'!H54)/100)+103/POWER(1+('CurrentFact-N10,20Unchanged'!D54+'CurrentFact-N10,20Unchanged'!H54)/100,2))*100</f>
        <v>9582.0723452286602</v>
      </c>
      <c r="E54">
        <f>(3/(1+('CurrentFact-N10,20Unchanged'!C54+'CurrentFact-N10,20Unchanged'!I54)/100)+103/POWER(1+('CurrentFact-N10,20Unchanged'!D54+'CurrentFact-N10,20Unchanged'!I54)/100,2))*100</f>
        <v>9678.4204632656547</v>
      </c>
      <c r="F54">
        <f>Portfolio!B$5*'CurrentFact-N10,20Unchanged'!E54</f>
        <v>52143.895533915893</v>
      </c>
      <c r="G54">
        <f>Portfolio!B$6*'CurrentFact-N10,20Unchanged'!F54</f>
        <v>3696.2945087936532</v>
      </c>
      <c r="H54">
        <f>Portfolio!B$7*'CurrentFact-N10,20Unchanged'!J54</f>
        <v>2064.4550337304254</v>
      </c>
      <c r="I54">
        <f t="shared" si="0"/>
        <v>96487.69102061147</v>
      </c>
      <c r="J54">
        <f t="shared" si="1"/>
        <v>-18.466445752157597</v>
      </c>
    </row>
    <row r="55" spans="1:10">
      <c r="A55" s="1">
        <v>45546</v>
      </c>
      <c r="B55">
        <f>(3/(1+('CurrentFact-N10,20Unchanged'!C55)/100)+103/POWER(1+('CurrentFact-N10,20Unchanged'!D55)/100,2))*100</f>
        <v>9707.5857774288397</v>
      </c>
      <c r="C55">
        <f>(3/(1+('CurrentFact-N10,20Unchanged'!C55+'CurrentFact-N10,20Unchanged'!G55)/100)+103/POWER(1+('CurrentFact-N10,20Unchanged'!D55+'CurrentFact-N10,20Unchanged'!G55)/100,2))*100</f>
        <v>9614.9673582483465</v>
      </c>
      <c r="D55">
        <f>(3/(1+('CurrentFact-N10,20Unchanged'!C55+'CurrentFact-N10,20Unchanged'!H55)/100)+103/POWER(1+('CurrentFact-N10,20Unchanged'!D55+'CurrentFact-N10,20Unchanged'!H55)/100,2))*100</f>
        <v>9590.7574615146805</v>
      </c>
      <c r="E55">
        <f>(3/(1+('CurrentFact-N10,20Unchanged'!C55+'CurrentFact-N10,20Unchanged'!I55)/100)+103/POWER(1+('CurrentFact-N10,20Unchanged'!D55+'CurrentFact-N10,20Unchanged'!I55)/100,2))*100</f>
        <v>9676.1992782327652</v>
      </c>
      <c r="F55">
        <f>Portfolio!B$5*'CurrentFact-N10,20Unchanged'!E55</f>
        <v>52143.895533915893</v>
      </c>
      <c r="G55">
        <f>Portfolio!B$6*'CurrentFact-N10,20Unchanged'!F55</f>
        <v>3696.2945087936532</v>
      </c>
      <c r="H55">
        <f>Portfolio!B$7*'CurrentFact-N10,20Unchanged'!J55</f>
        <v>2064.4550337304254</v>
      </c>
      <c r="I55">
        <f t="shared" si="0"/>
        <v>96494.154951864592</v>
      </c>
      <c r="J55">
        <f t="shared" si="1"/>
        <v>-14.102972137217876</v>
      </c>
    </row>
    <row r="56" spans="1:10">
      <c r="A56" s="1">
        <v>45547</v>
      </c>
      <c r="B56">
        <f>(3/(1+('CurrentFact-N10,20Unchanged'!C56)/100)+103/POWER(1+('CurrentFact-N10,20Unchanged'!D56)/100,2))*100</f>
        <v>9707.5857774288397</v>
      </c>
      <c r="C56">
        <f>(3/(1+('CurrentFact-N10,20Unchanged'!C56+'CurrentFact-N10,20Unchanged'!G56)/100)+103/POWER(1+('CurrentFact-N10,20Unchanged'!D56+'CurrentFact-N10,20Unchanged'!G56)/100,2))*100</f>
        <v>9614.9673582483465</v>
      </c>
      <c r="D56">
        <f>(3/(1+('CurrentFact-N10,20Unchanged'!C56+'CurrentFact-N10,20Unchanged'!H56)/100)+103/POWER(1+('CurrentFact-N10,20Unchanged'!D56+'CurrentFact-N10,20Unchanged'!H56)/100,2))*100</f>
        <v>9589.4873307870294</v>
      </c>
      <c r="E56">
        <f>(3/(1+('CurrentFact-N10,20Unchanged'!C56+'CurrentFact-N10,20Unchanged'!I56)/100)+103/POWER(1+('CurrentFact-N10,20Unchanged'!D56+'CurrentFact-N10,20Unchanged'!I56)/100,2))*100</f>
        <v>9678.966772692831</v>
      </c>
      <c r="F56">
        <f>Portfolio!B$5*'CurrentFact-N10,20Unchanged'!E56</f>
        <v>52143.895533915893</v>
      </c>
      <c r="G56">
        <f>Portfolio!B$6*'CurrentFact-N10,20Unchanged'!F56</f>
        <v>3696.2945087936532</v>
      </c>
      <c r="H56">
        <f>Portfolio!B$7*'CurrentFact-N10,20Unchanged'!J56</f>
        <v>2064.4550337304254</v>
      </c>
      <c r="I56">
        <f t="shared" si="0"/>
        <v>96495.652315597021</v>
      </c>
      <c r="J56">
        <f t="shared" si="1"/>
        <v>-13.862398207333172</v>
      </c>
    </row>
    <row r="57" spans="1:10">
      <c r="A57" s="1">
        <v>45548</v>
      </c>
      <c r="B57">
        <f>(3/(1+('CurrentFact-N10,20Unchanged'!C57)/100)+103/POWER(1+('CurrentFact-N10,20Unchanged'!D57)/100,2))*100</f>
        <v>9707.5857774288397</v>
      </c>
      <c r="C57">
        <f>(3/(1+('CurrentFact-N10,20Unchanged'!C57+'CurrentFact-N10,20Unchanged'!G57)/100)+103/POWER(1+('CurrentFact-N10,20Unchanged'!D57+'CurrentFact-N10,20Unchanged'!G57)/100,2))*100</f>
        <v>9614.9673582483465</v>
      </c>
      <c r="D57">
        <f>(3/(1+('CurrentFact-N10,20Unchanged'!C57+'CurrentFact-N10,20Unchanged'!H57)/100)+103/POWER(1+('CurrentFact-N10,20Unchanged'!D57+'CurrentFact-N10,20Unchanged'!H57)/100,2))*100</f>
        <v>9609.4433094780234</v>
      </c>
      <c r="E57">
        <f>(3/(1+('CurrentFact-N10,20Unchanged'!C57+'CurrentFact-N10,20Unchanged'!I57)/100)+103/POWER(1+('CurrentFact-N10,20Unchanged'!D57+'CurrentFact-N10,20Unchanged'!I57)/100,2))*100</f>
        <v>9680.0595351765915</v>
      </c>
      <c r="F57">
        <f>Portfolio!B$5*'CurrentFact-N10,20Unchanged'!E57</f>
        <v>52143.895533915893</v>
      </c>
      <c r="G57">
        <f>Portfolio!B$6*'CurrentFact-N10,20Unchanged'!F57</f>
        <v>3696.2945087936532</v>
      </c>
      <c r="H57">
        <f>Portfolio!B$7*'CurrentFact-N10,20Unchanged'!J57</f>
        <v>2064.4550337304254</v>
      </c>
      <c r="I57">
        <f t="shared" si="0"/>
        <v>96516.701056771766</v>
      </c>
      <c r="J57">
        <f t="shared" si="1"/>
        <v>15.929605396740953</v>
      </c>
    </row>
    <row r="58" spans="1:10">
      <c r="A58" s="1">
        <v>45551</v>
      </c>
      <c r="B58">
        <f>(3/(1+('CurrentFact-N10,20Unchanged'!C58)/100)+103/POWER(1+('CurrentFact-N10,20Unchanged'!D58)/100,2))*100</f>
        <v>9707.5857774288397</v>
      </c>
      <c r="C58">
        <f>(3/(1+('CurrentFact-N10,20Unchanged'!C58+'CurrentFact-N10,20Unchanged'!G58)/100)+103/POWER(1+('CurrentFact-N10,20Unchanged'!D58+'CurrentFact-N10,20Unchanged'!G58)/100,2))*100</f>
        <v>9614.9673582483465</v>
      </c>
      <c r="D58">
        <f>(3/(1+('CurrentFact-N10,20Unchanged'!C58+'CurrentFact-N10,20Unchanged'!H58)/100)+103/POWER(1+('CurrentFact-N10,20Unchanged'!D58+'CurrentFact-N10,20Unchanged'!H58)/100,2))*100</f>
        <v>9610.8271286705021</v>
      </c>
      <c r="E58">
        <f>(3/(1+('CurrentFact-N10,20Unchanged'!C58+'CurrentFact-N10,20Unchanged'!I58)/100)+103/POWER(1+('CurrentFact-N10,20Unchanged'!D58+'CurrentFact-N10,20Unchanged'!I58)/100,2))*100</f>
        <v>9682.8104799624489</v>
      </c>
      <c r="F58">
        <f>Portfolio!B$5*'CurrentFact-N10,20Unchanged'!E58</f>
        <v>52143.895533915893</v>
      </c>
      <c r="G58">
        <f>Portfolio!B$6*'CurrentFact-N10,20Unchanged'!F58</f>
        <v>3696.2945087936532</v>
      </c>
      <c r="H58">
        <f>Portfolio!B$7*'CurrentFact-N10,20Unchanged'!J58</f>
        <v>2064.4550337304254</v>
      </c>
      <c r="I58">
        <f t="shared" si="0"/>
        <v>96520.835820750101</v>
      </c>
      <c r="J58">
        <f t="shared" si="1"/>
        <v>16.254162636585534</v>
      </c>
    </row>
    <row r="59" spans="1:10">
      <c r="A59" s="1">
        <v>45552</v>
      </c>
      <c r="B59">
        <f>(3/(1+('CurrentFact-N10,20Unchanged'!C59)/100)+103/POWER(1+('CurrentFact-N10,20Unchanged'!D59)/100,2))*100</f>
        <v>9707.5857774288397</v>
      </c>
      <c r="C59">
        <f>(3/(1+('CurrentFact-N10,20Unchanged'!C59+'CurrentFact-N10,20Unchanged'!G59)/100)+103/POWER(1+('CurrentFact-N10,20Unchanged'!D59+'CurrentFact-N10,20Unchanged'!G59)/100,2))*100</f>
        <v>9614.9673582483465</v>
      </c>
      <c r="D59">
        <f>(3/(1+('CurrentFact-N10,20Unchanged'!C59+'CurrentFact-N10,20Unchanged'!H59)/100)+103/POWER(1+('CurrentFact-N10,20Unchanged'!D59+'CurrentFact-N10,20Unchanged'!H59)/100,2))*100</f>
        <v>9596.9147464911293</v>
      </c>
      <c r="E59">
        <f>(3/(1+('CurrentFact-N10,20Unchanged'!C59+'CurrentFact-N10,20Unchanged'!I59)/100)+103/POWER(1+('CurrentFact-N10,20Unchanged'!D59+'CurrentFact-N10,20Unchanged'!I59)/100,2))*100</f>
        <v>9683.6851995883117</v>
      </c>
      <c r="F59">
        <f>Portfolio!B$5*'CurrentFact-N10,20Unchanged'!E59</f>
        <v>52143.895533915893</v>
      </c>
      <c r="G59">
        <f>Portfolio!B$6*'CurrentFact-N10,20Unchanged'!F59</f>
        <v>3696.2945087936532</v>
      </c>
      <c r="H59">
        <f>Portfolio!B$7*'CurrentFact-N10,20Unchanged'!J59</f>
        <v>2064.4550337304254</v>
      </c>
      <c r="I59">
        <f t="shared" si="0"/>
        <v>96507.798158196587</v>
      </c>
      <c r="J59">
        <f t="shared" si="1"/>
        <v>-24.636254355122219</v>
      </c>
    </row>
    <row r="60" spans="1:10">
      <c r="A60" s="1">
        <v>45553</v>
      </c>
      <c r="B60">
        <f>(3/(1+('CurrentFact-N10,20Unchanged'!C60)/100)+103/POWER(1+('CurrentFact-N10,20Unchanged'!D60)/100,2))*100</f>
        <v>9707.5857774288397</v>
      </c>
      <c r="C60">
        <f>(3/(1+('CurrentFact-N10,20Unchanged'!C60+'CurrentFact-N10,20Unchanged'!G60)/100)+103/POWER(1+('CurrentFact-N10,20Unchanged'!D60+'CurrentFact-N10,20Unchanged'!G60)/100,2))*100</f>
        <v>9614.9673582483465</v>
      </c>
      <c r="D60">
        <f>(3/(1+('CurrentFact-N10,20Unchanged'!C60+'CurrentFact-N10,20Unchanged'!H60)/100)+103/POWER(1+('CurrentFact-N10,20Unchanged'!D60+'CurrentFact-N10,20Unchanged'!H60)/100,2))*100</f>
        <v>9593.162131592806</v>
      </c>
      <c r="E60">
        <f>(3/(1+('CurrentFact-N10,20Unchanged'!C60+'CurrentFact-N10,20Unchanged'!I60)/100)+103/POWER(1+('CurrentFact-N10,20Unchanged'!D60+'CurrentFact-N10,20Unchanged'!I60)/100,2))*100</f>
        <v>9682.0087570471096</v>
      </c>
      <c r="F60">
        <f>Portfolio!B$5*'CurrentFact-N10,20Unchanged'!E60</f>
        <v>52143.895533915893</v>
      </c>
      <c r="G60">
        <f>Portfolio!B$6*'CurrentFact-N10,20Unchanged'!F60</f>
        <v>3696.2945087936532</v>
      </c>
      <c r="H60">
        <f>Portfolio!B$7*'CurrentFact-N10,20Unchanged'!J60</f>
        <v>2064.4550337304254</v>
      </c>
      <c r="I60">
        <f t="shared" si="0"/>
        <v>96502.369100757074</v>
      </c>
      <c r="J60">
        <f t="shared" si="1"/>
        <v>-13.209716045690584</v>
      </c>
    </row>
    <row r="61" spans="1:10">
      <c r="A61" s="1">
        <v>45554</v>
      </c>
      <c r="B61">
        <f>(3/(1+('CurrentFact-N10,20Unchanged'!C61)/100)+103/POWER(1+('CurrentFact-N10,20Unchanged'!D61)/100,2))*100</f>
        <v>9707.5857774288397</v>
      </c>
      <c r="C61">
        <f>(3/(1+('CurrentFact-N10,20Unchanged'!C61+'CurrentFact-N10,20Unchanged'!G61)/100)+103/POWER(1+('CurrentFact-N10,20Unchanged'!D61+'CurrentFact-N10,20Unchanged'!G61)/100,2))*100</f>
        <v>9614.9673582483465</v>
      </c>
      <c r="D61">
        <f>(3/(1+('CurrentFact-N10,20Unchanged'!C61+'CurrentFact-N10,20Unchanged'!H61)/100)+103/POWER(1+('CurrentFact-N10,20Unchanged'!D61+'CurrentFact-N10,20Unchanged'!H61)/100,2))*100</f>
        <v>9604.9499368153101</v>
      </c>
      <c r="E61">
        <f>(3/(1+('CurrentFact-N10,20Unchanged'!C61+'CurrentFact-N10,20Unchanged'!I61)/100)+103/POWER(1+('CurrentFact-N10,20Unchanged'!D61+'CurrentFact-N10,20Unchanged'!I61)/100,2))*100</f>
        <v>9681.2071364265666</v>
      </c>
      <c r="F61">
        <f>Portfolio!B$5*'CurrentFact-N10,20Unchanged'!E61</f>
        <v>52143.895533915893</v>
      </c>
      <c r="G61">
        <f>Portfolio!B$6*'CurrentFact-N10,20Unchanged'!F61</f>
        <v>3696.2945087936532</v>
      </c>
      <c r="H61">
        <f>Portfolio!B$7*'CurrentFact-N10,20Unchanged'!J61</f>
        <v>2064.4550337304254</v>
      </c>
      <c r="I61">
        <f t="shared" si="0"/>
        <v>96513.355285359023</v>
      </c>
      <c r="J61">
        <f t="shared" si="1"/>
        <v>17.291479570965748</v>
      </c>
    </row>
    <row r="62" spans="1:10">
      <c r="A62" s="1">
        <v>45555</v>
      </c>
      <c r="B62">
        <f>(3/(1+('CurrentFact-N10,20Unchanged'!C62)/100)+103/POWER(1+('CurrentFact-N10,20Unchanged'!D62)/100,2))*100</f>
        <v>9707.5857774288397</v>
      </c>
      <c r="C62">
        <f>(3/(1+('CurrentFact-N10,20Unchanged'!C62+'CurrentFact-N10,20Unchanged'!G62)/100)+103/POWER(1+('CurrentFact-N10,20Unchanged'!D62+'CurrentFact-N10,20Unchanged'!G62)/100,2))*100</f>
        <v>9614.9673582483465</v>
      </c>
      <c r="D62">
        <f>(3/(1+('CurrentFact-N10,20Unchanged'!C62+'CurrentFact-N10,20Unchanged'!H62)/100)+103/POWER(1+('CurrentFact-N10,20Unchanged'!D62+'CurrentFact-N10,20Unchanged'!H62)/100,2))*100</f>
        <v>9595.8487179296862</v>
      </c>
      <c r="E62">
        <f>(3/(1+('CurrentFact-N10,20Unchanged'!C62+'CurrentFact-N10,20Unchanged'!I62)/100)+103/POWER(1+('CurrentFact-N10,20Unchanged'!D62+'CurrentFact-N10,20Unchanged'!I62)/100,2))*100</f>
        <v>9681.2982250495716</v>
      </c>
      <c r="F62">
        <f>Portfolio!B$5*'CurrentFact-N10,20Unchanged'!E62</f>
        <v>52143.895533915893</v>
      </c>
      <c r="G62">
        <f>Portfolio!B$6*'CurrentFact-N10,20Unchanged'!F62</f>
        <v>3696.2945087936532</v>
      </c>
      <c r="H62">
        <f>Portfolio!B$7*'CurrentFact-N10,20Unchanged'!J62</f>
        <v>2064.4550337304254</v>
      </c>
      <c r="I62">
        <f t="shared" si="0"/>
        <v>96504.345155096409</v>
      </c>
      <c r="J62">
        <f t="shared" si="1"/>
        <v>-0.34647249971749261</v>
      </c>
    </row>
    <row r="63" spans="1:10">
      <c r="A63" s="1">
        <v>45558</v>
      </c>
      <c r="B63">
        <f>(3/(1+('CurrentFact-N10,20Unchanged'!C63)/100)+103/POWER(1+('CurrentFact-N10,20Unchanged'!D63)/100,2))*100</f>
        <v>9707.5857774288397</v>
      </c>
      <c r="C63">
        <f>(3/(1+('CurrentFact-N10,20Unchanged'!C63+'CurrentFact-N10,20Unchanged'!G63)/100)+103/POWER(1+('CurrentFact-N10,20Unchanged'!D63+'CurrentFact-N10,20Unchanged'!G63)/100,2))*100</f>
        <v>9614.9673582483465</v>
      </c>
      <c r="D63">
        <f>(3/(1+('CurrentFact-N10,20Unchanged'!C63+'CurrentFact-N10,20Unchanged'!H63)/100)+103/POWER(1+('CurrentFact-N10,20Unchanged'!D63+'CurrentFact-N10,20Unchanged'!H63)/100,2))*100</f>
        <v>9606.8098692856529</v>
      </c>
      <c r="E63">
        <f>(3/(1+('CurrentFact-N10,20Unchanged'!C63+'CurrentFact-N10,20Unchanged'!I63)/100)+103/POWER(1+('CurrentFact-N10,20Unchanged'!D63+'CurrentFact-N10,20Unchanged'!I63)/100,2))*100</f>
        <v>9681.6079350369982</v>
      </c>
      <c r="F63">
        <f>Portfolio!B$5*'CurrentFact-N10,20Unchanged'!E63</f>
        <v>52143.895533915893</v>
      </c>
      <c r="G63">
        <f>Portfolio!B$6*'CurrentFact-N10,20Unchanged'!F63</f>
        <v>3696.2945087936532</v>
      </c>
      <c r="H63">
        <f>Portfolio!B$7*'CurrentFact-N10,20Unchanged'!J63</f>
        <v>2064.4550337304254</v>
      </c>
      <c r="I63">
        <f t="shared" si="0"/>
        <v>96515.616016439802</v>
      </c>
      <c r="J63">
        <f t="shared" si="1"/>
        <v>1.0695345805725083</v>
      </c>
    </row>
    <row r="64" spans="1:10">
      <c r="A64" s="1">
        <v>45559</v>
      </c>
      <c r="B64">
        <f>(3/(1+('CurrentFact-N10,20Unchanged'!C64)/100)+103/POWER(1+('CurrentFact-N10,20Unchanged'!D64)/100,2))*100</f>
        <v>9707.5857774288397</v>
      </c>
      <c r="C64">
        <f>(3/(1+('CurrentFact-N10,20Unchanged'!C64+'CurrentFact-N10,20Unchanged'!G64)/100)+103/POWER(1+('CurrentFact-N10,20Unchanged'!D64+'CurrentFact-N10,20Unchanged'!G64)/100,2))*100</f>
        <v>9614.9673582483465</v>
      </c>
      <c r="D64">
        <f>(3/(1+('CurrentFact-N10,20Unchanged'!C64+'CurrentFact-N10,20Unchanged'!H64)/100)+103/POWER(1+('CurrentFact-N10,20Unchanged'!D64+'CurrentFact-N10,20Unchanged'!H64)/100,2))*100</f>
        <v>9614.896012983485</v>
      </c>
      <c r="E64">
        <f>(3/(1+('CurrentFact-N10,20Unchanged'!C64+'CurrentFact-N10,20Unchanged'!I64)/100)+103/POWER(1+('CurrentFact-N10,20Unchanged'!D64+'CurrentFact-N10,20Unchanged'!I64)/100,2))*100</f>
        <v>9682.9744812089939</v>
      </c>
      <c r="F64">
        <f>Portfolio!B$5*'CurrentFact-N10,20Unchanged'!E64</f>
        <v>52143.895533915893</v>
      </c>
      <c r="G64">
        <f>Portfolio!B$6*'CurrentFact-N10,20Unchanged'!F64</f>
        <v>3696.2945087936532</v>
      </c>
      <c r="H64">
        <f>Portfolio!B$7*'CurrentFact-N10,20Unchanged'!J64</f>
        <v>2064.4550337304254</v>
      </c>
      <c r="I64">
        <f t="shared" si="0"/>
        <v>96525.068706309627</v>
      </c>
      <c r="J64">
        <f t="shared" si="1"/>
        <v>37.377685698156711</v>
      </c>
    </row>
    <row r="65" spans="1:10">
      <c r="A65" s="1">
        <v>45560</v>
      </c>
      <c r="B65">
        <f>(3/(1+('CurrentFact-N10,20Unchanged'!C65)/100)+103/POWER(1+('CurrentFact-N10,20Unchanged'!D65)/100,2))*100</f>
        <v>9707.5857774288397</v>
      </c>
      <c r="C65">
        <f>(3/(1+('CurrentFact-N10,20Unchanged'!C65+'CurrentFact-N10,20Unchanged'!G65)/100)+103/POWER(1+('CurrentFact-N10,20Unchanged'!D65+'CurrentFact-N10,20Unchanged'!G65)/100,2))*100</f>
        <v>9614.9673582483465</v>
      </c>
      <c r="D65">
        <f>(3/(1+('CurrentFact-N10,20Unchanged'!C65+'CurrentFact-N10,20Unchanged'!H65)/100)+103/POWER(1+('CurrentFact-N10,20Unchanged'!D65+'CurrentFact-N10,20Unchanged'!H65)/100,2))*100</f>
        <v>9607.6985825555385</v>
      </c>
      <c r="E65">
        <f>(3/(1+('CurrentFact-N10,20Unchanged'!C65+'CurrentFact-N10,20Unchanged'!I65)/100)+103/POWER(1+('CurrentFact-N10,20Unchanged'!D65+'CurrentFact-N10,20Unchanged'!I65)/100,2))*100</f>
        <v>9684.1772832883726</v>
      </c>
      <c r="F65">
        <f>Portfolio!B$5*'CurrentFact-N10,20Unchanged'!E65</f>
        <v>52143.895533915893</v>
      </c>
      <c r="G65">
        <f>Portfolio!B$6*'CurrentFact-N10,20Unchanged'!F65</f>
        <v>3696.2945087936532</v>
      </c>
      <c r="H65">
        <f>Portfolio!B$7*'CurrentFact-N10,20Unchanged'!J65</f>
        <v>2064.4550337304254</v>
      </c>
      <c r="I65">
        <f t="shared" si="0"/>
        <v>96519.074077961064</v>
      </c>
      <c r="J65">
        <f t="shared" si="1"/>
        <v>24.91912609647261</v>
      </c>
    </row>
    <row r="66" spans="1:10">
      <c r="A66" s="1">
        <v>45561</v>
      </c>
      <c r="B66">
        <f>(3/(1+('CurrentFact-N10,20Unchanged'!C66)/100)+103/POWER(1+('CurrentFact-N10,20Unchanged'!D66)/100,2))*100</f>
        <v>9707.5857774288397</v>
      </c>
      <c r="C66">
        <f>(3/(1+('CurrentFact-N10,20Unchanged'!C66+'CurrentFact-N10,20Unchanged'!G66)/100)+103/POWER(1+('CurrentFact-N10,20Unchanged'!D66+'CurrentFact-N10,20Unchanged'!G66)/100,2))*100</f>
        <v>9614.9673582483465</v>
      </c>
      <c r="D66">
        <f>(3/(1+('CurrentFact-N10,20Unchanged'!C66+'CurrentFact-N10,20Unchanged'!H66)/100)+103/POWER(1+('CurrentFact-N10,20Unchanged'!D66+'CurrentFact-N10,20Unchanged'!H66)/100,2))*100</f>
        <v>9610.5328170949797</v>
      </c>
      <c r="E66">
        <f>(3/(1+('CurrentFact-N10,20Unchanged'!C66+'CurrentFact-N10,20Unchanged'!I66)/100)+103/POWER(1+('CurrentFact-N10,20Unchanged'!D66+'CurrentFact-N10,20Unchanged'!I66)/100,2))*100</f>
        <v>9682.4096059340463</v>
      </c>
      <c r="F66">
        <f>Portfolio!B$5*'CurrentFact-N10,20Unchanged'!E66</f>
        <v>52143.895533915893</v>
      </c>
      <c r="G66">
        <f>Portfolio!B$6*'CurrentFact-N10,20Unchanged'!F66</f>
        <v>3696.2945087936532</v>
      </c>
      <c r="H66">
        <f>Portfolio!B$7*'CurrentFact-N10,20Unchanged'!J66</f>
        <v>2064.4550337304254</v>
      </c>
      <c r="I66">
        <f t="shared" si="0"/>
        <v>96520.140635146177</v>
      </c>
      <c r="J66">
        <f t="shared" si="1"/>
        <v>24.488319549156586</v>
      </c>
    </row>
    <row r="67" spans="1:10">
      <c r="A67" s="1">
        <v>45562</v>
      </c>
      <c r="B67">
        <f>(3/(1+('CurrentFact-N10,20Unchanged'!C67)/100)+103/POWER(1+('CurrentFact-N10,20Unchanged'!D67)/100,2))*100</f>
        <v>9707.5857774288397</v>
      </c>
      <c r="C67">
        <f>(3/(1+('CurrentFact-N10,20Unchanged'!C67+'CurrentFact-N10,20Unchanged'!G67)/100)+103/POWER(1+('CurrentFact-N10,20Unchanged'!D67+'CurrentFact-N10,20Unchanged'!G67)/100,2))*100</f>
        <v>9614.9673582483465</v>
      </c>
      <c r="D67">
        <f>(3/(1+('CurrentFact-N10,20Unchanged'!C67+'CurrentFact-N10,20Unchanged'!H67)/100)+103/POWER(1+('CurrentFact-N10,20Unchanged'!D67+'CurrentFact-N10,20Unchanged'!H67)/100,2))*100</f>
        <v>9597.3544839682436</v>
      </c>
      <c r="E67">
        <f>(3/(1+('CurrentFact-N10,20Unchanged'!C67+'CurrentFact-N10,20Unchanged'!I67)/100)+103/POWER(1+('CurrentFact-N10,20Unchanged'!D67+'CurrentFact-N10,20Unchanged'!I67)/100,2))*100</f>
        <v>9682.0269773005712</v>
      </c>
      <c r="F67">
        <f>Portfolio!B$5*'CurrentFact-N10,20Unchanged'!E67</f>
        <v>52143.895533915893</v>
      </c>
      <c r="G67">
        <f>Portfolio!B$6*'CurrentFact-N10,20Unchanged'!F67</f>
        <v>3696.2945087936532</v>
      </c>
      <c r="H67">
        <f>Portfolio!B$7*'CurrentFact-N10,20Unchanged'!J67</f>
        <v>2064.4550337304254</v>
      </c>
      <c r="I67">
        <f t="shared" si="0"/>
        <v>96506.579673385975</v>
      </c>
      <c r="J67">
        <f t="shared" si="1"/>
        <v>-10.121383385790978</v>
      </c>
    </row>
    <row r="68" spans="1:10">
      <c r="A68" s="1">
        <v>45565</v>
      </c>
      <c r="B68">
        <f>(3/(1+('CurrentFact-N10,20Unchanged'!C68)/100)+103/POWER(1+('CurrentFact-N10,20Unchanged'!D68)/100,2))*100</f>
        <v>9707.5857774288397</v>
      </c>
      <c r="C68">
        <f>(3/(1+('CurrentFact-N10,20Unchanged'!C68+'CurrentFact-N10,20Unchanged'!G68)/100)+103/POWER(1+('CurrentFact-N10,20Unchanged'!D68+'CurrentFact-N10,20Unchanged'!G68)/100,2))*100</f>
        <v>9614.9673582483465</v>
      </c>
      <c r="D68">
        <f>(3/(1+('CurrentFact-N10,20Unchanged'!C68+'CurrentFact-N10,20Unchanged'!H68)/100)+103/POWER(1+('CurrentFact-N10,20Unchanged'!D68+'CurrentFact-N10,20Unchanged'!H68)/100,2))*100</f>
        <v>9594.7781927274227</v>
      </c>
      <c r="E68">
        <f>(3/(1+('CurrentFact-N10,20Unchanged'!C68+'CurrentFact-N10,20Unchanged'!I68)/100)+103/POWER(1+('CurrentFact-N10,20Unchanged'!D68+'CurrentFact-N10,20Unchanged'!I68)/100,2))*100</f>
        <v>9675.5803973896527</v>
      </c>
      <c r="F68">
        <f>Portfolio!B$5*'CurrentFact-N10,20Unchanged'!E68</f>
        <v>52143.895533915893</v>
      </c>
      <c r="G68">
        <f>Portfolio!B$6*'CurrentFact-N10,20Unchanged'!F68</f>
        <v>3696.2945087936532</v>
      </c>
      <c r="H68">
        <f>Portfolio!B$7*'CurrentFact-N10,20Unchanged'!J68</f>
        <v>2064.4550337304254</v>
      </c>
      <c r="I68">
        <f t="shared" ref="I68:I131" si="2">SUM(B68:H68)</f>
        <v>96497.556802234234</v>
      </c>
      <c r="J68">
        <f t="shared" si="1"/>
        <v>-23.279018515866483</v>
      </c>
    </row>
    <row r="69" spans="1:10">
      <c r="A69" s="1">
        <v>45566</v>
      </c>
      <c r="B69">
        <f>(3/(1+('CurrentFact-N10,20Unchanged'!C69)/100)+103/POWER(1+('CurrentFact-N10,20Unchanged'!D69)/100,2))*100</f>
        <v>9707.5857774288397</v>
      </c>
      <c r="C69">
        <f>(3/(1+('CurrentFact-N10,20Unchanged'!C69+'CurrentFact-N10,20Unchanged'!G69)/100)+103/POWER(1+('CurrentFact-N10,20Unchanged'!D69+'CurrentFact-N10,20Unchanged'!G69)/100,2))*100</f>
        <v>9614.9673582483465</v>
      </c>
      <c r="D69">
        <f>(3/(1+('CurrentFact-N10,20Unchanged'!C69+'CurrentFact-N10,20Unchanged'!H69)/100)+103/POWER(1+('CurrentFact-N10,20Unchanged'!D69+'CurrentFact-N10,20Unchanged'!H69)/100,2))*100</f>
        <v>9596.784888139191</v>
      </c>
      <c r="E69">
        <f>(3/(1+('CurrentFact-N10,20Unchanged'!C69+'CurrentFact-N10,20Unchanged'!I69)/100)+103/POWER(1+('CurrentFact-N10,20Unchanged'!D69+'CurrentFact-N10,20Unchanged'!I69)/100,2))*100</f>
        <v>9676.1992782327652</v>
      </c>
      <c r="F69">
        <f>Portfolio!B$5*'CurrentFact-N10,20Unchanged'!E69</f>
        <v>52143.895533915893</v>
      </c>
      <c r="G69">
        <f>Portfolio!B$6*'CurrentFact-N10,20Unchanged'!F69</f>
        <v>3696.2945087936532</v>
      </c>
      <c r="H69">
        <f>Portfolio!B$7*'CurrentFact-N10,20Unchanged'!J69</f>
        <v>2064.4550337304254</v>
      </c>
      <c r="I69">
        <f t="shared" si="2"/>
        <v>96500.182378489117</v>
      </c>
      <c r="J69">
        <f t="shared" si="1"/>
        <v>-7.6157797074702103</v>
      </c>
    </row>
    <row r="70" spans="1:10">
      <c r="A70" s="1">
        <v>45567</v>
      </c>
      <c r="B70">
        <f>(3/(1+('CurrentFact-N10,20Unchanged'!C70)/100)+103/POWER(1+('CurrentFact-N10,20Unchanged'!D70)/100,2))*100</f>
        <v>9707.5857774288397</v>
      </c>
      <c r="C70">
        <f>(3/(1+('CurrentFact-N10,20Unchanged'!C70+'CurrentFact-N10,20Unchanged'!G70)/100)+103/POWER(1+('CurrentFact-N10,20Unchanged'!D70+'CurrentFact-N10,20Unchanged'!G70)/100,2))*100</f>
        <v>9614.9673582483465</v>
      </c>
      <c r="D70">
        <f>(3/(1+('CurrentFact-N10,20Unchanged'!C70+'CurrentFact-N10,20Unchanged'!H70)/100)+103/POWER(1+('CurrentFact-N10,20Unchanged'!D70+'CurrentFact-N10,20Unchanged'!H70)/100,2))*100</f>
        <v>9606.033946273903</v>
      </c>
      <c r="E70">
        <f>(3/(1+('CurrentFact-N10,20Unchanged'!C70+'CurrentFact-N10,20Unchanged'!I70)/100)+103/POWER(1+('CurrentFact-N10,20Unchanged'!D70+'CurrentFact-N10,20Unchanged'!I70)/100,2))*100</f>
        <v>9676.7454012054895</v>
      </c>
      <c r="F70">
        <f>Portfolio!B$5*'CurrentFact-N10,20Unchanged'!E70</f>
        <v>52143.895533915893</v>
      </c>
      <c r="G70">
        <f>Portfolio!B$6*'CurrentFact-N10,20Unchanged'!F70</f>
        <v>3696.2945087936532</v>
      </c>
      <c r="H70">
        <f>Portfolio!B$7*'CurrentFact-N10,20Unchanged'!J70</f>
        <v>2064.4550337304254</v>
      </c>
      <c r="I70">
        <f t="shared" si="2"/>
        <v>96509.977559596548</v>
      </c>
      <c r="J70">
        <f t="shared" si="1"/>
        <v>7.6084588394733146</v>
      </c>
    </row>
    <row r="71" spans="1:10">
      <c r="A71" s="1">
        <v>45568</v>
      </c>
      <c r="B71">
        <f>(3/(1+('CurrentFact-N10,20Unchanged'!C71)/100)+103/POWER(1+('CurrentFact-N10,20Unchanged'!D71)/100,2))*100</f>
        <v>9707.5857774288397</v>
      </c>
      <c r="C71">
        <f>(3/(1+('CurrentFact-N10,20Unchanged'!C71+'CurrentFact-N10,20Unchanged'!G71)/100)+103/POWER(1+('CurrentFact-N10,20Unchanged'!D71+'CurrentFact-N10,20Unchanged'!G71)/100,2))*100</f>
        <v>9614.9673582483465</v>
      </c>
      <c r="D71">
        <f>(3/(1+('CurrentFact-N10,20Unchanged'!C71+'CurrentFact-N10,20Unchanged'!H71)/100)+103/POWER(1+('CurrentFact-N10,20Unchanged'!D71+'CurrentFact-N10,20Unchanged'!H71)/100,2))*100</f>
        <v>9585.4843833852265</v>
      </c>
      <c r="E71">
        <f>(3/(1+('CurrentFact-N10,20Unchanged'!C71+'CurrentFact-N10,20Unchanged'!I71)/100)+103/POWER(1+('CurrentFact-N10,20Unchanged'!D71+'CurrentFact-N10,20Unchanged'!I71)/100,2))*100</f>
        <v>9673.0326980464833</v>
      </c>
      <c r="F71">
        <f>Portfolio!B$5*'CurrentFact-N10,20Unchanged'!E71</f>
        <v>52143.895533915893</v>
      </c>
      <c r="G71">
        <f>Portfolio!B$6*'CurrentFact-N10,20Unchanged'!F71</f>
        <v>3696.2945087936532</v>
      </c>
      <c r="H71">
        <f>Portfolio!B$7*'CurrentFact-N10,20Unchanged'!J71</f>
        <v>2064.4550337304254</v>
      </c>
      <c r="I71">
        <f t="shared" si="2"/>
        <v>96485.715293548856</v>
      </c>
      <c r="J71">
        <f t="shared" si="1"/>
        <v>-27.639991810166975</v>
      </c>
    </row>
    <row r="72" spans="1:10">
      <c r="A72" s="1">
        <v>45569</v>
      </c>
      <c r="B72">
        <f>(3/(1+('CurrentFact-N10,20Unchanged'!C72)/100)+103/POWER(1+('CurrentFact-N10,20Unchanged'!D72)/100,2))*100</f>
        <v>9707.5857774288397</v>
      </c>
      <c r="C72">
        <f>(3/(1+('CurrentFact-N10,20Unchanged'!C72+'CurrentFact-N10,20Unchanged'!G72)/100)+103/POWER(1+('CurrentFact-N10,20Unchanged'!D72+'CurrentFact-N10,20Unchanged'!G72)/100,2))*100</f>
        <v>9614.9673582483465</v>
      </c>
      <c r="D72">
        <f>(3/(1+('CurrentFact-N10,20Unchanged'!C72+'CurrentFact-N10,20Unchanged'!H72)/100)+103/POWER(1+('CurrentFact-N10,20Unchanged'!D72+'CurrentFact-N10,20Unchanged'!H72)/100,2))*100</f>
        <v>9597.8405455466655</v>
      </c>
      <c r="E72">
        <f>(3/(1+('CurrentFact-N10,20Unchanged'!C72+'CurrentFact-N10,20Unchanged'!I72)/100)+103/POWER(1+('CurrentFact-N10,20Unchanged'!D72+'CurrentFact-N10,20Unchanged'!I72)/100,2))*100</f>
        <v>9674.3428190550749</v>
      </c>
      <c r="F72">
        <f>Portfolio!B$5*'CurrentFact-N10,20Unchanged'!E72</f>
        <v>52143.895533915893</v>
      </c>
      <c r="G72">
        <f>Portfolio!B$6*'CurrentFact-N10,20Unchanged'!F72</f>
        <v>3696.2945087936532</v>
      </c>
      <c r="H72">
        <f>Portfolio!B$7*'CurrentFact-N10,20Unchanged'!J72</f>
        <v>2064.4550337304254</v>
      </c>
      <c r="I72">
        <f t="shared" si="2"/>
        <v>96499.381576718908</v>
      </c>
      <c r="J72">
        <f t="shared" si="1"/>
        <v>-4.9635783775011078</v>
      </c>
    </row>
    <row r="73" spans="1:10">
      <c r="A73" s="1">
        <v>45572</v>
      </c>
      <c r="B73">
        <f>(3/(1+('CurrentFact-N10,20Unchanged'!C73)/100)+103/POWER(1+('CurrentFact-N10,20Unchanged'!D73)/100,2))*100</f>
        <v>9707.5857774288397</v>
      </c>
      <c r="C73">
        <f>(3/(1+('CurrentFact-N10,20Unchanged'!C73+'CurrentFact-N10,20Unchanged'!G73)/100)+103/POWER(1+('CurrentFact-N10,20Unchanged'!D73+'CurrentFact-N10,20Unchanged'!G73)/100,2))*100</f>
        <v>9614.9673582483465</v>
      </c>
      <c r="D73">
        <f>(3/(1+('CurrentFact-N10,20Unchanged'!C73+'CurrentFact-N10,20Unchanged'!H73)/100)+103/POWER(1+('CurrentFact-N10,20Unchanged'!D73+'CurrentFact-N10,20Unchanged'!H73)/100,2))*100</f>
        <v>9613.2645878226158</v>
      </c>
      <c r="E73">
        <f>(3/(1+('CurrentFact-N10,20Unchanged'!C73+'CurrentFact-N10,20Unchanged'!I73)/100)+103/POWER(1+('CurrentFact-N10,20Unchanged'!D73+'CurrentFact-N10,20Unchanged'!I73)/100,2))*100</f>
        <v>9675.4529888018551</v>
      </c>
      <c r="F73">
        <f>Portfolio!B$5*'CurrentFact-N10,20Unchanged'!E73</f>
        <v>52143.895533915893</v>
      </c>
      <c r="G73">
        <f>Portfolio!B$6*'CurrentFact-N10,20Unchanged'!F73</f>
        <v>3696.2945087936532</v>
      </c>
      <c r="H73">
        <f>Portfolio!B$7*'CurrentFact-N10,20Unchanged'!J73</f>
        <v>2064.4550337304254</v>
      </c>
      <c r="I73">
        <f t="shared" si="2"/>
        <v>96515.915788741637</v>
      </c>
      <c r="J73">
        <f t="shared" si="1"/>
        <v>0.29977230183430947</v>
      </c>
    </row>
    <row r="74" spans="1:10">
      <c r="A74" s="1">
        <v>45573</v>
      </c>
      <c r="B74">
        <f>(3/(1+('CurrentFact-N10,20Unchanged'!C74)/100)+103/POWER(1+('CurrentFact-N10,20Unchanged'!D74)/100,2))*100</f>
        <v>9707.5857774288397</v>
      </c>
      <c r="C74">
        <f>(3/(1+('CurrentFact-N10,20Unchanged'!C74+'CurrentFact-N10,20Unchanged'!G74)/100)+103/POWER(1+('CurrentFact-N10,20Unchanged'!D74+'CurrentFact-N10,20Unchanged'!G74)/100,2))*100</f>
        <v>9614.9673582483465</v>
      </c>
      <c r="D74">
        <f>(3/(1+('CurrentFact-N10,20Unchanged'!C74+'CurrentFact-N10,20Unchanged'!H74)/100)+103/POWER(1+('CurrentFact-N10,20Unchanged'!D74+'CurrentFact-N10,20Unchanged'!H74)/100,2))*100</f>
        <v>9585.2118382865192</v>
      </c>
      <c r="E74">
        <f>(3/(1+('CurrentFact-N10,20Unchanged'!C74+'CurrentFact-N10,20Unchanged'!I74)/100)+103/POWER(1+('CurrentFact-N10,20Unchanged'!D74+'CurrentFact-N10,20Unchanged'!I74)/100,2))*100</f>
        <v>9671.5045655223075</v>
      </c>
      <c r="F74">
        <f>Portfolio!B$5*'CurrentFact-N10,20Unchanged'!E74</f>
        <v>52143.895533915893</v>
      </c>
      <c r="G74">
        <f>Portfolio!B$6*'CurrentFact-N10,20Unchanged'!F74</f>
        <v>3696.2945087936532</v>
      </c>
      <c r="H74">
        <f>Portfolio!B$7*'CurrentFact-N10,20Unchanged'!J74</f>
        <v>2064.4550337304254</v>
      </c>
      <c r="I74">
        <f t="shared" si="2"/>
        <v>96483.914615925984</v>
      </c>
      <c r="J74">
        <f t="shared" si="1"/>
        <v>-41.154090383643052</v>
      </c>
    </row>
    <row r="75" spans="1:10">
      <c r="A75" s="1">
        <v>45574</v>
      </c>
      <c r="B75">
        <f>(3/(1+('CurrentFact-N10,20Unchanged'!C75)/100)+103/POWER(1+('CurrentFact-N10,20Unchanged'!D75)/100,2))*100</f>
        <v>9707.5857774288397</v>
      </c>
      <c r="C75">
        <f>(3/(1+('CurrentFact-N10,20Unchanged'!C75+'CurrentFact-N10,20Unchanged'!G75)/100)+103/POWER(1+('CurrentFact-N10,20Unchanged'!D75+'CurrentFact-N10,20Unchanged'!G75)/100,2))*100</f>
        <v>9614.9673582483465</v>
      </c>
      <c r="D75">
        <f>(3/(1+('CurrentFact-N10,20Unchanged'!C75+'CurrentFact-N10,20Unchanged'!H75)/100)+103/POWER(1+('CurrentFact-N10,20Unchanged'!D75+'CurrentFact-N10,20Unchanged'!H75)/100,2))*100</f>
        <v>9589.7775477937776</v>
      </c>
      <c r="E75">
        <f>(3/(1+('CurrentFact-N10,20Unchanged'!C75+'CurrentFact-N10,20Unchanged'!I75)/100)+103/POWER(1+('CurrentFact-N10,20Unchanged'!D75+'CurrentFact-N10,20Unchanged'!I75)/100,2))*100</f>
        <v>9673.6877249516419</v>
      </c>
      <c r="F75">
        <f>Portfolio!B$5*'CurrentFact-N10,20Unchanged'!E75</f>
        <v>52143.895533915893</v>
      </c>
      <c r="G75">
        <f>Portfolio!B$6*'CurrentFact-N10,20Unchanged'!F75</f>
        <v>3696.2945087936532</v>
      </c>
      <c r="H75">
        <f>Portfolio!B$7*'CurrentFact-N10,20Unchanged'!J75</f>
        <v>2064.4550337304254</v>
      </c>
      <c r="I75">
        <f t="shared" si="2"/>
        <v>96490.663484862569</v>
      </c>
      <c r="J75">
        <f t="shared" si="1"/>
        <v>-28.410593098495156</v>
      </c>
    </row>
    <row r="76" spans="1:10">
      <c r="A76" s="1">
        <v>45575</v>
      </c>
      <c r="B76">
        <f>(3/(1+('CurrentFact-N10,20Unchanged'!C76)/100)+103/POWER(1+('CurrentFact-N10,20Unchanged'!D76)/100,2))*100</f>
        <v>9707.5857774288397</v>
      </c>
      <c r="C76">
        <f>(3/(1+('CurrentFact-N10,20Unchanged'!C76+'CurrentFact-N10,20Unchanged'!G76)/100)+103/POWER(1+('CurrentFact-N10,20Unchanged'!D76+'CurrentFact-N10,20Unchanged'!G76)/100,2))*100</f>
        <v>9614.9673582483465</v>
      </c>
      <c r="D76">
        <f>(3/(1+('CurrentFact-N10,20Unchanged'!C76+'CurrentFact-N10,20Unchanged'!H76)/100)+103/POWER(1+('CurrentFact-N10,20Unchanged'!D76+'CurrentFact-N10,20Unchanged'!H76)/100,2))*100</f>
        <v>9591.5763994074568</v>
      </c>
      <c r="E76">
        <f>(3/(1+('CurrentFact-N10,20Unchanged'!C76+'CurrentFact-N10,20Unchanged'!I76)/100)+103/POWER(1+('CurrentFact-N10,20Unchanged'!D76+'CurrentFact-N10,20Unchanged'!I76)/100,2))*100</f>
        <v>9673.8514921772967</v>
      </c>
      <c r="F76">
        <f>Portfolio!B$5*'CurrentFact-N10,20Unchanged'!E76</f>
        <v>52143.895533915893</v>
      </c>
      <c r="G76">
        <f>Portfolio!B$6*'CurrentFact-N10,20Unchanged'!F76</f>
        <v>3696.2945087936532</v>
      </c>
      <c r="H76">
        <f>Portfolio!B$7*'CurrentFact-N10,20Unchanged'!J76</f>
        <v>2064.4550337304254</v>
      </c>
      <c r="I76">
        <f t="shared" si="2"/>
        <v>96492.626103701914</v>
      </c>
      <c r="J76">
        <f t="shared" si="1"/>
        <v>-27.514531444263412</v>
      </c>
    </row>
    <row r="77" spans="1:10">
      <c r="A77" s="1">
        <v>45576</v>
      </c>
      <c r="B77">
        <f>(3/(1+('CurrentFact-N10,20Unchanged'!C77)/100)+103/POWER(1+('CurrentFact-N10,20Unchanged'!D77)/100,2))*100</f>
        <v>9707.5857774288397</v>
      </c>
      <c r="C77">
        <f>(3/(1+('CurrentFact-N10,20Unchanged'!C77+'CurrentFact-N10,20Unchanged'!G77)/100)+103/POWER(1+('CurrentFact-N10,20Unchanged'!D77+'CurrentFact-N10,20Unchanged'!G77)/100,2))*100</f>
        <v>9614.9673582483465</v>
      </c>
      <c r="D77">
        <f>(3/(1+('CurrentFact-N10,20Unchanged'!C77+'CurrentFact-N10,20Unchanged'!H77)/100)+103/POWER(1+('CurrentFact-N10,20Unchanged'!D77+'CurrentFact-N10,20Unchanged'!H77)/100,2))*100</f>
        <v>9597.3391887643265</v>
      </c>
      <c r="E77">
        <f>(3/(1+('CurrentFact-N10,20Unchanged'!C77+'CurrentFact-N10,20Unchanged'!I77)/100)+103/POWER(1+('CurrentFact-N10,20Unchanged'!D77+'CurrentFact-N10,20Unchanged'!I77)/100,2))*100</f>
        <v>9675.7442131577227</v>
      </c>
      <c r="F77">
        <f>Portfolio!B$5*'CurrentFact-N10,20Unchanged'!E77</f>
        <v>52143.895533915893</v>
      </c>
      <c r="G77">
        <f>Portfolio!B$6*'CurrentFact-N10,20Unchanged'!F77</f>
        <v>3696.2945087936532</v>
      </c>
      <c r="H77">
        <f>Portfolio!B$7*'CurrentFact-N10,20Unchanged'!J77</f>
        <v>2064.4550337304254</v>
      </c>
      <c r="I77">
        <f t="shared" si="2"/>
        <v>96500.28161403921</v>
      </c>
      <c r="J77">
        <f t="shared" si="1"/>
        <v>-6.2980593467655126</v>
      </c>
    </row>
    <row r="78" spans="1:10">
      <c r="A78" s="1">
        <v>45579</v>
      </c>
      <c r="B78">
        <f>(3/(1+('CurrentFact-N10,20Unchanged'!C78)/100)+103/POWER(1+('CurrentFact-N10,20Unchanged'!D78)/100,2))*100</f>
        <v>9707.5857774288397</v>
      </c>
      <c r="C78">
        <f>(3/(1+('CurrentFact-N10,20Unchanged'!C78+'CurrentFact-N10,20Unchanged'!G78)/100)+103/POWER(1+('CurrentFact-N10,20Unchanged'!D78+'CurrentFact-N10,20Unchanged'!G78)/100,2))*100</f>
        <v>9614.9673582483465</v>
      </c>
      <c r="D78">
        <f>(3/(1+('CurrentFact-N10,20Unchanged'!C78+'CurrentFact-N10,20Unchanged'!H78)/100)+103/POWER(1+('CurrentFact-N10,20Unchanged'!D78+'CurrentFact-N10,20Unchanged'!H78)/100,2))*100</f>
        <v>9607.7743638502561</v>
      </c>
      <c r="E78">
        <f>(3/(1+('CurrentFact-N10,20Unchanged'!C78+'CurrentFact-N10,20Unchanged'!I78)/100)+103/POWER(1+('CurrentFact-N10,20Unchanged'!D78+'CurrentFact-N10,20Unchanged'!I78)/100,2))*100</f>
        <v>9678.2201598923075</v>
      </c>
      <c r="F78">
        <f>Portfolio!B$5*'CurrentFact-N10,20Unchanged'!E78</f>
        <v>52143.895533915893</v>
      </c>
      <c r="G78">
        <f>Portfolio!B$6*'CurrentFact-N10,20Unchanged'!F78</f>
        <v>3696.2945087936532</v>
      </c>
      <c r="H78">
        <f>Portfolio!B$7*'CurrentFact-N10,20Unchanged'!J78</f>
        <v>2064.4550337304254</v>
      </c>
      <c r="I78">
        <f t="shared" si="2"/>
        <v>96513.192735859717</v>
      </c>
      <c r="J78">
        <f t="shared" ref="J78:J141" si="3">I78-I68</f>
        <v>15.635933625482721</v>
      </c>
    </row>
    <row r="79" spans="1:10">
      <c r="A79" s="1">
        <v>45580</v>
      </c>
      <c r="B79">
        <f>(3/(1+('CurrentFact-N10,20Unchanged'!C79)/100)+103/POWER(1+('CurrentFact-N10,20Unchanged'!D79)/100,2))*100</f>
        <v>9707.5857774288397</v>
      </c>
      <c r="C79">
        <f>(3/(1+('CurrentFact-N10,20Unchanged'!C79+'CurrentFact-N10,20Unchanged'!G79)/100)+103/POWER(1+('CurrentFact-N10,20Unchanged'!D79+'CurrentFact-N10,20Unchanged'!G79)/100,2))*100</f>
        <v>9614.9673582483465</v>
      </c>
      <c r="D79">
        <f>(3/(1+('CurrentFact-N10,20Unchanged'!C79+'CurrentFact-N10,20Unchanged'!H79)/100)+103/POWER(1+('CurrentFact-N10,20Unchanged'!D79+'CurrentFact-N10,20Unchanged'!H79)/100,2))*100</f>
        <v>9620.9816481323287</v>
      </c>
      <c r="E79">
        <f>(3/(1+('CurrentFact-N10,20Unchanged'!C79+'CurrentFact-N10,20Unchanged'!I79)/100)+103/POWER(1+('CurrentFact-N10,20Unchanged'!D79+'CurrentFact-N10,20Unchanged'!I79)/100,2))*100</f>
        <v>9677.1277119446768</v>
      </c>
      <c r="F79">
        <f>Portfolio!B$5*'CurrentFact-N10,20Unchanged'!E79</f>
        <v>52143.895533915893</v>
      </c>
      <c r="G79">
        <f>Portfolio!B$6*'CurrentFact-N10,20Unchanged'!F79</f>
        <v>3696.2945087936532</v>
      </c>
      <c r="H79">
        <f>Portfolio!B$7*'CurrentFact-N10,20Unchanged'!J79</f>
        <v>2064.4550337304254</v>
      </c>
      <c r="I79">
        <f t="shared" si="2"/>
        <v>96525.307572194171</v>
      </c>
      <c r="J79">
        <f t="shared" si="3"/>
        <v>25.125193705054699</v>
      </c>
    </row>
    <row r="80" spans="1:10">
      <c r="A80" s="1">
        <v>45581</v>
      </c>
      <c r="B80">
        <f>(3/(1+('CurrentFact-N10,20Unchanged'!C80)/100)+103/POWER(1+('CurrentFact-N10,20Unchanged'!D80)/100,2))*100</f>
        <v>9707.5857774288397</v>
      </c>
      <c r="C80">
        <f>(3/(1+('CurrentFact-N10,20Unchanged'!C80+'CurrentFact-N10,20Unchanged'!G80)/100)+103/POWER(1+('CurrentFact-N10,20Unchanged'!D80+'CurrentFact-N10,20Unchanged'!G80)/100,2))*100</f>
        <v>9614.9673582483465</v>
      </c>
      <c r="D80">
        <f>(3/(1+('CurrentFact-N10,20Unchanged'!C80+'CurrentFact-N10,20Unchanged'!H80)/100)+103/POWER(1+('CurrentFact-N10,20Unchanged'!D80+'CurrentFact-N10,20Unchanged'!H80)/100,2))*100</f>
        <v>9601.1583505225753</v>
      </c>
      <c r="E80">
        <f>(3/(1+('CurrentFact-N10,20Unchanged'!C80+'CurrentFact-N10,20Unchanged'!I80)/100)+103/POWER(1+('CurrentFact-N10,20Unchanged'!D80+'CurrentFact-N10,20Unchanged'!I80)/100,2))*100</f>
        <v>9672.3413563481736</v>
      </c>
      <c r="F80">
        <f>Portfolio!B$5*'CurrentFact-N10,20Unchanged'!E80</f>
        <v>52143.895533915893</v>
      </c>
      <c r="G80">
        <f>Portfolio!B$6*'CurrentFact-N10,20Unchanged'!F80</f>
        <v>3696.2945087936532</v>
      </c>
      <c r="H80">
        <f>Portfolio!B$7*'CurrentFact-N10,20Unchanged'!J80</f>
        <v>2064.4550337304254</v>
      </c>
      <c r="I80">
        <f t="shared" si="2"/>
        <v>96500.697918987906</v>
      </c>
      <c r="J80">
        <f t="shared" si="3"/>
        <v>-9.2796406086417846</v>
      </c>
    </row>
    <row r="81" spans="1:10">
      <c r="A81" s="1">
        <v>45582</v>
      </c>
      <c r="B81">
        <f>(3/(1+('CurrentFact-N10,20Unchanged'!C81)/100)+103/POWER(1+('CurrentFact-N10,20Unchanged'!D81)/100,2))*100</f>
        <v>9707.5857774288397</v>
      </c>
      <c r="C81">
        <f>(3/(1+('CurrentFact-N10,20Unchanged'!C81+'CurrentFact-N10,20Unchanged'!G81)/100)+103/POWER(1+('CurrentFact-N10,20Unchanged'!D81+'CurrentFact-N10,20Unchanged'!G81)/100,2))*100</f>
        <v>9614.9673582483465</v>
      </c>
      <c r="D81">
        <f>(3/(1+('CurrentFact-N10,20Unchanged'!C81+'CurrentFact-N10,20Unchanged'!H81)/100)+103/POWER(1+('CurrentFact-N10,20Unchanged'!D81+'CurrentFact-N10,20Unchanged'!H81)/100,2))*100</f>
        <v>9587.2990066597595</v>
      </c>
      <c r="E81">
        <f>(3/(1+('CurrentFact-N10,20Unchanged'!C81+'CurrentFact-N10,20Unchanged'!I81)/100)+103/POWER(1+('CurrentFact-N10,20Unchanged'!D81+'CurrentFact-N10,20Unchanged'!I81)/100,2))*100</f>
        <v>9676.1810780625983</v>
      </c>
      <c r="F81">
        <f>Portfolio!B$5*'CurrentFact-N10,20Unchanged'!E81</f>
        <v>52143.895533915893</v>
      </c>
      <c r="G81">
        <f>Portfolio!B$6*'CurrentFact-N10,20Unchanged'!F81</f>
        <v>3696.2945087936532</v>
      </c>
      <c r="H81">
        <f>Portfolio!B$7*'CurrentFact-N10,20Unchanged'!J81</f>
        <v>2064.4550337304254</v>
      </c>
      <c r="I81">
        <f t="shared" si="2"/>
        <v>96490.678296839513</v>
      </c>
      <c r="J81">
        <f t="shared" si="3"/>
        <v>4.9630032906570705</v>
      </c>
    </row>
    <row r="82" spans="1:10">
      <c r="A82" s="1">
        <v>45583</v>
      </c>
      <c r="B82">
        <f>(3/(1+('CurrentFact-N10,20Unchanged'!C82)/100)+103/POWER(1+('CurrentFact-N10,20Unchanged'!D82)/100,2))*100</f>
        <v>9707.5857774288397</v>
      </c>
      <c r="C82">
        <f>(3/(1+('CurrentFact-N10,20Unchanged'!C82+'CurrentFact-N10,20Unchanged'!G82)/100)+103/POWER(1+('CurrentFact-N10,20Unchanged'!D82+'CurrentFact-N10,20Unchanged'!G82)/100,2))*100</f>
        <v>9614.9673582483465</v>
      </c>
      <c r="D82">
        <f>(3/(1+('CurrentFact-N10,20Unchanged'!C82+'CurrentFact-N10,20Unchanged'!H82)/100)+103/POWER(1+('CurrentFact-N10,20Unchanged'!D82+'CurrentFact-N10,20Unchanged'!H82)/100,2))*100</f>
        <v>9599.4660613861888</v>
      </c>
      <c r="E82">
        <f>(3/(1+('CurrentFact-N10,20Unchanged'!C82+'CurrentFact-N10,20Unchanged'!I82)/100)+103/POWER(1+('CurrentFact-N10,20Unchanged'!D82+'CurrentFact-N10,20Unchanged'!I82)/100,2))*100</f>
        <v>9674.9615799806725</v>
      </c>
      <c r="F82">
        <f>Portfolio!B$5*'CurrentFact-N10,20Unchanged'!E82</f>
        <v>52143.895533915893</v>
      </c>
      <c r="G82">
        <f>Portfolio!B$6*'CurrentFact-N10,20Unchanged'!F82</f>
        <v>3696.2945087936532</v>
      </c>
      <c r="H82">
        <f>Portfolio!B$7*'CurrentFact-N10,20Unchanged'!J82</f>
        <v>2064.4550337304254</v>
      </c>
      <c r="I82">
        <f t="shared" si="2"/>
        <v>96501.625853484016</v>
      </c>
      <c r="J82">
        <f t="shared" si="3"/>
        <v>2.2442767651082249</v>
      </c>
    </row>
    <row r="83" spans="1:10">
      <c r="A83" s="1">
        <v>45586</v>
      </c>
      <c r="B83">
        <f>(3/(1+('CurrentFact-N10,20Unchanged'!C83)/100)+103/POWER(1+('CurrentFact-N10,20Unchanged'!D83)/100,2))*100</f>
        <v>9707.5857774288397</v>
      </c>
      <c r="C83">
        <f>(3/(1+('CurrentFact-N10,20Unchanged'!C83+'CurrentFact-N10,20Unchanged'!G83)/100)+103/POWER(1+('CurrentFact-N10,20Unchanged'!D83+'CurrentFact-N10,20Unchanged'!G83)/100,2))*100</f>
        <v>9614.9673582483465</v>
      </c>
      <c r="D83">
        <f>(3/(1+('CurrentFact-N10,20Unchanged'!C83+'CurrentFact-N10,20Unchanged'!H83)/100)+103/POWER(1+('CurrentFact-N10,20Unchanged'!D83+'CurrentFact-N10,20Unchanged'!H83)/100,2))*100</f>
        <v>9611.6571750888579</v>
      </c>
      <c r="E83">
        <f>(3/(1+('CurrentFact-N10,20Unchanged'!C83+'CurrentFact-N10,20Unchanged'!I83)/100)+103/POWER(1+('CurrentFact-N10,20Unchanged'!D83+'CurrentFact-N10,20Unchanged'!I83)/100,2))*100</f>
        <v>9667.9948878388495</v>
      </c>
      <c r="F83">
        <f>Portfolio!B$5*'CurrentFact-N10,20Unchanged'!E83</f>
        <v>52143.895533915893</v>
      </c>
      <c r="G83">
        <f>Portfolio!B$6*'CurrentFact-N10,20Unchanged'!F83</f>
        <v>3696.2945087936532</v>
      </c>
      <c r="H83">
        <f>Portfolio!B$7*'CurrentFact-N10,20Unchanged'!J83</f>
        <v>2064.4550337304254</v>
      </c>
      <c r="I83">
        <f t="shared" si="2"/>
        <v>96506.850275044853</v>
      </c>
      <c r="J83">
        <f t="shared" si="3"/>
        <v>-9.0655136967834551</v>
      </c>
    </row>
    <row r="84" spans="1:10">
      <c r="A84" s="1">
        <v>45587</v>
      </c>
      <c r="B84">
        <f>(3/(1+('CurrentFact-N10,20Unchanged'!C84)/100)+103/POWER(1+('CurrentFact-N10,20Unchanged'!D84)/100,2))*100</f>
        <v>9707.5857774288397</v>
      </c>
      <c r="C84">
        <f>(3/(1+('CurrentFact-N10,20Unchanged'!C84+'CurrentFact-N10,20Unchanged'!G84)/100)+103/POWER(1+('CurrentFact-N10,20Unchanged'!D84+'CurrentFact-N10,20Unchanged'!G84)/100,2))*100</f>
        <v>9614.9673582483465</v>
      </c>
      <c r="D84">
        <f>(3/(1+('CurrentFact-N10,20Unchanged'!C84+'CurrentFact-N10,20Unchanged'!H84)/100)+103/POWER(1+('CurrentFact-N10,20Unchanged'!D84+'CurrentFact-N10,20Unchanged'!H84)/100,2))*100</f>
        <v>9601.8897761949283</v>
      </c>
      <c r="E84">
        <f>(3/(1+('CurrentFact-N10,20Unchanged'!C84+'CurrentFact-N10,20Unchanged'!I84)/100)+103/POWER(1+('CurrentFact-N10,20Unchanged'!D84+'CurrentFact-N10,20Unchanged'!I84)/100,2))*100</f>
        <v>9670.4314528997838</v>
      </c>
      <c r="F84">
        <f>Portfolio!B$5*'CurrentFact-N10,20Unchanged'!E84</f>
        <v>52143.895533915893</v>
      </c>
      <c r="G84">
        <f>Portfolio!B$6*'CurrentFact-N10,20Unchanged'!F84</f>
        <v>3696.2945087936532</v>
      </c>
      <c r="H84">
        <f>Portfolio!B$7*'CurrentFact-N10,20Unchanged'!J84</f>
        <v>2064.4550337304254</v>
      </c>
      <c r="I84">
        <f t="shared" si="2"/>
        <v>96499.519441211873</v>
      </c>
      <c r="J84">
        <f t="shared" si="3"/>
        <v>15.604825285889092</v>
      </c>
    </row>
    <row r="85" spans="1:10">
      <c r="A85" s="1">
        <v>45588</v>
      </c>
      <c r="B85">
        <f>(3/(1+('CurrentFact-N10,20Unchanged'!C85)/100)+103/POWER(1+('CurrentFact-N10,20Unchanged'!D85)/100,2))*100</f>
        <v>9707.5857774288397</v>
      </c>
      <c r="C85">
        <f>(3/(1+('CurrentFact-N10,20Unchanged'!C85+'CurrentFact-N10,20Unchanged'!G85)/100)+103/POWER(1+('CurrentFact-N10,20Unchanged'!D85+'CurrentFact-N10,20Unchanged'!G85)/100,2))*100</f>
        <v>9614.9673582483465</v>
      </c>
      <c r="D85">
        <f>(3/(1+('CurrentFact-N10,20Unchanged'!C85+'CurrentFact-N10,20Unchanged'!H85)/100)+103/POWER(1+('CurrentFact-N10,20Unchanged'!D85+'CurrentFact-N10,20Unchanged'!H85)/100,2))*100</f>
        <v>9587.7244928794116</v>
      </c>
      <c r="E85">
        <f>(3/(1+('CurrentFact-N10,20Unchanged'!C85+'CurrentFact-N10,20Unchanged'!I85)/100)+103/POWER(1+('CurrentFact-N10,20Unchanged'!D85+'CurrentFact-N10,20Unchanged'!I85)/100,2))*100</f>
        <v>9672.9781178175181</v>
      </c>
      <c r="F85">
        <f>Portfolio!B$5*'CurrentFact-N10,20Unchanged'!E85</f>
        <v>52143.895533915893</v>
      </c>
      <c r="G85">
        <f>Portfolio!B$6*'CurrentFact-N10,20Unchanged'!F85</f>
        <v>3696.2945087936532</v>
      </c>
      <c r="H85">
        <f>Portfolio!B$7*'CurrentFact-N10,20Unchanged'!J85</f>
        <v>2064.4550337304254</v>
      </c>
      <c r="I85">
        <f t="shared" si="2"/>
        <v>96487.900822814088</v>
      </c>
      <c r="J85">
        <f t="shared" si="3"/>
        <v>-2.7626620484807063</v>
      </c>
    </row>
    <row r="86" spans="1:10">
      <c r="A86" s="1">
        <v>45589</v>
      </c>
      <c r="B86">
        <f>(3/(1+('CurrentFact-N10,20Unchanged'!C86)/100)+103/POWER(1+('CurrentFact-N10,20Unchanged'!D86)/100,2))*100</f>
        <v>9707.5857774288397</v>
      </c>
      <c r="C86">
        <f>(3/(1+('CurrentFact-N10,20Unchanged'!C86+'CurrentFact-N10,20Unchanged'!G86)/100)+103/POWER(1+('CurrentFact-N10,20Unchanged'!D86+'CurrentFact-N10,20Unchanged'!G86)/100,2))*100</f>
        <v>9614.9673582483465</v>
      </c>
      <c r="D86">
        <f>(3/(1+('CurrentFact-N10,20Unchanged'!C86+'CurrentFact-N10,20Unchanged'!H86)/100)+103/POWER(1+('CurrentFact-N10,20Unchanged'!D86+'CurrentFact-N10,20Unchanged'!H86)/100,2))*100</f>
        <v>9603.089670627096</v>
      </c>
      <c r="E86">
        <f>(3/(1+('CurrentFact-N10,20Unchanged'!C86+'CurrentFact-N10,20Unchanged'!I86)/100)+103/POWER(1+('CurrentFact-N10,20Unchanged'!D86+'CurrentFact-N10,20Unchanged'!I86)/100,2))*100</f>
        <v>9670.7588245401621</v>
      </c>
      <c r="F86">
        <f>Portfolio!B$5*'CurrentFact-N10,20Unchanged'!E86</f>
        <v>52143.895533915893</v>
      </c>
      <c r="G86">
        <f>Portfolio!B$6*'CurrentFact-N10,20Unchanged'!F86</f>
        <v>3696.2945087936532</v>
      </c>
      <c r="H86">
        <f>Portfolio!B$7*'CurrentFact-N10,20Unchanged'!J86</f>
        <v>2064.4550337304254</v>
      </c>
      <c r="I86">
        <f t="shared" si="2"/>
        <v>96501.046707284419</v>
      </c>
      <c r="J86">
        <f t="shared" si="3"/>
        <v>8.4206035825045547</v>
      </c>
    </row>
    <row r="87" spans="1:10">
      <c r="A87" s="1">
        <v>45590</v>
      </c>
      <c r="B87">
        <f>(3/(1+('CurrentFact-N10,20Unchanged'!C87)/100)+103/POWER(1+('CurrentFact-N10,20Unchanged'!D87)/100,2))*100</f>
        <v>9707.5857774288397</v>
      </c>
      <c r="C87">
        <f>(3/(1+('CurrentFact-N10,20Unchanged'!C87+'CurrentFact-N10,20Unchanged'!G87)/100)+103/POWER(1+('CurrentFact-N10,20Unchanged'!D87+'CurrentFact-N10,20Unchanged'!G87)/100,2))*100</f>
        <v>9614.9673582483465</v>
      </c>
      <c r="D87">
        <f>(3/(1+('CurrentFact-N10,20Unchanged'!C87+'CurrentFact-N10,20Unchanged'!H87)/100)+103/POWER(1+('CurrentFact-N10,20Unchanged'!D87+'CurrentFact-N10,20Unchanged'!H87)/100,2))*100</f>
        <v>9591.5299328629117</v>
      </c>
      <c r="E87">
        <f>(3/(1+('CurrentFact-N10,20Unchanged'!C87+'CurrentFact-N10,20Unchanged'!I87)/100)+103/POWER(1+('CurrentFact-N10,20Unchanged'!D87+'CurrentFact-N10,20Unchanged'!I87)/100,2))*100</f>
        <v>9669.8676874657613</v>
      </c>
      <c r="F87">
        <f>Portfolio!B$5*'CurrentFact-N10,20Unchanged'!E87</f>
        <v>52143.895533915893</v>
      </c>
      <c r="G87">
        <f>Portfolio!B$6*'CurrentFact-N10,20Unchanged'!F87</f>
        <v>3696.2945087936532</v>
      </c>
      <c r="H87">
        <f>Portfolio!B$7*'CurrentFact-N10,20Unchanged'!J87</f>
        <v>2064.4550337304254</v>
      </c>
      <c r="I87">
        <f t="shared" si="2"/>
        <v>96488.595832445833</v>
      </c>
      <c r="J87">
        <f t="shared" si="3"/>
        <v>-11.685781593376305</v>
      </c>
    </row>
    <row r="88" spans="1:10">
      <c r="A88" s="1">
        <v>45593</v>
      </c>
      <c r="B88">
        <f>(3/(1+('CurrentFact-N10,20Unchanged'!C88)/100)+103/POWER(1+('CurrentFact-N10,20Unchanged'!D88)/100,2))*100</f>
        <v>9707.5857774288397</v>
      </c>
      <c r="C88">
        <f>(3/(1+('CurrentFact-N10,20Unchanged'!C88+'CurrentFact-N10,20Unchanged'!G88)/100)+103/POWER(1+('CurrentFact-N10,20Unchanged'!D88+'CurrentFact-N10,20Unchanged'!G88)/100,2))*100</f>
        <v>9614.9673582483465</v>
      </c>
      <c r="D88">
        <f>(3/(1+('CurrentFact-N10,20Unchanged'!C88+'CurrentFact-N10,20Unchanged'!H88)/100)+103/POWER(1+('CurrentFact-N10,20Unchanged'!D88+'CurrentFact-N10,20Unchanged'!H88)/100,2))*100</f>
        <v>9606.3992600756155</v>
      </c>
      <c r="E88">
        <f>(3/(1+('CurrentFact-N10,20Unchanged'!C88+'CurrentFact-N10,20Unchanged'!I88)/100)+103/POWER(1+('CurrentFact-N10,20Unchanged'!D88+'CurrentFact-N10,20Unchanged'!I88)/100,2))*100</f>
        <v>9674.4884042634476</v>
      </c>
      <c r="F88">
        <f>Portfolio!B$5*'CurrentFact-N10,20Unchanged'!E88</f>
        <v>52143.895533915893</v>
      </c>
      <c r="G88">
        <f>Portfolio!B$6*'CurrentFact-N10,20Unchanged'!F88</f>
        <v>3696.2945087936532</v>
      </c>
      <c r="H88">
        <f>Portfolio!B$7*'CurrentFact-N10,20Unchanged'!J88</f>
        <v>2064.4550337304254</v>
      </c>
      <c r="I88">
        <f t="shared" si="2"/>
        <v>96508.085876456229</v>
      </c>
      <c r="J88">
        <f t="shared" si="3"/>
        <v>-5.1068594034877606</v>
      </c>
    </row>
    <row r="89" spans="1:10">
      <c r="A89" s="1">
        <v>45594</v>
      </c>
      <c r="B89">
        <f>(3/(1+('CurrentFact-N10,20Unchanged'!C89)/100)+103/POWER(1+('CurrentFact-N10,20Unchanged'!D89)/100,2))*100</f>
        <v>9707.5857774288397</v>
      </c>
      <c r="C89">
        <f>(3/(1+('CurrentFact-N10,20Unchanged'!C89+'CurrentFact-N10,20Unchanged'!G89)/100)+103/POWER(1+('CurrentFact-N10,20Unchanged'!D89+'CurrentFact-N10,20Unchanged'!G89)/100,2))*100</f>
        <v>9614.9673582483465</v>
      </c>
      <c r="D89">
        <f>(3/(1+('CurrentFact-N10,20Unchanged'!C89+'CurrentFact-N10,20Unchanged'!H89)/100)+103/POWER(1+('CurrentFact-N10,20Unchanged'!D89+'CurrentFact-N10,20Unchanged'!H89)/100,2))*100</f>
        <v>9611.4268835599887</v>
      </c>
      <c r="E89">
        <f>(3/(1+('CurrentFact-N10,20Unchanged'!C89+'CurrentFact-N10,20Unchanged'!I89)/100)+103/POWER(1+('CurrentFact-N10,20Unchanged'!D89+'CurrentFact-N10,20Unchanged'!I89)/100,2))*100</f>
        <v>9676.8000136403025</v>
      </c>
      <c r="F89">
        <f>Portfolio!B$5*'CurrentFact-N10,20Unchanged'!E89</f>
        <v>52143.895533915893</v>
      </c>
      <c r="G89">
        <f>Portfolio!B$6*'CurrentFact-N10,20Unchanged'!F89</f>
        <v>3696.2945087936532</v>
      </c>
      <c r="H89">
        <f>Portfolio!B$7*'CurrentFact-N10,20Unchanged'!J89</f>
        <v>2064.4550337304254</v>
      </c>
      <c r="I89">
        <f t="shared" si="2"/>
        <v>96515.425109317439</v>
      </c>
      <c r="J89">
        <f t="shared" si="3"/>
        <v>-9.8824628767324612</v>
      </c>
    </row>
    <row r="90" spans="1:10">
      <c r="A90" s="1">
        <v>45595</v>
      </c>
      <c r="B90">
        <f>(3/(1+('CurrentFact-N10,20Unchanged'!C90)/100)+103/POWER(1+('CurrentFact-N10,20Unchanged'!D90)/100,2))*100</f>
        <v>9707.5857774288397</v>
      </c>
      <c r="C90">
        <f>(3/(1+('CurrentFact-N10,20Unchanged'!C90+'CurrentFact-N10,20Unchanged'!G90)/100)+103/POWER(1+('CurrentFact-N10,20Unchanged'!D90+'CurrentFact-N10,20Unchanged'!G90)/100,2))*100</f>
        <v>9614.9673582483465</v>
      </c>
      <c r="D90">
        <f>(3/(1+('CurrentFact-N10,20Unchanged'!C90+'CurrentFact-N10,20Unchanged'!H90)/100)+103/POWER(1+('CurrentFact-N10,20Unchanged'!D90+'CurrentFact-N10,20Unchanged'!H90)/100,2))*100</f>
        <v>9589.4533787174823</v>
      </c>
      <c r="E90">
        <f>(3/(1+('CurrentFact-N10,20Unchanged'!C90+'CurrentFact-N10,20Unchanged'!I90)/100)+103/POWER(1+('CurrentFact-N10,20Unchanged'!D90+'CurrentFact-N10,20Unchanged'!I90)/100,2))*100</f>
        <v>9679.0031959085572</v>
      </c>
      <c r="F90">
        <f>Portfolio!B$5*'CurrentFact-N10,20Unchanged'!E90</f>
        <v>52143.895533915893</v>
      </c>
      <c r="G90">
        <f>Portfolio!B$6*'CurrentFact-N10,20Unchanged'!F90</f>
        <v>3696.2945087936532</v>
      </c>
      <c r="H90">
        <f>Portfolio!B$7*'CurrentFact-N10,20Unchanged'!J90</f>
        <v>2064.4550337304254</v>
      </c>
      <c r="I90">
        <f t="shared" si="2"/>
        <v>96495.654786743195</v>
      </c>
      <c r="J90">
        <f t="shared" si="3"/>
        <v>-5.0431322447111597</v>
      </c>
    </row>
    <row r="91" spans="1:10">
      <c r="A91" s="1">
        <v>45596</v>
      </c>
      <c r="B91">
        <f>(3/(1+('CurrentFact-N10,20Unchanged'!C91)/100)+103/POWER(1+('CurrentFact-N10,20Unchanged'!D91)/100,2))*100</f>
        <v>9707.5857774288397</v>
      </c>
      <c r="C91">
        <f>(3/(1+('CurrentFact-N10,20Unchanged'!C91+'CurrentFact-N10,20Unchanged'!G91)/100)+103/POWER(1+('CurrentFact-N10,20Unchanged'!D91+'CurrentFact-N10,20Unchanged'!G91)/100,2))*100</f>
        <v>9614.9673582483465</v>
      </c>
      <c r="D91">
        <f>(3/(1+('CurrentFact-N10,20Unchanged'!C91+'CurrentFact-N10,20Unchanged'!H91)/100)+103/POWER(1+('CurrentFact-N10,20Unchanged'!D91+'CurrentFact-N10,20Unchanged'!H91)/100,2))*100</f>
        <v>9587.2511643885482</v>
      </c>
      <c r="E91">
        <f>(3/(1+('CurrentFact-N10,20Unchanged'!C91+'CurrentFact-N10,20Unchanged'!I91)/100)+103/POWER(1+('CurrentFact-N10,20Unchanged'!D91+'CurrentFact-N10,20Unchanged'!I91)/100,2))*100</f>
        <v>9680.3691851352687</v>
      </c>
      <c r="F91">
        <f>Portfolio!B$5*'CurrentFact-N10,20Unchanged'!E91</f>
        <v>52143.895533915893</v>
      </c>
      <c r="G91">
        <f>Portfolio!B$6*'CurrentFact-N10,20Unchanged'!F91</f>
        <v>3696.2945087936532</v>
      </c>
      <c r="H91">
        <f>Portfolio!B$7*'CurrentFact-N10,20Unchanged'!J91</f>
        <v>2064.4550337304254</v>
      </c>
      <c r="I91">
        <f t="shared" si="2"/>
        <v>96494.818561640976</v>
      </c>
      <c r="J91">
        <f t="shared" si="3"/>
        <v>4.140264801462763</v>
      </c>
    </row>
    <row r="92" spans="1:10">
      <c r="A92" s="1">
        <v>45597</v>
      </c>
      <c r="B92">
        <f>(3/(1+('CurrentFact-N10,20Unchanged'!C92)/100)+103/POWER(1+('CurrentFact-N10,20Unchanged'!D92)/100,2))*100</f>
        <v>9707.5857774288397</v>
      </c>
      <c r="C92">
        <f>(3/(1+('CurrentFact-N10,20Unchanged'!C92+'CurrentFact-N10,20Unchanged'!G92)/100)+103/POWER(1+('CurrentFact-N10,20Unchanged'!D92+'CurrentFact-N10,20Unchanged'!G92)/100,2))*100</f>
        <v>9614.9673582483465</v>
      </c>
      <c r="D92">
        <f>(3/(1+('CurrentFact-N10,20Unchanged'!C92+'CurrentFact-N10,20Unchanged'!H92)/100)+103/POWER(1+('CurrentFact-N10,20Unchanged'!D92+'CurrentFact-N10,20Unchanged'!H92)/100,2))*100</f>
        <v>9601.9734866883045</v>
      </c>
      <c r="E92">
        <f>(3/(1+('CurrentFact-N10,20Unchanged'!C92+'CurrentFact-N10,20Unchanged'!I92)/100)+103/POWER(1+('CurrentFact-N10,20Unchanged'!D92+'CurrentFact-N10,20Unchanged'!I92)/100,2))*100</f>
        <v>9680.4056146090297</v>
      </c>
      <c r="F92">
        <f>Portfolio!B$5*'CurrentFact-N10,20Unchanged'!E92</f>
        <v>52143.895533915893</v>
      </c>
      <c r="G92">
        <f>Portfolio!B$6*'CurrentFact-N10,20Unchanged'!F92</f>
        <v>3696.2945087936532</v>
      </c>
      <c r="H92">
        <f>Portfolio!B$7*'CurrentFact-N10,20Unchanged'!J92</f>
        <v>2064.4550337304254</v>
      </c>
      <c r="I92">
        <f t="shared" si="2"/>
        <v>96509.577313414484</v>
      </c>
      <c r="J92">
        <f t="shared" si="3"/>
        <v>7.9514599304675357</v>
      </c>
    </row>
    <row r="93" spans="1:10">
      <c r="A93" s="1">
        <v>45600</v>
      </c>
      <c r="B93">
        <f>(3/(1+('CurrentFact-N10,20Unchanged'!C93)/100)+103/POWER(1+('CurrentFact-N10,20Unchanged'!D93)/100,2))*100</f>
        <v>9707.5857774288397</v>
      </c>
      <c r="C93">
        <f>(3/(1+('CurrentFact-N10,20Unchanged'!C93+'CurrentFact-N10,20Unchanged'!G93)/100)+103/POWER(1+('CurrentFact-N10,20Unchanged'!D93+'CurrentFact-N10,20Unchanged'!G93)/100,2))*100</f>
        <v>9614.9673582483465</v>
      </c>
      <c r="D93">
        <f>(3/(1+('CurrentFact-N10,20Unchanged'!C93+'CurrentFact-N10,20Unchanged'!H93)/100)+103/POWER(1+('CurrentFact-N10,20Unchanged'!D93+'CurrentFact-N10,20Unchanged'!H93)/100,2))*100</f>
        <v>9592.6719611140124</v>
      </c>
      <c r="E93">
        <f>(3/(1+('CurrentFact-N10,20Unchanged'!C93+'CurrentFact-N10,20Unchanged'!I93)/100)+103/POWER(1+('CurrentFact-N10,20Unchanged'!D93+'CurrentFact-N10,20Unchanged'!I93)/100,2))*100</f>
        <v>9679.6770472220851</v>
      </c>
      <c r="F93">
        <f>Portfolio!B$5*'CurrentFact-N10,20Unchanged'!E93</f>
        <v>52143.895533915893</v>
      </c>
      <c r="G93">
        <f>Portfolio!B$6*'CurrentFact-N10,20Unchanged'!F93</f>
        <v>3696.2945087936532</v>
      </c>
      <c r="H93">
        <f>Portfolio!B$7*'CurrentFact-N10,20Unchanged'!J93</f>
        <v>2064.4550337304254</v>
      </c>
      <c r="I93">
        <f t="shared" si="2"/>
        <v>96499.547220453242</v>
      </c>
      <c r="J93">
        <f t="shared" si="3"/>
        <v>-7.3030545916117262</v>
      </c>
    </row>
    <row r="94" spans="1:10">
      <c r="A94" s="1">
        <v>45601</v>
      </c>
      <c r="B94">
        <f>(3/(1+('CurrentFact-N10,20Unchanged'!C94)/100)+103/POWER(1+('CurrentFact-N10,20Unchanged'!D94)/100,2))*100</f>
        <v>9707.5857774288397</v>
      </c>
      <c r="C94">
        <f>(3/(1+('CurrentFact-N10,20Unchanged'!C94+'CurrentFact-N10,20Unchanged'!G94)/100)+103/POWER(1+('CurrentFact-N10,20Unchanged'!D94+'CurrentFact-N10,20Unchanged'!G94)/100,2))*100</f>
        <v>9614.9673582483465</v>
      </c>
      <c r="D94">
        <f>(3/(1+('CurrentFact-N10,20Unchanged'!C94+'CurrentFact-N10,20Unchanged'!H94)/100)+103/POWER(1+('CurrentFact-N10,20Unchanged'!D94+'CurrentFact-N10,20Unchanged'!H94)/100,2))*100</f>
        <v>9572.9984013688572</v>
      </c>
      <c r="E94">
        <f>(3/(1+('CurrentFact-N10,20Unchanged'!C94+'CurrentFact-N10,20Unchanged'!I94)/100)+103/POWER(1+('CurrentFact-N10,20Unchanged'!D94+'CurrentFact-N10,20Unchanged'!I94)/100,2))*100</f>
        <v>9681.7172470058304</v>
      </c>
      <c r="F94">
        <f>Portfolio!B$5*'CurrentFact-N10,20Unchanged'!E94</f>
        <v>52143.895533915893</v>
      </c>
      <c r="G94">
        <f>Portfolio!B$6*'CurrentFact-N10,20Unchanged'!F94</f>
        <v>3696.2945087936532</v>
      </c>
      <c r="H94">
        <f>Portfolio!B$7*'CurrentFact-N10,20Unchanged'!J94</f>
        <v>2064.4550337304254</v>
      </c>
      <c r="I94">
        <f t="shared" si="2"/>
        <v>96481.913860491841</v>
      </c>
      <c r="J94">
        <f t="shared" si="3"/>
        <v>-17.605580720031867</v>
      </c>
    </row>
    <row r="95" spans="1:10">
      <c r="A95" s="1">
        <v>45602</v>
      </c>
      <c r="B95">
        <f>(3/(1+('CurrentFact-N10,20Unchanged'!C95)/100)+103/POWER(1+('CurrentFact-N10,20Unchanged'!D95)/100,2))*100</f>
        <v>9707.5857774288397</v>
      </c>
      <c r="C95">
        <f>(3/(1+('CurrentFact-N10,20Unchanged'!C95+'CurrentFact-N10,20Unchanged'!G95)/100)+103/POWER(1+('CurrentFact-N10,20Unchanged'!D95+'CurrentFact-N10,20Unchanged'!G95)/100,2))*100</f>
        <v>9614.9673582483465</v>
      </c>
      <c r="D95">
        <f>(3/(1+('CurrentFact-N10,20Unchanged'!C95+'CurrentFact-N10,20Unchanged'!H95)/100)+103/POWER(1+('CurrentFact-N10,20Unchanged'!D95+'CurrentFact-N10,20Unchanged'!H95)/100,2))*100</f>
        <v>9604.9264476862427</v>
      </c>
      <c r="E95">
        <f>(3/(1+('CurrentFact-N10,20Unchanged'!C95+'CurrentFact-N10,20Unchanged'!I95)/100)+103/POWER(1+('CurrentFact-N10,20Unchanged'!D95+'CurrentFact-N10,20Unchanged'!I95)/100,2))*100</f>
        <v>9680.6424173310115</v>
      </c>
      <c r="F95">
        <f>Portfolio!B$5*'CurrentFact-N10,20Unchanged'!E95</f>
        <v>52143.895533915893</v>
      </c>
      <c r="G95">
        <f>Portfolio!B$6*'CurrentFact-N10,20Unchanged'!F95</f>
        <v>3696.2945087936532</v>
      </c>
      <c r="H95">
        <f>Portfolio!B$7*'CurrentFact-N10,20Unchanged'!J95</f>
        <v>2064.4550337304254</v>
      </c>
      <c r="I95">
        <f t="shared" si="2"/>
        <v>96512.767077134398</v>
      </c>
      <c r="J95">
        <f t="shared" si="3"/>
        <v>24.866254320309963</v>
      </c>
    </row>
    <row r="96" spans="1:10">
      <c r="A96" s="1">
        <v>45603</v>
      </c>
      <c r="B96">
        <f>(3/(1+('CurrentFact-N10,20Unchanged'!C96)/100)+103/POWER(1+('CurrentFact-N10,20Unchanged'!D96)/100,2))*100</f>
        <v>9707.5857774288397</v>
      </c>
      <c r="C96">
        <f>(3/(1+('CurrentFact-N10,20Unchanged'!C96+'CurrentFact-N10,20Unchanged'!G96)/100)+103/POWER(1+('CurrentFact-N10,20Unchanged'!D96+'CurrentFact-N10,20Unchanged'!G96)/100,2))*100</f>
        <v>9614.9673582483465</v>
      </c>
      <c r="D96">
        <f>(3/(1+('CurrentFact-N10,20Unchanged'!C96+'CurrentFact-N10,20Unchanged'!H96)/100)+103/POWER(1+('CurrentFact-N10,20Unchanged'!D96+'CurrentFact-N10,20Unchanged'!H96)/100,2))*100</f>
        <v>9597.3798109872332</v>
      </c>
      <c r="E96">
        <f>(3/(1+('CurrentFact-N10,20Unchanged'!C96+'CurrentFact-N10,20Unchanged'!I96)/100)+103/POWER(1+('CurrentFact-N10,20Unchanged'!D96+'CurrentFact-N10,20Unchanged'!I96)/100,2))*100</f>
        <v>9681.7354664282466</v>
      </c>
      <c r="F96">
        <f>Portfolio!B$5*'CurrentFact-N10,20Unchanged'!E96</f>
        <v>52143.895533915893</v>
      </c>
      <c r="G96">
        <f>Portfolio!B$6*'CurrentFact-N10,20Unchanged'!F96</f>
        <v>3696.2945087936532</v>
      </c>
      <c r="H96">
        <f>Portfolio!B$7*'CurrentFact-N10,20Unchanged'!J96</f>
        <v>2064.4550337304254</v>
      </c>
      <c r="I96">
        <f t="shared" si="2"/>
        <v>96506.313489532637</v>
      </c>
      <c r="J96">
        <f t="shared" si="3"/>
        <v>5.2667822482180782</v>
      </c>
    </row>
    <row r="97" spans="1:10">
      <c r="A97" s="1">
        <v>45604</v>
      </c>
      <c r="B97">
        <f>(3/(1+('CurrentFact-N10,20Unchanged'!C97)/100)+103/POWER(1+('CurrentFact-N10,20Unchanged'!D97)/100,2))*100</f>
        <v>9707.5857774288397</v>
      </c>
      <c r="C97">
        <f>(3/(1+('CurrentFact-N10,20Unchanged'!C97+'CurrentFact-N10,20Unchanged'!G97)/100)+103/POWER(1+('CurrentFact-N10,20Unchanged'!D97+'CurrentFact-N10,20Unchanged'!G97)/100,2))*100</f>
        <v>9614.9673582483465</v>
      </c>
      <c r="D97">
        <f>(3/(1+('CurrentFact-N10,20Unchanged'!C97+'CurrentFact-N10,20Unchanged'!H97)/100)+103/POWER(1+('CurrentFact-N10,20Unchanged'!D97+'CurrentFact-N10,20Unchanged'!H97)/100,2))*100</f>
        <v>9593.3541996930999</v>
      </c>
      <c r="E97">
        <f>(3/(1+('CurrentFact-N10,20Unchanged'!C97+'CurrentFact-N10,20Unchanged'!I97)/100)+103/POWER(1+('CurrentFact-N10,20Unchanged'!D97+'CurrentFact-N10,20Unchanged'!I97)/100,2))*100</f>
        <v>9681.6990276353554</v>
      </c>
      <c r="F97">
        <f>Portfolio!B$5*'CurrentFact-N10,20Unchanged'!E97</f>
        <v>52143.895533915893</v>
      </c>
      <c r="G97">
        <f>Portfolio!B$6*'CurrentFact-N10,20Unchanged'!F97</f>
        <v>3696.2945087936532</v>
      </c>
      <c r="H97">
        <f>Portfolio!B$7*'CurrentFact-N10,20Unchanged'!J97</f>
        <v>2064.4550337304254</v>
      </c>
      <c r="I97">
        <f t="shared" si="2"/>
        <v>96502.251439445608</v>
      </c>
      <c r="J97">
        <f t="shared" si="3"/>
        <v>13.655606999775046</v>
      </c>
    </row>
    <row r="98" spans="1:10">
      <c r="A98" s="1">
        <v>45607</v>
      </c>
      <c r="B98">
        <f>(3/(1+('CurrentFact-N10,20Unchanged'!C98)/100)+103/POWER(1+('CurrentFact-N10,20Unchanged'!D98)/100,2))*100</f>
        <v>9707.5857774288397</v>
      </c>
      <c r="C98">
        <f>(3/(1+('CurrentFact-N10,20Unchanged'!C98+'CurrentFact-N10,20Unchanged'!G98)/100)+103/POWER(1+('CurrentFact-N10,20Unchanged'!D98+'CurrentFact-N10,20Unchanged'!G98)/100,2))*100</f>
        <v>9614.9673582483465</v>
      </c>
      <c r="D98">
        <f>(3/(1+('CurrentFact-N10,20Unchanged'!C98+'CurrentFact-N10,20Unchanged'!H98)/100)+103/POWER(1+('CurrentFact-N10,20Unchanged'!D98+'CurrentFact-N10,20Unchanged'!H98)/100,2))*100</f>
        <v>9603.7595254689968</v>
      </c>
      <c r="E98">
        <f>(3/(1+('CurrentFact-N10,20Unchanged'!C98+'CurrentFact-N10,20Unchanged'!I98)/100)+103/POWER(1+('CurrentFact-N10,20Unchanged'!D98+'CurrentFact-N10,20Unchanged'!I98)/100,2))*100</f>
        <v>9683.1020398709661</v>
      </c>
      <c r="F98">
        <f>Portfolio!B$5*'CurrentFact-N10,20Unchanged'!E98</f>
        <v>52143.895533915893</v>
      </c>
      <c r="G98">
        <f>Portfolio!B$6*'CurrentFact-N10,20Unchanged'!F98</f>
        <v>3696.2945087936532</v>
      </c>
      <c r="H98">
        <f>Portfolio!B$7*'CurrentFact-N10,20Unchanged'!J98</f>
        <v>2064.4550337304254</v>
      </c>
      <c r="I98">
        <f t="shared" si="2"/>
        <v>96514.059777457122</v>
      </c>
      <c r="J98">
        <f t="shared" si="3"/>
        <v>5.9739010008925106</v>
      </c>
    </row>
    <row r="99" spans="1:10">
      <c r="A99" s="1">
        <v>45608</v>
      </c>
      <c r="B99">
        <f>(3/(1+('CurrentFact-N10,20Unchanged'!C99)/100)+103/POWER(1+('CurrentFact-N10,20Unchanged'!D99)/100,2))*100</f>
        <v>9707.5857774288397</v>
      </c>
      <c r="C99">
        <f>(3/(1+('CurrentFact-N10,20Unchanged'!C99+'CurrentFact-N10,20Unchanged'!G99)/100)+103/POWER(1+('CurrentFact-N10,20Unchanged'!D99+'CurrentFact-N10,20Unchanged'!G99)/100,2))*100</f>
        <v>9614.9673582483465</v>
      </c>
      <c r="D99">
        <f>(3/(1+('CurrentFact-N10,20Unchanged'!C99+'CurrentFact-N10,20Unchanged'!H99)/100)+103/POWER(1+('CurrentFact-N10,20Unchanged'!D99+'CurrentFact-N10,20Unchanged'!H99)/100,2))*100</f>
        <v>9605.0283388627304</v>
      </c>
      <c r="E99">
        <f>(3/(1+('CurrentFact-N10,20Unchanged'!C99+'CurrentFact-N10,20Unchanged'!I99)/100)+103/POWER(1+('CurrentFact-N10,20Unchanged'!D99+'CurrentFact-N10,20Unchanged'!I99)/100,2))*100</f>
        <v>9683.2113773965266</v>
      </c>
      <c r="F99">
        <f>Portfolio!B$5*'CurrentFact-N10,20Unchanged'!E99</f>
        <v>52143.895533915893</v>
      </c>
      <c r="G99">
        <f>Portfolio!B$6*'CurrentFact-N10,20Unchanged'!F99</f>
        <v>3696.2945087936532</v>
      </c>
      <c r="H99">
        <f>Portfolio!B$7*'CurrentFact-N10,20Unchanged'!J99</f>
        <v>2064.4550337304254</v>
      </c>
      <c r="I99">
        <f t="shared" si="2"/>
        <v>96515.437928376414</v>
      </c>
      <c r="J99">
        <f t="shared" si="3"/>
        <v>1.2819058974855579E-2</v>
      </c>
    </row>
    <row r="100" spans="1:10">
      <c r="A100" s="1">
        <v>45609</v>
      </c>
      <c r="B100">
        <f>(3/(1+('CurrentFact-N10,20Unchanged'!C100)/100)+103/POWER(1+('CurrentFact-N10,20Unchanged'!D100)/100,2))*100</f>
        <v>9707.5857774288397</v>
      </c>
      <c r="C100">
        <f>(3/(1+('CurrentFact-N10,20Unchanged'!C100+'CurrentFact-N10,20Unchanged'!G100)/100)+103/POWER(1+('CurrentFact-N10,20Unchanged'!D100+'CurrentFact-N10,20Unchanged'!G100)/100,2))*100</f>
        <v>9614.9673582483465</v>
      </c>
      <c r="D100">
        <f>(3/(1+('CurrentFact-N10,20Unchanged'!C100+'CurrentFact-N10,20Unchanged'!H100)/100)+103/POWER(1+('CurrentFact-N10,20Unchanged'!D100+'CurrentFact-N10,20Unchanged'!H100)/100,2))*100</f>
        <v>9592.0163202746589</v>
      </c>
      <c r="E100">
        <f>(3/(1+('CurrentFact-N10,20Unchanged'!C100+'CurrentFact-N10,20Unchanged'!I100)/100)+103/POWER(1+('CurrentFact-N10,20Unchanged'!D100+'CurrentFact-N10,20Unchanged'!I100)/100,2))*100</f>
        <v>9684.1226042922844</v>
      </c>
      <c r="F100">
        <f>Portfolio!B$5*'CurrentFact-N10,20Unchanged'!E100</f>
        <v>52143.895533915893</v>
      </c>
      <c r="G100">
        <f>Portfolio!B$6*'CurrentFact-N10,20Unchanged'!F100</f>
        <v>3696.2945087936532</v>
      </c>
      <c r="H100">
        <f>Portfolio!B$7*'CurrentFact-N10,20Unchanged'!J100</f>
        <v>2064.4550337304254</v>
      </c>
      <c r="I100">
        <f t="shared" si="2"/>
        <v>96503.337136684102</v>
      </c>
      <c r="J100">
        <f t="shared" si="3"/>
        <v>7.6823499409074429</v>
      </c>
    </row>
    <row r="101" spans="1:10">
      <c r="A101" s="1">
        <v>45610</v>
      </c>
      <c r="B101">
        <f>(3/(1+('CurrentFact-N10,20Unchanged'!C101)/100)+103/POWER(1+('CurrentFact-N10,20Unchanged'!D101)/100,2))*100</f>
        <v>9707.5857774288397</v>
      </c>
      <c r="C101">
        <f>(3/(1+('CurrentFact-N10,20Unchanged'!C101+'CurrentFact-N10,20Unchanged'!G101)/100)+103/POWER(1+('CurrentFact-N10,20Unchanged'!D101+'CurrentFact-N10,20Unchanged'!G101)/100,2))*100</f>
        <v>9614.9673582483465</v>
      </c>
      <c r="D101">
        <f>(3/(1+('CurrentFact-N10,20Unchanged'!C101+'CurrentFact-N10,20Unchanged'!H101)/100)+103/POWER(1+('CurrentFact-N10,20Unchanged'!D101+'CurrentFact-N10,20Unchanged'!H101)/100,2))*100</f>
        <v>9611.734677976161</v>
      </c>
      <c r="E101">
        <f>(3/(1+('CurrentFact-N10,20Unchanged'!C101+'CurrentFact-N10,20Unchanged'!I101)/100)+103/POWER(1+('CurrentFact-N10,20Unchanged'!D101+'CurrentFact-N10,20Unchanged'!I101)/100,2))*100</f>
        <v>9684.8334520784665</v>
      </c>
      <c r="F101">
        <f>Portfolio!B$5*'CurrentFact-N10,20Unchanged'!E101</f>
        <v>52143.895533915893</v>
      </c>
      <c r="G101">
        <f>Portfolio!B$6*'CurrentFact-N10,20Unchanged'!F101</f>
        <v>3696.2945087936532</v>
      </c>
      <c r="H101">
        <f>Portfolio!B$7*'CurrentFact-N10,20Unchanged'!J101</f>
        <v>2064.4550337304254</v>
      </c>
      <c r="I101">
        <f t="shared" si="2"/>
        <v>96523.766342171788</v>
      </c>
      <c r="J101">
        <f t="shared" si="3"/>
        <v>28.947780530812452</v>
      </c>
    </row>
    <row r="102" spans="1:10">
      <c r="A102" s="1">
        <v>45611</v>
      </c>
      <c r="B102">
        <f>(3/(1+('CurrentFact-N10,20Unchanged'!C102)/100)+103/POWER(1+('CurrentFact-N10,20Unchanged'!D102)/100,2))*100</f>
        <v>9707.5857774288397</v>
      </c>
      <c r="C102">
        <f>(3/(1+('CurrentFact-N10,20Unchanged'!C102+'CurrentFact-N10,20Unchanged'!G102)/100)+103/POWER(1+('CurrentFact-N10,20Unchanged'!D102+'CurrentFact-N10,20Unchanged'!G102)/100,2))*100</f>
        <v>9614.9673582483465</v>
      </c>
      <c r="D102">
        <f>(3/(1+('CurrentFact-N10,20Unchanged'!C102+'CurrentFact-N10,20Unchanged'!H102)/100)+103/POWER(1+('CurrentFact-N10,20Unchanged'!D102+'CurrentFact-N10,20Unchanged'!H102)/100,2))*100</f>
        <v>9606.6387898890553</v>
      </c>
      <c r="E102">
        <f>(3/(1+('CurrentFact-N10,20Unchanged'!C102+'CurrentFact-N10,20Unchanged'!I102)/100)+103/POWER(1+('CurrentFact-N10,20Unchanged'!D102+'CurrentFact-N10,20Unchanged'!I102)/100,2))*100</f>
        <v>9684.4142257946733</v>
      </c>
      <c r="F102">
        <f>Portfolio!B$5*'CurrentFact-N10,20Unchanged'!E102</f>
        <v>52143.895533915893</v>
      </c>
      <c r="G102">
        <f>Portfolio!B$6*'CurrentFact-N10,20Unchanged'!F102</f>
        <v>3696.2945087936532</v>
      </c>
      <c r="H102">
        <f>Portfolio!B$7*'CurrentFact-N10,20Unchanged'!J102</f>
        <v>2064.4550337304254</v>
      </c>
      <c r="I102">
        <f t="shared" si="2"/>
        <v>96518.25122780088</v>
      </c>
      <c r="J102">
        <f t="shared" si="3"/>
        <v>8.6739143863960635</v>
      </c>
    </row>
    <row r="103" spans="1:10">
      <c r="A103" s="1">
        <v>45614</v>
      </c>
      <c r="B103">
        <f>(3/(1+('CurrentFact-N10,20Unchanged'!C103)/100)+103/POWER(1+('CurrentFact-N10,20Unchanged'!D103)/100,2))*100</f>
        <v>9707.5857774288397</v>
      </c>
      <c r="C103">
        <f>(3/(1+('CurrentFact-N10,20Unchanged'!C103+'CurrentFact-N10,20Unchanged'!G103)/100)+103/POWER(1+('CurrentFact-N10,20Unchanged'!D103+'CurrentFact-N10,20Unchanged'!G103)/100,2))*100</f>
        <v>9614.9673582483465</v>
      </c>
      <c r="D103">
        <f>(3/(1+('CurrentFact-N10,20Unchanged'!C103+'CurrentFact-N10,20Unchanged'!H103)/100)+103/POWER(1+('CurrentFact-N10,20Unchanged'!D103+'CurrentFact-N10,20Unchanged'!H103)/100,2))*100</f>
        <v>9599.2123115751165</v>
      </c>
      <c r="E103">
        <f>(3/(1+('CurrentFact-N10,20Unchanged'!C103+'CurrentFact-N10,20Unchanged'!I103)/100)+103/POWER(1+('CurrentFact-N10,20Unchanged'!D103+'CurrentFact-N10,20Unchanged'!I103)/100,2))*100</f>
        <v>9683.9950252631097</v>
      </c>
      <c r="F103">
        <f>Portfolio!B$5*'CurrentFact-N10,20Unchanged'!E103</f>
        <v>52143.895533915893</v>
      </c>
      <c r="G103">
        <f>Portfolio!B$6*'CurrentFact-N10,20Unchanged'!F103</f>
        <v>3696.2945087936532</v>
      </c>
      <c r="H103">
        <f>Portfolio!B$7*'CurrentFact-N10,20Unchanged'!J103</f>
        <v>2064.4550337304254</v>
      </c>
      <c r="I103">
        <f t="shared" si="2"/>
        <v>96510.405548955372</v>
      </c>
      <c r="J103">
        <f t="shared" si="3"/>
        <v>10.858328502130462</v>
      </c>
    </row>
    <row r="104" spans="1:10">
      <c r="A104" s="1">
        <v>45615</v>
      </c>
      <c r="B104">
        <f>(3/(1+('CurrentFact-N10,20Unchanged'!C104)/100)+103/POWER(1+('CurrentFact-N10,20Unchanged'!D104)/100,2))*100</f>
        <v>9707.5857774288397</v>
      </c>
      <c r="C104">
        <f>(3/(1+('CurrentFact-N10,20Unchanged'!C104+'CurrentFact-N10,20Unchanged'!G104)/100)+103/POWER(1+('CurrentFact-N10,20Unchanged'!D104+'CurrentFact-N10,20Unchanged'!G104)/100,2))*100</f>
        <v>9614.9673582483465</v>
      </c>
      <c r="D104">
        <f>(3/(1+('CurrentFact-N10,20Unchanged'!C104+'CurrentFact-N10,20Unchanged'!H104)/100)+103/POWER(1+('CurrentFact-N10,20Unchanged'!D104+'CurrentFact-N10,20Unchanged'!H104)/100,2))*100</f>
        <v>9604.233254079445</v>
      </c>
      <c r="E104">
        <f>(3/(1+('CurrentFact-N10,20Unchanged'!C104+'CurrentFact-N10,20Unchanged'!I104)/100)+103/POWER(1+('CurrentFact-N10,20Unchanged'!D104+'CurrentFact-N10,20Unchanged'!I104)/100,2))*100</f>
        <v>9684.5235857668922</v>
      </c>
      <c r="F104">
        <f>Portfolio!B$5*'CurrentFact-N10,20Unchanged'!E104</f>
        <v>52143.895533915893</v>
      </c>
      <c r="G104">
        <f>Portfolio!B$6*'CurrentFact-N10,20Unchanged'!F104</f>
        <v>3696.2945087936532</v>
      </c>
      <c r="H104">
        <f>Portfolio!B$7*'CurrentFact-N10,20Unchanged'!J104</f>
        <v>2064.4550337304254</v>
      </c>
      <c r="I104">
        <f t="shared" si="2"/>
        <v>96515.955051963494</v>
      </c>
      <c r="J104">
        <f t="shared" si="3"/>
        <v>34.041191471653292</v>
      </c>
    </row>
    <row r="105" spans="1:10">
      <c r="A105" s="1">
        <v>45616</v>
      </c>
      <c r="B105">
        <f>(3/(1+('CurrentFact-N10,20Unchanged'!C105)/100)+103/POWER(1+('CurrentFact-N10,20Unchanged'!D105)/100,2))*100</f>
        <v>9707.5857774288397</v>
      </c>
      <c r="C105">
        <f>(3/(1+('CurrentFact-N10,20Unchanged'!C105+'CurrentFact-N10,20Unchanged'!G105)/100)+103/POWER(1+('CurrentFact-N10,20Unchanged'!D105+'CurrentFact-N10,20Unchanged'!G105)/100,2))*100</f>
        <v>9614.9673582483465</v>
      </c>
      <c r="D105">
        <f>(3/(1+('CurrentFact-N10,20Unchanged'!C105+'CurrentFact-N10,20Unchanged'!H105)/100)+103/POWER(1+('CurrentFact-N10,20Unchanged'!D105+'CurrentFact-N10,20Unchanged'!H105)/100,2))*100</f>
        <v>9620.3800925193445</v>
      </c>
      <c r="E105">
        <f>(3/(1+('CurrentFact-N10,20Unchanged'!C105+'CurrentFact-N10,20Unchanged'!I105)/100)+103/POWER(1+('CurrentFact-N10,20Unchanged'!D105+'CurrentFact-N10,20Unchanged'!I105)/100,2))*100</f>
        <v>9683.7034246212697</v>
      </c>
      <c r="F105">
        <f>Portfolio!B$5*'CurrentFact-N10,20Unchanged'!E105</f>
        <v>52143.895533915893</v>
      </c>
      <c r="G105">
        <f>Portfolio!B$6*'CurrentFact-N10,20Unchanged'!F105</f>
        <v>3696.2945087936532</v>
      </c>
      <c r="H105">
        <f>Portfolio!B$7*'CurrentFact-N10,20Unchanged'!J105</f>
        <v>2064.4550337304254</v>
      </c>
      <c r="I105">
        <f t="shared" si="2"/>
        <v>96531.281729257782</v>
      </c>
      <c r="J105">
        <f t="shared" si="3"/>
        <v>18.514652123383712</v>
      </c>
    </row>
    <row r="106" spans="1:10">
      <c r="A106" s="1">
        <v>45617</v>
      </c>
      <c r="B106">
        <f>(3/(1+('CurrentFact-N10,20Unchanged'!C106)/100)+103/POWER(1+('CurrentFact-N10,20Unchanged'!D106)/100,2))*100</f>
        <v>9707.5857774288397</v>
      </c>
      <c r="C106">
        <f>(3/(1+('CurrentFact-N10,20Unchanged'!C106+'CurrentFact-N10,20Unchanged'!G106)/100)+103/POWER(1+('CurrentFact-N10,20Unchanged'!D106+'CurrentFact-N10,20Unchanged'!G106)/100,2))*100</f>
        <v>9614.9673582483465</v>
      </c>
      <c r="D106">
        <f>(3/(1+('CurrentFact-N10,20Unchanged'!C106+'CurrentFact-N10,20Unchanged'!H106)/100)+103/POWER(1+('CurrentFact-N10,20Unchanged'!D106+'CurrentFact-N10,20Unchanged'!H106)/100,2))*100</f>
        <v>9618.9244570829196</v>
      </c>
      <c r="E106">
        <f>(3/(1+('CurrentFact-N10,20Unchanged'!C106+'CurrentFact-N10,20Unchanged'!I106)/100)+103/POWER(1+('CurrentFact-N10,20Unchanged'!D106+'CurrentFact-N10,20Unchanged'!I106)/100,2))*100</f>
        <v>9684.1226042922844</v>
      </c>
      <c r="F106">
        <f>Portfolio!B$5*'CurrentFact-N10,20Unchanged'!E106</f>
        <v>52143.895533915893</v>
      </c>
      <c r="G106">
        <f>Portfolio!B$6*'CurrentFact-N10,20Unchanged'!F106</f>
        <v>3696.2945087936532</v>
      </c>
      <c r="H106">
        <f>Portfolio!B$7*'CurrentFact-N10,20Unchanged'!J106</f>
        <v>2064.4550337304254</v>
      </c>
      <c r="I106">
        <f t="shared" si="2"/>
        <v>96530.245273492357</v>
      </c>
      <c r="J106">
        <f t="shared" si="3"/>
        <v>23.931783959720633</v>
      </c>
    </row>
    <row r="107" spans="1:10">
      <c r="A107" s="1">
        <v>45618</v>
      </c>
      <c r="B107">
        <f>(3/(1+('CurrentFact-N10,20Unchanged'!C107)/100)+103/POWER(1+('CurrentFact-N10,20Unchanged'!D107)/100,2))*100</f>
        <v>9707.5857774288397</v>
      </c>
      <c r="C107">
        <f>(3/(1+('CurrentFact-N10,20Unchanged'!C107+'CurrentFact-N10,20Unchanged'!G107)/100)+103/POWER(1+('CurrentFact-N10,20Unchanged'!D107+'CurrentFact-N10,20Unchanged'!G107)/100,2))*100</f>
        <v>9614.9673582483465</v>
      </c>
      <c r="D107">
        <f>(3/(1+('CurrentFact-N10,20Unchanged'!C107+'CurrentFact-N10,20Unchanged'!H107)/100)+103/POWER(1+('CurrentFact-N10,20Unchanged'!D107+'CurrentFact-N10,20Unchanged'!H107)/100,2))*100</f>
        <v>9595.7413073058633</v>
      </c>
      <c r="E107">
        <f>(3/(1+('CurrentFact-N10,20Unchanged'!C107+'CurrentFact-N10,20Unchanged'!I107)/100)+103/POWER(1+('CurrentFact-N10,20Unchanged'!D107+'CurrentFact-N10,20Unchanged'!I107)/100,2))*100</f>
        <v>9683.9038981990943</v>
      </c>
      <c r="F107">
        <f>Portfolio!B$5*'CurrentFact-N10,20Unchanged'!E107</f>
        <v>52143.895533915893</v>
      </c>
      <c r="G107">
        <f>Portfolio!B$6*'CurrentFact-N10,20Unchanged'!F107</f>
        <v>3696.2945087936532</v>
      </c>
      <c r="H107">
        <f>Portfolio!B$7*'CurrentFact-N10,20Unchanged'!J107</f>
        <v>2064.4550337304254</v>
      </c>
      <c r="I107">
        <f t="shared" si="2"/>
        <v>96506.84341762212</v>
      </c>
      <c r="J107">
        <f t="shared" si="3"/>
        <v>4.5919781765114749</v>
      </c>
    </row>
    <row r="108" spans="1:10">
      <c r="A108" s="1">
        <v>45621</v>
      </c>
      <c r="B108">
        <f>(3/(1+('CurrentFact-N10,20Unchanged'!C108)/100)+103/POWER(1+('CurrentFact-N10,20Unchanged'!D108)/100,2))*100</f>
        <v>9707.5857774288397</v>
      </c>
      <c r="C108">
        <f>(3/(1+('CurrentFact-N10,20Unchanged'!C108+'CurrentFact-N10,20Unchanged'!G108)/100)+103/POWER(1+('CurrentFact-N10,20Unchanged'!D108+'CurrentFact-N10,20Unchanged'!G108)/100,2))*100</f>
        <v>9614.9673582483465</v>
      </c>
      <c r="D108">
        <f>(3/(1+('CurrentFact-N10,20Unchanged'!C108+'CurrentFact-N10,20Unchanged'!H108)/100)+103/POWER(1+('CurrentFact-N10,20Unchanged'!D108+'CurrentFact-N10,20Unchanged'!H108)/100,2))*100</f>
        <v>9580.228892426363</v>
      </c>
      <c r="E108">
        <f>(3/(1+('CurrentFact-N10,20Unchanged'!C108+'CurrentFact-N10,20Unchanged'!I108)/100)+103/POWER(1+('CurrentFact-N10,20Unchanged'!D108+'CurrentFact-N10,20Unchanged'!I108)/100,2))*100</f>
        <v>9684.5235857668922</v>
      </c>
      <c r="F108">
        <f>Portfolio!B$5*'CurrentFact-N10,20Unchanged'!E108</f>
        <v>52143.895533915893</v>
      </c>
      <c r="G108">
        <f>Portfolio!B$6*'CurrentFact-N10,20Unchanged'!F108</f>
        <v>3696.2945087936532</v>
      </c>
      <c r="H108">
        <f>Portfolio!B$7*'CurrentFact-N10,20Unchanged'!J108</f>
        <v>2064.4550337304254</v>
      </c>
      <c r="I108">
        <f t="shared" si="2"/>
        <v>96491.950690310419</v>
      </c>
      <c r="J108">
        <f t="shared" si="3"/>
        <v>-22.109087146702223</v>
      </c>
    </row>
    <row r="109" spans="1:10">
      <c r="A109" s="1">
        <v>45622</v>
      </c>
      <c r="B109">
        <f>(3/(1+('CurrentFact-N10,20Unchanged'!C109)/100)+103/POWER(1+('CurrentFact-N10,20Unchanged'!D109)/100,2))*100</f>
        <v>9707.5857774288397</v>
      </c>
      <c r="C109">
        <f>(3/(1+('CurrentFact-N10,20Unchanged'!C109+'CurrentFact-N10,20Unchanged'!G109)/100)+103/POWER(1+('CurrentFact-N10,20Unchanged'!D109+'CurrentFact-N10,20Unchanged'!G109)/100,2))*100</f>
        <v>9614.9673582483465</v>
      </c>
      <c r="D109">
        <f>(3/(1+('CurrentFact-N10,20Unchanged'!C109+'CurrentFact-N10,20Unchanged'!H109)/100)+103/POWER(1+('CurrentFact-N10,20Unchanged'!D109+'CurrentFact-N10,20Unchanged'!H109)/100,2))*100</f>
        <v>9604.516645172871</v>
      </c>
      <c r="E109">
        <f>(3/(1+('CurrentFact-N10,20Unchanged'!C109+'CurrentFact-N10,20Unchanged'!I109)/100)+103/POWER(1+('CurrentFact-N10,20Unchanged'!D109+'CurrentFact-N10,20Unchanged'!I109)/100,2))*100</f>
        <v>9685.5443789132642</v>
      </c>
      <c r="F109">
        <f>Portfolio!B$5*'CurrentFact-N10,20Unchanged'!E109</f>
        <v>52143.895533915893</v>
      </c>
      <c r="G109">
        <f>Portfolio!B$6*'CurrentFact-N10,20Unchanged'!F109</f>
        <v>3696.2945087936532</v>
      </c>
      <c r="H109">
        <f>Portfolio!B$7*'CurrentFact-N10,20Unchanged'!J109</f>
        <v>2064.4550337304254</v>
      </c>
      <c r="I109">
        <f t="shared" si="2"/>
        <v>96517.259236203288</v>
      </c>
      <c r="J109">
        <f t="shared" si="3"/>
        <v>1.8213078268745448</v>
      </c>
    </row>
    <row r="110" spans="1:10">
      <c r="A110" s="1">
        <v>45623</v>
      </c>
      <c r="B110">
        <f>(3/(1+('CurrentFact-N10,20Unchanged'!C110)/100)+103/POWER(1+('CurrentFact-N10,20Unchanged'!D110)/100,2))*100</f>
        <v>9707.5857774288397</v>
      </c>
      <c r="C110">
        <f>(3/(1+('CurrentFact-N10,20Unchanged'!C110+'CurrentFact-N10,20Unchanged'!G110)/100)+103/POWER(1+('CurrentFact-N10,20Unchanged'!D110+'CurrentFact-N10,20Unchanged'!G110)/100,2))*100</f>
        <v>9614.9673582483465</v>
      </c>
      <c r="D110">
        <f>(3/(1+('CurrentFact-N10,20Unchanged'!C110+'CurrentFact-N10,20Unchanged'!H110)/100)+103/POWER(1+('CurrentFact-N10,20Unchanged'!D110+'CurrentFact-N10,20Unchanged'!H110)/100,2))*100</f>
        <v>9586.4855131027853</v>
      </c>
      <c r="E110">
        <f>(3/(1+('CurrentFact-N10,20Unchanged'!C110+'CurrentFact-N10,20Unchanged'!I110)/100)+103/POWER(1+('CurrentFact-N10,20Unchanged'!D110+'CurrentFact-N10,20Unchanged'!I110)/100,2))*100</f>
        <v>9685.3256241759664</v>
      </c>
      <c r="F110">
        <f>Portfolio!B$5*'CurrentFact-N10,20Unchanged'!E110</f>
        <v>52143.895533915893</v>
      </c>
      <c r="G110">
        <f>Portfolio!B$6*'CurrentFact-N10,20Unchanged'!F110</f>
        <v>3696.2945087936532</v>
      </c>
      <c r="H110">
        <f>Portfolio!B$7*'CurrentFact-N10,20Unchanged'!J110</f>
        <v>2064.4550337304254</v>
      </c>
      <c r="I110">
        <f t="shared" si="2"/>
        <v>96499.009349395899</v>
      </c>
      <c r="J110">
        <f t="shared" si="3"/>
        <v>-4.3277872882026713</v>
      </c>
    </row>
    <row r="111" spans="1:10">
      <c r="A111" s="1">
        <v>45624</v>
      </c>
      <c r="B111">
        <f>(3/(1+('CurrentFact-N10,20Unchanged'!C111)/100)+103/POWER(1+('CurrentFact-N10,20Unchanged'!D111)/100,2))*100</f>
        <v>9707.5857774288397</v>
      </c>
      <c r="C111">
        <f>(3/(1+('CurrentFact-N10,20Unchanged'!C111+'CurrentFact-N10,20Unchanged'!G111)/100)+103/POWER(1+('CurrentFact-N10,20Unchanged'!D111+'CurrentFact-N10,20Unchanged'!G111)/100,2))*100</f>
        <v>9614.9673582483465</v>
      </c>
      <c r="D111">
        <f>(3/(1+('CurrentFact-N10,20Unchanged'!C111+'CurrentFact-N10,20Unchanged'!H111)/100)+103/POWER(1+('CurrentFact-N10,20Unchanged'!D111+'CurrentFact-N10,20Unchanged'!H111)/100,2))*100</f>
        <v>9603.1188671695036</v>
      </c>
      <c r="E111">
        <f>(3/(1+('CurrentFact-N10,20Unchanged'!C111+'CurrentFact-N10,20Unchanged'!I111)/100)+103/POWER(1+('CurrentFact-N10,20Unchanged'!D111+'CurrentFact-N10,20Unchanged'!I111)/100,2))*100</f>
        <v>9684.7969973590189</v>
      </c>
      <c r="F111">
        <f>Portfolio!B$5*'CurrentFact-N10,20Unchanged'!E111</f>
        <v>52143.895533915893</v>
      </c>
      <c r="G111">
        <f>Portfolio!B$6*'CurrentFact-N10,20Unchanged'!F111</f>
        <v>3696.2945087936532</v>
      </c>
      <c r="H111">
        <f>Portfolio!B$7*'CurrentFact-N10,20Unchanged'!J111</f>
        <v>2064.4550337304254</v>
      </c>
      <c r="I111">
        <f t="shared" si="2"/>
        <v>96515.114076645667</v>
      </c>
      <c r="J111">
        <f t="shared" si="3"/>
        <v>-8.6522655261214823</v>
      </c>
    </row>
    <row r="112" spans="1:10">
      <c r="A112" s="1">
        <v>45625</v>
      </c>
      <c r="B112">
        <f>(3/(1+('CurrentFact-N10,20Unchanged'!C112)/100)+103/POWER(1+('CurrentFact-N10,20Unchanged'!D112)/100,2))*100</f>
        <v>9707.5857774288397</v>
      </c>
      <c r="C112">
        <f>(3/(1+('CurrentFact-N10,20Unchanged'!C112+'CurrentFact-N10,20Unchanged'!G112)/100)+103/POWER(1+('CurrentFact-N10,20Unchanged'!D112+'CurrentFact-N10,20Unchanged'!G112)/100,2))*100</f>
        <v>9614.9673582483465</v>
      </c>
      <c r="D112">
        <f>(3/(1+('CurrentFact-N10,20Unchanged'!C112+'CurrentFact-N10,20Unchanged'!H112)/100)+103/POWER(1+('CurrentFact-N10,20Unchanged'!D112+'CurrentFact-N10,20Unchanged'!H112)/100,2))*100</f>
        <v>9604.7569095569252</v>
      </c>
      <c r="E112">
        <f>(3/(1+('CurrentFact-N10,20Unchanged'!C112+'CurrentFact-N10,20Unchanged'!I112)/100)+103/POWER(1+('CurrentFact-N10,20Unchanged'!D112+'CurrentFact-N10,20Unchanged'!I112)/100,2))*100</f>
        <v>9685.1615626001931</v>
      </c>
      <c r="F112">
        <f>Portfolio!B$5*'CurrentFact-N10,20Unchanged'!E112</f>
        <v>52143.895533915893</v>
      </c>
      <c r="G112">
        <f>Portfolio!B$6*'CurrentFact-N10,20Unchanged'!F112</f>
        <v>3696.2945087936532</v>
      </c>
      <c r="H112">
        <f>Portfolio!B$7*'CurrentFact-N10,20Unchanged'!J112</f>
        <v>2064.4550337304254</v>
      </c>
      <c r="I112">
        <f t="shared" si="2"/>
        <v>96517.116684274282</v>
      </c>
      <c r="J112">
        <f t="shared" si="3"/>
        <v>-1.1345435265975539</v>
      </c>
    </row>
    <row r="113" spans="1:10">
      <c r="A113" s="1">
        <v>45628</v>
      </c>
      <c r="B113">
        <f>(3/(1+('CurrentFact-N10,20Unchanged'!C113)/100)+103/POWER(1+('CurrentFact-N10,20Unchanged'!D113)/100,2))*100</f>
        <v>9707.5857774288397</v>
      </c>
      <c r="C113">
        <f>(3/(1+('CurrentFact-N10,20Unchanged'!C113+'CurrentFact-N10,20Unchanged'!G113)/100)+103/POWER(1+('CurrentFact-N10,20Unchanged'!D113+'CurrentFact-N10,20Unchanged'!G113)/100,2))*100</f>
        <v>9614.9673582483465</v>
      </c>
      <c r="D113">
        <f>(3/(1+('CurrentFact-N10,20Unchanged'!C113+'CurrentFact-N10,20Unchanged'!H113)/100)+103/POWER(1+('CurrentFact-N10,20Unchanged'!D113+'CurrentFact-N10,20Unchanged'!H113)/100,2))*100</f>
        <v>9610.720248617843</v>
      </c>
      <c r="E113">
        <f>(3/(1+('CurrentFact-N10,20Unchanged'!C113+'CurrentFact-N10,20Unchanged'!I113)/100)+103/POWER(1+('CurrentFact-N10,20Unchanged'!D113+'CurrentFact-N10,20Unchanged'!I113)/100,2))*100</f>
        <v>9682.6282609042173</v>
      </c>
      <c r="F113">
        <f>Portfolio!B$5*'CurrentFact-N10,20Unchanged'!E113</f>
        <v>52143.895533915893</v>
      </c>
      <c r="G113">
        <f>Portfolio!B$6*'CurrentFact-N10,20Unchanged'!F113</f>
        <v>3696.2945087936532</v>
      </c>
      <c r="H113">
        <f>Portfolio!B$7*'CurrentFact-N10,20Unchanged'!J113</f>
        <v>2064.4550337304254</v>
      </c>
      <c r="I113">
        <f t="shared" si="2"/>
        <v>96520.546721639228</v>
      </c>
      <c r="J113">
        <f t="shared" si="3"/>
        <v>10.141172683855984</v>
      </c>
    </row>
    <row r="114" spans="1:10">
      <c r="A114" s="1">
        <v>45629</v>
      </c>
      <c r="B114">
        <f>(3/(1+('CurrentFact-N10,20Unchanged'!C114)/100)+103/POWER(1+('CurrentFact-N10,20Unchanged'!D114)/100,2))*100</f>
        <v>9707.5857774288397</v>
      </c>
      <c r="C114">
        <f>(3/(1+('CurrentFact-N10,20Unchanged'!C114+'CurrentFact-N10,20Unchanged'!G114)/100)+103/POWER(1+('CurrentFact-N10,20Unchanged'!D114+'CurrentFact-N10,20Unchanged'!G114)/100,2))*100</f>
        <v>9614.9673582483465</v>
      </c>
      <c r="D114">
        <f>(3/(1+('CurrentFact-N10,20Unchanged'!C114+'CurrentFact-N10,20Unchanged'!H114)/100)+103/POWER(1+('CurrentFact-N10,20Unchanged'!D114+'CurrentFact-N10,20Unchanged'!H114)/100,2))*100</f>
        <v>9605.8909921301129</v>
      </c>
      <c r="E114">
        <f>(3/(1+('CurrentFact-N10,20Unchanged'!C114+'CurrentFact-N10,20Unchanged'!I114)/100)+103/POWER(1+('CurrentFact-N10,20Unchanged'!D114+'CurrentFact-N10,20Unchanged'!I114)/100,2))*100</f>
        <v>9682.6647049953754</v>
      </c>
      <c r="F114">
        <f>Portfolio!B$5*'CurrentFact-N10,20Unchanged'!E114</f>
        <v>52143.895533915893</v>
      </c>
      <c r="G114">
        <f>Portfolio!B$6*'CurrentFact-N10,20Unchanged'!F114</f>
        <v>3696.2945087936532</v>
      </c>
      <c r="H114">
        <f>Portfolio!B$7*'CurrentFact-N10,20Unchanged'!J114</f>
        <v>2064.4550337304254</v>
      </c>
      <c r="I114">
        <f t="shared" si="2"/>
        <v>96515.753909242645</v>
      </c>
      <c r="J114">
        <f t="shared" si="3"/>
        <v>-0.20114272084902041</v>
      </c>
    </row>
    <row r="115" spans="1:10">
      <c r="A115" s="1">
        <v>45630</v>
      </c>
      <c r="B115">
        <f>(3/(1+('CurrentFact-N10,20Unchanged'!C115)/100)+103/POWER(1+('CurrentFact-N10,20Unchanged'!D115)/100,2))*100</f>
        <v>9707.5857774288397</v>
      </c>
      <c r="C115">
        <f>(3/(1+('CurrentFact-N10,20Unchanged'!C115+'CurrentFact-N10,20Unchanged'!G115)/100)+103/POWER(1+('CurrentFact-N10,20Unchanged'!D115+'CurrentFact-N10,20Unchanged'!G115)/100,2))*100</f>
        <v>9614.9673582483465</v>
      </c>
      <c r="D115">
        <f>(3/(1+('CurrentFact-N10,20Unchanged'!C115+'CurrentFact-N10,20Unchanged'!H115)/100)+103/POWER(1+('CurrentFact-N10,20Unchanged'!D115+'CurrentFact-N10,20Unchanged'!H115)/100,2))*100</f>
        <v>9621.8591838503235</v>
      </c>
      <c r="E115">
        <f>(3/(1+('CurrentFact-N10,20Unchanged'!C115+'CurrentFact-N10,20Unchanged'!I115)/100)+103/POWER(1+('CurrentFact-N10,20Unchanged'!D115+'CurrentFact-N10,20Unchanged'!I115)/100,2))*100</f>
        <v>9683.7945488274545</v>
      </c>
      <c r="F115">
        <f>Portfolio!B$5*'CurrentFact-N10,20Unchanged'!E115</f>
        <v>52143.895533915893</v>
      </c>
      <c r="G115">
        <f>Portfolio!B$6*'CurrentFact-N10,20Unchanged'!F115</f>
        <v>3696.2945087936532</v>
      </c>
      <c r="H115">
        <f>Portfolio!B$7*'CurrentFact-N10,20Unchanged'!J115</f>
        <v>2064.4550337304254</v>
      </c>
      <c r="I115">
        <f t="shared" si="2"/>
        <v>96532.851944794937</v>
      </c>
      <c r="J115">
        <f t="shared" si="3"/>
        <v>1.5702155371545814</v>
      </c>
    </row>
    <row r="116" spans="1:10">
      <c r="A116" s="1">
        <v>45631</v>
      </c>
      <c r="B116">
        <f>(3/(1+('CurrentFact-N10,20Unchanged'!C116)/100)+103/POWER(1+('CurrentFact-N10,20Unchanged'!D116)/100,2))*100</f>
        <v>9707.5857774288397</v>
      </c>
      <c r="C116">
        <f>(3/(1+('CurrentFact-N10,20Unchanged'!C116+'CurrentFact-N10,20Unchanged'!G116)/100)+103/POWER(1+('CurrentFact-N10,20Unchanged'!D116+'CurrentFact-N10,20Unchanged'!G116)/100,2))*100</f>
        <v>9614.9673582483465</v>
      </c>
      <c r="D116">
        <f>(3/(1+('CurrentFact-N10,20Unchanged'!C116+'CurrentFact-N10,20Unchanged'!H116)/100)+103/POWER(1+('CurrentFact-N10,20Unchanged'!D116+'CurrentFact-N10,20Unchanged'!H116)/100,2))*100</f>
        <v>9601.3571076738208</v>
      </c>
      <c r="E116">
        <f>(3/(1+('CurrentFact-N10,20Unchanged'!C116+'CurrentFact-N10,20Unchanged'!I116)/100)+103/POWER(1+('CurrentFact-N10,20Unchanged'!D116+'CurrentFact-N10,20Unchanged'!I116)/100,2))*100</f>
        <v>9683.8674487800654</v>
      </c>
      <c r="F116">
        <f>Portfolio!B$5*'CurrentFact-N10,20Unchanged'!E116</f>
        <v>52143.895533915893</v>
      </c>
      <c r="G116">
        <f>Portfolio!B$6*'CurrentFact-N10,20Unchanged'!F116</f>
        <v>3696.2945087936532</v>
      </c>
      <c r="H116">
        <f>Portfolio!B$7*'CurrentFact-N10,20Unchanged'!J116</f>
        <v>2064.4550337304254</v>
      </c>
      <c r="I116">
        <f t="shared" si="2"/>
        <v>96512.422768571036</v>
      </c>
      <c r="J116">
        <f t="shared" si="3"/>
        <v>-17.822504921321524</v>
      </c>
    </row>
    <row r="117" spans="1:10">
      <c r="A117" s="1">
        <v>45632</v>
      </c>
      <c r="B117">
        <f>(3/(1+('CurrentFact-N10,20Unchanged'!C117)/100)+103/POWER(1+('CurrentFact-N10,20Unchanged'!D117)/100,2))*100</f>
        <v>9707.5857774288397</v>
      </c>
      <c r="C117">
        <f>(3/(1+('CurrentFact-N10,20Unchanged'!C117+'CurrentFact-N10,20Unchanged'!G117)/100)+103/POWER(1+('CurrentFact-N10,20Unchanged'!D117+'CurrentFact-N10,20Unchanged'!G117)/100,2))*100</f>
        <v>9614.9673582483465</v>
      </c>
      <c r="D117">
        <f>(3/(1+('CurrentFact-N10,20Unchanged'!C117+'CurrentFact-N10,20Unchanged'!H117)/100)+103/POWER(1+('CurrentFact-N10,20Unchanged'!D117+'CurrentFact-N10,20Unchanged'!H117)/100,2))*100</f>
        <v>9599.2168648117313</v>
      </c>
      <c r="E117">
        <f>(3/(1+('CurrentFact-N10,20Unchanged'!C117+'CurrentFact-N10,20Unchanged'!I117)/100)+103/POWER(1+('CurrentFact-N10,20Unchanged'!D117+'CurrentFact-N10,20Unchanged'!I117)/100,2))*100</f>
        <v>9684.8881354165733</v>
      </c>
      <c r="F117">
        <f>Portfolio!B$5*'CurrentFact-N10,20Unchanged'!E117</f>
        <v>52143.895533915893</v>
      </c>
      <c r="G117">
        <f>Portfolio!B$6*'CurrentFact-N10,20Unchanged'!F117</f>
        <v>3696.2945087936532</v>
      </c>
      <c r="H117">
        <f>Portfolio!B$7*'CurrentFact-N10,20Unchanged'!J117</f>
        <v>2064.4550337304254</v>
      </c>
      <c r="I117">
        <f t="shared" si="2"/>
        <v>96511.303212345461</v>
      </c>
      <c r="J117">
        <f t="shared" si="3"/>
        <v>4.4597947233414743</v>
      </c>
    </row>
    <row r="118" spans="1:10">
      <c r="A118" s="1">
        <v>45635</v>
      </c>
      <c r="B118">
        <f>(3/(1+('CurrentFact-N10,20Unchanged'!C118)/100)+103/POWER(1+('CurrentFact-N10,20Unchanged'!D118)/100,2))*100</f>
        <v>9707.5857774288397</v>
      </c>
      <c r="C118">
        <f>(3/(1+('CurrentFact-N10,20Unchanged'!C118+'CurrentFact-N10,20Unchanged'!G118)/100)+103/POWER(1+('CurrentFact-N10,20Unchanged'!D118+'CurrentFact-N10,20Unchanged'!G118)/100,2))*100</f>
        <v>9614.9673582483465</v>
      </c>
      <c r="D118">
        <f>(3/(1+('CurrentFact-N10,20Unchanged'!C118+'CurrentFact-N10,20Unchanged'!H118)/100)+103/POWER(1+('CurrentFact-N10,20Unchanged'!D118+'CurrentFact-N10,20Unchanged'!H118)/100,2))*100</f>
        <v>9607.167874935607</v>
      </c>
      <c r="E118">
        <f>(3/(1+('CurrentFact-N10,20Unchanged'!C118+'CurrentFact-N10,20Unchanged'!I118)/100)+103/POWER(1+('CurrentFact-N10,20Unchanged'!D118+'CurrentFact-N10,20Unchanged'!I118)/100,2))*100</f>
        <v>9683.4847328690485</v>
      </c>
      <c r="F118">
        <f>Portfolio!B$5*'CurrentFact-N10,20Unchanged'!E118</f>
        <v>52143.895533915893</v>
      </c>
      <c r="G118">
        <f>Portfolio!B$6*'CurrentFact-N10,20Unchanged'!F118</f>
        <v>3696.2945087936532</v>
      </c>
      <c r="H118">
        <f>Portfolio!B$7*'CurrentFact-N10,20Unchanged'!J118</f>
        <v>2064.4550337304254</v>
      </c>
      <c r="I118">
        <f t="shared" si="2"/>
        <v>96517.850819921819</v>
      </c>
      <c r="J118">
        <f t="shared" si="3"/>
        <v>25.900129611400189</v>
      </c>
    </row>
    <row r="119" spans="1:10">
      <c r="A119" s="1">
        <v>45636</v>
      </c>
      <c r="B119">
        <f>(3/(1+('CurrentFact-N10,20Unchanged'!C119)/100)+103/POWER(1+('CurrentFact-N10,20Unchanged'!D119)/100,2))*100</f>
        <v>9707.5857774288397</v>
      </c>
      <c r="C119">
        <f>(3/(1+('CurrentFact-N10,20Unchanged'!C119+'CurrentFact-N10,20Unchanged'!G119)/100)+103/POWER(1+('CurrentFact-N10,20Unchanged'!D119+'CurrentFact-N10,20Unchanged'!G119)/100,2))*100</f>
        <v>9614.9673582483465</v>
      </c>
      <c r="D119">
        <f>(3/(1+('CurrentFact-N10,20Unchanged'!C119+'CurrentFact-N10,20Unchanged'!H119)/100)+103/POWER(1+('CurrentFact-N10,20Unchanged'!D119+'CurrentFact-N10,20Unchanged'!H119)/100,2))*100</f>
        <v>9599.3408121781467</v>
      </c>
      <c r="E119">
        <f>(3/(1+('CurrentFact-N10,20Unchanged'!C119+'CurrentFact-N10,20Unchanged'!I119)/100)+103/POWER(1+('CurrentFact-N10,20Unchanged'!D119+'CurrentFact-N10,20Unchanged'!I119)/100,2))*100</f>
        <v>9681.954098335942</v>
      </c>
      <c r="F119">
        <f>Portfolio!B$5*'CurrentFact-N10,20Unchanged'!E119</f>
        <v>52143.895533915893</v>
      </c>
      <c r="G119">
        <f>Portfolio!B$6*'CurrentFact-N10,20Unchanged'!F119</f>
        <v>3696.2945087936532</v>
      </c>
      <c r="H119">
        <f>Portfolio!B$7*'CurrentFact-N10,20Unchanged'!J119</f>
        <v>2064.4550337304254</v>
      </c>
      <c r="I119">
        <f t="shared" si="2"/>
        <v>96508.493122631247</v>
      </c>
      <c r="J119">
        <f t="shared" si="3"/>
        <v>-8.766113572040922</v>
      </c>
    </row>
    <row r="120" spans="1:10">
      <c r="A120" s="1">
        <v>45637</v>
      </c>
      <c r="B120">
        <f>(3/(1+('CurrentFact-N10,20Unchanged'!C120)/100)+103/POWER(1+('CurrentFact-N10,20Unchanged'!D120)/100,2))*100</f>
        <v>9707.5857774288397</v>
      </c>
      <c r="C120">
        <f>(3/(1+('CurrentFact-N10,20Unchanged'!C120+'CurrentFact-N10,20Unchanged'!G120)/100)+103/POWER(1+('CurrentFact-N10,20Unchanged'!D120+'CurrentFact-N10,20Unchanged'!G120)/100,2))*100</f>
        <v>9614.9673582483465</v>
      </c>
      <c r="D120">
        <f>(3/(1+('CurrentFact-N10,20Unchanged'!C120+'CurrentFact-N10,20Unchanged'!H120)/100)+103/POWER(1+('CurrentFact-N10,20Unchanged'!D120+'CurrentFact-N10,20Unchanged'!H120)/100,2))*100</f>
        <v>9581.9812171778321</v>
      </c>
      <c r="E120">
        <f>(3/(1+('CurrentFact-N10,20Unchanged'!C120+'CurrentFact-N10,20Unchanged'!I120)/100)+103/POWER(1+('CurrentFact-N10,20Unchanged'!D120+'CurrentFact-N10,20Unchanged'!I120)/100,2))*100</f>
        <v>9681.7901232696204</v>
      </c>
      <c r="F120">
        <f>Portfolio!B$5*'CurrentFact-N10,20Unchanged'!E120</f>
        <v>52143.895533915893</v>
      </c>
      <c r="G120">
        <f>Portfolio!B$6*'CurrentFact-N10,20Unchanged'!F120</f>
        <v>3696.2945087936532</v>
      </c>
      <c r="H120">
        <f>Portfolio!B$7*'CurrentFact-N10,20Unchanged'!J120</f>
        <v>2064.4550337304254</v>
      </c>
      <c r="I120">
        <f t="shared" si="2"/>
        <v>96490.969552564609</v>
      </c>
      <c r="J120">
        <f t="shared" si="3"/>
        <v>-8.0397968312900048</v>
      </c>
    </row>
    <row r="121" spans="1:10">
      <c r="A121" s="1">
        <v>45638</v>
      </c>
      <c r="B121">
        <f>(3/(1+('CurrentFact-N10,20Unchanged'!C121)/100)+103/POWER(1+('CurrentFact-N10,20Unchanged'!D121)/100,2))*100</f>
        <v>9707.5857774288397</v>
      </c>
      <c r="C121">
        <f>(3/(1+('CurrentFact-N10,20Unchanged'!C121+'CurrentFact-N10,20Unchanged'!G121)/100)+103/POWER(1+('CurrentFact-N10,20Unchanged'!D121+'CurrentFact-N10,20Unchanged'!G121)/100,2))*100</f>
        <v>9614.9673582483465</v>
      </c>
      <c r="D121">
        <f>(3/(1+('CurrentFact-N10,20Unchanged'!C121+'CurrentFact-N10,20Unchanged'!H121)/100)+103/POWER(1+('CurrentFact-N10,20Unchanged'!D121+'CurrentFact-N10,20Unchanged'!H121)/100,2))*100</f>
        <v>9598.2009469458499</v>
      </c>
      <c r="E121">
        <f>(3/(1+('CurrentFact-N10,20Unchanged'!C121+'CurrentFact-N10,20Unchanged'!I121)/100)+103/POWER(1+('CurrentFact-N10,20Unchanged'!D121+'CurrentFact-N10,20Unchanged'!I121)/100,2))*100</f>
        <v>9683.2113773965266</v>
      </c>
      <c r="F121">
        <f>Portfolio!B$5*'CurrentFact-N10,20Unchanged'!E121</f>
        <v>52143.895533915893</v>
      </c>
      <c r="G121">
        <f>Portfolio!B$6*'CurrentFact-N10,20Unchanged'!F121</f>
        <v>3696.2945087936532</v>
      </c>
      <c r="H121">
        <f>Portfolio!B$7*'CurrentFact-N10,20Unchanged'!J121</f>
        <v>2064.4550337304254</v>
      </c>
      <c r="I121">
        <f t="shared" si="2"/>
        <v>96508.610536459542</v>
      </c>
      <c r="J121">
        <f t="shared" si="3"/>
        <v>-6.5035401861241553</v>
      </c>
    </row>
    <row r="122" spans="1:10">
      <c r="A122" s="1">
        <v>45639</v>
      </c>
      <c r="B122">
        <f>(3/(1+('CurrentFact-N10,20Unchanged'!C122)/100)+103/POWER(1+('CurrentFact-N10,20Unchanged'!D122)/100,2))*100</f>
        <v>9707.5857774288397</v>
      </c>
      <c r="C122">
        <f>(3/(1+('CurrentFact-N10,20Unchanged'!C122+'CurrentFact-N10,20Unchanged'!G122)/100)+103/POWER(1+('CurrentFact-N10,20Unchanged'!D122+'CurrentFact-N10,20Unchanged'!G122)/100,2))*100</f>
        <v>9614.9673582483465</v>
      </c>
      <c r="D122">
        <f>(3/(1+('CurrentFact-N10,20Unchanged'!C122+'CurrentFact-N10,20Unchanged'!H122)/100)+103/POWER(1+('CurrentFact-N10,20Unchanged'!D122+'CurrentFact-N10,20Unchanged'!H122)/100,2))*100</f>
        <v>9606.7331353113295</v>
      </c>
      <c r="E122">
        <f>(3/(1+('CurrentFact-N10,20Unchanged'!C122+'CurrentFact-N10,20Unchanged'!I122)/100)+103/POWER(1+('CurrentFact-N10,20Unchanged'!D122+'CurrentFact-N10,20Unchanged'!I122)/100,2))*100</f>
        <v>9683.7034246212697</v>
      </c>
      <c r="F122">
        <f>Portfolio!B$5*'CurrentFact-N10,20Unchanged'!E122</f>
        <v>52143.895533915893</v>
      </c>
      <c r="G122">
        <f>Portfolio!B$6*'CurrentFact-N10,20Unchanged'!F122</f>
        <v>3696.2945087936532</v>
      </c>
      <c r="H122">
        <f>Portfolio!B$7*'CurrentFact-N10,20Unchanged'!J122</f>
        <v>2064.4550337304254</v>
      </c>
      <c r="I122">
        <f t="shared" si="2"/>
        <v>96517.634772049758</v>
      </c>
      <c r="J122">
        <f t="shared" si="3"/>
        <v>0.51808777547557838</v>
      </c>
    </row>
    <row r="123" spans="1:10">
      <c r="A123" s="1">
        <v>45642</v>
      </c>
      <c r="B123">
        <f>(3/(1+('CurrentFact-N10,20Unchanged'!C123)/100)+103/POWER(1+('CurrentFact-N10,20Unchanged'!D123)/100,2))*100</f>
        <v>9707.5857774288397</v>
      </c>
      <c r="C123">
        <f>(3/(1+('CurrentFact-N10,20Unchanged'!C123+'CurrentFact-N10,20Unchanged'!G123)/100)+103/POWER(1+('CurrentFact-N10,20Unchanged'!D123+'CurrentFact-N10,20Unchanged'!G123)/100,2))*100</f>
        <v>9614.9673582483465</v>
      </c>
      <c r="D123">
        <f>(3/(1+('CurrentFact-N10,20Unchanged'!C123+'CurrentFact-N10,20Unchanged'!H123)/100)+103/POWER(1+('CurrentFact-N10,20Unchanged'!D123+'CurrentFact-N10,20Unchanged'!H123)/100,2))*100</f>
        <v>9594.4438659396492</v>
      </c>
      <c r="E123">
        <f>(3/(1+('CurrentFact-N10,20Unchanged'!C123+'CurrentFact-N10,20Unchanged'!I123)/100)+103/POWER(1+('CurrentFact-N10,20Unchanged'!D123+'CurrentFact-N10,20Unchanged'!I123)/100,2))*100</f>
        <v>9684.8699087441364</v>
      </c>
      <c r="F123">
        <f>Portfolio!B$5*'CurrentFact-N10,20Unchanged'!E123</f>
        <v>52143.895533915893</v>
      </c>
      <c r="G123">
        <f>Portfolio!B$6*'CurrentFact-N10,20Unchanged'!F123</f>
        <v>3696.2945087936532</v>
      </c>
      <c r="H123">
        <f>Portfolio!B$7*'CurrentFact-N10,20Unchanged'!J123</f>
        <v>2064.4550337304254</v>
      </c>
      <c r="I123">
        <f t="shared" si="2"/>
        <v>96506.511986800935</v>
      </c>
      <c r="J123">
        <f t="shared" si="3"/>
        <v>-14.034734838292934</v>
      </c>
    </row>
    <row r="124" spans="1:10">
      <c r="A124" s="1">
        <v>45643</v>
      </c>
      <c r="B124">
        <f>(3/(1+('CurrentFact-N10,20Unchanged'!C124)/100)+103/POWER(1+('CurrentFact-N10,20Unchanged'!D124)/100,2))*100</f>
        <v>9707.5857774288397</v>
      </c>
      <c r="C124">
        <f>(3/(1+('CurrentFact-N10,20Unchanged'!C124+'CurrentFact-N10,20Unchanged'!G124)/100)+103/POWER(1+('CurrentFact-N10,20Unchanged'!D124+'CurrentFact-N10,20Unchanged'!G124)/100,2))*100</f>
        <v>9614.9673582483465</v>
      </c>
      <c r="D124">
        <f>(3/(1+('CurrentFact-N10,20Unchanged'!C124+'CurrentFact-N10,20Unchanged'!H124)/100)+103/POWER(1+('CurrentFact-N10,20Unchanged'!D124+'CurrentFact-N10,20Unchanged'!H124)/100,2))*100</f>
        <v>9593.8694294002198</v>
      </c>
      <c r="E124">
        <f>(3/(1+('CurrentFact-N10,20Unchanged'!C124+'CurrentFact-N10,20Unchanged'!I124)/100)+103/POWER(1+('CurrentFact-N10,20Unchanged'!D124+'CurrentFact-N10,20Unchanged'!I124)/100,2))*100</f>
        <v>9684.3959987351082</v>
      </c>
      <c r="F124">
        <f>Portfolio!B$5*'CurrentFact-N10,20Unchanged'!E124</f>
        <v>52143.895533915893</v>
      </c>
      <c r="G124">
        <f>Portfolio!B$6*'CurrentFact-N10,20Unchanged'!F124</f>
        <v>3696.2945087936532</v>
      </c>
      <c r="H124">
        <f>Portfolio!B$7*'CurrentFact-N10,20Unchanged'!J124</f>
        <v>2064.4550337304254</v>
      </c>
      <c r="I124">
        <f t="shared" si="2"/>
        <v>96505.463640252477</v>
      </c>
      <c r="J124">
        <f t="shared" si="3"/>
        <v>-10.290268990167533</v>
      </c>
    </row>
    <row r="125" spans="1:10">
      <c r="A125" s="1">
        <v>45644</v>
      </c>
      <c r="B125">
        <f>(3/(1+('CurrentFact-N10,20Unchanged'!C125)/100)+103/POWER(1+('CurrentFact-N10,20Unchanged'!D125)/100,2))*100</f>
        <v>9707.5857774288397</v>
      </c>
      <c r="C125">
        <f>(3/(1+('CurrentFact-N10,20Unchanged'!C125+'CurrentFact-N10,20Unchanged'!G125)/100)+103/POWER(1+('CurrentFact-N10,20Unchanged'!D125+'CurrentFact-N10,20Unchanged'!G125)/100,2))*100</f>
        <v>9614.9673582483465</v>
      </c>
      <c r="D125">
        <f>(3/(1+('CurrentFact-N10,20Unchanged'!C125+'CurrentFact-N10,20Unchanged'!H125)/100)+103/POWER(1+('CurrentFact-N10,20Unchanged'!D125+'CurrentFact-N10,20Unchanged'!H125)/100,2))*100</f>
        <v>9590.7310198603318</v>
      </c>
      <c r="E125">
        <f>(3/(1+('CurrentFact-N10,20Unchanged'!C125+'CurrentFact-N10,20Unchanged'!I125)/100)+103/POWER(1+('CurrentFact-N10,20Unchanged'!D125+'CurrentFact-N10,20Unchanged'!I125)/100,2))*100</f>
        <v>9682.3185014697392</v>
      </c>
      <c r="F125">
        <f>Portfolio!B$5*'CurrentFact-N10,20Unchanged'!E125</f>
        <v>52143.895533915893</v>
      </c>
      <c r="G125">
        <f>Portfolio!B$6*'CurrentFact-N10,20Unchanged'!F125</f>
        <v>3696.2945087936532</v>
      </c>
      <c r="H125">
        <f>Portfolio!B$7*'CurrentFact-N10,20Unchanged'!J125</f>
        <v>2064.4550337304254</v>
      </c>
      <c r="I125">
        <f t="shared" si="2"/>
        <v>96500.247733447235</v>
      </c>
      <c r="J125">
        <f t="shared" si="3"/>
        <v>-32.604211347701494</v>
      </c>
    </row>
    <row r="126" spans="1:10">
      <c r="A126" s="1">
        <v>45645</v>
      </c>
      <c r="B126">
        <f>(3/(1+('CurrentFact-N10,20Unchanged'!C126)/100)+103/POWER(1+('CurrentFact-N10,20Unchanged'!D126)/100,2))*100</f>
        <v>9707.5857774288397</v>
      </c>
      <c r="C126">
        <f>(3/(1+('CurrentFact-N10,20Unchanged'!C126+'CurrentFact-N10,20Unchanged'!G126)/100)+103/POWER(1+('CurrentFact-N10,20Unchanged'!D126+'CurrentFact-N10,20Unchanged'!G126)/100,2))*100</f>
        <v>9614.9673582483465</v>
      </c>
      <c r="D126">
        <f>(3/(1+('CurrentFact-N10,20Unchanged'!C126+'CurrentFact-N10,20Unchanged'!H126)/100)+103/POWER(1+('CurrentFact-N10,20Unchanged'!D126+'CurrentFact-N10,20Unchanged'!H126)/100,2))*100</f>
        <v>9591.7529996003213</v>
      </c>
      <c r="E126">
        <f>(3/(1+('CurrentFact-N10,20Unchanged'!C126+'CurrentFact-N10,20Unchanged'!I126)/100)+103/POWER(1+('CurrentFact-N10,20Unchanged'!D126+'CurrentFact-N10,20Unchanged'!I126)/100,2))*100</f>
        <v>9680.5877703046626</v>
      </c>
      <c r="F126">
        <f>Portfolio!B$5*'CurrentFact-N10,20Unchanged'!E126</f>
        <v>52143.895533915893</v>
      </c>
      <c r="G126">
        <f>Portfolio!B$6*'CurrentFact-N10,20Unchanged'!F126</f>
        <v>3696.2945087936532</v>
      </c>
      <c r="H126">
        <f>Portfolio!B$7*'CurrentFact-N10,20Unchanged'!J126</f>
        <v>2064.4550337304254</v>
      </c>
      <c r="I126">
        <f t="shared" si="2"/>
        <v>96499.538982022146</v>
      </c>
      <c r="J126">
        <f t="shared" si="3"/>
        <v>-12.883786548889475</v>
      </c>
    </row>
    <row r="127" spans="1:10">
      <c r="A127" s="1">
        <v>45646</v>
      </c>
      <c r="B127">
        <f>(3/(1+('CurrentFact-N10,20Unchanged'!C127)/100)+103/POWER(1+('CurrentFact-N10,20Unchanged'!D127)/100,2))*100</f>
        <v>9707.5857774288397</v>
      </c>
      <c r="C127">
        <f>(3/(1+('CurrentFact-N10,20Unchanged'!C127+'CurrentFact-N10,20Unchanged'!G127)/100)+103/POWER(1+('CurrentFact-N10,20Unchanged'!D127+'CurrentFact-N10,20Unchanged'!G127)/100,2))*100</f>
        <v>9614.9673582483465</v>
      </c>
      <c r="D127">
        <f>(3/(1+('CurrentFact-N10,20Unchanged'!C127+'CurrentFact-N10,20Unchanged'!H127)/100)+103/POWER(1+('CurrentFact-N10,20Unchanged'!D127+'CurrentFact-N10,20Unchanged'!H127)/100,2))*100</f>
        <v>9604.0602304754975</v>
      </c>
      <c r="E127">
        <f>(3/(1+('CurrentFact-N10,20Unchanged'!C127+'CurrentFact-N10,20Unchanged'!I127)/100)+103/POWER(1+('CurrentFact-N10,20Unchanged'!D127+'CurrentFact-N10,20Unchanged'!I127)/100,2))*100</f>
        <v>9681.7901232696204</v>
      </c>
      <c r="F127">
        <f>Portfolio!B$5*'CurrentFact-N10,20Unchanged'!E127</f>
        <v>52143.895533915893</v>
      </c>
      <c r="G127">
        <f>Portfolio!B$6*'CurrentFact-N10,20Unchanged'!F127</f>
        <v>3696.2945087936532</v>
      </c>
      <c r="H127">
        <f>Portfolio!B$7*'CurrentFact-N10,20Unchanged'!J127</f>
        <v>2064.4550337304254</v>
      </c>
      <c r="I127">
        <f t="shared" si="2"/>
        <v>96513.048565862264</v>
      </c>
      <c r="J127">
        <f t="shared" si="3"/>
        <v>1.7453535168024246</v>
      </c>
    </row>
    <row r="128" spans="1:10">
      <c r="A128" s="1">
        <v>45649</v>
      </c>
      <c r="B128">
        <f>(3/(1+('CurrentFact-N10,20Unchanged'!C128)/100)+103/POWER(1+('CurrentFact-N10,20Unchanged'!D128)/100,2))*100</f>
        <v>9707.5857774288397</v>
      </c>
      <c r="C128">
        <f>(3/(1+('CurrentFact-N10,20Unchanged'!C128+'CurrentFact-N10,20Unchanged'!G128)/100)+103/POWER(1+('CurrentFact-N10,20Unchanged'!D128+'CurrentFact-N10,20Unchanged'!G128)/100,2))*100</f>
        <v>9614.9673582483465</v>
      </c>
      <c r="D128">
        <f>(3/(1+('CurrentFact-N10,20Unchanged'!C128+'CurrentFact-N10,20Unchanged'!H128)/100)+103/POWER(1+('CurrentFact-N10,20Unchanged'!D128+'CurrentFact-N10,20Unchanged'!H128)/100,2))*100</f>
        <v>9593.5743069351101</v>
      </c>
      <c r="E128">
        <f>(3/(1+('CurrentFact-N10,20Unchanged'!C128+'CurrentFact-N10,20Unchanged'!I128)/100)+103/POWER(1+('CurrentFact-N10,20Unchanged'!D128+'CurrentFact-N10,20Unchanged'!I128)/100,2))*100</f>
        <v>9684.6694031322149</v>
      </c>
      <c r="F128">
        <f>Portfolio!B$5*'CurrentFact-N10,20Unchanged'!E128</f>
        <v>52143.895533915893</v>
      </c>
      <c r="G128">
        <f>Portfolio!B$6*'CurrentFact-N10,20Unchanged'!F128</f>
        <v>3696.2945087936532</v>
      </c>
      <c r="H128">
        <f>Portfolio!B$7*'CurrentFact-N10,20Unchanged'!J128</f>
        <v>2064.4550337304254</v>
      </c>
      <c r="I128">
        <f t="shared" si="2"/>
        <v>96505.441922184487</v>
      </c>
      <c r="J128">
        <f t="shared" si="3"/>
        <v>-12.408897737332154</v>
      </c>
    </row>
    <row r="129" spans="1:10">
      <c r="A129" s="1">
        <v>45650</v>
      </c>
      <c r="B129">
        <f>(3/(1+('CurrentFact-N10,20Unchanged'!C129)/100)+103/POWER(1+('CurrentFact-N10,20Unchanged'!D129)/100,2))*100</f>
        <v>9707.5857774288397</v>
      </c>
      <c r="C129">
        <f>(3/(1+('CurrentFact-N10,20Unchanged'!C129+'CurrentFact-N10,20Unchanged'!G129)/100)+103/POWER(1+('CurrentFact-N10,20Unchanged'!D129+'CurrentFact-N10,20Unchanged'!G129)/100,2))*100</f>
        <v>9614.9673582483465</v>
      </c>
      <c r="D129">
        <f>(3/(1+('CurrentFact-N10,20Unchanged'!C129+'CurrentFact-N10,20Unchanged'!H129)/100)+103/POWER(1+('CurrentFact-N10,20Unchanged'!D129+'CurrentFact-N10,20Unchanged'!H129)/100,2))*100</f>
        <v>9615.9542959949868</v>
      </c>
      <c r="E129">
        <f>(3/(1+('CurrentFact-N10,20Unchanged'!C129+'CurrentFact-N10,20Unchanged'!I129)/100)+103/POWER(1+('CurrentFact-N10,20Unchanged'!D129+'CurrentFact-N10,20Unchanged'!I129)/100,2))*100</f>
        <v>9683.594076940919</v>
      </c>
      <c r="F129">
        <f>Portfolio!B$5*'CurrentFact-N10,20Unchanged'!E129</f>
        <v>52143.895533915893</v>
      </c>
      <c r="G129">
        <f>Portfolio!B$6*'CurrentFact-N10,20Unchanged'!F129</f>
        <v>3696.2945087936532</v>
      </c>
      <c r="H129">
        <f>Portfolio!B$7*'CurrentFact-N10,20Unchanged'!J129</f>
        <v>2064.4550337304254</v>
      </c>
      <c r="I129">
        <f t="shared" si="2"/>
        <v>96526.746585053072</v>
      </c>
      <c r="J129">
        <f t="shared" si="3"/>
        <v>18.253462421824224</v>
      </c>
    </row>
    <row r="130" spans="1:10">
      <c r="A130" s="1">
        <v>45651</v>
      </c>
      <c r="B130">
        <f>(3/(1+('CurrentFact-N10,20Unchanged'!C130)/100)+103/POWER(1+('CurrentFact-N10,20Unchanged'!D130)/100,2))*100</f>
        <v>9707.5857774288397</v>
      </c>
      <c r="C130">
        <f>(3/(1+('CurrentFact-N10,20Unchanged'!C130+'CurrentFact-N10,20Unchanged'!G130)/100)+103/POWER(1+('CurrentFact-N10,20Unchanged'!D130+'CurrentFact-N10,20Unchanged'!G130)/100,2))*100</f>
        <v>9614.9673582483465</v>
      </c>
      <c r="D130">
        <f>(3/(1+('CurrentFact-N10,20Unchanged'!C130+'CurrentFact-N10,20Unchanged'!H130)/100)+103/POWER(1+('CurrentFact-N10,20Unchanged'!D130+'CurrentFact-N10,20Unchanged'!H130)/100,2))*100</f>
        <v>9604.4626392167083</v>
      </c>
      <c r="E130">
        <f>(3/(1+('CurrentFact-N10,20Unchanged'!C130+'CurrentFact-N10,20Unchanged'!I130)/100)+103/POWER(1+('CurrentFact-N10,20Unchanged'!D130+'CurrentFact-N10,20Unchanged'!I130)/100,2))*100</f>
        <v>9683.0291486470051</v>
      </c>
      <c r="F130">
        <f>Portfolio!B$5*'CurrentFact-N10,20Unchanged'!E130</f>
        <v>52143.895533915893</v>
      </c>
      <c r="G130">
        <f>Portfolio!B$6*'CurrentFact-N10,20Unchanged'!F130</f>
        <v>3696.2945087936532</v>
      </c>
      <c r="H130">
        <f>Portfolio!B$7*'CurrentFact-N10,20Unchanged'!J130</f>
        <v>2064.4550337304254</v>
      </c>
      <c r="I130">
        <f t="shared" si="2"/>
        <v>96514.689999980881</v>
      </c>
      <c r="J130">
        <f t="shared" si="3"/>
        <v>23.720447416271782</v>
      </c>
    </row>
    <row r="131" spans="1:10">
      <c r="A131" s="1">
        <v>45652</v>
      </c>
      <c r="B131">
        <f>(3/(1+('CurrentFact-N10,20Unchanged'!C131)/100)+103/POWER(1+('CurrentFact-N10,20Unchanged'!D131)/100,2))*100</f>
        <v>9707.5857774288397</v>
      </c>
      <c r="C131">
        <f>(3/(1+('CurrentFact-N10,20Unchanged'!C131+'CurrentFact-N10,20Unchanged'!G131)/100)+103/POWER(1+('CurrentFact-N10,20Unchanged'!D131+'CurrentFact-N10,20Unchanged'!G131)/100,2))*100</f>
        <v>9614.9673582483465</v>
      </c>
      <c r="D131">
        <f>(3/(1+('CurrentFact-N10,20Unchanged'!C131+'CurrentFact-N10,20Unchanged'!H131)/100)+103/POWER(1+('CurrentFact-N10,20Unchanged'!D131+'CurrentFact-N10,20Unchanged'!H131)/100,2))*100</f>
        <v>9607.1139099875763</v>
      </c>
      <c r="E131">
        <f>(3/(1+('CurrentFact-N10,20Unchanged'!C131+'CurrentFact-N10,20Unchanged'!I131)/100)+103/POWER(1+('CurrentFact-N10,20Unchanged'!D131+'CurrentFact-N10,20Unchanged'!I131)/100,2))*100</f>
        <v>9683.3753889296495</v>
      </c>
      <c r="F131">
        <f>Portfolio!B$5*'CurrentFact-N10,20Unchanged'!E131</f>
        <v>52143.895533915893</v>
      </c>
      <c r="G131">
        <f>Portfolio!B$6*'CurrentFact-N10,20Unchanged'!F131</f>
        <v>3696.2945087936532</v>
      </c>
      <c r="H131">
        <f>Portfolio!B$7*'CurrentFact-N10,20Unchanged'!J131</f>
        <v>2064.4550337304254</v>
      </c>
      <c r="I131">
        <f t="shared" si="2"/>
        <v>96517.687511034383</v>
      </c>
      <c r="J131">
        <f t="shared" si="3"/>
        <v>9.0769745748402784</v>
      </c>
    </row>
    <row r="132" spans="1:10">
      <c r="A132" s="1">
        <v>45653</v>
      </c>
      <c r="B132">
        <f>(3/(1+('CurrentFact-N10,20Unchanged'!C132)/100)+103/POWER(1+('CurrentFact-N10,20Unchanged'!D132)/100,2))*100</f>
        <v>9707.5857774288397</v>
      </c>
      <c r="C132">
        <f>(3/(1+('CurrentFact-N10,20Unchanged'!C132+'CurrentFact-N10,20Unchanged'!G132)/100)+103/POWER(1+('CurrentFact-N10,20Unchanged'!D132+'CurrentFact-N10,20Unchanged'!G132)/100,2))*100</f>
        <v>9614.9673582483465</v>
      </c>
      <c r="D132">
        <f>(3/(1+('CurrentFact-N10,20Unchanged'!C132+'CurrentFact-N10,20Unchanged'!H132)/100)+103/POWER(1+('CurrentFact-N10,20Unchanged'!D132+'CurrentFact-N10,20Unchanged'!H132)/100,2))*100</f>
        <v>9597.3097298767407</v>
      </c>
      <c r="E132">
        <f>(3/(1+('CurrentFact-N10,20Unchanged'!C132+'CurrentFact-N10,20Unchanged'!I132)/100)+103/POWER(1+('CurrentFact-N10,20Unchanged'!D132+'CurrentFact-N10,20Unchanged'!I132)/100,2))*100</f>
        <v>9682.755812656851</v>
      </c>
      <c r="F132">
        <f>Portfolio!B$5*'CurrentFact-N10,20Unchanged'!E132</f>
        <v>52143.895533915893</v>
      </c>
      <c r="G132">
        <f>Portfolio!B$6*'CurrentFact-N10,20Unchanged'!F132</f>
        <v>3696.2945087936532</v>
      </c>
      <c r="H132">
        <f>Portfolio!B$7*'CurrentFact-N10,20Unchanged'!J132</f>
        <v>2064.4550337304254</v>
      </c>
      <c r="I132">
        <f t="shared" ref="I132:I187" si="4">SUM(B132:H132)</f>
        <v>96507.263754650747</v>
      </c>
      <c r="J132">
        <f t="shared" si="3"/>
        <v>-10.37101739901118</v>
      </c>
    </row>
    <row r="133" spans="1:10">
      <c r="A133" s="1">
        <v>45656</v>
      </c>
      <c r="B133">
        <f>(3/(1+('CurrentFact-N10,20Unchanged'!C133)/100)+103/POWER(1+('CurrentFact-N10,20Unchanged'!D133)/100,2))*100</f>
        <v>9707.5857774288397</v>
      </c>
      <c r="C133">
        <f>(3/(1+('CurrentFact-N10,20Unchanged'!C133+'CurrentFact-N10,20Unchanged'!G133)/100)+103/POWER(1+('CurrentFact-N10,20Unchanged'!D133+'CurrentFact-N10,20Unchanged'!G133)/100,2))*100</f>
        <v>9614.9673582483465</v>
      </c>
      <c r="D133">
        <f>(3/(1+('CurrentFact-N10,20Unchanged'!C133+'CurrentFact-N10,20Unchanged'!H133)/100)+103/POWER(1+('CurrentFact-N10,20Unchanged'!D133+'CurrentFact-N10,20Unchanged'!H133)/100,2))*100</f>
        <v>9609.6940714917473</v>
      </c>
      <c r="E133">
        <f>(3/(1+('CurrentFact-N10,20Unchanged'!C133+'CurrentFact-N10,20Unchanged'!I133)/100)+103/POWER(1+('CurrentFact-N10,20Unchanged'!D133+'CurrentFact-N10,20Unchanged'!I133)/100,2))*100</f>
        <v>9682.2456191808233</v>
      </c>
      <c r="F133">
        <f>Portfolio!B$5*'CurrentFact-N10,20Unchanged'!E133</f>
        <v>52143.895533915893</v>
      </c>
      <c r="G133">
        <f>Portfolio!B$6*'CurrentFact-N10,20Unchanged'!F133</f>
        <v>3696.2945087936532</v>
      </c>
      <c r="H133">
        <f>Portfolio!B$7*'CurrentFact-N10,20Unchanged'!J133</f>
        <v>2064.4550337304254</v>
      </c>
      <c r="I133">
        <f t="shared" si="4"/>
        <v>96519.13790278972</v>
      </c>
      <c r="J133">
        <f t="shared" si="3"/>
        <v>12.625915988784982</v>
      </c>
    </row>
    <row r="134" spans="1:10">
      <c r="A134" s="1">
        <v>45657</v>
      </c>
      <c r="B134">
        <f>(3/(1+('CurrentFact-N10,20Unchanged'!C134)/100)+103/POWER(1+('CurrentFact-N10,20Unchanged'!D134)/100,2))*100</f>
        <v>9707.5857774288397</v>
      </c>
      <c r="C134">
        <f>(3/(1+('CurrentFact-N10,20Unchanged'!C134+'CurrentFact-N10,20Unchanged'!G134)/100)+103/POWER(1+('CurrentFact-N10,20Unchanged'!D134+'CurrentFact-N10,20Unchanged'!G134)/100,2))*100</f>
        <v>9614.9673582483465</v>
      </c>
      <c r="D134">
        <f>(3/(1+('CurrentFact-N10,20Unchanged'!C134+'CurrentFact-N10,20Unchanged'!H134)/100)+103/POWER(1+('CurrentFact-N10,20Unchanged'!D134+'CurrentFact-N10,20Unchanged'!H134)/100,2))*100</f>
        <v>9602.7745050467329</v>
      </c>
      <c r="E134">
        <f>(3/(1+('CurrentFact-N10,20Unchanged'!C134+'CurrentFact-N10,20Unchanged'!I134)/100)+103/POWER(1+('CurrentFact-N10,20Unchanged'!D134+'CurrentFact-N10,20Unchanged'!I134)/100,2))*100</f>
        <v>9682.3002803851778</v>
      </c>
      <c r="F134">
        <f>Portfolio!B$5*'CurrentFact-N10,20Unchanged'!E134</f>
        <v>52143.895533915893</v>
      </c>
      <c r="G134">
        <f>Portfolio!B$6*'CurrentFact-N10,20Unchanged'!F134</f>
        <v>3696.2945087936532</v>
      </c>
      <c r="H134">
        <f>Portfolio!B$7*'CurrentFact-N10,20Unchanged'!J134</f>
        <v>2064.4550337304254</v>
      </c>
      <c r="I134">
        <f t="shared" si="4"/>
        <v>96512.272997549066</v>
      </c>
      <c r="J134">
        <f t="shared" si="3"/>
        <v>6.8093572965881322</v>
      </c>
    </row>
    <row r="135" spans="1:10">
      <c r="A135" s="1">
        <v>45658</v>
      </c>
      <c r="B135">
        <f>(3/(1+('CurrentFact-N10,20Unchanged'!C135)/100)+103/POWER(1+('CurrentFact-N10,20Unchanged'!D135)/100,2))*100</f>
        <v>9707.5857774288397</v>
      </c>
      <c r="C135">
        <f>(3/(1+('CurrentFact-N10,20Unchanged'!C135+'CurrentFact-N10,20Unchanged'!G135)/100)+103/POWER(1+('CurrentFact-N10,20Unchanged'!D135+'CurrentFact-N10,20Unchanged'!G135)/100,2))*100</f>
        <v>9614.9673582483465</v>
      </c>
      <c r="D135">
        <f>(3/(1+('CurrentFact-N10,20Unchanged'!C135+'CurrentFact-N10,20Unchanged'!H135)/100)+103/POWER(1+('CurrentFact-N10,20Unchanged'!D135+'CurrentFact-N10,20Unchanged'!H135)/100,2))*100</f>
        <v>9593.0970046067578</v>
      </c>
      <c r="E135">
        <f>(3/(1+('CurrentFact-N10,20Unchanged'!C135+'CurrentFact-N10,20Unchanged'!I135)/100)+103/POWER(1+('CurrentFact-N10,20Unchanged'!D135+'CurrentFact-N10,20Unchanged'!I135)/100,2))*100</f>
        <v>9682.6282609042173</v>
      </c>
      <c r="F135">
        <f>Portfolio!B$5*'CurrentFact-N10,20Unchanged'!E135</f>
        <v>52143.895533915893</v>
      </c>
      <c r="G135">
        <f>Portfolio!B$6*'CurrentFact-N10,20Unchanged'!F135</f>
        <v>3696.2945087936532</v>
      </c>
      <c r="H135">
        <f>Portfolio!B$7*'CurrentFact-N10,20Unchanged'!J135</f>
        <v>2064.4550337304254</v>
      </c>
      <c r="I135">
        <f t="shared" si="4"/>
        <v>96502.923477628123</v>
      </c>
      <c r="J135">
        <f t="shared" si="3"/>
        <v>2.6757441808877047</v>
      </c>
    </row>
    <row r="136" spans="1:10">
      <c r="A136" s="1">
        <v>45659</v>
      </c>
      <c r="B136">
        <f>(3/(1+('CurrentFact-N10,20Unchanged'!C136)/100)+103/POWER(1+('CurrentFact-N10,20Unchanged'!D136)/100,2))*100</f>
        <v>9707.5857774288397</v>
      </c>
      <c r="C136">
        <f>(3/(1+('CurrentFact-N10,20Unchanged'!C136+'CurrentFact-N10,20Unchanged'!G136)/100)+103/POWER(1+('CurrentFact-N10,20Unchanged'!D136+'CurrentFact-N10,20Unchanged'!G136)/100,2))*100</f>
        <v>9614.9673582483465</v>
      </c>
      <c r="D136">
        <f>(3/(1+('CurrentFact-N10,20Unchanged'!C136+'CurrentFact-N10,20Unchanged'!H136)/100)+103/POWER(1+('CurrentFact-N10,20Unchanged'!D136+'CurrentFact-N10,20Unchanged'!H136)/100,2))*100</f>
        <v>9592.9984301086824</v>
      </c>
      <c r="E136">
        <f>(3/(1+('CurrentFact-N10,20Unchanged'!C136+'CurrentFact-N10,20Unchanged'!I136)/100)+103/POWER(1+('CurrentFact-N10,20Unchanged'!D136+'CurrentFact-N10,20Unchanged'!I136)/100,2))*100</f>
        <v>9683.739873105038</v>
      </c>
      <c r="F136">
        <f>Portfolio!B$5*'CurrentFact-N10,20Unchanged'!E136</f>
        <v>52143.895533915893</v>
      </c>
      <c r="G136">
        <f>Portfolio!B$6*'CurrentFact-N10,20Unchanged'!F136</f>
        <v>3696.2945087936532</v>
      </c>
      <c r="H136">
        <f>Portfolio!B$7*'CurrentFact-N10,20Unchanged'!J136</f>
        <v>2064.4550337304254</v>
      </c>
      <c r="I136">
        <f t="shared" si="4"/>
        <v>96503.93651533089</v>
      </c>
      <c r="J136">
        <f t="shared" si="3"/>
        <v>4.3975333087437321</v>
      </c>
    </row>
    <row r="137" spans="1:10">
      <c r="A137" s="1">
        <v>45660</v>
      </c>
      <c r="B137">
        <f>(3/(1+('CurrentFact-N10,20Unchanged'!C137)/100)+103/POWER(1+('CurrentFact-N10,20Unchanged'!D137)/100,2))*100</f>
        <v>9707.5857774288397</v>
      </c>
      <c r="C137">
        <f>(3/(1+('CurrentFact-N10,20Unchanged'!C137+'CurrentFact-N10,20Unchanged'!G137)/100)+103/POWER(1+('CurrentFact-N10,20Unchanged'!D137+'CurrentFact-N10,20Unchanged'!G137)/100,2))*100</f>
        <v>9614.9673582483465</v>
      </c>
      <c r="D137">
        <f>(3/(1+('CurrentFact-N10,20Unchanged'!C137+'CurrentFact-N10,20Unchanged'!H137)/100)+103/POWER(1+('CurrentFact-N10,20Unchanged'!D137+'CurrentFact-N10,20Unchanged'!H137)/100,2))*100</f>
        <v>9605.7658854391539</v>
      </c>
      <c r="E137">
        <f>(3/(1+('CurrentFact-N10,20Unchanged'!C137+'CurrentFact-N10,20Unchanged'!I137)/100)+103/POWER(1+('CurrentFact-N10,20Unchanged'!D137+'CurrentFact-N10,20Unchanged'!I137)/100,2))*100</f>
        <v>9684.1590569043819</v>
      </c>
      <c r="F137">
        <f>Portfolio!B$5*'CurrentFact-N10,20Unchanged'!E137</f>
        <v>52143.895533915893</v>
      </c>
      <c r="G137">
        <f>Portfolio!B$6*'CurrentFact-N10,20Unchanged'!F137</f>
        <v>3696.2945087936532</v>
      </c>
      <c r="H137">
        <f>Portfolio!B$7*'CurrentFact-N10,20Unchanged'!J137</f>
        <v>2064.4550337304254</v>
      </c>
      <c r="I137">
        <f t="shared" si="4"/>
        <v>96517.123154460685</v>
      </c>
      <c r="J137">
        <f t="shared" si="3"/>
        <v>4.074588598421542</v>
      </c>
    </row>
    <row r="138" spans="1:10">
      <c r="A138" s="1">
        <v>45663</v>
      </c>
      <c r="B138">
        <f>(3/(1+('CurrentFact-N10,20Unchanged'!C138)/100)+103/POWER(1+('CurrentFact-N10,20Unchanged'!D138)/100,2))*100</f>
        <v>9707.5857774288397</v>
      </c>
      <c r="C138">
        <f>(3/(1+('CurrentFact-N10,20Unchanged'!C138+'CurrentFact-N10,20Unchanged'!G138)/100)+103/POWER(1+('CurrentFact-N10,20Unchanged'!D138+'CurrentFact-N10,20Unchanged'!G138)/100,2))*100</f>
        <v>9614.9673582483465</v>
      </c>
      <c r="D138">
        <f>(3/(1+('CurrentFact-N10,20Unchanged'!C138+'CurrentFact-N10,20Unchanged'!H138)/100)+103/POWER(1+('CurrentFact-N10,20Unchanged'!D138+'CurrentFact-N10,20Unchanged'!H138)/100,2))*100</f>
        <v>9603.1750789171438</v>
      </c>
      <c r="E138">
        <f>(3/(1+('CurrentFact-N10,20Unchanged'!C138+'CurrentFact-N10,20Unchanged'!I138)/100)+103/POWER(1+('CurrentFact-N10,20Unchanged'!D138+'CurrentFact-N10,20Unchanged'!I138)/100,2))*100</f>
        <v>9682.1545170539957</v>
      </c>
      <c r="F138">
        <f>Portfolio!B$5*'CurrentFact-N10,20Unchanged'!E138</f>
        <v>52143.895533915893</v>
      </c>
      <c r="G138">
        <f>Portfolio!B$6*'CurrentFact-N10,20Unchanged'!F138</f>
        <v>3696.2945087936532</v>
      </c>
      <c r="H138">
        <f>Portfolio!B$7*'CurrentFact-N10,20Unchanged'!J138</f>
        <v>2064.4550337304254</v>
      </c>
      <c r="I138">
        <f t="shared" si="4"/>
        <v>96512.5278080883</v>
      </c>
      <c r="J138">
        <f t="shared" si="3"/>
        <v>7.0858859038125956</v>
      </c>
    </row>
    <row r="139" spans="1:10">
      <c r="A139" s="1">
        <v>45664</v>
      </c>
      <c r="B139">
        <f>(3/(1+('CurrentFact-N10,20Unchanged'!C139)/100)+103/POWER(1+('CurrentFact-N10,20Unchanged'!D139)/100,2))*100</f>
        <v>9707.5857774288397</v>
      </c>
      <c r="C139">
        <f>(3/(1+('CurrentFact-N10,20Unchanged'!C139+'CurrentFact-N10,20Unchanged'!G139)/100)+103/POWER(1+('CurrentFact-N10,20Unchanged'!D139+'CurrentFact-N10,20Unchanged'!G139)/100,2))*100</f>
        <v>9614.9673582483465</v>
      </c>
      <c r="D139">
        <f>(3/(1+('CurrentFact-N10,20Unchanged'!C139+'CurrentFact-N10,20Unchanged'!H139)/100)+103/POWER(1+('CurrentFact-N10,20Unchanged'!D139+'CurrentFact-N10,20Unchanged'!H139)/100,2))*100</f>
        <v>9592.95319154563</v>
      </c>
      <c r="E139">
        <f>(3/(1+('CurrentFact-N10,20Unchanged'!C139+'CurrentFact-N10,20Unchanged'!I139)/100)+103/POWER(1+('CurrentFact-N10,20Unchanged'!D139+'CurrentFact-N10,20Unchanged'!I139)/100,2))*100</f>
        <v>9678.6571906891168</v>
      </c>
      <c r="F139">
        <f>Portfolio!B$5*'CurrentFact-N10,20Unchanged'!E139</f>
        <v>52143.895533915893</v>
      </c>
      <c r="G139">
        <f>Portfolio!B$6*'CurrentFact-N10,20Unchanged'!F139</f>
        <v>3696.2945087936532</v>
      </c>
      <c r="H139">
        <f>Portfolio!B$7*'CurrentFact-N10,20Unchanged'!J139</f>
        <v>2064.4550337304254</v>
      </c>
      <c r="I139">
        <f t="shared" si="4"/>
        <v>96498.808594351896</v>
      </c>
      <c r="J139">
        <f t="shared" si="3"/>
        <v>-27.937990701175295</v>
      </c>
    </row>
    <row r="140" spans="1:10">
      <c r="A140" s="1">
        <v>45665</v>
      </c>
      <c r="B140">
        <f>(3/(1+('CurrentFact-N10,20Unchanged'!C140)/100)+103/POWER(1+('CurrentFact-N10,20Unchanged'!D140)/100,2))*100</f>
        <v>9707.5857774288397</v>
      </c>
      <c r="C140">
        <f>(3/(1+('CurrentFact-N10,20Unchanged'!C140+'CurrentFact-N10,20Unchanged'!G140)/100)+103/POWER(1+('CurrentFact-N10,20Unchanged'!D140+'CurrentFact-N10,20Unchanged'!G140)/100,2))*100</f>
        <v>9614.9673582483465</v>
      </c>
      <c r="D140">
        <f>(3/(1+('CurrentFact-N10,20Unchanged'!C140+'CurrentFact-N10,20Unchanged'!H140)/100)+103/POWER(1+('CurrentFact-N10,20Unchanged'!D140+'CurrentFact-N10,20Unchanged'!H140)/100,2))*100</f>
        <v>9590.5436465270923</v>
      </c>
      <c r="E140">
        <f>(3/(1+('CurrentFact-N10,20Unchanged'!C140+'CurrentFact-N10,20Unchanged'!I140)/100)+103/POWER(1+('CurrentFact-N10,20Unchanged'!D140+'CurrentFact-N10,20Unchanged'!I140)/100,2))*100</f>
        <v>9681.3346598198714</v>
      </c>
      <c r="F140">
        <f>Portfolio!B$5*'CurrentFact-N10,20Unchanged'!E140</f>
        <v>52143.895533915893</v>
      </c>
      <c r="G140">
        <f>Portfolio!B$6*'CurrentFact-N10,20Unchanged'!F140</f>
        <v>3696.2945087936532</v>
      </c>
      <c r="H140">
        <f>Portfolio!B$7*'CurrentFact-N10,20Unchanged'!J140</f>
        <v>2064.4550337304254</v>
      </c>
      <c r="I140">
        <f t="shared" si="4"/>
        <v>96499.07651846412</v>
      </c>
      <c r="J140">
        <f t="shared" si="3"/>
        <v>-15.613481516760658</v>
      </c>
    </row>
    <row r="141" spans="1:10">
      <c r="A141" s="1">
        <v>45666</v>
      </c>
      <c r="B141">
        <f>(3/(1+('CurrentFact-N10,20Unchanged'!C141)/100)+103/POWER(1+('CurrentFact-N10,20Unchanged'!D141)/100,2))*100</f>
        <v>9707.5857774288397</v>
      </c>
      <c r="C141">
        <f>(3/(1+('CurrentFact-N10,20Unchanged'!C141+'CurrentFact-N10,20Unchanged'!G141)/100)+103/POWER(1+('CurrentFact-N10,20Unchanged'!D141+'CurrentFact-N10,20Unchanged'!G141)/100,2))*100</f>
        <v>9614.9673582483465</v>
      </c>
      <c r="D141">
        <f>(3/(1+('CurrentFact-N10,20Unchanged'!C141+'CurrentFact-N10,20Unchanged'!H141)/100)+103/POWER(1+('CurrentFact-N10,20Unchanged'!D141+'CurrentFact-N10,20Unchanged'!H141)/100,2))*100</f>
        <v>9597.9619523323472</v>
      </c>
      <c r="E141">
        <f>(3/(1+('CurrentFact-N10,20Unchanged'!C141+'CurrentFact-N10,20Unchanged'!I141)/100)+103/POWER(1+('CurrentFact-N10,20Unchanged'!D141+'CurrentFact-N10,20Unchanged'!I141)/100,2))*100</f>
        <v>9682.0087570471096</v>
      </c>
      <c r="F141">
        <f>Portfolio!B$5*'CurrentFact-N10,20Unchanged'!E141</f>
        <v>52143.895533915893</v>
      </c>
      <c r="G141">
        <f>Portfolio!B$6*'CurrentFact-N10,20Unchanged'!F141</f>
        <v>3696.2945087936532</v>
      </c>
      <c r="H141">
        <f>Portfolio!B$7*'CurrentFact-N10,20Unchanged'!J141</f>
        <v>2064.4550337304254</v>
      </c>
      <c r="I141">
        <f t="shared" si="4"/>
        <v>96507.168921496603</v>
      </c>
      <c r="J141">
        <f t="shared" si="3"/>
        <v>-10.518589537779917</v>
      </c>
    </row>
    <row r="142" spans="1:10">
      <c r="A142" s="1">
        <v>45667</v>
      </c>
      <c r="B142">
        <f>(3/(1+('CurrentFact-N10,20Unchanged'!C142)/100)+103/POWER(1+('CurrentFact-N10,20Unchanged'!D142)/100,2))*100</f>
        <v>9707.5857774288397</v>
      </c>
      <c r="C142">
        <f>(3/(1+('CurrentFact-N10,20Unchanged'!C142+'CurrentFact-N10,20Unchanged'!G142)/100)+103/POWER(1+('CurrentFact-N10,20Unchanged'!D142+'CurrentFact-N10,20Unchanged'!G142)/100,2))*100</f>
        <v>9614.9673582483465</v>
      </c>
      <c r="D142">
        <f>(3/(1+('CurrentFact-N10,20Unchanged'!C142+'CurrentFact-N10,20Unchanged'!H142)/100)+103/POWER(1+('CurrentFact-N10,20Unchanged'!D142+'CurrentFact-N10,20Unchanged'!H142)/100,2))*100</f>
        <v>9601.8037275358856</v>
      </c>
      <c r="E142">
        <f>(3/(1+('CurrentFact-N10,20Unchanged'!C142+'CurrentFact-N10,20Unchanged'!I142)/100)+103/POWER(1+('CurrentFact-N10,20Unchanged'!D142+'CurrentFact-N10,20Unchanged'!I142)/100,2))*100</f>
        <v>9681.5897159781507</v>
      </c>
      <c r="F142">
        <f>Portfolio!B$5*'CurrentFact-N10,20Unchanged'!E142</f>
        <v>52143.895533915893</v>
      </c>
      <c r="G142">
        <f>Portfolio!B$6*'CurrentFact-N10,20Unchanged'!F142</f>
        <v>3696.2945087936532</v>
      </c>
      <c r="H142">
        <f>Portfolio!B$7*'CurrentFact-N10,20Unchanged'!J142</f>
        <v>2064.4550337304254</v>
      </c>
      <c r="I142">
        <f t="shared" si="4"/>
        <v>96510.5916556312</v>
      </c>
      <c r="J142">
        <f t="shared" ref="J142:J187" si="5">I142-I132</f>
        <v>3.3279009804537054</v>
      </c>
    </row>
    <row r="143" spans="1:10">
      <c r="A143" s="1">
        <v>45670</v>
      </c>
      <c r="B143">
        <f>(3/(1+('CurrentFact-N10,20Unchanged'!C143)/100)+103/POWER(1+('CurrentFact-N10,20Unchanged'!D143)/100,2))*100</f>
        <v>9707.5857774288397</v>
      </c>
      <c r="C143">
        <f>(3/(1+('CurrentFact-N10,20Unchanged'!C143+'CurrentFact-N10,20Unchanged'!G143)/100)+103/POWER(1+('CurrentFact-N10,20Unchanged'!D143+'CurrentFact-N10,20Unchanged'!G143)/100,2))*100</f>
        <v>9614.9673582483465</v>
      </c>
      <c r="D143">
        <f>(3/(1+('CurrentFact-N10,20Unchanged'!C143+'CurrentFact-N10,20Unchanged'!H143)/100)+103/POWER(1+('CurrentFact-N10,20Unchanged'!D143+'CurrentFact-N10,20Unchanged'!H143)/100,2))*100</f>
        <v>9592.9156680648466</v>
      </c>
      <c r="E143">
        <f>(3/(1+('CurrentFact-N10,20Unchanged'!C143+'CurrentFact-N10,20Unchanged'!I143)/100)+103/POWER(1+('CurrentFact-N10,20Unchanged'!D143+'CurrentFact-N10,20Unchanged'!I143)/100,2))*100</f>
        <v>9681.0431805243425</v>
      </c>
      <c r="F143">
        <f>Portfolio!B$5*'CurrentFact-N10,20Unchanged'!E143</f>
        <v>52143.895533915893</v>
      </c>
      <c r="G143">
        <f>Portfolio!B$6*'CurrentFact-N10,20Unchanged'!F143</f>
        <v>3696.2945087936532</v>
      </c>
      <c r="H143">
        <f>Portfolio!B$7*'CurrentFact-N10,20Unchanged'!J143</f>
        <v>2064.4550337304254</v>
      </c>
      <c r="I143">
        <f t="shared" si="4"/>
        <v>96501.157060706348</v>
      </c>
      <c r="J143">
        <f t="shared" si="5"/>
        <v>-17.980842083372409</v>
      </c>
    </row>
    <row r="144" spans="1:10">
      <c r="A144" s="1">
        <v>45671</v>
      </c>
      <c r="B144">
        <f>(3/(1+('CurrentFact-N10,20Unchanged'!C144)/100)+103/POWER(1+('CurrentFact-N10,20Unchanged'!D144)/100,2))*100</f>
        <v>9707.5857774288397</v>
      </c>
      <c r="C144">
        <f>(3/(1+('CurrentFact-N10,20Unchanged'!C144+'CurrentFact-N10,20Unchanged'!G144)/100)+103/POWER(1+('CurrentFact-N10,20Unchanged'!D144+'CurrentFact-N10,20Unchanged'!G144)/100,2))*100</f>
        <v>9614.9673582483465</v>
      </c>
      <c r="D144">
        <f>(3/(1+('CurrentFact-N10,20Unchanged'!C144+'CurrentFact-N10,20Unchanged'!H144)/100)+103/POWER(1+('CurrentFact-N10,20Unchanged'!D144+'CurrentFact-N10,20Unchanged'!H144)/100,2))*100</f>
        <v>9592.8315612080532</v>
      </c>
      <c r="E144">
        <f>(3/(1+('CurrentFact-N10,20Unchanged'!C144+'CurrentFact-N10,20Unchanged'!I144)/100)+103/POWER(1+('CurrentFact-N10,20Unchanged'!D144+'CurrentFact-N10,20Unchanged'!I144)/100,2))*100</f>
        <v>9682.4824900929671</v>
      </c>
      <c r="F144">
        <f>Portfolio!B$5*'CurrentFact-N10,20Unchanged'!E144</f>
        <v>52143.895533915893</v>
      </c>
      <c r="G144">
        <f>Portfolio!B$6*'CurrentFact-N10,20Unchanged'!F144</f>
        <v>3696.2945087936532</v>
      </c>
      <c r="H144">
        <f>Portfolio!B$7*'CurrentFact-N10,20Unchanged'!J144</f>
        <v>2064.4550337304254</v>
      </c>
      <c r="I144">
        <f t="shared" si="4"/>
        <v>96502.512263418175</v>
      </c>
      <c r="J144">
        <f t="shared" si="5"/>
        <v>-9.7607341308903415</v>
      </c>
    </row>
    <row r="145" spans="1:10">
      <c r="A145" s="1">
        <v>45672</v>
      </c>
      <c r="B145">
        <f>(3/(1+('CurrentFact-N10,20Unchanged'!C145)/100)+103/POWER(1+('CurrentFact-N10,20Unchanged'!D145)/100,2))*100</f>
        <v>9707.5857774288397</v>
      </c>
      <c r="C145">
        <f>(3/(1+('CurrentFact-N10,20Unchanged'!C145+'CurrentFact-N10,20Unchanged'!G145)/100)+103/POWER(1+('CurrentFact-N10,20Unchanged'!D145+'CurrentFact-N10,20Unchanged'!G145)/100,2))*100</f>
        <v>9614.9673582483465</v>
      </c>
      <c r="D145">
        <f>(3/(1+('CurrentFact-N10,20Unchanged'!C145+'CurrentFact-N10,20Unchanged'!H145)/100)+103/POWER(1+('CurrentFact-N10,20Unchanged'!D145+'CurrentFact-N10,20Unchanged'!H145)/100,2))*100</f>
        <v>9595.5621573486842</v>
      </c>
      <c r="E145">
        <f>(3/(1+('CurrentFact-N10,20Unchanged'!C145+'CurrentFact-N10,20Unchanged'!I145)/100)+103/POWER(1+('CurrentFact-N10,20Unchanged'!D145+'CurrentFact-N10,20Unchanged'!I145)/100,2))*100</f>
        <v>9682.5007116969864</v>
      </c>
      <c r="F145">
        <f>Portfolio!B$5*'CurrentFact-N10,20Unchanged'!E145</f>
        <v>52143.895533915893</v>
      </c>
      <c r="G145">
        <f>Portfolio!B$6*'CurrentFact-N10,20Unchanged'!F145</f>
        <v>3696.2945087936532</v>
      </c>
      <c r="H145">
        <f>Portfolio!B$7*'CurrentFact-N10,20Unchanged'!J145</f>
        <v>2064.4550337304254</v>
      </c>
      <c r="I145">
        <f t="shared" si="4"/>
        <v>96505.261081162826</v>
      </c>
      <c r="J145">
        <f t="shared" si="5"/>
        <v>2.3376035347027937</v>
      </c>
    </row>
    <row r="146" spans="1:10">
      <c r="A146" s="1">
        <v>45673</v>
      </c>
      <c r="B146">
        <f>(3/(1+('CurrentFact-N10,20Unchanged'!C146)/100)+103/POWER(1+('CurrentFact-N10,20Unchanged'!D146)/100,2))*100</f>
        <v>9707.5857774288397</v>
      </c>
      <c r="C146">
        <f>(3/(1+('CurrentFact-N10,20Unchanged'!C146+'CurrentFact-N10,20Unchanged'!G146)/100)+103/POWER(1+('CurrentFact-N10,20Unchanged'!D146+'CurrentFact-N10,20Unchanged'!G146)/100,2))*100</f>
        <v>9614.9673582483465</v>
      </c>
      <c r="D146">
        <f>(3/(1+('CurrentFact-N10,20Unchanged'!C146+'CurrentFact-N10,20Unchanged'!H146)/100)+103/POWER(1+('CurrentFact-N10,20Unchanged'!D146+'CurrentFact-N10,20Unchanged'!H146)/100,2))*100</f>
        <v>9596.7480418199193</v>
      </c>
      <c r="E146">
        <f>(3/(1+('CurrentFact-N10,20Unchanged'!C146+'CurrentFact-N10,20Unchanged'!I146)/100)+103/POWER(1+('CurrentFact-N10,20Unchanged'!D146+'CurrentFact-N10,20Unchanged'!I146)/100,2))*100</f>
        <v>9683.0655932861519</v>
      </c>
      <c r="F146">
        <f>Portfolio!B$5*'CurrentFact-N10,20Unchanged'!E146</f>
        <v>52143.895533915893</v>
      </c>
      <c r="G146">
        <f>Portfolio!B$6*'CurrentFact-N10,20Unchanged'!F146</f>
        <v>3696.2945087936532</v>
      </c>
      <c r="H146">
        <f>Portfolio!B$7*'CurrentFact-N10,20Unchanged'!J146</f>
        <v>2064.4550337304254</v>
      </c>
      <c r="I146">
        <f t="shared" si="4"/>
        <v>96507.011847223228</v>
      </c>
      <c r="J146">
        <f t="shared" si="5"/>
        <v>3.0753318923379993</v>
      </c>
    </row>
    <row r="147" spans="1:10">
      <c r="A147" s="1">
        <v>45674</v>
      </c>
      <c r="B147">
        <f>(3/(1+('CurrentFact-N10,20Unchanged'!C147)/100)+103/POWER(1+('CurrentFact-N10,20Unchanged'!D147)/100,2))*100</f>
        <v>9707.5857774288397</v>
      </c>
      <c r="C147">
        <f>(3/(1+('CurrentFact-N10,20Unchanged'!C147+'CurrentFact-N10,20Unchanged'!G147)/100)+103/POWER(1+('CurrentFact-N10,20Unchanged'!D147+'CurrentFact-N10,20Unchanged'!G147)/100,2))*100</f>
        <v>9614.9673582483465</v>
      </c>
      <c r="D147">
        <f>(3/(1+('CurrentFact-N10,20Unchanged'!C147+'CurrentFact-N10,20Unchanged'!H147)/100)+103/POWER(1+('CurrentFact-N10,20Unchanged'!D147+'CurrentFact-N10,20Unchanged'!H147)/100,2))*100</f>
        <v>9598.2428418131494</v>
      </c>
      <c r="E147">
        <f>(3/(1+('CurrentFact-N10,20Unchanged'!C147+'CurrentFact-N10,20Unchanged'!I147)/100)+103/POWER(1+('CurrentFact-N10,20Unchanged'!D147+'CurrentFact-N10,20Unchanged'!I147)/100,2))*100</f>
        <v>9682.3185014697392</v>
      </c>
      <c r="F147">
        <f>Portfolio!B$5*'CurrentFact-N10,20Unchanged'!E147</f>
        <v>52143.895533915893</v>
      </c>
      <c r="G147">
        <f>Portfolio!B$6*'CurrentFact-N10,20Unchanged'!F147</f>
        <v>3696.2945087936532</v>
      </c>
      <c r="H147">
        <f>Portfolio!B$7*'CurrentFact-N10,20Unchanged'!J147</f>
        <v>2064.4550337304254</v>
      </c>
      <c r="I147">
        <f t="shared" si="4"/>
        <v>96507.759555400044</v>
      </c>
      <c r="J147">
        <f t="shared" si="5"/>
        <v>-9.3635990606417181</v>
      </c>
    </row>
    <row r="148" spans="1:10">
      <c r="A148" s="1">
        <v>45677</v>
      </c>
      <c r="B148">
        <f>(3/(1+('CurrentFact-N10,20Unchanged'!C148)/100)+103/POWER(1+('CurrentFact-N10,20Unchanged'!D148)/100,2))*100</f>
        <v>9707.5857774288397</v>
      </c>
      <c r="C148">
        <f>(3/(1+('CurrentFact-N10,20Unchanged'!C148+'CurrentFact-N10,20Unchanged'!G148)/100)+103/POWER(1+('CurrentFact-N10,20Unchanged'!D148+'CurrentFact-N10,20Unchanged'!G148)/100,2))*100</f>
        <v>9614.9673582483465</v>
      </c>
      <c r="D148">
        <f>(3/(1+('CurrentFact-N10,20Unchanged'!C148+'CurrentFact-N10,20Unchanged'!H148)/100)+103/POWER(1+('CurrentFact-N10,20Unchanged'!D148+'CurrentFact-N10,20Unchanged'!H148)/100,2))*100</f>
        <v>9579.7448049340383</v>
      </c>
      <c r="E148">
        <f>(3/(1+('CurrentFact-N10,20Unchanged'!C148+'CurrentFact-N10,20Unchanged'!I148)/100)+103/POWER(1+('CurrentFact-N10,20Unchanged'!D148+'CurrentFact-N10,20Unchanged'!I148)/100,2))*100</f>
        <v>9682.9562582542785</v>
      </c>
      <c r="F148">
        <f>Portfolio!B$5*'CurrentFact-N10,20Unchanged'!E148</f>
        <v>52143.895533915893</v>
      </c>
      <c r="G148">
        <f>Portfolio!B$6*'CurrentFact-N10,20Unchanged'!F148</f>
        <v>3696.2945087936532</v>
      </c>
      <c r="H148">
        <f>Portfolio!B$7*'CurrentFact-N10,20Unchanged'!J148</f>
        <v>2064.4550337304254</v>
      </c>
      <c r="I148">
        <f t="shared" si="4"/>
        <v>96489.899275305477</v>
      </c>
      <c r="J148">
        <f t="shared" si="5"/>
        <v>-22.628532782822731</v>
      </c>
    </row>
    <row r="149" spans="1:10">
      <c r="A149" s="1">
        <v>45678</v>
      </c>
      <c r="B149">
        <f>(3/(1+('CurrentFact-N10,20Unchanged'!C149)/100)+103/POWER(1+('CurrentFact-N10,20Unchanged'!D149)/100,2))*100</f>
        <v>9707.5857774288397</v>
      </c>
      <c r="C149">
        <f>(3/(1+('CurrentFact-N10,20Unchanged'!C149+'CurrentFact-N10,20Unchanged'!G149)/100)+103/POWER(1+('CurrentFact-N10,20Unchanged'!D149+'CurrentFact-N10,20Unchanged'!G149)/100,2))*100</f>
        <v>9614.9673582483465</v>
      </c>
      <c r="D149">
        <f>(3/(1+('CurrentFact-N10,20Unchanged'!C149+'CurrentFact-N10,20Unchanged'!H149)/100)+103/POWER(1+('CurrentFact-N10,20Unchanged'!D149+'CurrentFact-N10,20Unchanged'!H149)/100,2))*100</f>
        <v>9606.2032974685899</v>
      </c>
      <c r="E149">
        <f>(3/(1+('CurrentFact-N10,20Unchanged'!C149+'CurrentFact-N10,20Unchanged'!I149)/100)+103/POWER(1+('CurrentFact-N10,20Unchanged'!D149+'CurrentFact-N10,20Unchanged'!I149)/100,2))*100</f>
        <v>9681.1889185102937</v>
      </c>
      <c r="F149">
        <f>Portfolio!B$5*'CurrentFact-N10,20Unchanged'!E149</f>
        <v>52143.895533915893</v>
      </c>
      <c r="G149">
        <f>Portfolio!B$6*'CurrentFact-N10,20Unchanged'!F149</f>
        <v>3696.2945087936532</v>
      </c>
      <c r="H149">
        <f>Portfolio!B$7*'CurrentFact-N10,20Unchanged'!J149</f>
        <v>2064.4550337304254</v>
      </c>
      <c r="I149">
        <f t="shared" si="4"/>
        <v>96514.590428096039</v>
      </c>
      <c r="J149">
        <f t="shared" si="5"/>
        <v>15.781833744142205</v>
      </c>
    </row>
    <row r="150" spans="1:10">
      <c r="A150" s="1">
        <v>45679</v>
      </c>
      <c r="B150">
        <f>(3/(1+('CurrentFact-N10,20Unchanged'!C150)/100)+103/POWER(1+('CurrentFact-N10,20Unchanged'!D150)/100,2))*100</f>
        <v>9707.5857774288397</v>
      </c>
      <c r="C150">
        <f>(3/(1+('CurrentFact-N10,20Unchanged'!C150+'CurrentFact-N10,20Unchanged'!G150)/100)+103/POWER(1+('CurrentFact-N10,20Unchanged'!D150+'CurrentFact-N10,20Unchanged'!G150)/100,2))*100</f>
        <v>9614.9673582483465</v>
      </c>
      <c r="D150">
        <f>(3/(1+('CurrentFact-N10,20Unchanged'!C150+'CurrentFact-N10,20Unchanged'!H150)/100)+103/POWER(1+('CurrentFact-N10,20Unchanged'!D150+'CurrentFact-N10,20Unchanged'!H150)/100,2))*100</f>
        <v>9600.6024648327857</v>
      </c>
      <c r="E150">
        <f>(3/(1+('CurrentFact-N10,20Unchanged'!C150+'CurrentFact-N10,20Unchanged'!I150)/100)+103/POWER(1+('CurrentFact-N10,20Unchanged'!D150+'CurrentFact-N10,20Unchanged'!I150)/100,2))*100</f>
        <v>9681.1160491018709</v>
      </c>
      <c r="F150">
        <f>Portfolio!B$5*'CurrentFact-N10,20Unchanged'!E150</f>
        <v>52143.895533915893</v>
      </c>
      <c r="G150">
        <f>Portfolio!B$6*'CurrentFact-N10,20Unchanged'!F150</f>
        <v>3696.2945087936532</v>
      </c>
      <c r="H150">
        <f>Portfolio!B$7*'CurrentFact-N10,20Unchanged'!J150</f>
        <v>2064.4550337304254</v>
      </c>
      <c r="I150">
        <f t="shared" si="4"/>
        <v>96508.916726051801</v>
      </c>
      <c r="J150">
        <f t="shared" si="5"/>
        <v>9.8402075876801973</v>
      </c>
    </row>
    <row r="151" spans="1:10">
      <c r="A151" s="1">
        <v>45680</v>
      </c>
      <c r="B151">
        <f>(3/(1+('CurrentFact-N10,20Unchanged'!C151)/100)+103/POWER(1+('CurrentFact-N10,20Unchanged'!D151)/100,2))*100</f>
        <v>9707.5857774288397</v>
      </c>
      <c r="C151">
        <f>(3/(1+('CurrentFact-N10,20Unchanged'!C151+'CurrentFact-N10,20Unchanged'!G151)/100)+103/POWER(1+('CurrentFact-N10,20Unchanged'!D151+'CurrentFact-N10,20Unchanged'!G151)/100,2))*100</f>
        <v>9614.9673582483465</v>
      </c>
      <c r="D151">
        <f>(3/(1+('CurrentFact-N10,20Unchanged'!C151+'CurrentFact-N10,20Unchanged'!H151)/100)+103/POWER(1+('CurrentFact-N10,20Unchanged'!D151+'CurrentFact-N10,20Unchanged'!H151)/100,2))*100</f>
        <v>9603.5700485732868</v>
      </c>
      <c r="E151">
        <f>(3/(1+('CurrentFact-N10,20Unchanged'!C151+'CurrentFact-N10,20Unchanged'!I151)/100)+103/POWER(1+('CurrentFact-N10,20Unchanged'!D151+'CurrentFact-N10,20Unchanged'!I151)/100,2))*100</f>
        <v>9681.2253543947754</v>
      </c>
      <c r="F151">
        <f>Portfolio!B$5*'CurrentFact-N10,20Unchanged'!E151</f>
        <v>52143.895533915893</v>
      </c>
      <c r="G151">
        <f>Portfolio!B$6*'CurrentFact-N10,20Unchanged'!F151</f>
        <v>3696.2945087936532</v>
      </c>
      <c r="H151">
        <f>Portfolio!B$7*'CurrentFact-N10,20Unchanged'!J151</f>
        <v>2064.4550337304254</v>
      </c>
      <c r="I151">
        <f t="shared" si="4"/>
        <v>96511.993615085215</v>
      </c>
      <c r="J151">
        <f t="shared" si="5"/>
        <v>4.8246935886127176</v>
      </c>
    </row>
    <row r="152" spans="1:10">
      <c r="A152" s="1">
        <v>45681</v>
      </c>
      <c r="B152">
        <f>(3/(1+('CurrentFact-N10,20Unchanged'!C152)/100)+103/POWER(1+('CurrentFact-N10,20Unchanged'!D152)/100,2))*100</f>
        <v>9707.5857774288397</v>
      </c>
      <c r="C152">
        <f>(3/(1+('CurrentFact-N10,20Unchanged'!C152+'CurrentFact-N10,20Unchanged'!G152)/100)+103/POWER(1+('CurrentFact-N10,20Unchanged'!D152+'CurrentFact-N10,20Unchanged'!G152)/100,2))*100</f>
        <v>9614.9673582483465</v>
      </c>
      <c r="D152">
        <f>(3/(1+('CurrentFact-N10,20Unchanged'!C152+'CurrentFact-N10,20Unchanged'!H152)/100)+103/POWER(1+('CurrentFact-N10,20Unchanged'!D152+'CurrentFact-N10,20Unchanged'!H152)/100,2))*100</f>
        <v>9597.6154154921751</v>
      </c>
      <c r="E152">
        <f>(3/(1+('CurrentFact-N10,20Unchanged'!C152+'CurrentFact-N10,20Unchanged'!I152)/100)+103/POWER(1+('CurrentFact-N10,20Unchanged'!D152+'CurrentFact-N10,20Unchanged'!I152)/100,2))*100</f>
        <v>9680.6788500996772</v>
      </c>
      <c r="F152">
        <f>Portfolio!B$5*'CurrentFact-N10,20Unchanged'!E152</f>
        <v>52143.895533915893</v>
      </c>
      <c r="G152">
        <f>Portfolio!B$6*'CurrentFact-N10,20Unchanged'!F152</f>
        <v>3696.2945087936532</v>
      </c>
      <c r="H152">
        <f>Portfolio!B$7*'CurrentFact-N10,20Unchanged'!J152</f>
        <v>2064.4550337304254</v>
      </c>
      <c r="I152">
        <f t="shared" si="4"/>
        <v>96505.49247770902</v>
      </c>
      <c r="J152">
        <f t="shared" si="5"/>
        <v>-5.0991779221803881</v>
      </c>
    </row>
    <row r="153" spans="1:10">
      <c r="A153" s="1">
        <v>45684</v>
      </c>
      <c r="B153">
        <f>(3/(1+('CurrentFact-N10,20Unchanged'!C153)/100)+103/POWER(1+('CurrentFact-N10,20Unchanged'!D153)/100,2))*100</f>
        <v>9707.5857774288397</v>
      </c>
      <c r="C153">
        <f>(3/(1+('CurrentFact-N10,20Unchanged'!C153+'CurrentFact-N10,20Unchanged'!G153)/100)+103/POWER(1+('CurrentFact-N10,20Unchanged'!D153+'CurrentFact-N10,20Unchanged'!G153)/100,2))*100</f>
        <v>9614.9673582483465</v>
      </c>
      <c r="D153">
        <f>(3/(1+('CurrentFact-N10,20Unchanged'!C153+'CurrentFact-N10,20Unchanged'!H153)/100)+103/POWER(1+('CurrentFact-N10,20Unchanged'!D153+'CurrentFact-N10,20Unchanged'!H153)/100,2))*100</f>
        <v>9585.6662410424724</v>
      </c>
      <c r="E153">
        <f>(3/(1+('CurrentFact-N10,20Unchanged'!C153+'CurrentFact-N10,20Unchanged'!I153)/100)+103/POWER(1+('CurrentFact-N10,20Unchanged'!D153+'CurrentFact-N10,20Unchanged'!I153)/100,2))*100</f>
        <v>9682.4824900929671</v>
      </c>
      <c r="F153">
        <f>Portfolio!B$5*'CurrentFact-N10,20Unchanged'!E153</f>
        <v>52143.895533915893</v>
      </c>
      <c r="G153">
        <f>Portfolio!B$6*'CurrentFact-N10,20Unchanged'!F153</f>
        <v>3696.2945087936532</v>
      </c>
      <c r="H153">
        <f>Portfolio!B$7*'CurrentFact-N10,20Unchanged'!J153</f>
        <v>2064.4550337304254</v>
      </c>
      <c r="I153">
        <f t="shared" si="4"/>
        <v>96495.346943252604</v>
      </c>
      <c r="J153">
        <f t="shared" si="5"/>
        <v>-5.8101174537441693</v>
      </c>
    </row>
    <row r="154" spans="1:10">
      <c r="A154" s="1">
        <v>45685</v>
      </c>
      <c r="B154">
        <f>(3/(1+('CurrentFact-N10,20Unchanged'!C154)/100)+103/POWER(1+('CurrentFact-N10,20Unchanged'!D154)/100,2))*100</f>
        <v>9707.5857774288397</v>
      </c>
      <c r="C154">
        <f>(3/(1+('CurrentFact-N10,20Unchanged'!C154+'CurrentFact-N10,20Unchanged'!G154)/100)+103/POWER(1+('CurrentFact-N10,20Unchanged'!D154+'CurrentFact-N10,20Unchanged'!G154)/100,2))*100</f>
        <v>9614.9673582483465</v>
      </c>
      <c r="D154">
        <f>(3/(1+('CurrentFact-N10,20Unchanged'!C154+'CurrentFact-N10,20Unchanged'!H154)/100)+103/POWER(1+('CurrentFact-N10,20Unchanged'!D154+'CurrentFact-N10,20Unchanged'!H154)/100,2))*100</f>
        <v>9597.1922474597613</v>
      </c>
      <c r="E154">
        <f>(3/(1+('CurrentFact-N10,20Unchanged'!C154+'CurrentFact-N10,20Unchanged'!I154)/100)+103/POWER(1+('CurrentFact-N10,20Unchanged'!D154+'CurrentFact-N10,20Unchanged'!I154)/100,2))*100</f>
        <v>9681.2982250495716</v>
      </c>
      <c r="F154">
        <f>Portfolio!B$5*'CurrentFact-N10,20Unchanged'!E154</f>
        <v>52143.895533915893</v>
      </c>
      <c r="G154">
        <f>Portfolio!B$6*'CurrentFact-N10,20Unchanged'!F154</f>
        <v>3696.2945087936532</v>
      </c>
      <c r="H154">
        <f>Portfolio!B$7*'CurrentFact-N10,20Unchanged'!J154</f>
        <v>2064.4550337304254</v>
      </c>
      <c r="I154">
        <f t="shared" si="4"/>
        <v>96505.688684626482</v>
      </c>
      <c r="J154">
        <f t="shared" si="5"/>
        <v>3.176421208307147</v>
      </c>
    </row>
    <row r="155" spans="1:10">
      <c r="A155" s="1">
        <v>45686</v>
      </c>
      <c r="B155">
        <f>(3/(1+('CurrentFact-N10,20Unchanged'!C155)/100)+103/POWER(1+('CurrentFact-N10,20Unchanged'!D155)/100,2))*100</f>
        <v>9707.5857774288397</v>
      </c>
      <c r="C155">
        <f>(3/(1+('CurrentFact-N10,20Unchanged'!C155+'CurrentFact-N10,20Unchanged'!G155)/100)+103/POWER(1+('CurrentFact-N10,20Unchanged'!D155+'CurrentFact-N10,20Unchanged'!G155)/100,2))*100</f>
        <v>9614.9673582483465</v>
      </c>
      <c r="D155">
        <f>(3/(1+('CurrentFact-N10,20Unchanged'!C155+'CurrentFact-N10,20Unchanged'!H155)/100)+103/POWER(1+('CurrentFact-N10,20Unchanged'!D155+'CurrentFact-N10,20Unchanged'!H155)/100,2))*100</f>
        <v>9583.1501190318959</v>
      </c>
      <c r="E155">
        <f>(3/(1+('CurrentFact-N10,20Unchanged'!C155+'CurrentFact-N10,20Unchanged'!I155)/100)+103/POWER(1+('CurrentFact-N10,20Unchanged'!D155+'CurrentFact-N10,20Unchanged'!I155)/100,2))*100</f>
        <v>9681.2800068736287</v>
      </c>
      <c r="F155">
        <f>Portfolio!B$5*'CurrentFact-N10,20Unchanged'!E155</f>
        <v>52143.895533915893</v>
      </c>
      <c r="G155">
        <f>Portfolio!B$6*'CurrentFact-N10,20Unchanged'!F155</f>
        <v>3696.2945087936532</v>
      </c>
      <c r="H155">
        <f>Portfolio!B$7*'CurrentFact-N10,20Unchanged'!J155</f>
        <v>2064.4550337304254</v>
      </c>
      <c r="I155">
        <f t="shared" si="4"/>
        <v>96491.628338022681</v>
      </c>
      <c r="J155">
        <f t="shared" si="5"/>
        <v>-13.632743140144157</v>
      </c>
    </row>
    <row r="156" spans="1:10">
      <c r="A156" s="1">
        <v>45687</v>
      </c>
      <c r="B156">
        <f>(3/(1+('CurrentFact-N10,20Unchanged'!C156)/100)+103/POWER(1+('CurrentFact-N10,20Unchanged'!D156)/100,2))*100</f>
        <v>9707.5857774288397</v>
      </c>
      <c r="C156">
        <f>(3/(1+('CurrentFact-N10,20Unchanged'!C156+'CurrentFact-N10,20Unchanged'!G156)/100)+103/POWER(1+('CurrentFact-N10,20Unchanged'!D156+'CurrentFact-N10,20Unchanged'!G156)/100,2))*100</f>
        <v>9614.9673582483465</v>
      </c>
      <c r="D156">
        <f>(3/(1+('CurrentFact-N10,20Unchanged'!C156+'CurrentFact-N10,20Unchanged'!H156)/100)+103/POWER(1+('CurrentFact-N10,20Unchanged'!D156+'CurrentFact-N10,20Unchanged'!H156)/100,2))*100</f>
        <v>9591.4492405190867</v>
      </c>
      <c r="E156">
        <f>(3/(1+('CurrentFact-N10,20Unchanged'!C156+'CurrentFact-N10,20Unchanged'!I156)/100)+103/POWER(1+('CurrentFact-N10,20Unchanged'!D156+'CurrentFact-N10,20Unchanged'!I156)/100,2))*100</f>
        <v>9681.4257502605342</v>
      </c>
      <c r="F156">
        <f>Portfolio!B$5*'CurrentFact-N10,20Unchanged'!E156</f>
        <v>52143.895533915893</v>
      </c>
      <c r="G156">
        <f>Portfolio!B$6*'CurrentFact-N10,20Unchanged'!F156</f>
        <v>3696.2945087936532</v>
      </c>
      <c r="H156">
        <f>Portfolio!B$7*'CurrentFact-N10,20Unchanged'!J156</f>
        <v>2064.4550337304254</v>
      </c>
      <c r="I156">
        <f t="shared" si="4"/>
        <v>96500.073202896776</v>
      </c>
      <c r="J156">
        <f t="shared" si="5"/>
        <v>-6.9386443264520494</v>
      </c>
    </row>
    <row r="157" spans="1:10">
      <c r="A157" s="1">
        <v>45688</v>
      </c>
      <c r="B157">
        <f>(3/(1+('CurrentFact-N10,20Unchanged'!C157)/100)+103/POWER(1+('CurrentFact-N10,20Unchanged'!D157)/100,2))*100</f>
        <v>9707.5857774288397</v>
      </c>
      <c r="C157">
        <f>(3/(1+('CurrentFact-N10,20Unchanged'!C157+'CurrentFact-N10,20Unchanged'!G157)/100)+103/POWER(1+('CurrentFact-N10,20Unchanged'!D157+'CurrentFact-N10,20Unchanged'!G157)/100,2))*100</f>
        <v>9614.9673582483465</v>
      </c>
      <c r="D157">
        <f>(3/(1+('CurrentFact-N10,20Unchanged'!C157+'CurrentFact-N10,20Unchanged'!H157)/100)+103/POWER(1+('CurrentFact-N10,20Unchanged'!D157+'CurrentFact-N10,20Unchanged'!H157)/100,2))*100</f>
        <v>9585.3150119342426</v>
      </c>
      <c r="E157">
        <f>(3/(1+('CurrentFact-N10,20Unchanged'!C157+'CurrentFact-N10,20Unchanged'!I157)/100)+103/POWER(1+('CurrentFact-N10,20Unchanged'!D157+'CurrentFact-N10,20Unchanged'!I157)/100,2))*100</f>
        <v>9682.3549437946931</v>
      </c>
      <c r="F157">
        <f>Portfolio!B$5*'CurrentFact-N10,20Unchanged'!E157</f>
        <v>52143.895533915893</v>
      </c>
      <c r="G157">
        <f>Portfolio!B$6*'CurrentFact-N10,20Unchanged'!F157</f>
        <v>3696.2945087936532</v>
      </c>
      <c r="H157">
        <f>Portfolio!B$7*'CurrentFact-N10,20Unchanged'!J157</f>
        <v>2064.4550337304254</v>
      </c>
      <c r="I157">
        <f t="shared" si="4"/>
        <v>96494.868167846085</v>
      </c>
      <c r="J157">
        <f t="shared" si="5"/>
        <v>-12.891387553958339</v>
      </c>
    </row>
    <row r="158" spans="1:10">
      <c r="A158" s="1">
        <v>45691</v>
      </c>
      <c r="B158">
        <f>(3/(1+('CurrentFact-N10,20Unchanged'!C158)/100)+103/POWER(1+('CurrentFact-N10,20Unchanged'!D158)/100,2))*100</f>
        <v>9707.5857774288397</v>
      </c>
      <c r="C158">
        <f>(3/(1+('CurrentFact-N10,20Unchanged'!C158+'CurrentFact-N10,20Unchanged'!G158)/100)+103/POWER(1+('CurrentFact-N10,20Unchanged'!D158+'CurrentFact-N10,20Unchanged'!G158)/100,2))*100</f>
        <v>9614.9673582483465</v>
      </c>
      <c r="D158">
        <f>(3/(1+('CurrentFact-N10,20Unchanged'!C158+'CurrentFact-N10,20Unchanged'!H158)/100)+103/POWER(1+('CurrentFact-N10,20Unchanged'!D158+'CurrentFact-N10,20Unchanged'!H158)/100,2))*100</f>
        <v>9589.328558094252</v>
      </c>
      <c r="E158">
        <f>(3/(1+('CurrentFact-N10,20Unchanged'!C158+'CurrentFact-N10,20Unchanged'!I158)/100)+103/POWER(1+('CurrentFact-N10,20Unchanged'!D158+'CurrentFact-N10,20Unchanged'!I158)/100,2))*100</f>
        <v>9683.739873105038</v>
      </c>
      <c r="F158">
        <f>Portfolio!B$5*'CurrentFact-N10,20Unchanged'!E158</f>
        <v>52143.895533915893</v>
      </c>
      <c r="G158">
        <f>Portfolio!B$6*'CurrentFact-N10,20Unchanged'!F158</f>
        <v>3696.2945087936532</v>
      </c>
      <c r="H158">
        <f>Portfolio!B$7*'CurrentFact-N10,20Unchanged'!J158</f>
        <v>2064.4550337304254</v>
      </c>
      <c r="I158">
        <f t="shared" si="4"/>
        <v>96500.266643316456</v>
      </c>
      <c r="J158">
        <f t="shared" si="5"/>
        <v>10.36736801097868</v>
      </c>
    </row>
    <row r="159" spans="1:10">
      <c r="A159" s="1">
        <v>45692</v>
      </c>
      <c r="B159">
        <f>(3/(1+('CurrentFact-N10,20Unchanged'!C159)/100)+103/POWER(1+('CurrentFact-N10,20Unchanged'!D159)/100,2))*100</f>
        <v>9707.5857774288397</v>
      </c>
      <c r="C159">
        <f>(3/(1+('CurrentFact-N10,20Unchanged'!C159+'CurrentFact-N10,20Unchanged'!G159)/100)+103/POWER(1+('CurrentFact-N10,20Unchanged'!D159+'CurrentFact-N10,20Unchanged'!G159)/100,2))*100</f>
        <v>9614.9673582483465</v>
      </c>
      <c r="D159">
        <f>(3/(1+('CurrentFact-N10,20Unchanged'!C159+'CurrentFact-N10,20Unchanged'!H159)/100)+103/POWER(1+('CurrentFact-N10,20Unchanged'!D159+'CurrentFact-N10,20Unchanged'!H159)/100,2))*100</f>
        <v>9601.7982107596163</v>
      </c>
      <c r="E159">
        <f>(3/(1+('CurrentFact-N10,20Unchanged'!C159+'CurrentFact-N10,20Unchanged'!I159)/100)+103/POWER(1+('CurrentFact-N10,20Unchanged'!D159+'CurrentFact-N10,20Unchanged'!I159)/100,2))*100</f>
        <v>9683.5029573304655</v>
      </c>
      <c r="F159">
        <f>Portfolio!B$5*'CurrentFact-N10,20Unchanged'!E159</f>
        <v>52143.895533915893</v>
      </c>
      <c r="G159">
        <f>Portfolio!B$6*'CurrentFact-N10,20Unchanged'!F159</f>
        <v>3696.2945087936532</v>
      </c>
      <c r="H159">
        <f>Portfolio!B$7*'CurrentFact-N10,20Unchanged'!J159</f>
        <v>2064.4550337304254</v>
      </c>
      <c r="I159">
        <f t="shared" si="4"/>
        <v>96512.499380207242</v>
      </c>
      <c r="J159">
        <f t="shared" si="5"/>
        <v>-2.0910478887963109</v>
      </c>
    </row>
    <row r="160" spans="1:10">
      <c r="A160" s="1">
        <v>45693</v>
      </c>
      <c r="B160">
        <f>(3/(1+('CurrentFact-N10,20Unchanged'!C160)/100)+103/POWER(1+('CurrentFact-N10,20Unchanged'!D160)/100,2))*100</f>
        <v>9707.5857774288397</v>
      </c>
      <c r="C160">
        <f>(3/(1+('CurrentFact-N10,20Unchanged'!C160+'CurrentFact-N10,20Unchanged'!G160)/100)+103/POWER(1+('CurrentFact-N10,20Unchanged'!D160+'CurrentFact-N10,20Unchanged'!G160)/100,2))*100</f>
        <v>9614.9673582483465</v>
      </c>
      <c r="D160">
        <f>(3/(1+('CurrentFact-N10,20Unchanged'!C160+'CurrentFact-N10,20Unchanged'!H160)/100)+103/POWER(1+('CurrentFact-N10,20Unchanged'!D160+'CurrentFact-N10,20Unchanged'!H160)/100,2))*100</f>
        <v>9601.3179423393958</v>
      </c>
      <c r="E160">
        <f>(3/(1+('CurrentFact-N10,20Unchanged'!C160+'CurrentFact-N10,20Unchanged'!I160)/100)+103/POWER(1+('CurrentFact-N10,20Unchanged'!D160+'CurrentFact-N10,20Unchanged'!I160)/100,2))*100</f>
        <v>9683.4118372809407</v>
      </c>
      <c r="F160">
        <f>Portfolio!B$5*'CurrentFact-N10,20Unchanged'!E160</f>
        <v>52143.895533915893</v>
      </c>
      <c r="G160">
        <f>Portfolio!B$6*'CurrentFact-N10,20Unchanged'!F160</f>
        <v>3696.2945087936532</v>
      </c>
      <c r="H160">
        <f>Portfolio!B$7*'CurrentFact-N10,20Unchanged'!J160</f>
        <v>2064.4550337304254</v>
      </c>
      <c r="I160">
        <f t="shared" si="4"/>
        <v>96511.927991737495</v>
      </c>
      <c r="J160">
        <f t="shared" si="5"/>
        <v>3.011265685694525</v>
      </c>
    </row>
    <row r="161" spans="1:10">
      <c r="A161" s="1">
        <v>45694</v>
      </c>
      <c r="B161">
        <f>(3/(1+('CurrentFact-N10,20Unchanged'!C161)/100)+103/POWER(1+('CurrentFact-N10,20Unchanged'!D161)/100,2))*100</f>
        <v>9707.5857774288397</v>
      </c>
      <c r="C161">
        <f>(3/(1+('CurrentFact-N10,20Unchanged'!C161+'CurrentFact-N10,20Unchanged'!G161)/100)+103/POWER(1+('CurrentFact-N10,20Unchanged'!D161+'CurrentFact-N10,20Unchanged'!G161)/100,2))*100</f>
        <v>9614.9673582483465</v>
      </c>
      <c r="D161">
        <f>(3/(1+('CurrentFact-N10,20Unchanged'!C161+'CurrentFact-N10,20Unchanged'!H161)/100)+103/POWER(1+('CurrentFact-N10,20Unchanged'!D161+'CurrentFact-N10,20Unchanged'!H161)/100,2))*100</f>
        <v>9601.9975188898134</v>
      </c>
      <c r="E161">
        <f>(3/(1+('CurrentFact-N10,20Unchanged'!C161+'CurrentFact-N10,20Unchanged'!I161)/100)+103/POWER(1+('CurrentFact-N10,20Unchanged'!D161+'CurrentFact-N10,20Unchanged'!I161)/100,2))*100</f>
        <v>9684.2501876058432</v>
      </c>
      <c r="F161">
        <f>Portfolio!B$5*'CurrentFact-N10,20Unchanged'!E161</f>
        <v>52143.895533915893</v>
      </c>
      <c r="G161">
        <f>Portfolio!B$6*'CurrentFact-N10,20Unchanged'!F161</f>
        <v>3696.2945087936532</v>
      </c>
      <c r="H161">
        <f>Portfolio!B$7*'CurrentFact-N10,20Unchanged'!J161</f>
        <v>2064.4550337304254</v>
      </c>
      <c r="I161">
        <f t="shared" si="4"/>
        <v>96513.445918612822</v>
      </c>
      <c r="J161">
        <f t="shared" si="5"/>
        <v>1.4523035276070004</v>
      </c>
    </row>
    <row r="162" spans="1:10">
      <c r="A162" s="1">
        <v>45695</v>
      </c>
      <c r="B162">
        <f>(3/(1+('CurrentFact-N10,20Unchanged'!C162)/100)+103/POWER(1+('CurrentFact-N10,20Unchanged'!D162)/100,2))*100</f>
        <v>9707.5857774288397</v>
      </c>
      <c r="C162">
        <f>(3/(1+('CurrentFact-N10,20Unchanged'!C162+'CurrentFact-N10,20Unchanged'!G162)/100)+103/POWER(1+('CurrentFact-N10,20Unchanged'!D162+'CurrentFact-N10,20Unchanged'!G162)/100,2))*100</f>
        <v>9614.9673582483465</v>
      </c>
      <c r="D162">
        <f>(3/(1+('CurrentFact-N10,20Unchanged'!C162+'CurrentFact-N10,20Unchanged'!H162)/100)+103/POWER(1+('CurrentFact-N10,20Unchanged'!D162+'CurrentFact-N10,20Unchanged'!H162)/100,2))*100</f>
        <v>9596.7568168842481</v>
      </c>
      <c r="E162">
        <f>(3/(1+('CurrentFact-N10,20Unchanged'!C162+'CurrentFact-N10,20Unchanged'!I162)/100)+103/POWER(1+('CurrentFact-N10,20Unchanged'!D162+'CurrentFact-N10,20Unchanged'!I162)/100,2))*100</f>
        <v>9683.8309978308025</v>
      </c>
      <c r="F162">
        <f>Portfolio!B$5*'CurrentFact-N10,20Unchanged'!E162</f>
        <v>52143.895533915893</v>
      </c>
      <c r="G162">
        <f>Portfolio!B$6*'CurrentFact-N10,20Unchanged'!F162</f>
        <v>3696.2945087936532</v>
      </c>
      <c r="H162">
        <f>Portfolio!B$7*'CurrentFact-N10,20Unchanged'!J162</f>
        <v>2064.4550337304254</v>
      </c>
      <c r="I162">
        <f t="shared" si="4"/>
        <v>96507.786026832211</v>
      </c>
      <c r="J162">
        <f t="shared" si="5"/>
        <v>2.2935491231910419</v>
      </c>
    </row>
    <row r="163" spans="1:10">
      <c r="A163" s="1">
        <v>45698</v>
      </c>
      <c r="B163">
        <f>(3/(1+('CurrentFact-N10,20Unchanged'!C163)/100)+103/POWER(1+('CurrentFact-N10,20Unchanged'!D163)/100,2))*100</f>
        <v>9707.5857774288397</v>
      </c>
      <c r="C163">
        <f>(3/(1+('CurrentFact-N10,20Unchanged'!C163+'CurrentFact-N10,20Unchanged'!G163)/100)+103/POWER(1+('CurrentFact-N10,20Unchanged'!D163+'CurrentFact-N10,20Unchanged'!G163)/100,2))*100</f>
        <v>9614.9673582483465</v>
      </c>
      <c r="D163">
        <f>(3/(1+('CurrentFact-N10,20Unchanged'!C163+'CurrentFact-N10,20Unchanged'!H163)/100)+103/POWER(1+('CurrentFact-N10,20Unchanged'!D163+'CurrentFact-N10,20Unchanged'!H163)/100,2))*100</f>
        <v>9593.2860701476184</v>
      </c>
      <c r="E163">
        <f>(3/(1+('CurrentFact-N10,20Unchanged'!C163+'CurrentFact-N10,20Unchanged'!I163)/100)+103/POWER(1+('CurrentFact-N10,20Unchanged'!D163+'CurrentFact-N10,20Unchanged'!I163)/100,2))*100</f>
        <v>9681.4257502605342</v>
      </c>
      <c r="F163">
        <f>Portfolio!B$5*'CurrentFact-N10,20Unchanged'!E163</f>
        <v>52143.895533915893</v>
      </c>
      <c r="G163">
        <f>Portfolio!B$6*'CurrentFact-N10,20Unchanged'!F163</f>
        <v>3696.2945087936532</v>
      </c>
      <c r="H163">
        <f>Portfolio!B$7*'CurrentFact-N10,20Unchanged'!J163</f>
        <v>2064.4550337304254</v>
      </c>
      <c r="I163">
        <f t="shared" si="4"/>
        <v>96501.910032525309</v>
      </c>
      <c r="J163">
        <f t="shared" si="5"/>
        <v>6.5630892727058381</v>
      </c>
    </row>
    <row r="164" spans="1:10">
      <c r="A164" s="1">
        <v>45699</v>
      </c>
      <c r="B164">
        <f>(3/(1+('CurrentFact-N10,20Unchanged'!C164)/100)+103/POWER(1+('CurrentFact-N10,20Unchanged'!D164)/100,2))*100</f>
        <v>9707.5857774288397</v>
      </c>
      <c r="C164">
        <f>(3/(1+('CurrentFact-N10,20Unchanged'!C164+'CurrentFact-N10,20Unchanged'!G164)/100)+103/POWER(1+('CurrentFact-N10,20Unchanged'!D164+'CurrentFact-N10,20Unchanged'!G164)/100,2))*100</f>
        <v>9614.9673582483465</v>
      </c>
      <c r="D164">
        <f>(3/(1+('CurrentFact-N10,20Unchanged'!C164+'CurrentFact-N10,20Unchanged'!H164)/100)+103/POWER(1+('CurrentFact-N10,20Unchanged'!D164+'CurrentFact-N10,20Unchanged'!H164)/100,2))*100</f>
        <v>9597.0295239138231</v>
      </c>
      <c r="E164">
        <f>(3/(1+('CurrentFact-N10,20Unchanged'!C164+'CurrentFact-N10,20Unchanged'!I164)/100)+103/POWER(1+('CurrentFact-N10,20Unchanged'!D164+'CurrentFact-N10,20Unchanged'!I164)/100,2))*100</f>
        <v>9677.7467427287811</v>
      </c>
      <c r="F164">
        <f>Portfolio!B$5*'CurrentFact-N10,20Unchanged'!E164</f>
        <v>52143.895533915893</v>
      </c>
      <c r="G164">
        <f>Portfolio!B$6*'CurrentFact-N10,20Unchanged'!F164</f>
        <v>3696.2945087936532</v>
      </c>
      <c r="H164">
        <f>Portfolio!B$7*'CurrentFact-N10,20Unchanged'!J164</f>
        <v>2064.4550337304254</v>
      </c>
      <c r="I164">
        <f t="shared" si="4"/>
        <v>96501.974478759774</v>
      </c>
      <c r="J164">
        <f t="shared" si="5"/>
        <v>-3.714205866708653</v>
      </c>
    </row>
    <row r="165" spans="1:10">
      <c r="A165" s="1">
        <v>45700</v>
      </c>
      <c r="B165">
        <f>(3/(1+('CurrentFact-N10,20Unchanged'!C165)/100)+103/POWER(1+('CurrentFact-N10,20Unchanged'!D165)/100,2))*100</f>
        <v>9707.5857774288397</v>
      </c>
      <c r="C165">
        <f>(3/(1+('CurrentFact-N10,20Unchanged'!C165+'CurrentFact-N10,20Unchanged'!G165)/100)+103/POWER(1+('CurrentFact-N10,20Unchanged'!D165+'CurrentFact-N10,20Unchanged'!G165)/100,2))*100</f>
        <v>9614.9673582483465</v>
      </c>
      <c r="D165">
        <f>(3/(1+('CurrentFact-N10,20Unchanged'!C165+'CurrentFact-N10,20Unchanged'!H165)/100)+103/POWER(1+('CurrentFact-N10,20Unchanged'!D165+'CurrentFact-N10,20Unchanged'!H165)/100,2))*100</f>
        <v>9591.2353080564626</v>
      </c>
      <c r="E165">
        <f>(3/(1+('CurrentFact-N10,20Unchanged'!C165+'CurrentFact-N10,20Unchanged'!I165)/100)+103/POWER(1+('CurrentFact-N10,20Unchanged'!D165+'CurrentFact-N10,20Unchanged'!I165)/100,2))*100</f>
        <v>9678.3294139205445</v>
      </c>
      <c r="F165">
        <f>Portfolio!B$5*'CurrentFact-N10,20Unchanged'!E165</f>
        <v>52143.895533915893</v>
      </c>
      <c r="G165">
        <f>Portfolio!B$6*'CurrentFact-N10,20Unchanged'!F165</f>
        <v>3696.2945087936532</v>
      </c>
      <c r="H165">
        <f>Portfolio!B$7*'CurrentFact-N10,20Unchanged'!J165</f>
        <v>2064.4550337304254</v>
      </c>
      <c r="I165">
        <f t="shared" si="4"/>
        <v>96496.762934094164</v>
      </c>
      <c r="J165">
        <f t="shared" si="5"/>
        <v>5.1345960714825196</v>
      </c>
    </row>
    <row r="166" spans="1:10">
      <c r="A166" s="1">
        <v>45701</v>
      </c>
      <c r="B166">
        <f>(3/(1+('CurrentFact-N10,20Unchanged'!C166)/100)+103/POWER(1+('CurrentFact-N10,20Unchanged'!D166)/100,2))*100</f>
        <v>9707.5857774288397</v>
      </c>
      <c r="C166">
        <f>(3/(1+('CurrentFact-N10,20Unchanged'!C166+'CurrentFact-N10,20Unchanged'!G166)/100)+103/POWER(1+('CurrentFact-N10,20Unchanged'!D166+'CurrentFact-N10,20Unchanged'!G166)/100,2))*100</f>
        <v>9614.9673582483465</v>
      </c>
      <c r="D166">
        <f>(3/(1+('CurrentFact-N10,20Unchanged'!C166+'CurrentFact-N10,20Unchanged'!H166)/100)+103/POWER(1+('CurrentFact-N10,20Unchanged'!D166+'CurrentFact-N10,20Unchanged'!H166)/100,2))*100</f>
        <v>9603.818716326834</v>
      </c>
      <c r="E166">
        <f>(3/(1+('CurrentFact-N10,20Unchanged'!C166+'CurrentFact-N10,20Unchanged'!I166)/100)+103/POWER(1+('CurrentFact-N10,20Unchanged'!D166+'CurrentFact-N10,20Unchanged'!I166)/100,2))*100</f>
        <v>9679.8591821495302</v>
      </c>
      <c r="F166">
        <f>Portfolio!B$5*'CurrentFact-N10,20Unchanged'!E166</f>
        <v>52143.895533915893</v>
      </c>
      <c r="G166">
        <f>Portfolio!B$6*'CurrentFact-N10,20Unchanged'!F166</f>
        <v>3696.2945087936532</v>
      </c>
      <c r="H166">
        <f>Portfolio!B$7*'CurrentFact-N10,20Unchanged'!J166</f>
        <v>2064.4550337304254</v>
      </c>
      <c r="I166">
        <f t="shared" si="4"/>
        <v>96510.876110593526</v>
      </c>
      <c r="J166">
        <f t="shared" si="5"/>
        <v>10.802907696750481</v>
      </c>
    </row>
    <row r="167" spans="1:10">
      <c r="A167" s="1">
        <v>45702</v>
      </c>
      <c r="B167">
        <f>(3/(1+('CurrentFact-N10,20Unchanged'!C167)/100)+103/POWER(1+('CurrentFact-N10,20Unchanged'!D167)/100,2))*100</f>
        <v>9707.5857774288397</v>
      </c>
      <c r="C167">
        <f>(3/(1+('CurrentFact-N10,20Unchanged'!C167+'CurrentFact-N10,20Unchanged'!G167)/100)+103/POWER(1+('CurrentFact-N10,20Unchanged'!D167+'CurrentFact-N10,20Unchanged'!G167)/100,2))*100</f>
        <v>9614.9673582483465</v>
      </c>
      <c r="D167">
        <f>(3/(1+('CurrentFact-N10,20Unchanged'!C167+'CurrentFact-N10,20Unchanged'!H167)/100)+103/POWER(1+('CurrentFact-N10,20Unchanged'!D167+'CurrentFact-N10,20Unchanged'!H167)/100,2))*100</f>
        <v>9601.2690624786501</v>
      </c>
      <c r="E167">
        <f>(3/(1+('CurrentFact-N10,20Unchanged'!C167+'CurrentFact-N10,20Unchanged'!I167)/100)+103/POWER(1+('CurrentFact-N10,20Unchanged'!D167+'CurrentFact-N10,20Unchanged'!I167)/100,2))*100</f>
        <v>9680.2416810069553</v>
      </c>
      <c r="F167">
        <f>Portfolio!B$5*'CurrentFact-N10,20Unchanged'!E167</f>
        <v>52143.895533915893</v>
      </c>
      <c r="G167">
        <f>Portfolio!B$6*'CurrentFact-N10,20Unchanged'!F167</f>
        <v>3696.2945087936532</v>
      </c>
      <c r="H167">
        <f>Portfolio!B$7*'CurrentFact-N10,20Unchanged'!J167</f>
        <v>2064.4550337304254</v>
      </c>
      <c r="I167">
        <f t="shared" si="4"/>
        <v>96508.708955602764</v>
      </c>
      <c r="J167">
        <f t="shared" si="5"/>
        <v>13.840787756678765</v>
      </c>
    </row>
    <row r="168" spans="1:10">
      <c r="A168" s="1">
        <v>45705</v>
      </c>
      <c r="B168">
        <f>(3/(1+('CurrentFact-N10,20Unchanged'!C168)/100)+103/POWER(1+('CurrentFact-N10,20Unchanged'!D168)/100,2))*100</f>
        <v>9707.5857774288397</v>
      </c>
      <c r="C168">
        <f>(3/(1+('CurrentFact-N10,20Unchanged'!C168+'CurrentFact-N10,20Unchanged'!G168)/100)+103/POWER(1+('CurrentFact-N10,20Unchanged'!D168+'CurrentFact-N10,20Unchanged'!G168)/100,2))*100</f>
        <v>9614.9673582483465</v>
      </c>
      <c r="D168">
        <f>(3/(1+('CurrentFact-N10,20Unchanged'!C168+'CurrentFact-N10,20Unchanged'!H168)/100)+103/POWER(1+('CurrentFact-N10,20Unchanged'!D168+'CurrentFact-N10,20Unchanged'!H168)/100,2))*100</f>
        <v>9599.5328865609517</v>
      </c>
      <c r="E168">
        <f>(3/(1+('CurrentFact-N10,20Unchanged'!C168+'CurrentFact-N10,20Unchanged'!I168)/100)+103/POWER(1+('CurrentFact-N10,20Unchanged'!D168+'CurrentFact-N10,20Unchanged'!I168)/100,2))*100</f>
        <v>9675.9990479662356</v>
      </c>
      <c r="F168">
        <f>Portfolio!B$5*'CurrentFact-N10,20Unchanged'!E168</f>
        <v>52143.895533915893</v>
      </c>
      <c r="G168">
        <f>Portfolio!B$6*'CurrentFact-N10,20Unchanged'!F168</f>
        <v>3696.2945087936532</v>
      </c>
      <c r="H168">
        <f>Portfolio!B$7*'CurrentFact-N10,20Unchanged'!J168</f>
        <v>2064.4550337304254</v>
      </c>
      <c r="I168">
        <f t="shared" si="4"/>
        <v>96502.730146644346</v>
      </c>
      <c r="J168">
        <f t="shared" si="5"/>
        <v>2.4635033278900664</v>
      </c>
    </row>
    <row r="169" spans="1:10">
      <c r="A169" s="1">
        <v>45706</v>
      </c>
      <c r="B169">
        <f>(3/(1+('CurrentFact-N10,20Unchanged'!C169)/100)+103/POWER(1+('CurrentFact-N10,20Unchanged'!D169)/100,2))*100</f>
        <v>9707.5857774288397</v>
      </c>
      <c r="C169">
        <f>(3/(1+('CurrentFact-N10,20Unchanged'!C169+'CurrentFact-N10,20Unchanged'!G169)/100)+103/POWER(1+('CurrentFact-N10,20Unchanged'!D169+'CurrentFact-N10,20Unchanged'!G169)/100,2))*100</f>
        <v>9614.9673582483465</v>
      </c>
      <c r="D169">
        <f>(3/(1+('CurrentFact-N10,20Unchanged'!C169+'CurrentFact-N10,20Unchanged'!H169)/100)+103/POWER(1+('CurrentFact-N10,20Unchanged'!D169+'CurrentFact-N10,20Unchanged'!H169)/100,2))*100</f>
        <v>9596.2856929428399</v>
      </c>
      <c r="E169">
        <f>(3/(1+('CurrentFact-N10,20Unchanged'!C169+'CurrentFact-N10,20Unchanged'!I169)/100)+103/POWER(1+('CurrentFact-N10,20Unchanged'!D169+'CurrentFact-N10,20Unchanged'!I169)/100,2))*100</f>
        <v>9672.5050890457296</v>
      </c>
      <c r="F169">
        <f>Portfolio!B$5*'CurrentFact-N10,20Unchanged'!E169</f>
        <v>52143.895533915893</v>
      </c>
      <c r="G169">
        <f>Portfolio!B$6*'CurrentFact-N10,20Unchanged'!F169</f>
        <v>3696.2945087936532</v>
      </c>
      <c r="H169">
        <f>Portfolio!B$7*'CurrentFact-N10,20Unchanged'!J169</f>
        <v>2064.4550337304254</v>
      </c>
      <c r="I169">
        <f t="shared" si="4"/>
        <v>96495.988994105719</v>
      </c>
      <c r="J169">
        <f t="shared" si="5"/>
        <v>-16.510386101523181</v>
      </c>
    </row>
    <row r="170" spans="1:10">
      <c r="A170" s="1">
        <v>45707</v>
      </c>
      <c r="B170">
        <f>(3/(1+('CurrentFact-N10,20Unchanged'!C170)/100)+103/POWER(1+('CurrentFact-N10,20Unchanged'!D170)/100,2))*100</f>
        <v>9707.5857774288397</v>
      </c>
      <c r="C170">
        <f>(3/(1+('CurrentFact-N10,20Unchanged'!C170+'CurrentFact-N10,20Unchanged'!G170)/100)+103/POWER(1+('CurrentFact-N10,20Unchanged'!D170+'CurrentFact-N10,20Unchanged'!G170)/100,2))*100</f>
        <v>9614.9673582483465</v>
      </c>
      <c r="D170">
        <f>(3/(1+('CurrentFact-N10,20Unchanged'!C170+'CurrentFact-N10,20Unchanged'!H170)/100)+103/POWER(1+('CurrentFact-N10,20Unchanged'!D170+'CurrentFact-N10,20Unchanged'!H170)/100,2))*100</f>
        <v>9589.9931499623963</v>
      </c>
      <c r="E170">
        <f>(3/(1+('CurrentFact-N10,20Unchanged'!C170+'CurrentFact-N10,20Unchanged'!I170)/100)+103/POWER(1+('CurrentFact-N10,20Unchanged'!D170+'CurrentFact-N10,20Unchanged'!I170)/100,2))*100</f>
        <v>9674.0152636029943</v>
      </c>
      <c r="F170">
        <f>Portfolio!B$5*'CurrentFact-N10,20Unchanged'!E170</f>
        <v>52143.895533915893</v>
      </c>
      <c r="G170">
        <f>Portfolio!B$6*'CurrentFact-N10,20Unchanged'!F170</f>
        <v>3696.2945087936532</v>
      </c>
      <c r="H170">
        <f>Portfolio!B$7*'CurrentFact-N10,20Unchanged'!J170</f>
        <v>2064.4550337304254</v>
      </c>
      <c r="I170">
        <f t="shared" si="4"/>
        <v>96491.206625682549</v>
      </c>
      <c r="J170">
        <f t="shared" si="5"/>
        <v>-20.721366054945975</v>
      </c>
    </row>
    <row r="171" spans="1:10">
      <c r="A171" s="1">
        <v>45708</v>
      </c>
      <c r="B171">
        <f>(3/(1+('CurrentFact-N10,20Unchanged'!C171)/100)+103/POWER(1+('CurrentFact-N10,20Unchanged'!D171)/100,2))*100</f>
        <v>9707.5857774288397</v>
      </c>
      <c r="C171">
        <f>(3/(1+('CurrentFact-N10,20Unchanged'!C171+'CurrentFact-N10,20Unchanged'!G171)/100)+103/POWER(1+('CurrentFact-N10,20Unchanged'!D171+'CurrentFact-N10,20Unchanged'!G171)/100,2))*100</f>
        <v>9614.9673582483465</v>
      </c>
      <c r="D171">
        <f>(3/(1+('CurrentFact-N10,20Unchanged'!C171+'CurrentFact-N10,20Unchanged'!H171)/100)+103/POWER(1+('CurrentFact-N10,20Unchanged'!D171+'CurrentFact-N10,20Unchanged'!H171)/100,2))*100</f>
        <v>9597.4343629947107</v>
      </c>
      <c r="E171">
        <f>(3/(1+('CurrentFact-N10,20Unchanged'!C171+'CurrentFact-N10,20Unchanged'!I171)/100)+103/POWER(1+('CurrentFact-N10,20Unchanged'!D171+'CurrentFact-N10,20Unchanged'!I171)/100,2))*100</f>
        <v>9674.3610174584901</v>
      </c>
      <c r="F171">
        <f>Portfolio!B$5*'CurrentFact-N10,20Unchanged'!E171</f>
        <v>52143.895533915893</v>
      </c>
      <c r="G171">
        <f>Portfolio!B$6*'CurrentFact-N10,20Unchanged'!F171</f>
        <v>3696.2945087936532</v>
      </c>
      <c r="H171">
        <f>Portfolio!B$7*'CurrentFact-N10,20Unchanged'!J171</f>
        <v>2064.4550337304254</v>
      </c>
      <c r="I171">
        <f t="shared" si="4"/>
        <v>96498.993592570361</v>
      </c>
      <c r="J171">
        <f t="shared" si="5"/>
        <v>-14.452326042461209</v>
      </c>
    </row>
    <row r="172" spans="1:10">
      <c r="A172" s="1">
        <v>45709</v>
      </c>
      <c r="B172">
        <f>(3/(1+('CurrentFact-N10,20Unchanged'!C172)/100)+103/POWER(1+('CurrentFact-N10,20Unchanged'!D172)/100,2))*100</f>
        <v>9707.5857774288397</v>
      </c>
      <c r="C172">
        <f>(3/(1+('CurrentFact-N10,20Unchanged'!C172+'CurrentFact-N10,20Unchanged'!G172)/100)+103/POWER(1+('CurrentFact-N10,20Unchanged'!D172+'CurrentFact-N10,20Unchanged'!G172)/100,2))*100</f>
        <v>9614.9673582483465</v>
      </c>
      <c r="D172">
        <f>(3/(1+('CurrentFact-N10,20Unchanged'!C172+'CurrentFact-N10,20Unchanged'!H172)/100)+103/POWER(1+('CurrentFact-N10,20Unchanged'!D172+'CurrentFact-N10,20Unchanged'!H172)/100,2))*100</f>
        <v>9588.0556703680959</v>
      </c>
      <c r="E172">
        <f>(3/(1+('CurrentFact-N10,20Unchanged'!C172+'CurrentFact-N10,20Unchanged'!I172)/100)+103/POWER(1+('CurrentFact-N10,20Unchanged'!D172+'CurrentFact-N10,20Unchanged'!I172)/100,2))*100</f>
        <v>9674.7431854966417</v>
      </c>
      <c r="F172">
        <f>Portfolio!B$5*'CurrentFact-N10,20Unchanged'!E172</f>
        <v>52143.895533915893</v>
      </c>
      <c r="G172">
        <f>Portfolio!B$6*'CurrentFact-N10,20Unchanged'!F172</f>
        <v>3696.2945087936532</v>
      </c>
      <c r="H172">
        <f>Portfolio!B$7*'CurrentFact-N10,20Unchanged'!J172</f>
        <v>2064.4550337304254</v>
      </c>
      <c r="I172">
        <f t="shared" si="4"/>
        <v>96489.997067981894</v>
      </c>
      <c r="J172">
        <f t="shared" si="5"/>
        <v>-17.788958850316703</v>
      </c>
    </row>
    <row r="173" spans="1:10">
      <c r="A173" s="1">
        <v>45712</v>
      </c>
      <c r="B173">
        <f>(3/(1+('CurrentFact-N10,20Unchanged'!C173)/100)+103/POWER(1+('CurrentFact-N10,20Unchanged'!D173)/100,2))*100</f>
        <v>9707.5857774288397</v>
      </c>
      <c r="C173">
        <f>(3/(1+('CurrentFact-N10,20Unchanged'!C173+'CurrentFact-N10,20Unchanged'!G173)/100)+103/POWER(1+('CurrentFact-N10,20Unchanged'!D173+'CurrentFact-N10,20Unchanged'!G173)/100,2))*100</f>
        <v>9614.9673582483465</v>
      </c>
      <c r="D173">
        <f>(3/(1+('CurrentFact-N10,20Unchanged'!C173+'CurrentFact-N10,20Unchanged'!H173)/100)+103/POWER(1+('CurrentFact-N10,20Unchanged'!D173+'CurrentFact-N10,20Unchanged'!H173)/100,2))*100</f>
        <v>9601.5192982912249</v>
      </c>
      <c r="E173">
        <f>(3/(1+('CurrentFact-N10,20Unchanged'!C173+'CurrentFact-N10,20Unchanged'!I173)/100)+103/POWER(1+('CurrentFact-N10,20Unchanged'!D173+'CurrentFact-N10,20Unchanged'!I173)/100,2))*100</f>
        <v>9678.9485628995772</v>
      </c>
      <c r="F173">
        <f>Portfolio!B$5*'CurrentFact-N10,20Unchanged'!E173</f>
        <v>52143.895533915893</v>
      </c>
      <c r="G173">
        <f>Portfolio!B$6*'CurrentFact-N10,20Unchanged'!F173</f>
        <v>3696.2945087936532</v>
      </c>
      <c r="H173">
        <f>Portfolio!B$7*'CurrentFact-N10,20Unchanged'!J173</f>
        <v>2064.4550337304254</v>
      </c>
      <c r="I173">
        <f t="shared" si="4"/>
        <v>96507.666073307948</v>
      </c>
      <c r="J173">
        <f t="shared" si="5"/>
        <v>5.7560407826385926</v>
      </c>
    </row>
    <row r="174" spans="1:10">
      <c r="A174" s="1">
        <v>45713</v>
      </c>
      <c r="B174">
        <f>(3/(1+('CurrentFact-N10,20Unchanged'!C174)/100)+103/POWER(1+('CurrentFact-N10,20Unchanged'!D174)/100,2))*100</f>
        <v>9707.5857774288397</v>
      </c>
      <c r="C174">
        <f>(3/(1+('CurrentFact-N10,20Unchanged'!C174+'CurrentFact-N10,20Unchanged'!G174)/100)+103/POWER(1+('CurrentFact-N10,20Unchanged'!D174+'CurrentFact-N10,20Unchanged'!G174)/100,2))*100</f>
        <v>9614.9673582483465</v>
      </c>
      <c r="D174">
        <f>(3/(1+('CurrentFact-N10,20Unchanged'!C174+'CurrentFact-N10,20Unchanged'!H174)/100)+103/POWER(1+('CurrentFact-N10,20Unchanged'!D174+'CurrentFact-N10,20Unchanged'!H174)/100,2))*100</f>
        <v>9602.0150861927086</v>
      </c>
      <c r="E174">
        <f>(3/(1+('CurrentFact-N10,20Unchanged'!C174+'CurrentFact-N10,20Unchanged'!I174)/100)+103/POWER(1+('CurrentFact-N10,20Unchanged'!D174+'CurrentFact-N10,20Unchanged'!I174)/100,2))*100</f>
        <v>9678.4386715537785</v>
      </c>
      <c r="F174">
        <f>Portfolio!B$5*'CurrentFact-N10,20Unchanged'!E174</f>
        <v>52143.895533915893</v>
      </c>
      <c r="G174">
        <f>Portfolio!B$6*'CurrentFact-N10,20Unchanged'!F174</f>
        <v>3696.2945087936532</v>
      </c>
      <c r="H174">
        <f>Portfolio!B$7*'CurrentFact-N10,20Unchanged'!J174</f>
        <v>2064.4550337304254</v>
      </c>
      <c r="I174">
        <f t="shared" si="4"/>
        <v>96507.65196986364</v>
      </c>
      <c r="J174">
        <f t="shared" si="5"/>
        <v>5.6774911038664868</v>
      </c>
    </row>
    <row r="175" spans="1:10">
      <c r="A175" s="1">
        <v>45714</v>
      </c>
      <c r="B175">
        <f>(3/(1+('CurrentFact-N10,20Unchanged'!C175)/100)+103/POWER(1+('CurrentFact-N10,20Unchanged'!D175)/100,2))*100</f>
        <v>9707.5857774288397</v>
      </c>
      <c r="C175">
        <f>(3/(1+('CurrentFact-N10,20Unchanged'!C175+'CurrentFact-N10,20Unchanged'!G175)/100)+103/POWER(1+('CurrentFact-N10,20Unchanged'!D175+'CurrentFact-N10,20Unchanged'!G175)/100,2))*100</f>
        <v>9614.9673582483465</v>
      </c>
      <c r="D175">
        <f>(3/(1+('CurrentFact-N10,20Unchanged'!C175+'CurrentFact-N10,20Unchanged'!H175)/100)+103/POWER(1+('CurrentFact-N10,20Unchanged'!D175+'CurrentFact-N10,20Unchanged'!H175)/100,2))*100</f>
        <v>9604.4913975121763</v>
      </c>
      <c r="E175">
        <f>(3/(1+('CurrentFact-N10,20Unchanged'!C175+'CurrentFact-N10,20Unchanged'!I175)/100)+103/POWER(1+('CurrentFact-N10,20Unchanged'!D175+'CurrentFact-N10,20Unchanged'!I175)/100,2))*100</f>
        <v>9679.5313437128316</v>
      </c>
      <c r="F175">
        <f>Portfolio!B$5*'CurrentFact-N10,20Unchanged'!E175</f>
        <v>52143.895533915893</v>
      </c>
      <c r="G175">
        <f>Portfolio!B$6*'CurrentFact-N10,20Unchanged'!F175</f>
        <v>3696.2945087936532</v>
      </c>
      <c r="H175">
        <f>Portfolio!B$7*'CurrentFact-N10,20Unchanged'!J175</f>
        <v>2064.4550337304254</v>
      </c>
      <c r="I175">
        <f t="shared" si="4"/>
        <v>96511.220953342156</v>
      </c>
      <c r="J175">
        <f t="shared" si="5"/>
        <v>14.458019247991615</v>
      </c>
    </row>
    <row r="176" spans="1:10">
      <c r="A176" s="1">
        <v>45715</v>
      </c>
      <c r="B176">
        <f>(3/(1+('CurrentFact-N10,20Unchanged'!C176)/100)+103/POWER(1+('CurrentFact-N10,20Unchanged'!D176)/100,2))*100</f>
        <v>9707.5857774288397</v>
      </c>
      <c r="C176">
        <f>(3/(1+('CurrentFact-N10,20Unchanged'!C176+'CurrentFact-N10,20Unchanged'!G176)/100)+103/POWER(1+('CurrentFact-N10,20Unchanged'!D176+'CurrentFact-N10,20Unchanged'!G176)/100,2))*100</f>
        <v>9614.9673582483465</v>
      </c>
      <c r="D176">
        <f>(3/(1+('CurrentFact-N10,20Unchanged'!C176+'CurrentFact-N10,20Unchanged'!H176)/100)+103/POWER(1+('CurrentFact-N10,20Unchanged'!D176+'CurrentFact-N10,20Unchanged'!H176)/100,2))*100</f>
        <v>9582.6105389378336</v>
      </c>
      <c r="E176">
        <f>(3/(1+('CurrentFact-N10,20Unchanged'!C176+'CurrentFact-N10,20Unchanged'!I176)/100)+103/POWER(1+('CurrentFact-N10,20Unchanged'!D176+'CurrentFact-N10,20Unchanged'!I176)/100,2))*100</f>
        <v>9680.1506074427598</v>
      </c>
      <c r="F176">
        <f>Portfolio!B$5*'CurrentFact-N10,20Unchanged'!E176</f>
        <v>52143.895533915893</v>
      </c>
      <c r="G176">
        <f>Portfolio!B$6*'CurrentFact-N10,20Unchanged'!F176</f>
        <v>3696.2945087936532</v>
      </c>
      <c r="H176">
        <f>Portfolio!B$7*'CurrentFact-N10,20Unchanged'!J176</f>
        <v>2064.4550337304254</v>
      </c>
      <c r="I176">
        <f t="shared" si="4"/>
        <v>96489.959358497756</v>
      </c>
      <c r="J176">
        <f t="shared" si="5"/>
        <v>-20.916752095770789</v>
      </c>
    </row>
    <row r="177" spans="1:10">
      <c r="A177" s="1">
        <v>45716</v>
      </c>
      <c r="B177">
        <f>(3/(1+('CurrentFact-N10,20Unchanged'!C177)/100)+103/POWER(1+('CurrentFact-N10,20Unchanged'!D177)/100,2))*100</f>
        <v>9707.5857774288397</v>
      </c>
      <c r="C177">
        <f>(3/(1+('CurrentFact-N10,20Unchanged'!C177+'CurrentFact-N10,20Unchanged'!G177)/100)+103/POWER(1+('CurrentFact-N10,20Unchanged'!D177+'CurrentFact-N10,20Unchanged'!G177)/100,2))*100</f>
        <v>9614.9673582483465</v>
      </c>
      <c r="D177">
        <f>(3/(1+('CurrentFact-N10,20Unchanged'!C177+'CurrentFact-N10,20Unchanged'!H177)/100)+103/POWER(1+('CurrentFact-N10,20Unchanged'!D177+'CurrentFact-N10,20Unchanged'!H177)/100,2))*100</f>
        <v>9615.4896586602463</v>
      </c>
      <c r="E177">
        <f>(3/(1+('CurrentFact-N10,20Unchanged'!C177+'CurrentFact-N10,20Unchanged'!I177)/100)+103/POWER(1+('CurrentFact-N10,20Unchanged'!D177+'CurrentFact-N10,20Unchanged'!I177)/100,2))*100</f>
        <v>9680.8063629512781</v>
      </c>
      <c r="F177">
        <f>Portfolio!B$5*'CurrentFact-N10,20Unchanged'!E177</f>
        <v>52143.895533915893</v>
      </c>
      <c r="G177">
        <f>Portfolio!B$6*'CurrentFact-N10,20Unchanged'!F177</f>
        <v>3696.2945087936532</v>
      </c>
      <c r="H177">
        <f>Portfolio!B$7*'CurrentFact-N10,20Unchanged'!J177</f>
        <v>2064.4550337304254</v>
      </c>
      <c r="I177">
        <f t="shared" si="4"/>
        <v>96523.494233728678</v>
      </c>
      <c r="J177">
        <f t="shared" si="5"/>
        <v>14.785278125913464</v>
      </c>
    </row>
    <row r="178" spans="1:10">
      <c r="A178" s="1">
        <v>45719</v>
      </c>
      <c r="B178">
        <f>(3/(1+('CurrentFact-N10,20Unchanged'!C178)/100)+103/POWER(1+('CurrentFact-N10,20Unchanged'!D178)/100,2))*100</f>
        <v>9707.5857774288397</v>
      </c>
      <c r="C178">
        <f>(3/(1+('CurrentFact-N10,20Unchanged'!C178+'CurrentFact-N10,20Unchanged'!G178)/100)+103/POWER(1+('CurrentFact-N10,20Unchanged'!D178+'CurrentFact-N10,20Unchanged'!G178)/100,2))*100</f>
        <v>9614.9673582483465</v>
      </c>
      <c r="D178">
        <f>(3/(1+('CurrentFact-N10,20Unchanged'!C178+'CurrentFact-N10,20Unchanged'!H178)/100)+103/POWER(1+('CurrentFact-N10,20Unchanged'!D178+'CurrentFact-N10,20Unchanged'!H178)/100,2))*100</f>
        <v>9597.8964400579171</v>
      </c>
      <c r="E178">
        <f>(3/(1+('CurrentFact-N10,20Unchanged'!C178+'CurrentFact-N10,20Unchanged'!I178)/100)+103/POWER(1+('CurrentFact-N10,20Unchanged'!D178+'CurrentFact-N10,20Unchanged'!I178)/100,2))*100</f>
        <v>9680.788146177485</v>
      </c>
      <c r="F178">
        <f>Portfolio!B$5*'CurrentFact-N10,20Unchanged'!E178</f>
        <v>52143.895533915893</v>
      </c>
      <c r="G178">
        <f>Portfolio!B$6*'CurrentFact-N10,20Unchanged'!F178</f>
        <v>3696.2945087936532</v>
      </c>
      <c r="H178">
        <f>Portfolio!B$7*'CurrentFact-N10,20Unchanged'!J178</f>
        <v>2064.4550337304254</v>
      </c>
      <c r="I178">
        <f t="shared" si="4"/>
        <v>96505.88279835257</v>
      </c>
      <c r="J178">
        <f t="shared" si="5"/>
        <v>3.152651708223857</v>
      </c>
    </row>
    <row r="179" spans="1:10">
      <c r="A179" s="1">
        <v>45720</v>
      </c>
      <c r="B179">
        <f>(3/(1+('CurrentFact-N10,20Unchanged'!C179)/100)+103/POWER(1+('CurrentFact-N10,20Unchanged'!D179)/100,2))*100</f>
        <v>9707.5857774288397</v>
      </c>
      <c r="C179">
        <f>(3/(1+('CurrentFact-N10,20Unchanged'!C179+'CurrentFact-N10,20Unchanged'!G179)/100)+103/POWER(1+('CurrentFact-N10,20Unchanged'!D179+'CurrentFact-N10,20Unchanged'!G179)/100,2))*100</f>
        <v>9614.9673582483465</v>
      </c>
      <c r="D179">
        <f>(3/(1+('CurrentFact-N10,20Unchanged'!C179+'CurrentFact-N10,20Unchanged'!H179)/100)+103/POWER(1+('CurrentFact-N10,20Unchanged'!D179+'CurrentFact-N10,20Unchanged'!H179)/100,2))*100</f>
        <v>9591.6438731449743</v>
      </c>
      <c r="E179">
        <f>(3/(1+('CurrentFact-N10,20Unchanged'!C179+'CurrentFact-N10,20Unchanged'!I179)/100)+103/POWER(1+('CurrentFact-N10,20Unchanged'!D179+'CurrentFact-N10,20Unchanged'!I179)/100,2))*100</f>
        <v>9682.9562582542785</v>
      </c>
      <c r="F179">
        <f>Portfolio!B$5*'CurrentFact-N10,20Unchanged'!E179</f>
        <v>52143.895533915893</v>
      </c>
      <c r="G179">
        <f>Portfolio!B$6*'CurrentFact-N10,20Unchanged'!F179</f>
        <v>3696.2945087936532</v>
      </c>
      <c r="H179">
        <f>Portfolio!B$7*'CurrentFact-N10,20Unchanged'!J179</f>
        <v>2064.4550337304254</v>
      </c>
      <c r="I179">
        <f t="shared" si="4"/>
        <v>96501.798343516421</v>
      </c>
      <c r="J179">
        <f t="shared" si="5"/>
        <v>5.8093494107015431</v>
      </c>
    </row>
    <row r="180" spans="1:10">
      <c r="A180" s="1">
        <v>45721</v>
      </c>
      <c r="B180">
        <f>(3/(1+('CurrentFact-N10,20Unchanged'!C180)/100)+103/POWER(1+('CurrentFact-N10,20Unchanged'!D180)/100,2))*100</f>
        <v>9707.5857774288397</v>
      </c>
      <c r="C180">
        <f>(3/(1+('CurrentFact-N10,20Unchanged'!C180+'CurrentFact-N10,20Unchanged'!G180)/100)+103/POWER(1+('CurrentFact-N10,20Unchanged'!D180+'CurrentFact-N10,20Unchanged'!G180)/100,2))*100</f>
        <v>9614.9673582483465</v>
      </c>
      <c r="D180">
        <f>(3/(1+('CurrentFact-N10,20Unchanged'!C180+'CurrentFact-N10,20Unchanged'!H180)/100)+103/POWER(1+('CurrentFact-N10,20Unchanged'!D180+'CurrentFact-N10,20Unchanged'!H180)/100,2))*100</f>
        <v>9602.6036785744218</v>
      </c>
      <c r="E180">
        <f>(3/(1+('CurrentFact-N10,20Unchanged'!C180+'CurrentFact-N10,20Unchanged'!I180)/100)+103/POWER(1+('CurrentFact-N10,20Unchanged'!D180+'CurrentFact-N10,20Unchanged'!I180)/100,2))*100</f>
        <v>9682.9562582542785</v>
      </c>
      <c r="F180">
        <f>Portfolio!B$5*'CurrentFact-N10,20Unchanged'!E180</f>
        <v>52143.895533915893</v>
      </c>
      <c r="G180">
        <f>Portfolio!B$6*'CurrentFact-N10,20Unchanged'!F180</f>
        <v>3696.2945087936532</v>
      </c>
      <c r="H180">
        <f>Portfolio!B$7*'CurrentFact-N10,20Unchanged'!J180</f>
        <v>2064.4550337304254</v>
      </c>
      <c r="I180">
        <f t="shared" si="4"/>
        <v>96512.758148945868</v>
      </c>
      <c r="J180">
        <f t="shared" si="5"/>
        <v>21.551523263318813</v>
      </c>
    </row>
    <row r="181" spans="1:10">
      <c r="A181" s="1">
        <v>45722</v>
      </c>
      <c r="B181">
        <f>(3/(1+('CurrentFact-N10,20Unchanged'!C181)/100)+103/POWER(1+('CurrentFact-N10,20Unchanged'!D181)/100,2))*100</f>
        <v>9707.5857774288397</v>
      </c>
      <c r="C181">
        <f>(3/(1+('CurrentFact-N10,20Unchanged'!C181+'CurrentFact-N10,20Unchanged'!G181)/100)+103/POWER(1+('CurrentFact-N10,20Unchanged'!D181+'CurrentFact-N10,20Unchanged'!G181)/100,2))*100</f>
        <v>9614.9673582483465</v>
      </c>
      <c r="D181">
        <f>(3/(1+('CurrentFact-N10,20Unchanged'!C181+'CurrentFact-N10,20Unchanged'!H181)/100)+103/POWER(1+('CurrentFact-N10,20Unchanged'!D181+'CurrentFact-N10,20Unchanged'!H181)/100,2))*100</f>
        <v>9606.8862764337082</v>
      </c>
      <c r="E181">
        <f>(3/(1+('CurrentFact-N10,20Unchanged'!C181+'CurrentFact-N10,20Unchanged'!I181)/100)+103/POWER(1+('CurrentFact-N10,20Unchanged'!D181+'CurrentFact-N10,20Unchanged'!I181)/100,2))*100</f>
        <v>9683.4300615345237</v>
      </c>
      <c r="F181">
        <f>Portfolio!B$5*'CurrentFact-N10,20Unchanged'!E181</f>
        <v>52143.895533915893</v>
      </c>
      <c r="G181">
        <f>Portfolio!B$6*'CurrentFact-N10,20Unchanged'!F181</f>
        <v>3696.2945087936532</v>
      </c>
      <c r="H181">
        <f>Portfolio!B$7*'CurrentFact-N10,20Unchanged'!J181</f>
        <v>2064.4550337304254</v>
      </c>
      <c r="I181">
        <f t="shared" si="4"/>
        <v>96517.514550085383</v>
      </c>
      <c r="J181">
        <f t="shared" si="5"/>
        <v>18.520957515022019</v>
      </c>
    </row>
    <row r="182" spans="1:10">
      <c r="A182" s="1">
        <v>45723</v>
      </c>
      <c r="B182">
        <f>(3/(1+('CurrentFact-N10,20Unchanged'!C182)/100)+103/POWER(1+('CurrentFact-N10,20Unchanged'!D182)/100,2))*100</f>
        <v>9707.5857774288397</v>
      </c>
      <c r="C182">
        <f>(3/(1+('CurrentFact-N10,20Unchanged'!C182+'CurrentFact-N10,20Unchanged'!G182)/100)+103/POWER(1+('CurrentFact-N10,20Unchanged'!D182+'CurrentFact-N10,20Unchanged'!G182)/100,2))*100</f>
        <v>9614.9673582483465</v>
      </c>
      <c r="D182">
        <f>(3/(1+('CurrentFact-N10,20Unchanged'!C182+'CurrentFact-N10,20Unchanged'!H182)/100)+103/POWER(1+('CurrentFact-N10,20Unchanged'!D182+'CurrentFact-N10,20Unchanged'!H182)/100,2))*100</f>
        <v>9600.5729960441913</v>
      </c>
      <c r="E182">
        <f>(3/(1+('CurrentFact-N10,20Unchanged'!C182+'CurrentFact-N10,20Unchanged'!I182)/100)+103/POWER(1+('CurrentFact-N10,20Unchanged'!D182+'CurrentFact-N10,20Unchanged'!I182)/100,2))*100</f>
        <v>9683.8492232794542</v>
      </c>
      <c r="F182">
        <f>Portfolio!B$5*'CurrentFact-N10,20Unchanged'!E182</f>
        <v>52143.895533915893</v>
      </c>
      <c r="G182">
        <f>Portfolio!B$6*'CurrentFact-N10,20Unchanged'!F182</f>
        <v>3696.2945087936532</v>
      </c>
      <c r="H182">
        <f>Portfolio!B$7*'CurrentFact-N10,20Unchanged'!J182</f>
        <v>2064.4550337304254</v>
      </c>
      <c r="I182">
        <f t="shared" si="4"/>
        <v>96511.620431440795</v>
      </c>
      <c r="J182">
        <f t="shared" si="5"/>
        <v>21.623363458900712</v>
      </c>
    </row>
    <row r="183" spans="1:10">
      <c r="A183" s="1">
        <v>45726</v>
      </c>
      <c r="B183">
        <f>(3/(1+('CurrentFact-N10,20Unchanged'!C183)/100)+103/POWER(1+('CurrentFact-N10,20Unchanged'!D183)/100,2))*100</f>
        <v>9707.5857774288397</v>
      </c>
      <c r="C183">
        <f>(3/(1+('CurrentFact-N10,20Unchanged'!C183+'CurrentFact-N10,20Unchanged'!G183)/100)+103/POWER(1+('CurrentFact-N10,20Unchanged'!D183+'CurrentFact-N10,20Unchanged'!G183)/100,2))*100</f>
        <v>9614.9673582483465</v>
      </c>
      <c r="D183">
        <f>(3/(1+('CurrentFact-N10,20Unchanged'!C183+'CurrentFact-N10,20Unchanged'!H183)/100)+103/POWER(1+('CurrentFact-N10,20Unchanged'!D183+'CurrentFact-N10,20Unchanged'!H183)/100,2))*100</f>
        <v>9597.5780764416104</v>
      </c>
      <c r="E183">
        <f>(3/(1+('CurrentFact-N10,20Unchanged'!C183+'CurrentFact-N10,20Unchanged'!I183)/100)+103/POWER(1+('CurrentFact-N10,20Unchanged'!D183+'CurrentFact-N10,20Unchanged'!I183)/100,2))*100</f>
        <v>9682.755812656851</v>
      </c>
      <c r="F183">
        <f>Portfolio!B$5*'CurrentFact-N10,20Unchanged'!E183</f>
        <v>52143.895533915893</v>
      </c>
      <c r="G183">
        <f>Portfolio!B$6*'CurrentFact-N10,20Unchanged'!F183</f>
        <v>3696.2945087936532</v>
      </c>
      <c r="H183">
        <f>Portfolio!B$7*'CurrentFact-N10,20Unchanged'!J183</f>
        <v>2064.4550337304254</v>
      </c>
      <c r="I183">
        <f t="shared" si="4"/>
        <v>96507.53210121562</v>
      </c>
      <c r="J183">
        <f t="shared" si="5"/>
        <v>-0.13397209232789464</v>
      </c>
    </row>
    <row r="184" spans="1:10">
      <c r="A184" s="1">
        <v>45727</v>
      </c>
      <c r="B184">
        <f>(3/(1+('CurrentFact-N10,20Unchanged'!C184)/100)+103/POWER(1+('CurrentFact-N10,20Unchanged'!D184)/100,2))*100</f>
        <v>9707.5857774288397</v>
      </c>
      <c r="C184">
        <f>(3/(1+('CurrentFact-N10,20Unchanged'!C184+'CurrentFact-N10,20Unchanged'!G184)/100)+103/POWER(1+('CurrentFact-N10,20Unchanged'!D184+'CurrentFact-N10,20Unchanged'!G184)/100,2))*100</f>
        <v>9614.9673582483465</v>
      </c>
      <c r="D184">
        <f>(3/(1+('CurrentFact-N10,20Unchanged'!C184+'CurrentFact-N10,20Unchanged'!H184)/100)+103/POWER(1+('CurrentFact-N10,20Unchanged'!D184+'CurrentFact-N10,20Unchanged'!H184)/100,2))*100</f>
        <v>9605.658322180685</v>
      </c>
      <c r="E184">
        <f>(3/(1+('CurrentFact-N10,20Unchanged'!C184+'CurrentFact-N10,20Unchanged'!I184)/100)+103/POWER(1+('CurrentFact-N10,20Unchanged'!D184+'CurrentFact-N10,20Unchanged'!I184)/100,2))*100</f>
        <v>9683.0838165525784</v>
      </c>
      <c r="F184">
        <f>Portfolio!B$5*'CurrentFact-N10,20Unchanged'!E184</f>
        <v>52143.895533915893</v>
      </c>
      <c r="G184">
        <f>Portfolio!B$6*'CurrentFact-N10,20Unchanged'!F184</f>
        <v>3696.2945087936532</v>
      </c>
      <c r="H184">
        <f>Portfolio!B$7*'CurrentFact-N10,20Unchanged'!J184</f>
        <v>2064.4550337304254</v>
      </c>
      <c r="I184">
        <f t="shared" si="4"/>
        <v>96515.940350850418</v>
      </c>
      <c r="J184">
        <f t="shared" si="5"/>
        <v>8.2883809867780656</v>
      </c>
    </row>
    <row r="185" spans="1:10">
      <c r="A185" s="1">
        <v>45728</v>
      </c>
      <c r="B185">
        <f>(3/(1+('CurrentFact-N10,20Unchanged'!C185)/100)+103/POWER(1+('CurrentFact-N10,20Unchanged'!D185)/100,2))*100</f>
        <v>9707.5857774288397</v>
      </c>
      <c r="C185">
        <f>(3/(1+('CurrentFact-N10,20Unchanged'!C185+'CurrentFact-N10,20Unchanged'!G185)/100)+103/POWER(1+('CurrentFact-N10,20Unchanged'!D185+'CurrentFact-N10,20Unchanged'!G185)/100,2))*100</f>
        <v>9614.9673582483465</v>
      </c>
      <c r="D185">
        <f>(3/(1+('CurrentFact-N10,20Unchanged'!C185+'CurrentFact-N10,20Unchanged'!H185)/100)+103/POWER(1+('CurrentFact-N10,20Unchanged'!D185+'CurrentFact-N10,20Unchanged'!H185)/100,2))*100</f>
        <v>9592.7074768612092</v>
      </c>
      <c r="E185">
        <f>(3/(1+('CurrentFact-N10,20Unchanged'!C185+'CurrentFact-N10,20Unchanged'!I185)/100)+103/POWER(1+('CurrentFact-N10,20Unchanged'!D185+'CurrentFact-N10,20Unchanged'!I185)/100,2))*100</f>
        <v>9684.8516803853108</v>
      </c>
      <c r="F185">
        <f>Portfolio!B$5*'CurrentFact-N10,20Unchanged'!E185</f>
        <v>52143.895533915893</v>
      </c>
      <c r="G185">
        <f>Portfolio!B$6*'CurrentFact-N10,20Unchanged'!F185</f>
        <v>3696.2945087936532</v>
      </c>
      <c r="H185">
        <f>Portfolio!B$7*'CurrentFact-N10,20Unchanged'!J185</f>
        <v>2064.4550337304254</v>
      </c>
      <c r="I185">
        <f t="shared" si="4"/>
        <v>96504.75736936368</v>
      </c>
      <c r="J185">
        <f t="shared" si="5"/>
        <v>-6.4635839784750715</v>
      </c>
    </row>
    <row r="186" spans="1:10">
      <c r="A186" s="1">
        <v>45729</v>
      </c>
      <c r="B186">
        <f>(3/(1+('CurrentFact-N10,20Unchanged'!C186)/100)+103/POWER(1+('CurrentFact-N10,20Unchanged'!D186)/100,2))*100</f>
        <v>9707.5857774288397</v>
      </c>
      <c r="C186">
        <f>(3/(1+('CurrentFact-N10,20Unchanged'!C186+'CurrentFact-N10,20Unchanged'!G186)/100)+103/POWER(1+('CurrentFact-N10,20Unchanged'!D186+'CurrentFact-N10,20Unchanged'!G186)/100,2))*100</f>
        <v>9614.9673582483465</v>
      </c>
      <c r="D186">
        <f>(3/(1+('CurrentFact-N10,20Unchanged'!C186+'CurrentFact-N10,20Unchanged'!H186)/100)+103/POWER(1+('CurrentFact-N10,20Unchanged'!D186+'CurrentFact-N10,20Unchanged'!H186)/100,2))*100</f>
        <v>9593.1008892286372</v>
      </c>
      <c r="E186">
        <f>(3/(1+('CurrentFact-N10,20Unchanged'!C186+'CurrentFact-N10,20Unchanged'!I186)/100)+103/POWER(1+('CurrentFact-N10,20Unchanged'!D186+'CurrentFact-N10,20Unchanged'!I186)/100,2))*100</f>
        <v>9684.9063638793396</v>
      </c>
      <c r="F186">
        <f>Portfolio!B$5*'CurrentFact-N10,20Unchanged'!E186</f>
        <v>52143.895533915893</v>
      </c>
      <c r="G186">
        <f>Portfolio!B$6*'CurrentFact-N10,20Unchanged'!F186</f>
        <v>3696.2945087936532</v>
      </c>
      <c r="H186">
        <f>Portfolio!B$7*'CurrentFact-N10,20Unchanged'!J186</f>
        <v>2064.4550337304254</v>
      </c>
      <c r="I186">
        <f t="shared" si="4"/>
        <v>96505.205465225124</v>
      </c>
      <c r="J186">
        <f t="shared" si="5"/>
        <v>15.246106727368897</v>
      </c>
    </row>
    <row r="187" spans="1:10">
      <c r="A187" s="1">
        <v>45730</v>
      </c>
      <c r="B187">
        <f>(3/(1+('CurrentFact-N10,20Unchanged'!C187)/100)+103/POWER(1+('CurrentFact-N10,20Unchanged'!D187)/100,2))*100</f>
        <v>9707.5857774288397</v>
      </c>
      <c r="C187">
        <f>(3/(1+('CurrentFact-N10,20Unchanged'!C187+'CurrentFact-N10,20Unchanged'!G187)/100)+103/POWER(1+('CurrentFact-N10,20Unchanged'!D187+'CurrentFact-N10,20Unchanged'!G187)/100,2))*100</f>
        <v>9614.9673582483465</v>
      </c>
      <c r="D187">
        <f>(3/(1+('CurrentFact-N10,20Unchanged'!C187+'CurrentFact-N10,20Unchanged'!H187)/100)+103/POWER(1+('CurrentFact-N10,20Unchanged'!D187+'CurrentFact-N10,20Unchanged'!H187)/100,2))*100</f>
        <v>9598.7985397152024</v>
      </c>
      <c r="E187">
        <f>(3/(1+('CurrentFact-N10,20Unchanged'!C187+'CurrentFact-N10,20Unchanged'!I187)/100)+103/POWER(1+('CurrentFact-N10,20Unchanged'!D187+'CurrentFact-N10,20Unchanged'!I187)/100,2))*100</f>
        <v>9685.6902195630955</v>
      </c>
      <c r="F187">
        <f>Portfolio!B$5*'CurrentFact-N10,20Unchanged'!E187</f>
        <v>52143.895533915893</v>
      </c>
      <c r="G187">
        <f>Portfolio!B$6*'CurrentFact-N10,20Unchanged'!F187</f>
        <v>3696.2945087936532</v>
      </c>
      <c r="H187">
        <f>Portfolio!B$7*'CurrentFact-N10,20Unchanged'!J187</f>
        <v>2064.4550337304254</v>
      </c>
      <c r="I187">
        <f t="shared" si="4"/>
        <v>96511.686971395451</v>
      </c>
      <c r="J187">
        <f t="shared" si="5"/>
        <v>-11.80726233322639</v>
      </c>
    </row>
    <row r="188" spans="1:10">
      <c r="A188" s="14">
        <v>45733</v>
      </c>
      <c r="B188">
        <f>(3/(1+('CurrentFact-N10,20Unchanged'!C188)/100)+103/POWER(1+('CurrentFact-N10,20Unchanged'!D188)/100,2))*100</f>
        <v>9707.5857774288397</v>
      </c>
      <c r="C188">
        <f>(3/(1+('CurrentFact-N10,20Unchanged'!C188+'CurrentFact-N10,20Unchanged'!G188)/100)+103/POWER(1+('CurrentFact-N10,20Unchanged'!D188+'CurrentFact-N10,20Unchanged'!G188)/100,2))*100</f>
        <v>9614.9673582483465</v>
      </c>
      <c r="D188">
        <f>(3/(1+('CurrentFact-N10,20Unchanged'!C188+'CurrentFact-N10,20Unchanged'!H188)/100)+103/POWER(1+('CurrentFact-N10,20Unchanged'!D188+'CurrentFact-N10,20Unchanged'!H188)/100,2))*100</f>
        <v>9629.1227718222744</v>
      </c>
      <c r="E188">
        <f>(3/(1+('CurrentFact-N10,20Unchanged'!C188+'CurrentFact-N10,20Unchanged'!I188)/100)+103/POWER(1+('CurrentFact-N10,20Unchanged'!D188+'CurrentFact-N10,20Unchanged'!I188)/100,2))*100</f>
        <v>9580.6454985559321</v>
      </c>
      <c r="F188">
        <f>Portfolio!B$5*'CurrentFact-N10,20Unchanged'!E188</f>
        <v>52143.895533915893</v>
      </c>
      <c r="G188">
        <f>Portfolio!B$6*'CurrentFact-N10,20Unchanged'!F188</f>
        <v>3696.2945087936532</v>
      </c>
      <c r="H188">
        <f>Portfolio!B$7*'CurrentFact-N10,20Unchanged'!J188</f>
        <v>2064.4550337304254</v>
      </c>
      <c r="I188">
        <f t="shared" ref="I188:I251" si="6">SUM(B188:H188)</f>
        <v>96436.966482495365</v>
      </c>
      <c r="J188">
        <f t="shared" ref="J188:J251" si="7">I188-I178</f>
        <v>-68.916315857204609</v>
      </c>
    </row>
    <row r="189" spans="1:10">
      <c r="A189" s="1">
        <v>45734</v>
      </c>
      <c r="B189">
        <f>(3/(1+('CurrentFact-N10,20Unchanged'!C189)/100)+103/POWER(1+('CurrentFact-N10,20Unchanged'!D189)/100,2))*100</f>
        <v>9707.5857774288397</v>
      </c>
      <c r="C189">
        <f>(3/(1+('CurrentFact-N10,20Unchanged'!C189+'CurrentFact-N10,20Unchanged'!G189)/100)+103/POWER(1+('CurrentFact-N10,20Unchanged'!D189+'CurrentFact-N10,20Unchanged'!G189)/100,2))*100</f>
        <v>9614.9673582483465</v>
      </c>
      <c r="D189">
        <f>(3/(1+('CurrentFact-N10,20Unchanged'!C189+'CurrentFact-N10,20Unchanged'!H189)/100)+103/POWER(1+('CurrentFact-N10,20Unchanged'!D189+'CurrentFact-N10,20Unchanged'!H189)/100,2))*100</f>
        <v>9587.4564671772368</v>
      </c>
      <c r="E189">
        <f>(3/(1+('CurrentFact-N10,20Unchanged'!C189+'CurrentFact-N10,20Unchanged'!I189)/100)+103/POWER(1+('CurrentFact-N10,20Unchanged'!D189+'CurrentFact-N10,20Unchanged'!I189)/100,2))*100</f>
        <v>9580.3887991504871</v>
      </c>
      <c r="F189">
        <f>Portfolio!B$5*'CurrentFact-N10,20Unchanged'!E189</f>
        <v>52143.895533915893</v>
      </c>
      <c r="G189">
        <f>Portfolio!B$6*'CurrentFact-N10,20Unchanged'!F189</f>
        <v>3696.2945087936532</v>
      </c>
      <c r="H189">
        <f>Portfolio!B$7*'CurrentFact-N10,20Unchanged'!J189</f>
        <v>2064.4550337304254</v>
      </c>
      <c r="I189">
        <f t="shared" si="6"/>
        <v>96395.043478444888</v>
      </c>
      <c r="J189">
        <f t="shared" si="7"/>
        <v>-106.75486507153255</v>
      </c>
    </row>
    <row r="190" spans="1:10">
      <c r="A190" s="1">
        <v>45735</v>
      </c>
      <c r="B190">
        <f>(3/(1+('CurrentFact-N10,20Unchanged'!C190)/100)+103/POWER(1+('CurrentFact-N10,20Unchanged'!D190)/100,2))*100</f>
        <v>9707.5857774288397</v>
      </c>
      <c r="C190">
        <f>(3/(1+('CurrentFact-N10,20Unchanged'!C190+'CurrentFact-N10,20Unchanged'!G190)/100)+103/POWER(1+('CurrentFact-N10,20Unchanged'!D190+'CurrentFact-N10,20Unchanged'!G190)/100,2))*100</f>
        <v>9614.9673582483465</v>
      </c>
      <c r="D190">
        <f>(3/(1+('CurrentFact-N10,20Unchanged'!C190+'CurrentFact-N10,20Unchanged'!H190)/100)+103/POWER(1+('CurrentFact-N10,20Unchanged'!D190+'CurrentFact-N10,20Unchanged'!H190)/100,2))*100</f>
        <v>9615.2582549951694</v>
      </c>
      <c r="E190">
        <f>(3/(1+('CurrentFact-N10,20Unchanged'!C190+'CurrentFact-N10,20Unchanged'!I190)/100)+103/POWER(1+('CurrentFact-N10,20Unchanged'!D190+'CurrentFact-N10,20Unchanged'!I190)/100,2))*100</f>
        <v>9582.1119724264627</v>
      </c>
      <c r="F190">
        <f>Portfolio!B$5*'CurrentFact-N10,20Unchanged'!E190</f>
        <v>52143.895533915893</v>
      </c>
      <c r="G190">
        <f>Portfolio!B$6*'CurrentFact-N10,20Unchanged'!F190</f>
        <v>3696.2945087936532</v>
      </c>
      <c r="H190">
        <f>Portfolio!B$7*'CurrentFact-N10,20Unchanged'!J190</f>
        <v>2064.4550337304254</v>
      </c>
      <c r="I190">
        <f t="shared" si="6"/>
        <v>96424.568439538794</v>
      </c>
      <c r="J190">
        <f t="shared" si="7"/>
        <v>-88.189709407073678</v>
      </c>
    </row>
    <row r="191" spans="1:10">
      <c r="A191" s="1">
        <v>45736</v>
      </c>
      <c r="B191">
        <f>(3/(1+('CurrentFact-N10,20Unchanged'!C191)/100)+103/POWER(1+('CurrentFact-N10,20Unchanged'!D191)/100,2))*100</f>
        <v>9707.5857774288397</v>
      </c>
      <c r="C191">
        <f>(3/(1+('CurrentFact-N10,20Unchanged'!C191+'CurrentFact-N10,20Unchanged'!G191)/100)+103/POWER(1+('CurrentFact-N10,20Unchanged'!D191+'CurrentFact-N10,20Unchanged'!G191)/100,2))*100</f>
        <v>9614.9673582483465</v>
      </c>
      <c r="D191">
        <f>(3/(1+('CurrentFact-N10,20Unchanged'!C191+'CurrentFact-N10,20Unchanged'!H191)/100)+103/POWER(1+('CurrentFact-N10,20Unchanged'!D191+'CurrentFact-N10,20Unchanged'!H191)/100,2))*100</f>
        <v>9603.9733500566435</v>
      </c>
      <c r="E191">
        <f>(3/(1+('CurrentFact-N10,20Unchanged'!C191+'CurrentFact-N10,20Unchanged'!I191)/100)+103/POWER(1+('CurrentFact-N10,20Unchanged'!D191+'CurrentFact-N10,20Unchanged'!I191)/100,2))*100</f>
        <v>9581.5416821441668</v>
      </c>
      <c r="F191">
        <f>Portfolio!B$5*'CurrentFact-N10,20Unchanged'!E191</f>
        <v>52143.895533915893</v>
      </c>
      <c r="G191">
        <f>Portfolio!B$6*'CurrentFact-N10,20Unchanged'!F191</f>
        <v>3696.2945087936532</v>
      </c>
      <c r="H191">
        <f>Portfolio!B$7*'CurrentFact-N10,20Unchanged'!J191</f>
        <v>2064.4550337304254</v>
      </c>
      <c r="I191">
        <f t="shared" si="6"/>
        <v>96412.713244317973</v>
      </c>
      <c r="J191">
        <f t="shared" si="7"/>
        <v>-104.80130576741067</v>
      </c>
    </row>
    <row r="192" spans="1:10">
      <c r="A192" s="1">
        <v>45737</v>
      </c>
      <c r="B192">
        <f>(3/(1+('CurrentFact-N10,20Unchanged'!C192)/100)+103/POWER(1+('CurrentFact-N10,20Unchanged'!D192)/100,2))*100</f>
        <v>9707.5857774288397</v>
      </c>
      <c r="C192">
        <f>(3/(1+('CurrentFact-N10,20Unchanged'!C192+'CurrentFact-N10,20Unchanged'!G192)/100)+103/POWER(1+('CurrentFact-N10,20Unchanged'!D192+'CurrentFact-N10,20Unchanged'!G192)/100,2))*100</f>
        <v>9614.9673582483465</v>
      </c>
      <c r="D192">
        <f>(3/(1+('CurrentFact-N10,20Unchanged'!C192+'CurrentFact-N10,20Unchanged'!H192)/100)+103/POWER(1+('CurrentFact-N10,20Unchanged'!D192+'CurrentFact-N10,20Unchanged'!H192)/100,2))*100</f>
        <v>9606.0550098903641</v>
      </c>
      <c r="E192">
        <f>(3/(1+('CurrentFact-N10,20Unchanged'!C192+'CurrentFact-N10,20Unchanged'!I192)/100)+103/POWER(1+('CurrentFact-N10,20Unchanged'!D192+'CurrentFact-N10,20Unchanged'!I192)/100,2))*100</f>
        <v>9578.2999225113654</v>
      </c>
      <c r="F192">
        <f>Portfolio!B$5*'CurrentFact-N10,20Unchanged'!E192</f>
        <v>52143.895533915893</v>
      </c>
      <c r="G192">
        <f>Portfolio!B$6*'CurrentFact-N10,20Unchanged'!F192</f>
        <v>3696.2945087936532</v>
      </c>
      <c r="H192">
        <f>Portfolio!B$7*'CurrentFact-N10,20Unchanged'!J192</f>
        <v>2064.4550337304254</v>
      </c>
      <c r="I192">
        <f t="shared" si="6"/>
        <v>96411.553144518897</v>
      </c>
      <c r="J192">
        <f t="shared" si="7"/>
        <v>-100.0672869218979</v>
      </c>
    </row>
    <row r="193" spans="1:10">
      <c r="A193" s="1">
        <v>45740</v>
      </c>
      <c r="B193">
        <f>(3/(1+('CurrentFact-N10,20Unchanged'!C193)/100)+103/POWER(1+('CurrentFact-N10,20Unchanged'!D193)/100,2))*100</f>
        <v>9707.5857774288397</v>
      </c>
      <c r="C193">
        <f>(3/(1+('CurrentFact-N10,20Unchanged'!C193+'CurrentFact-N10,20Unchanged'!G193)/100)+103/POWER(1+('CurrentFact-N10,20Unchanged'!D193+'CurrentFact-N10,20Unchanged'!G193)/100,2))*100</f>
        <v>9614.9673582483465</v>
      </c>
      <c r="D193">
        <f>(3/(1+('CurrentFact-N10,20Unchanged'!C193+'CurrentFact-N10,20Unchanged'!H193)/100)+103/POWER(1+('CurrentFact-N10,20Unchanged'!D193+'CurrentFact-N10,20Unchanged'!H193)/100,2))*100</f>
        <v>9600.8417031250701</v>
      </c>
      <c r="E193">
        <f>(3/(1+('CurrentFact-N10,20Unchanged'!C193+'CurrentFact-N10,20Unchanged'!I193)/100)+103/POWER(1+('CurrentFact-N10,20Unchanged'!D193+'CurrentFact-N10,20Unchanged'!I193)/100,2))*100</f>
        <v>9581.0793804743462</v>
      </c>
      <c r="F193">
        <f>Portfolio!B$5*'CurrentFact-N10,20Unchanged'!E193</f>
        <v>52143.895533915893</v>
      </c>
      <c r="G193">
        <f>Portfolio!B$6*'CurrentFact-N10,20Unchanged'!F193</f>
        <v>3696.2945087936532</v>
      </c>
      <c r="H193">
        <f>Portfolio!B$7*'CurrentFact-N10,20Unchanged'!J193</f>
        <v>2064.4550337304254</v>
      </c>
      <c r="I193">
        <f t="shared" si="6"/>
        <v>96409.119295716577</v>
      </c>
      <c r="J193">
        <f t="shared" si="7"/>
        <v>-98.412805499043316</v>
      </c>
    </row>
    <row r="194" spans="1:10">
      <c r="A194" s="1">
        <v>45741</v>
      </c>
      <c r="B194">
        <f>(3/(1+('CurrentFact-N10,20Unchanged'!C194)/100)+103/POWER(1+('CurrentFact-N10,20Unchanged'!D194)/100,2))*100</f>
        <v>9707.5857774288397</v>
      </c>
      <c r="C194">
        <f>(3/(1+('CurrentFact-N10,20Unchanged'!C194+'CurrentFact-N10,20Unchanged'!G194)/100)+103/POWER(1+('CurrentFact-N10,20Unchanged'!D194+'CurrentFact-N10,20Unchanged'!G194)/100,2))*100</f>
        <v>9614.9673582483465</v>
      </c>
      <c r="D194">
        <f>(3/(1+('CurrentFact-N10,20Unchanged'!C194+'CurrentFact-N10,20Unchanged'!H194)/100)+103/POWER(1+('CurrentFact-N10,20Unchanged'!D194+'CurrentFact-N10,20Unchanged'!H194)/100,2))*100</f>
        <v>9606.6247838101717</v>
      </c>
      <c r="E194">
        <f>(3/(1+('CurrentFact-N10,20Unchanged'!C194+'CurrentFact-N10,20Unchanged'!I194)/100)+103/POWER(1+('CurrentFact-N10,20Unchanged'!D194+'CurrentFact-N10,20Unchanged'!I194)/100,2))*100</f>
        <v>9580.8460628314042</v>
      </c>
      <c r="F194">
        <f>Portfolio!B$5*'CurrentFact-N10,20Unchanged'!E194</f>
        <v>52143.895533915893</v>
      </c>
      <c r="G194">
        <f>Portfolio!B$6*'CurrentFact-N10,20Unchanged'!F194</f>
        <v>3696.2945087936532</v>
      </c>
      <c r="H194">
        <f>Portfolio!B$7*'CurrentFact-N10,20Unchanged'!J194</f>
        <v>2064.4550337304254</v>
      </c>
      <c r="I194">
        <f t="shared" si="6"/>
        <v>96414.669058758736</v>
      </c>
      <c r="J194">
        <f t="shared" si="7"/>
        <v>-101.27129209168197</v>
      </c>
    </row>
    <row r="195" spans="1:10">
      <c r="A195" s="1">
        <v>45742</v>
      </c>
      <c r="B195">
        <f>(3/(1+('CurrentFact-N10,20Unchanged'!C195)/100)+103/POWER(1+('CurrentFact-N10,20Unchanged'!D195)/100,2))*100</f>
        <v>9707.5857774288397</v>
      </c>
      <c r="C195">
        <f>(3/(1+('CurrentFact-N10,20Unchanged'!C195+'CurrentFact-N10,20Unchanged'!G195)/100)+103/POWER(1+('CurrentFact-N10,20Unchanged'!D195+'CurrentFact-N10,20Unchanged'!G195)/100,2))*100</f>
        <v>9614.9673582483465</v>
      </c>
      <c r="D195">
        <f>(3/(1+('CurrentFact-N10,20Unchanged'!C195+'CurrentFact-N10,20Unchanged'!H195)/100)+103/POWER(1+('CurrentFact-N10,20Unchanged'!D195+'CurrentFact-N10,20Unchanged'!H195)/100,2))*100</f>
        <v>9597.2656959728192</v>
      </c>
      <c r="E195">
        <f>(3/(1+('CurrentFact-N10,20Unchanged'!C195+'CurrentFact-N10,20Unchanged'!I195)/100)+103/POWER(1+('CurrentFact-N10,20Unchanged'!D195+'CurrentFact-N10,20Unchanged'!I195)/100,2))*100</f>
        <v>9578.3316448618443</v>
      </c>
      <c r="F195">
        <f>Portfolio!B$5*'CurrentFact-N10,20Unchanged'!E195</f>
        <v>52143.895533915893</v>
      </c>
      <c r="G195">
        <f>Portfolio!B$6*'CurrentFact-N10,20Unchanged'!F195</f>
        <v>3696.2945087936532</v>
      </c>
      <c r="H195">
        <f>Portfolio!B$7*'CurrentFact-N10,20Unchanged'!J195</f>
        <v>2064.4550337304254</v>
      </c>
      <c r="I195">
        <f t="shared" si="6"/>
        <v>96402.795552951822</v>
      </c>
      <c r="J195">
        <f t="shared" si="7"/>
        <v>-101.96181641185831</v>
      </c>
    </row>
    <row r="196" spans="1:10">
      <c r="A196" s="1">
        <v>45743</v>
      </c>
      <c r="B196">
        <f>(3/(1+('CurrentFact-N10,20Unchanged'!C196)/100)+103/POWER(1+('CurrentFact-N10,20Unchanged'!D196)/100,2))*100</f>
        <v>9707.5857774288397</v>
      </c>
      <c r="C196">
        <f>(3/(1+('CurrentFact-N10,20Unchanged'!C196+'CurrentFact-N10,20Unchanged'!G196)/100)+103/POWER(1+('CurrentFact-N10,20Unchanged'!D196+'CurrentFact-N10,20Unchanged'!G196)/100,2))*100</f>
        <v>9614.9673582483465</v>
      </c>
      <c r="D196">
        <f>(3/(1+('CurrentFact-N10,20Unchanged'!C196+'CurrentFact-N10,20Unchanged'!H196)/100)+103/POWER(1+('CurrentFact-N10,20Unchanged'!D196+'CurrentFact-N10,20Unchanged'!H196)/100,2))*100</f>
        <v>9602.001826533331</v>
      </c>
      <c r="E196">
        <f>(3/(1+('CurrentFact-N10,20Unchanged'!C196+'CurrentFact-N10,20Unchanged'!I196)/100)+103/POWER(1+('CurrentFact-N10,20Unchanged'!D196+'CurrentFact-N10,20Unchanged'!I196)/100,2))*100</f>
        <v>9580.4631807122314</v>
      </c>
      <c r="F196">
        <f>Portfolio!B$5*'CurrentFact-N10,20Unchanged'!E196</f>
        <v>52143.895533915893</v>
      </c>
      <c r="G196">
        <f>Portfolio!B$6*'CurrentFact-N10,20Unchanged'!F196</f>
        <v>3696.2945087936532</v>
      </c>
      <c r="H196">
        <f>Portfolio!B$7*'CurrentFact-N10,20Unchanged'!J196</f>
        <v>2064.4550337304254</v>
      </c>
      <c r="I196">
        <f t="shared" si="6"/>
        <v>96409.66321936273</v>
      </c>
      <c r="J196">
        <f t="shared" si="7"/>
        <v>-95.542245862394338</v>
      </c>
    </row>
    <row r="197" spans="1:10">
      <c r="A197" s="1">
        <v>45744</v>
      </c>
      <c r="B197">
        <f>(3/(1+('CurrentFact-N10,20Unchanged'!C197)/100)+103/POWER(1+('CurrentFact-N10,20Unchanged'!D197)/100,2))*100</f>
        <v>9707.5857774288397</v>
      </c>
      <c r="C197">
        <f>(3/(1+('CurrentFact-N10,20Unchanged'!C197+'CurrentFact-N10,20Unchanged'!G197)/100)+103/POWER(1+('CurrentFact-N10,20Unchanged'!D197+'CurrentFact-N10,20Unchanged'!G197)/100,2))*100</f>
        <v>9614.9673582483465</v>
      </c>
      <c r="D197">
        <f>(3/(1+('CurrentFact-N10,20Unchanged'!C197+'CurrentFact-N10,20Unchanged'!H197)/100)+103/POWER(1+('CurrentFact-N10,20Unchanged'!D197+'CurrentFact-N10,20Unchanged'!H197)/100,2))*100</f>
        <v>9598.4098553516797</v>
      </c>
      <c r="E197">
        <f>(3/(1+('CurrentFact-N10,20Unchanged'!C197+'CurrentFact-N10,20Unchanged'!I197)/100)+103/POWER(1+('CurrentFact-N10,20Unchanged'!D197+'CurrentFact-N10,20Unchanged'!I197)/100,2))*100</f>
        <v>9579.9611182409244</v>
      </c>
      <c r="F197">
        <f>Portfolio!B$5*'CurrentFact-N10,20Unchanged'!E197</f>
        <v>52143.895533915893</v>
      </c>
      <c r="G197">
        <f>Portfolio!B$6*'CurrentFact-N10,20Unchanged'!F197</f>
        <v>3696.2945087936532</v>
      </c>
      <c r="H197">
        <f>Portfolio!B$7*'CurrentFact-N10,20Unchanged'!J197</f>
        <v>2064.4550337304254</v>
      </c>
      <c r="I197">
        <f t="shared" si="6"/>
        <v>96405.569185709755</v>
      </c>
      <c r="J197">
        <f t="shared" si="7"/>
        <v>-106.11778568569571</v>
      </c>
    </row>
    <row r="198" spans="1:10">
      <c r="A198" s="1">
        <v>45747</v>
      </c>
      <c r="B198">
        <f>(3/(1+('CurrentFact-N10,20Unchanged'!C198)/100)+103/POWER(1+('CurrentFact-N10,20Unchanged'!D198)/100,2))*100</f>
        <v>9707.5857774288397</v>
      </c>
      <c r="C198">
        <f>(3/(1+('CurrentFact-N10,20Unchanged'!C198+'CurrentFact-N10,20Unchanged'!G198)/100)+103/POWER(1+('CurrentFact-N10,20Unchanged'!D198+'CurrentFact-N10,20Unchanged'!G198)/100,2))*100</f>
        <v>9614.9673582483465</v>
      </c>
      <c r="D198">
        <f>(3/(1+('CurrentFact-N10,20Unchanged'!C198+'CurrentFact-N10,20Unchanged'!H198)/100)+103/POWER(1+('CurrentFact-N10,20Unchanged'!D198+'CurrentFact-N10,20Unchanged'!H198)/100,2))*100</f>
        <v>9613.8115361290984</v>
      </c>
      <c r="E198">
        <f>(3/(1+('CurrentFact-N10,20Unchanged'!C198+'CurrentFact-N10,20Unchanged'!I198)/100)+103/POWER(1+('CurrentFact-N10,20Unchanged'!D198+'CurrentFact-N10,20Unchanged'!I198)/100,2))*100</f>
        <v>9582.3862248828591</v>
      </c>
      <c r="F198">
        <f>Portfolio!B$5*'CurrentFact-N10,20Unchanged'!E198</f>
        <v>52143.895533915893</v>
      </c>
      <c r="G198">
        <f>Portfolio!B$6*'CurrentFact-N10,20Unchanged'!F198</f>
        <v>3696.2945087936532</v>
      </c>
      <c r="H198">
        <f>Portfolio!B$7*'CurrentFact-N10,20Unchanged'!J198</f>
        <v>2064.4550337304254</v>
      </c>
      <c r="I198">
        <f t="shared" si="6"/>
        <v>96423.395973129111</v>
      </c>
      <c r="J198">
        <f t="shared" si="7"/>
        <v>-13.570509366254555</v>
      </c>
    </row>
    <row r="199" spans="1:10">
      <c r="A199" s="1">
        <v>45748</v>
      </c>
      <c r="B199">
        <f>(3/(1+('CurrentFact-N10,20Unchanged'!C199)/100)+103/POWER(1+('CurrentFact-N10,20Unchanged'!D199)/100,2))*100</f>
        <v>9707.5857774288397</v>
      </c>
      <c r="C199">
        <f>(3/(1+('CurrentFact-N10,20Unchanged'!C199+'CurrentFact-N10,20Unchanged'!G199)/100)+103/POWER(1+('CurrentFact-N10,20Unchanged'!D199+'CurrentFact-N10,20Unchanged'!G199)/100,2))*100</f>
        <v>9614.9673582483465</v>
      </c>
      <c r="D199">
        <f>(3/(1+('CurrentFact-N10,20Unchanged'!C199+'CurrentFact-N10,20Unchanged'!H199)/100)+103/POWER(1+('CurrentFact-N10,20Unchanged'!D199+'CurrentFact-N10,20Unchanged'!H199)/100,2))*100</f>
        <v>9592.2905525057686</v>
      </c>
      <c r="E199">
        <f>(3/(1+('CurrentFact-N10,20Unchanged'!C199+'CurrentFact-N10,20Unchanged'!I199)/100)+103/POWER(1+('CurrentFact-N10,20Unchanged'!D199+'CurrentFact-N10,20Unchanged'!I199)/100,2))*100</f>
        <v>9579.8614289936904</v>
      </c>
      <c r="F199">
        <f>Portfolio!B$5*'CurrentFact-N10,20Unchanged'!E199</f>
        <v>52143.895533915893</v>
      </c>
      <c r="G199">
        <f>Portfolio!B$6*'CurrentFact-N10,20Unchanged'!F199</f>
        <v>3696.2945087936532</v>
      </c>
      <c r="H199">
        <f>Portfolio!B$7*'CurrentFact-N10,20Unchanged'!J199</f>
        <v>2064.4550337304254</v>
      </c>
      <c r="I199">
        <f t="shared" si="6"/>
        <v>96399.350193616614</v>
      </c>
      <c r="J199">
        <f t="shared" si="7"/>
        <v>4.3067151717259549</v>
      </c>
    </row>
    <row r="200" spans="1:10">
      <c r="A200" s="1">
        <v>45749</v>
      </c>
      <c r="B200">
        <f>(3/(1+('CurrentFact-N10,20Unchanged'!C200)/100)+103/POWER(1+('CurrentFact-N10,20Unchanged'!D200)/100,2))*100</f>
        <v>9707.5857774288397</v>
      </c>
      <c r="C200">
        <f>(3/(1+('CurrentFact-N10,20Unchanged'!C200+'CurrentFact-N10,20Unchanged'!G200)/100)+103/POWER(1+('CurrentFact-N10,20Unchanged'!D200+'CurrentFact-N10,20Unchanged'!G200)/100,2))*100</f>
        <v>9614.9673582483465</v>
      </c>
      <c r="D200">
        <f>(3/(1+('CurrentFact-N10,20Unchanged'!C200+'CurrentFact-N10,20Unchanged'!H200)/100)+103/POWER(1+('CurrentFact-N10,20Unchanged'!D200+'CurrentFact-N10,20Unchanged'!H200)/100,2))*100</f>
        <v>9585.3384234862369</v>
      </c>
      <c r="E200">
        <f>(3/(1+('CurrentFact-N10,20Unchanged'!C200+'CurrentFact-N10,20Unchanged'!I200)/100)+103/POWER(1+('CurrentFact-N10,20Unchanged'!D200+'CurrentFact-N10,20Unchanged'!I200)/100,2))*100</f>
        <v>9578.9470947184327</v>
      </c>
      <c r="F200">
        <f>Portfolio!B$5*'CurrentFact-N10,20Unchanged'!E200</f>
        <v>52143.895533915893</v>
      </c>
      <c r="G200">
        <f>Portfolio!B$6*'CurrentFact-N10,20Unchanged'!F200</f>
        <v>3696.2945087936532</v>
      </c>
      <c r="H200">
        <f>Portfolio!B$7*'CurrentFact-N10,20Unchanged'!J200</f>
        <v>2064.4550337304254</v>
      </c>
      <c r="I200">
        <f t="shared" si="6"/>
        <v>96391.483730321823</v>
      </c>
      <c r="J200">
        <f t="shared" si="7"/>
        <v>-33.084709216971532</v>
      </c>
    </row>
    <row r="201" spans="1:10">
      <c r="A201" s="1">
        <v>45750</v>
      </c>
      <c r="B201">
        <f>(3/(1+('CurrentFact-N10,20Unchanged'!C201)/100)+103/POWER(1+('CurrentFact-N10,20Unchanged'!D201)/100,2))*100</f>
        <v>9707.5857774288397</v>
      </c>
      <c r="C201">
        <f>(3/(1+('CurrentFact-N10,20Unchanged'!C201+'CurrentFact-N10,20Unchanged'!G201)/100)+103/POWER(1+('CurrentFact-N10,20Unchanged'!D201+'CurrentFact-N10,20Unchanged'!G201)/100,2))*100</f>
        <v>9614.9673582483465</v>
      </c>
      <c r="D201">
        <f>(3/(1+('CurrentFact-N10,20Unchanged'!C201+'CurrentFact-N10,20Unchanged'!H201)/100)+103/POWER(1+('CurrentFact-N10,20Unchanged'!D201+'CurrentFact-N10,20Unchanged'!H201)/100,2))*100</f>
        <v>9604.6807048775063</v>
      </c>
      <c r="E201">
        <f>(3/(1+('CurrentFact-N10,20Unchanged'!C201+'CurrentFact-N10,20Unchanged'!I201)/100)+103/POWER(1+('CurrentFact-N10,20Unchanged'!D201+'CurrentFact-N10,20Unchanged'!I201)/100,2))*100</f>
        <v>9580.5931539777375</v>
      </c>
      <c r="F201">
        <f>Portfolio!B$5*'CurrentFact-N10,20Unchanged'!E201</f>
        <v>52143.895533915893</v>
      </c>
      <c r="G201">
        <f>Portfolio!B$6*'CurrentFact-N10,20Unchanged'!F201</f>
        <v>3696.2945087936532</v>
      </c>
      <c r="H201">
        <f>Portfolio!B$7*'CurrentFact-N10,20Unchanged'!J201</f>
        <v>2064.4550337304254</v>
      </c>
      <c r="I201">
        <f t="shared" si="6"/>
        <v>96412.472070972406</v>
      </c>
      <c r="J201">
        <f t="shared" si="7"/>
        <v>-0.24117334556649439</v>
      </c>
    </row>
    <row r="202" spans="1:10">
      <c r="A202" s="1">
        <v>45751</v>
      </c>
      <c r="B202">
        <f>(3/(1+('CurrentFact-N10,20Unchanged'!C202)/100)+103/POWER(1+('CurrentFact-N10,20Unchanged'!D202)/100,2))*100</f>
        <v>9707.5857774288397</v>
      </c>
      <c r="C202">
        <f>(3/(1+('CurrentFact-N10,20Unchanged'!C202+'CurrentFact-N10,20Unchanged'!G202)/100)+103/POWER(1+('CurrentFact-N10,20Unchanged'!D202+'CurrentFact-N10,20Unchanged'!G202)/100,2))*100</f>
        <v>9614.9673582483465</v>
      </c>
      <c r="D202">
        <f>(3/(1+('CurrentFact-N10,20Unchanged'!C202+'CurrentFact-N10,20Unchanged'!H202)/100)+103/POWER(1+('CurrentFact-N10,20Unchanged'!D202+'CurrentFact-N10,20Unchanged'!H202)/100,2))*100</f>
        <v>9594.4475817672246</v>
      </c>
      <c r="E202">
        <f>(3/(1+('CurrentFact-N10,20Unchanged'!C202+'CurrentFact-N10,20Unchanged'!I202)/100)+103/POWER(1+('CurrentFact-N10,20Unchanged'!D202+'CurrentFact-N10,20Unchanged'!I202)/100,2))*100</f>
        <v>9579.580617643187</v>
      </c>
      <c r="F202">
        <f>Portfolio!B$5*'CurrentFact-N10,20Unchanged'!E202</f>
        <v>52143.895533915893</v>
      </c>
      <c r="G202">
        <f>Portfolio!B$6*'CurrentFact-N10,20Unchanged'!F202</f>
        <v>3696.2945087936532</v>
      </c>
      <c r="H202">
        <f>Portfolio!B$7*'CurrentFact-N10,20Unchanged'!J202</f>
        <v>2064.4550337304254</v>
      </c>
      <c r="I202">
        <f t="shared" si="6"/>
        <v>96401.226411527576</v>
      </c>
      <c r="J202">
        <f t="shared" si="7"/>
        <v>-10.326732991321478</v>
      </c>
    </row>
    <row r="203" spans="1:10">
      <c r="A203" s="1">
        <v>45754</v>
      </c>
      <c r="B203">
        <f>(3/(1+('CurrentFact-N10,20Unchanged'!C203)/100)+103/POWER(1+('CurrentFact-N10,20Unchanged'!D203)/100,2))*100</f>
        <v>9707.5857774288397</v>
      </c>
      <c r="C203">
        <f>(3/(1+('CurrentFact-N10,20Unchanged'!C203+'CurrentFact-N10,20Unchanged'!G203)/100)+103/POWER(1+('CurrentFact-N10,20Unchanged'!D203+'CurrentFact-N10,20Unchanged'!G203)/100,2))*100</f>
        <v>9614.9673582483465</v>
      </c>
      <c r="D203">
        <f>(3/(1+('CurrentFact-N10,20Unchanged'!C203+'CurrentFact-N10,20Unchanged'!H203)/100)+103/POWER(1+('CurrentFact-N10,20Unchanged'!D203+'CurrentFact-N10,20Unchanged'!H203)/100,2))*100</f>
        <v>9592.1545286175424</v>
      </c>
      <c r="E203">
        <f>(3/(1+('CurrentFact-N10,20Unchanged'!C203+'CurrentFact-N10,20Unchanged'!I203)/100)+103/POWER(1+('CurrentFact-N10,20Unchanged'!D203+'CurrentFact-N10,20Unchanged'!I203)/100,2))*100</f>
        <v>9580.0890355199026</v>
      </c>
      <c r="F203">
        <f>Portfolio!B$5*'CurrentFact-N10,20Unchanged'!E203</f>
        <v>52143.895533915893</v>
      </c>
      <c r="G203">
        <f>Portfolio!B$6*'CurrentFact-N10,20Unchanged'!F203</f>
        <v>3696.2945087936532</v>
      </c>
      <c r="H203">
        <f>Portfolio!B$7*'CurrentFact-N10,20Unchanged'!J203</f>
        <v>2064.4550337304254</v>
      </c>
      <c r="I203">
        <f t="shared" si="6"/>
        <v>96399.441776254593</v>
      </c>
      <c r="J203">
        <f t="shared" si="7"/>
        <v>-9.6775194619840477</v>
      </c>
    </row>
    <row r="204" spans="1:10">
      <c r="A204" s="1">
        <v>45755</v>
      </c>
      <c r="B204">
        <f>(3/(1+('CurrentFact-N10,20Unchanged'!C204)/100)+103/POWER(1+('CurrentFact-N10,20Unchanged'!D204)/100,2))*100</f>
        <v>9707.5857774288397</v>
      </c>
      <c r="C204">
        <f>(3/(1+('CurrentFact-N10,20Unchanged'!C204+'CurrentFact-N10,20Unchanged'!G204)/100)+103/POWER(1+('CurrentFact-N10,20Unchanged'!D204+'CurrentFact-N10,20Unchanged'!G204)/100,2))*100</f>
        <v>9614.9673582483465</v>
      </c>
      <c r="D204">
        <f>(3/(1+('CurrentFact-N10,20Unchanged'!C204+'CurrentFact-N10,20Unchanged'!H204)/100)+103/POWER(1+('CurrentFact-N10,20Unchanged'!D204+'CurrentFact-N10,20Unchanged'!H204)/100,2))*100</f>
        <v>9602.2104434592766</v>
      </c>
      <c r="E204">
        <f>(3/(1+('CurrentFact-N10,20Unchanged'!C204+'CurrentFact-N10,20Unchanged'!I204)/100)+103/POWER(1+('CurrentFact-N10,20Unchanged'!D204+'CurrentFact-N10,20Unchanged'!I204)/100,2))*100</f>
        <v>9577.4744915782867</v>
      </c>
      <c r="F204">
        <f>Portfolio!B$5*'CurrentFact-N10,20Unchanged'!E204</f>
        <v>52143.895533915893</v>
      </c>
      <c r="G204">
        <f>Portfolio!B$6*'CurrentFact-N10,20Unchanged'!F204</f>
        <v>3696.2945087936532</v>
      </c>
      <c r="H204">
        <f>Portfolio!B$7*'CurrentFact-N10,20Unchanged'!J204</f>
        <v>2064.4550337304254</v>
      </c>
      <c r="I204">
        <f t="shared" si="6"/>
        <v>96406.883147154731</v>
      </c>
      <c r="J204">
        <f t="shared" si="7"/>
        <v>-7.7859116040053777</v>
      </c>
    </row>
    <row r="205" spans="1:10">
      <c r="A205" s="1">
        <v>45756</v>
      </c>
      <c r="B205">
        <f>(3/(1+('CurrentFact-N10,20Unchanged'!C205)/100)+103/POWER(1+('CurrentFact-N10,20Unchanged'!D205)/100,2))*100</f>
        <v>9707.5857774288397</v>
      </c>
      <c r="C205">
        <f>(3/(1+('CurrentFact-N10,20Unchanged'!C205+'CurrentFact-N10,20Unchanged'!G205)/100)+103/POWER(1+('CurrentFact-N10,20Unchanged'!D205+'CurrentFact-N10,20Unchanged'!G205)/100,2))*100</f>
        <v>9614.9673582483465</v>
      </c>
      <c r="D205">
        <f>(3/(1+('CurrentFact-N10,20Unchanged'!C205+'CurrentFact-N10,20Unchanged'!H205)/100)+103/POWER(1+('CurrentFact-N10,20Unchanged'!D205+'CurrentFact-N10,20Unchanged'!H205)/100,2))*100</f>
        <v>9575.6895528802452</v>
      </c>
      <c r="E205">
        <f>(3/(1+('CurrentFact-N10,20Unchanged'!C205+'CurrentFact-N10,20Unchanged'!I205)/100)+103/POWER(1+('CurrentFact-N10,20Unchanged'!D205+'CurrentFact-N10,20Unchanged'!I205)/100,2))*100</f>
        <v>9579.3318572727694</v>
      </c>
      <c r="F205">
        <f>Portfolio!B$5*'CurrentFact-N10,20Unchanged'!E205</f>
        <v>52143.895533915893</v>
      </c>
      <c r="G205">
        <f>Portfolio!B$6*'CurrentFact-N10,20Unchanged'!F205</f>
        <v>3696.2945087936532</v>
      </c>
      <c r="H205">
        <f>Portfolio!B$7*'CurrentFact-N10,20Unchanged'!J205</f>
        <v>2064.4550337304254</v>
      </c>
      <c r="I205">
        <f t="shared" si="6"/>
        <v>96382.219622270175</v>
      </c>
      <c r="J205">
        <f t="shared" si="7"/>
        <v>-20.575930681647151</v>
      </c>
    </row>
    <row r="206" spans="1:10">
      <c r="A206" s="1">
        <v>45757</v>
      </c>
      <c r="B206">
        <f>(3/(1+('CurrentFact-N10,20Unchanged'!C206)/100)+103/POWER(1+('CurrentFact-N10,20Unchanged'!D206)/100,2))*100</f>
        <v>9707.5857774288397</v>
      </c>
      <c r="C206">
        <f>(3/(1+('CurrentFact-N10,20Unchanged'!C206+'CurrentFact-N10,20Unchanged'!G206)/100)+103/POWER(1+('CurrentFact-N10,20Unchanged'!D206+'CurrentFact-N10,20Unchanged'!G206)/100,2))*100</f>
        <v>9614.9673582483465</v>
      </c>
      <c r="D206">
        <f>(3/(1+('CurrentFact-N10,20Unchanged'!C206+'CurrentFact-N10,20Unchanged'!H206)/100)+103/POWER(1+('CurrentFact-N10,20Unchanged'!D206+'CurrentFact-N10,20Unchanged'!H206)/100,2))*100</f>
        <v>9599.1470407770994</v>
      </c>
      <c r="E206">
        <f>(3/(1+('CurrentFact-N10,20Unchanged'!C206+'CurrentFact-N10,20Unchanged'!I206)/100)+103/POWER(1+('CurrentFact-N10,20Unchanged'!D206+'CurrentFact-N10,20Unchanged'!I206)/100,2))*100</f>
        <v>9579.8326749195712</v>
      </c>
      <c r="F206">
        <f>Portfolio!B$5*'CurrentFact-N10,20Unchanged'!E206</f>
        <v>52143.895533915893</v>
      </c>
      <c r="G206">
        <f>Portfolio!B$6*'CurrentFact-N10,20Unchanged'!F206</f>
        <v>3696.2945087936532</v>
      </c>
      <c r="H206">
        <f>Portfolio!B$7*'CurrentFact-N10,20Unchanged'!J206</f>
        <v>2064.4550337304254</v>
      </c>
      <c r="I206">
        <f t="shared" si="6"/>
        <v>96406.177927813827</v>
      </c>
      <c r="J206">
        <f t="shared" si="7"/>
        <v>-3.4852915489027509</v>
      </c>
    </row>
    <row r="207" spans="1:10">
      <c r="A207" s="1">
        <v>45758</v>
      </c>
      <c r="B207">
        <f>(3/(1+('CurrentFact-N10,20Unchanged'!C207)/100)+103/POWER(1+('CurrentFact-N10,20Unchanged'!D207)/100,2))*100</f>
        <v>9707.5857774288397</v>
      </c>
      <c r="C207">
        <f>(3/(1+('CurrentFact-N10,20Unchanged'!C207+'CurrentFact-N10,20Unchanged'!G207)/100)+103/POWER(1+('CurrentFact-N10,20Unchanged'!D207+'CurrentFact-N10,20Unchanged'!G207)/100,2))*100</f>
        <v>9614.9673582483465</v>
      </c>
      <c r="D207">
        <f>(3/(1+('CurrentFact-N10,20Unchanged'!C207+'CurrentFact-N10,20Unchanged'!H207)/100)+103/POWER(1+('CurrentFact-N10,20Unchanged'!D207+'CurrentFact-N10,20Unchanged'!H207)/100,2))*100</f>
        <v>9608.8092282369835</v>
      </c>
      <c r="E207">
        <f>(3/(1+('CurrentFact-N10,20Unchanged'!C207+'CurrentFact-N10,20Unchanged'!I207)/100)+103/POWER(1+('CurrentFact-N10,20Unchanged'!D207+'CurrentFact-N10,20Unchanged'!I207)/100,2))*100</f>
        <v>9580.4885829514042</v>
      </c>
      <c r="F207">
        <f>Portfolio!B$5*'CurrentFact-N10,20Unchanged'!E207</f>
        <v>52143.895533915893</v>
      </c>
      <c r="G207">
        <f>Portfolio!B$6*'CurrentFact-N10,20Unchanged'!F207</f>
        <v>3696.2945087936532</v>
      </c>
      <c r="H207">
        <f>Portfolio!B$7*'CurrentFact-N10,20Unchanged'!J207</f>
        <v>2064.4550337304254</v>
      </c>
      <c r="I207">
        <f t="shared" si="6"/>
        <v>96416.496023305546</v>
      </c>
      <c r="J207">
        <f t="shared" si="7"/>
        <v>10.926837595790857</v>
      </c>
    </row>
    <row r="208" spans="1:10">
      <c r="A208" s="1">
        <v>45761</v>
      </c>
      <c r="B208">
        <f>(3/(1+('CurrentFact-N10,20Unchanged'!C208)/100)+103/POWER(1+('CurrentFact-N10,20Unchanged'!D208)/100,2))*100</f>
        <v>9707.5857774288397</v>
      </c>
      <c r="C208">
        <f>(3/(1+('CurrentFact-N10,20Unchanged'!C208+'CurrentFact-N10,20Unchanged'!G208)/100)+103/POWER(1+('CurrentFact-N10,20Unchanged'!D208+'CurrentFact-N10,20Unchanged'!G208)/100,2))*100</f>
        <v>9614.9673582483465</v>
      </c>
      <c r="D208">
        <f>(3/(1+('CurrentFact-N10,20Unchanged'!C208+'CurrentFact-N10,20Unchanged'!H208)/100)+103/POWER(1+('CurrentFact-N10,20Unchanged'!D208+'CurrentFact-N10,20Unchanged'!H208)/100,2))*100</f>
        <v>9587.2812008711026</v>
      </c>
      <c r="E208">
        <f>(3/(1+('CurrentFact-N10,20Unchanged'!C208+'CurrentFact-N10,20Unchanged'!I208)/100)+103/POWER(1+('CurrentFact-N10,20Unchanged'!D208+'CurrentFact-N10,20Unchanged'!I208)/100,2))*100</f>
        <v>9582.2911040117997</v>
      </c>
      <c r="F208">
        <f>Portfolio!B$5*'CurrentFact-N10,20Unchanged'!E208</f>
        <v>52143.895533915893</v>
      </c>
      <c r="G208">
        <f>Portfolio!B$6*'CurrentFact-N10,20Unchanged'!F208</f>
        <v>3696.2945087936532</v>
      </c>
      <c r="H208">
        <f>Portfolio!B$7*'CurrentFact-N10,20Unchanged'!J208</f>
        <v>2064.4550337304254</v>
      </c>
      <c r="I208">
        <f t="shared" si="6"/>
        <v>96396.770517000055</v>
      </c>
      <c r="J208">
        <f t="shared" si="7"/>
        <v>-26.625456129055237</v>
      </c>
    </row>
    <row r="209" spans="1:10">
      <c r="A209" s="1">
        <v>45762</v>
      </c>
      <c r="B209">
        <f>(3/(1+('CurrentFact-N10,20Unchanged'!C209)/100)+103/POWER(1+('CurrentFact-N10,20Unchanged'!D209)/100,2))*100</f>
        <v>9707.5857774288397</v>
      </c>
      <c r="C209">
        <f>(3/(1+('CurrentFact-N10,20Unchanged'!C209+'CurrentFact-N10,20Unchanged'!G209)/100)+103/POWER(1+('CurrentFact-N10,20Unchanged'!D209+'CurrentFact-N10,20Unchanged'!G209)/100,2))*100</f>
        <v>9614.9673582483465</v>
      </c>
      <c r="D209">
        <f>(3/(1+('CurrentFact-N10,20Unchanged'!C209+'CurrentFact-N10,20Unchanged'!H209)/100)+103/POWER(1+('CurrentFact-N10,20Unchanged'!D209+'CurrentFact-N10,20Unchanged'!H209)/100,2))*100</f>
        <v>9597.2389014352339</v>
      </c>
      <c r="E209">
        <f>(3/(1+('CurrentFact-N10,20Unchanged'!C209+'CurrentFact-N10,20Unchanged'!I209)/100)+103/POWER(1+('CurrentFact-N10,20Unchanged'!D209+'CurrentFact-N10,20Unchanged'!I209)/100,2))*100</f>
        <v>9582.2866714527445</v>
      </c>
      <c r="F209">
        <f>Portfolio!B$5*'CurrentFact-N10,20Unchanged'!E209</f>
        <v>52143.895533915893</v>
      </c>
      <c r="G209">
        <f>Portfolio!B$6*'CurrentFact-N10,20Unchanged'!F209</f>
        <v>3696.2945087936532</v>
      </c>
      <c r="H209">
        <f>Portfolio!B$7*'CurrentFact-N10,20Unchanged'!J209</f>
        <v>2064.4550337304254</v>
      </c>
      <c r="I209">
        <f t="shared" si="6"/>
        <v>96406.723785005132</v>
      </c>
      <c r="J209">
        <f t="shared" si="7"/>
        <v>7.373591388517525</v>
      </c>
    </row>
    <row r="210" spans="1:10">
      <c r="A210" s="1">
        <v>45763</v>
      </c>
      <c r="B210">
        <f>(3/(1+('CurrentFact-N10,20Unchanged'!C210)/100)+103/POWER(1+('CurrentFact-N10,20Unchanged'!D210)/100,2))*100</f>
        <v>9707.5857774288397</v>
      </c>
      <c r="C210">
        <f>(3/(1+('CurrentFact-N10,20Unchanged'!C210+'CurrentFact-N10,20Unchanged'!G210)/100)+103/POWER(1+('CurrentFact-N10,20Unchanged'!D210+'CurrentFact-N10,20Unchanged'!G210)/100,2))*100</f>
        <v>9614.9673582483465</v>
      </c>
      <c r="D210">
        <f>(3/(1+('CurrentFact-N10,20Unchanged'!C210+'CurrentFact-N10,20Unchanged'!H210)/100)+103/POWER(1+('CurrentFact-N10,20Unchanged'!D210+'CurrentFact-N10,20Unchanged'!H210)/100,2))*100</f>
        <v>9609.2692128664075</v>
      </c>
      <c r="E210">
        <f>(3/(1+('CurrentFact-N10,20Unchanged'!C210+'CurrentFact-N10,20Unchanged'!I210)/100)+103/POWER(1+('CurrentFact-N10,20Unchanged'!D210+'CurrentFact-N10,20Unchanged'!I210)/100,2))*100</f>
        <v>9580.4366410927123</v>
      </c>
      <c r="F210">
        <f>Portfolio!B$5*'CurrentFact-N10,20Unchanged'!E210</f>
        <v>52143.895533915893</v>
      </c>
      <c r="G210">
        <f>Portfolio!B$6*'CurrentFact-N10,20Unchanged'!F210</f>
        <v>3696.2945087936532</v>
      </c>
      <c r="H210">
        <f>Portfolio!B$7*'CurrentFact-N10,20Unchanged'!J210</f>
        <v>2064.4550337304254</v>
      </c>
      <c r="I210">
        <f t="shared" si="6"/>
        <v>96416.904066076269</v>
      </c>
      <c r="J210">
        <f t="shared" si="7"/>
        <v>25.420335754446569</v>
      </c>
    </row>
    <row r="211" spans="1:10">
      <c r="A211" s="1">
        <v>45764</v>
      </c>
      <c r="B211">
        <f>(3/(1+('CurrentFact-N10,20Unchanged'!C211)/100)+103/POWER(1+('CurrentFact-N10,20Unchanged'!D211)/100,2))*100</f>
        <v>9707.5857774288397</v>
      </c>
      <c r="C211">
        <f>(3/(1+('CurrentFact-N10,20Unchanged'!C211+'CurrentFact-N10,20Unchanged'!G211)/100)+103/POWER(1+('CurrentFact-N10,20Unchanged'!D211+'CurrentFact-N10,20Unchanged'!G211)/100,2))*100</f>
        <v>9614.9673582483465</v>
      </c>
      <c r="D211">
        <f>(3/(1+('CurrentFact-N10,20Unchanged'!C211+'CurrentFact-N10,20Unchanged'!H211)/100)+103/POWER(1+('CurrentFact-N10,20Unchanged'!D211+'CurrentFact-N10,20Unchanged'!H211)/100,2))*100</f>
        <v>9607.2616685294888</v>
      </c>
      <c r="E211">
        <f>(3/(1+('CurrentFact-N10,20Unchanged'!C211+'CurrentFact-N10,20Unchanged'!I211)/100)+103/POWER(1+('CurrentFact-N10,20Unchanged'!D211+'CurrentFact-N10,20Unchanged'!I211)/100,2))*100</f>
        <v>9580.8447310471183</v>
      </c>
      <c r="F211">
        <f>Portfolio!B$5*'CurrentFact-N10,20Unchanged'!E211</f>
        <v>52143.895533915893</v>
      </c>
      <c r="G211">
        <f>Portfolio!B$6*'CurrentFact-N10,20Unchanged'!F211</f>
        <v>3696.2945087936532</v>
      </c>
      <c r="H211">
        <f>Portfolio!B$7*'CurrentFact-N10,20Unchanged'!J211</f>
        <v>2064.4550337304254</v>
      </c>
      <c r="I211">
        <f t="shared" si="6"/>
        <v>96415.304611693762</v>
      </c>
      <c r="J211">
        <f t="shared" si="7"/>
        <v>2.8325407213560538</v>
      </c>
    </row>
    <row r="212" spans="1:10">
      <c r="A212" s="1">
        <v>45765</v>
      </c>
      <c r="B212">
        <f>(3/(1+('CurrentFact-N10,20Unchanged'!C212)/100)+103/POWER(1+('CurrentFact-N10,20Unchanged'!D212)/100,2))*100</f>
        <v>9707.5857774288397</v>
      </c>
      <c r="C212">
        <f>(3/(1+('CurrentFact-N10,20Unchanged'!C212+'CurrentFact-N10,20Unchanged'!G212)/100)+103/POWER(1+('CurrentFact-N10,20Unchanged'!D212+'CurrentFact-N10,20Unchanged'!G212)/100,2))*100</f>
        <v>9614.9673582483465</v>
      </c>
      <c r="D212">
        <f>(3/(1+('CurrentFact-N10,20Unchanged'!C212+'CurrentFact-N10,20Unchanged'!H212)/100)+103/POWER(1+('CurrentFact-N10,20Unchanged'!D212+'CurrentFact-N10,20Unchanged'!H212)/100,2))*100</f>
        <v>9598.8375028257615</v>
      </c>
      <c r="E212">
        <f>(3/(1+('CurrentFact-N10,20Unchanged'!C212+'CurrentFact-N10,20Unchanged'!I212)/100)+103/POWER(1+('CurrentFact-N10,20Unchanged'!D212+'CurrentFact-N10,20Unchanged'!I212)/100,2))*100</f>
        <v>9579.5132129173362</v>
      </c>
      <c r="F212">
        <f>Portfolio!B$5*'CurrentFact-N10,20Unchanged'!E212</f>
        <v>52143.895533915893</v>
      </c>
      <c r="G212">
        <f>Portfolio!B$6*'CurrentFact-N10,20Unchanged'!F212</f>
        <v>3696.2945087936532</v>
      </c>
      <c r="H212">
        <f>Portfolio!B$7*'CurrentFact-N10,20Unchanged'!J212</f>
        <v>2064.4550337304254</v>
      </c>
      <c r="I212">
        <f t="shared" si="6"/>
        <v>96405.548927860247</v>
      </c>
      <c r="J212">
        <f t="shared" si="7"/>
        <v>4.3225163326715119</v>
      </c>
    </row>
    <row r="213" spans="1:10">
      <c r="A213" s="1">
        <v>45768</v>
      </c>
      <c r="B213">
        <f>(3/(1+('CurrentFact-N10,20Unchanged'!C213)/100)+103/POWER(1+('CurrentFact-N10,20Unchanged'!D213)/100,2))*100</f>
        <v>9707.5857774288397</v>
      </c>
      <c r="C213">
        <f>(3/(1+('CurrentFact-N10,20Unchanged'!C213+'CurrentFact-N10,20Unchanged'!G213)/100)+103/POWER(1+('CurrentFact-N10,20Unchanged'!D213+'CurrentFact-N10,20Unchanged'!G213)/100,2))*100</f>
        <v>9614.9673582483465</v>
      </c>
      <c r="D213">
        <f>(3/(1+('CurrentFact-N10,20Unchanged'!C213+'CurrentFact-N10,20Unchanged'!H213)/100)+103/POWER(1+('CurrentFact-N10,20Unchanged'!D213+'CurrentFact-N10,20Unchanged'!H213)/100,2))*100</f>
        <v>9605.445928657351</v>
      </c>
      <c r="E213">
        <f>(3/(1+('CurrentFact-N10,20Unchanged'!C213+'CurrentFact-N10,20Unchanged'!I213)/100)+103/POWER(1+('CurrentFact-N10,20Unchanged'!D213+'CurrentFact-N10,20Unchanged'!I213)/100,2))*100</f>
        <v>9580.0160112982776</v>
      </c>
      <c r="F213">
        <f>Portfolio!B$5*'CurrentFact-N10,20Unchanged'!E213</f>
        <v>52143.895533915893</v>
      </c>
      <c r="G213">
        <f>Portfolio!B$6*'CurrentFact-N10,20Unchanged'!F213</f>
        <v>3696.2945087936532</v>
      </c>
      <c r="H213">
        <f>Portfolio!B$7*'CurrentFact-N10,20Unchanged'!J213</f>
        <v>2064.4550337304254</v>
      </c>
      <c r="I213">
        <f t="shared" si="6"/>
        <v>96412.660152072785</v>
      </c>
      <c r="J213">
        <f t="shared" si="7"/>
        <v>13.218375818192726</v>
      </c>
    </row>
    <row r="214" spans="1:10">
      <c r="A214" s="1">
        <v>45769</v>
      </c>
      <c r="B214">
        <f>(3/(1+('CurrentFact-N10,20Unchanged'!C214)/100)+103/POWER(1+('CurrentFact-N10,20Unchanged'!D214)/100,2))*100</f>
        <v>9707.5857774288397</v>
      </c>
      <c r="C214">
        <f>(3/(1+('CurrentFact-N10,20Unchanged'!C214+'CurrentFact-N10,20Unchanged'!G214)/100)+103/POWER(1+('CurrentFact-N10,20Unchanged'!D214+'CurrentFact-N10,20Unchanged'!G214)/100,2))*100</f>
        <v>9614.9673582483465</v>
      </c>
      <c r="D214">
        <f>(3/(1+('CurrentFact-N10,20Unchanged'!C214+'CurrentFact-N10,20Unchanged'!H214)/100)+103/POWER(1+('CurrentFact-N10,20Unchanged'!D214+'CurrentFact-N10,20Unchanged'!H214)/100,2))*100</f>
        <v>9612.6754825690132</v>
      </c>
      <c r="E214">
        <f>(3/(1+('CurrentFact-N10,20Unchanged'!C214+'CurrentFact-N10,20Unchanged'!I214)/100)+103/POWER(1+('CurrentFact-N10,20Unchanged'!D214+'CurrentFact-N10,20Unchanged'!I214)/100,2))*100</f>
        <v>9580.6461702907818</v>
      </c>
      <c r="F214">
        <f>Portfolio!B$5*'CurrentFact-N10,20Unchanged'!E214</f>
        <v>52143.895533915893</v>
      </c>
      <c r="G214">
        <f>Portfolio!B$6*'CurrentFact-N10,20Unchanged'!F214</f>
        <v>3696.2945087936532</v>
      </c>
      <c r="H214">
        <f>Portfolio!B$7*'CurrentFact-N10,20Unchanged'!J214</f>
        <v>2064.4550337304254</v>
      </c>
      <c r="I214">
        <f t="shared" si="6"/>
        <v>96420.519864976959</v>
      </c>
      <c r="J214">
        <f t="shared" si="7"/>
        <v>13.636717822228093</v>
      </c>
    </row>
    <row r="215" spans="1:10">
      <c r="A215" s="1">
        <v>45770</v>
      </c>
      <c r="B215">
        <f>(3/(1+('CurrentFact-N10,20Unchanged'!C215)/100)+103/POWER(1+('CurrentFact-N10,20Unchanged'!D215)/100,2))*100</f>
        <v>9707.5857774288397</v>
      </c>
      <c r="C215">
        <f>(3/(1+('CurrentFact-N10,20Unchanged'!C215+'CurrentFact-N10,20Unchanged'!G215)/100)+103/POWER(1+('CurrentFact-N10,20Unchanged'!D215+'CurrentFact-N10,20Unchanged'!G215)/100,2))*100</f>
        <v>9614.9673582483465</v>
      </c>
      <c r="D215">
        <f>(3/(1+('CurrentFact-N10,20Unchanged'!C215+'CurrentFact-N10,20Unchanged'!H215)/100)+103/POWER(1+('CurrentFact-N10,20Unchanged'!D215+'CurrentFact-N10,20Unchanged'!H215)/100,2))*100</f>
        <v>9591.0603875672477</v>
      </c>
      <c r="E215">
        <f>(3/(1+('CurrentFact-N10,20Unchanged'!C215+'CurrentFact-N10,20Unchanged'!I215)/100)+103/POWER(1+('CurrentFact-N10,20Unchanged'!D215+'CurrentFact-N10,20Unchanged'!I215)/100,2))*100</f>
        <v>9581.1060732120277</v>
      </c>
      <c r="F215">
        <f>Portfolio!B$5*'CurrentFact-N10,20Unchanged'!E215</f>
        <v>52143.895533915893</v>
      </c>
      <c r="G215">
        <f>Portfolio!B$6*'CurrentFact-N10,20Unchanged'!F215</f>
        <v>3696.2945087936532</v>
      </c>
      <c r="H215">
        <f>Portfolio!B$7*'CurrentFact-N10,20Unchanged'!J215</f>
        <v>2064.4550337304254</v>
      </c>
      <c r="I215">
        <f t="shared" si="6"/>
        <v>96399.364672896423</v>
      </c>
      <c r="J215">
        <f t="shared" si="7"/>
        <v>17.145050626248121</v>
      </c>
    </row>
    <row r="216" spans="1:10">
      <c r="A216" s="1">
        <v>45771</v>
      </c>
      <c r="B216">
        <f>(3/(1+('CurrentFact-N10,20Unchanged'!C216)/100)+103/POWER(1+('CurrentFact-N10,20Unchanged'!D216)/100,2))*100</f>
        <v>9707.5857774288397</v>
      </c>
      <c r="C216">
        <f>(3/(1+('CurrentFact-N10,20Unchanged'!C216+'CurrentFact-N10,20Unchanged'!G216)/100)+103/POWER(1+('CurrentFact-N10,20Unchanged'!D216+'CurrentFact-N10,20Unchanged'!G216)/100,2))*100</f>
        <v>9614.9673582483465</v>
      </c>
      <c r="D216">
        <f>(3/(1+('CurrentFact-N10,20Unchanged'!C216+'CurrentFact-N10,20Unchanged'!H216)/100)+103/POWER(1+('CurrentFact-N10,20Unchanged'!D216+'CurrentFact-N10,20Unchanged'!H216)/100,2))*100</f>
        <v>9613.7113936162423</v>
      </c>
      <c r="E216">
        <f>(3/(1+('CurrentFact-N10,20Unchanged'!C216+'CurrentFact-N10,20Unchanged'!I216)/100)+103/POWER(1+('CurrentFact-N10,20Unchanged'!D216+'CurrentFact-N10,20Unchanged'!I216)/100,2))*100</f>
        <v>9579.9643646704317</v>
      </c>
      <c r="F216">
        <f>Portfolio!B$5*'CurrentFact-N10,20Unchanged'!E216</f>
        <v>52143.895533915893</v>
      </c>
      <c r="G216">
        <f>Portfolio!B$6*'CurrentFact-N10,20Unchanged'!F216</f>
        <v>3696.2945087936532</v>
      </c>
      <c r="H216">
        <f>Portfolio!B$7*'CurrentFact-N10,20Unchanged'!J216</f>
        <v>2064.4550337304254</v>
      </c>
      <c r="I216">
        <f t="shared" si="6"/>
        <v>96420.873970403831</v>
      </c>
      <c r="J216">
        <f t="shared" si="7"/>
        <v>14.696042590003344</v>
      </c>
    </row>
    <row r="217" spans="1:10">
      <c r="A217" s="1">
        <v>45772</v>
      </c>
      <c r="B217">
        <f>(3/(1+('CurrentFact-N10,20Unchanged'!C217)/100)+103/POWER(1+('CurrentFact-N10,20Unchanged'!D217)/100,2))*100</f>
        <v>9707.5857774288397</v>
      </c>
      <c r="C217">
        <f>(3/(1+('CurrentFact-N10,20Unchanged'!C217+'CurrentFact-N10,20Unchanged'!G217)/100)+103/POWER(1+('CurrentFact-N10,20Unchanged'!D217+'CurrentFact-N10,20Unchanged'!G217)/100,2))*100</f>
        <v>9614.9673582483465</v>
      </c>
      <c r="D217">
        <f>(3/(1+('CurrentFact-N10,20Unchanged'!C217+'CurrentFact-N10,20Unchanged'!H217)/100)+103/POWER(1+('CurrentFact-N10,20Unchanged'!D217+'CurrentFact-N10,20Unchanged'!H217)/100,2))*100</f>
        <v>9594.564727189756</v>
      </c>
      <c r="E217">
        <f>(3/(1+('CurrentFact-N10,20Unchanged'!C217+'CurrentFact-N10,20Unchanged'!I217)/100)+103/POWER(1+('CurrentFact-N10,20Unchanged'!D217+'CurrentFact-N10,20Unchanged'!I217)/100,2))*100</f>
        <v>9581.2738336585917</v>
      </c>
      <c r="F217">
        <f>Portfolio!B$5*'CurrentFact-N10,20Unchanged'!E217</f>
        <v>52143.895533915893</v>
      </c>
      <c r="G217">
        <f>Portfolio!B$6*'CurrentFact-N10,20Unchanged'!F217</f>
        <v>3696.2945087936532</v>
      </c>
      <c r="H217">
        <f>Portfolio!B$7*'CurrentFact-N10,20Unchanged'!J217</f>
        <v>2064.4550337304254</v>
      </c>
      <c r="I217">
        <f t="shared" si="6"/>
        <v>96403.036772965512</v>
      </c>
      <c r="J217">
        <f t="shared" si="7"/>
        <v>-13.459250340034487</v>
      </c>
    </row>
    <row r="218" spans="1:10">
      <c r="A218" s="1">
        <v>45775</v>
      </c>
      <c r="B218">
        <f>(3/(1+('CurrentFact-N10,20Unchanged'!C218)/100)+103/POWER(1+('CurrentFact-N10,20Unchanged'!D218)/100,2))*100</f>
        <v>9707.5857774288397</v>
      </c>
      <c r="C218">
        <f>(3/(1+('CurrentFact-N10,20Unchanged'!C218+'CurrentFact-N10,20Unchanged'!G218)/100)+103/POWER(1+('CurrentFact-N10,20Unchanged'!D218+'CurrentFact-N10,20Unchanged'!G218)/100,2))*100</f>
        <v>9614.9673582483465</v>
      </c>
      <c r="D218">
        <f>(3/(1+('CurrentFact-N10,20Unchanged'!C218+'CurrentFact-N10,20Unchanged'!H218)/100)+103/POWER(1+('CurrentFact-N10,20Unchanged'!D218+'CurrentFact-N10,20Unchanged'!H218)/100,2))*100</f>
        <v>9610.4476064957453</v>
      </c>
      <c r="E218">
        <f>(3/(1+('CurrentFact-N10,20Unchanged'!C218+'CurrentFact-N10,20Unchanged'!I218)/100)+103/POWER(1+('CurrentFact-N10,20Unchanged'!D218+'CurrentFact-N10,20Unchanged'!I218)/100,2))*100</f>
        <v>9581.7461701869233</v>
      </c>
      <c r="F218">
        <f>Portfolio!B$5*'CurrentFact-N10,20Unchanged'!E218</f>
        <v>52143.895533915893</v>
      </c>
      <c r="G218">
        <f>Portfolio!B$6*'CurrentFact-N10,20Unchanged'!F218</f>
        <v>3696.2945087936532</v>
      </c>
      <c r="H218">
        <f>Portfolio!B$7*'CurrentFact-N10,20Unchanged'!J218</f>
        <v>2064.4550337304254</v>
      </c>
      <c r="I218">
        <f t="shared" si="6"/>
        <v>96419.39198879982</v>
      </c>
      <c r="J218">
        <f t="shared" si="7"/>
        <v>22.621471799764549</v>
      </c>
    </row>
    <row r="219" spans="1:10">
      <c r="A219" s="1">
        <v>45776</v>
      </c>
      <c r="B219">
        <f>(3/(1+('CurrentFact-N10,20Unchanged'!C219)/100)+103/POWER(1+('CurrentFact-N10,20Unchanged'!D219)/100,2))*100</f>
        <v>9707.5857774288397</v>
      </c>
      <c r="C219">
        <f>(3/(1+('CurrentFact-N10,20Unchanged'!C219+'CurrentFact-N10,20Unchanged'!G219)/100)+103/POWER(1+('CurrentFact-N10,20Unchanged'!D219+'CurrentFact-N10,20Unchanged'!G219)/100,2))*100</f>
        <v>9614.9673582483465</v>
      </c>
      <c r="D219">
        <f>(3/(1+('CurrentFact-N10,20Unchanged'!C219+'CurrentFact-N10,20Unchanged'!H219)/100)+103/POWER(1+('CurrentFact-N10,20Unchanged'!D219+'CurrentFact-N10,20Unchanged'!H219)/100,2))*100</f>
        <v>9611.3718539671845</v>
      </c>
      <c r="E219">
        <f>(3/(1+('CurrentFact-N10,20Unchanged'!C219+'CurrentFact-N10,20Unchanged'!I219)/100)+103/POWER(1+('CurrentFact-N10,20Unchanged'!D219+'CurrentFact-N10,20Unchanged'!I219)/100,2))*100</f>
        <v>9580.1848347560372</v>
      </c>
      <c r="F219">
        <f>Portfolio!B$5*'CurrentFact-N10,20Unchanged'!E219</f>
        <v>52143.895533915893</v>
      </c>
      <c r="G219">
        <f>Portfolio!B$6*'CurrentFact-N10,20Unchanged'!F219</f>
        <v>3696.2945087936532</v>
      </c>
      <c r="H219">
        <f>Portfolio!B$7*'CurrentFact-N10,20Unchanged'!J219</f>
        <v>2064.4550337304254</v>
      </c>
      <c r="I219">
        <f t="shared" si="6"/>
        <v>96418.754900840373</v>
      </c>
      <c r="J219">
        <f t="shared" si="7"/>
        <v>12.031115835241508</v>
      </c>
    </row>
    <row r="220" spans="1:10">
      <c r="A220" s="1">
        <v>45777</v>
      </c>
      <c r="B220">
        <f>(3/(1+('CurrentFact-N10,20Unchanged'!C220)/100)+103/POWER(1+('CurrentFact-N10,20Unchanged'!D220)/100,2))*100</f>
        <v>9707.5857774288397</v>
      </c>
      <c r="C220">
        <f>(3/(1+('CurrentFact-N10,20Unchanged'!C220+'CurrentFact-N10,20Unchanged'!G220)/100)+103/POWER(1+('CurrentFact-N10,20Unchanged'!D220+'CurrentFact-N10,20Unchanged'!G220)/100,2))*100</f>
        <v>9614.9673582483465</v>
      </c>
      <c r="D220">
        <f>(3/(1+('CurrentFact-N10,20Unchanged'!C220+'CurrentFact-N10,20Unchanged'!H220)/100)+103/POWER(1+('CurrentFact-N10,20Unchanged'!D220+'CurrentFact-N10,20Unchanged'!H220)/100,2))*100</f>
        <v>9610.637222203186</v>
      </c>
      <c r="E220">
        <f>(3/(1+('CurrentFact-N10,20Unchanged'!C220+'CurrentFact-N10,20Unchanged'!I220)/100)+103/POWER(1+('CurrentFact-N10,20Unchanged'!D220+'CurrentFact-N10,20Unchanged'!I220)/100,2))*100</f>
        <v>9579.8196664277166</v>
      </c>
      <c r="F220">
        <f>Portfolio!B$5*'CurrentFact-N10,20Unchanged'!E220</f>
        <v>52143.895533915893</v>
      </c>
      <c r="G220">
        <f>Portfolio!B$6*'CurrentFact-N10,20Unchanged'!F220</f>
        <v>3696.2945087936532</v>
      </c>
      <c r="H220">
        <f>Portfolio!B$7*'CurrentFact-N10,20Unchanged'!J220</f>
        <v>2064.4550337304254</v>
      </c>
      <c r="I220">
        <f t="shared" si="6"/>
        <v>96417.655100748059</v>
      </c>
      <c r="J220">
        <f t="shared" si="7"/>
        <v>0.75103467178996652</v>
      </c>
    </row>
    <row r="221" spans="1:10">
      <c r="A221" s="1">
        <v>45778</v>
      </c>
      <c r="B221">
        <f>(3/(1+('CurrentFact-N10,20Unchanged'!C221)/100)+103/POWER(1+('CurrentFact-N10,20Unchanged'!D221)/100,2))*100</f>
        <v>9707.5857774288397</v>
      </c>
      <c r="C221">
        <f>(3/(1+('CurrentFact-N10,20Unchanged'!C221+'CurrentFact-N10,20Unchanged'!G221)/100)+103/POWER(1+('CurrentFact-N10,20Unchanged'!D221+'CurrentFact-N10,20Unchanged'!G221)/100,2))*100</f>
        <v>9614.9673582483465</v>
      </c>
      <c r="D221">
        <f>(3/(1+('CurrentFact-N10,20Unchanged'!C221+'CurrentFact-N10,20Unchanged'!H221)/100)+103/POWER(1+('CurrentFact-N10,20Unchanged'!D221+'CurrentFact-N10,20Unchanged'!H221)/100,2))*100</f>
        <v>9608.9736424990479</v>
      </c>
      <c r="E221">
        <f>(3/(1+('CurrentFact-N10,20Unchanged'!C221+'CurrentFact-N10,20Unchanged'!I221)/100)+103/POWER(1+('CurrentFact-N10,20Unchanged'!D221+'CurrentFact-N10,20Unchanged'!I221)/100,2))*100</f>
        <v>9582.0116488298263</v>
      </c>
      <c r="F221">
        <f>Portfolio!B$5*'CurrentFact-N10,20Unchanged'!E221</f>
        <v>52143.895533915893</v>
      </c>
      <c r="G221">
        <f>Portfolio!B$6*'CurrentFact-N10,20Unchanged'!F221</f>
        <v>3696.2945087936532</v>
      </c>
      <c r="H221">
        <f>Portfolio!B$7*'CurrentFact-N10,20Unchanged'!J221</f>
        <v>2064.4550337304254</v>
      </c>
      <c r="I221">
        <f t="shared" si="6"/>
        <v>96418.183503446024</v>
      </c>
      <c r="J221">
        <f t="shared" si="7"/>
        <v>2.878891752261552</v>
      </c>
    </row>
    <row r="222" spans="1:10">
      <c r="A222" s="1">
        <v>45779</v>
      </c>
      <c r="B222">
        <f>(3/(1+('CurrentFact-N10,20Unchanged'!C222)/100)+103/POWER(1+('CurrentFact-N10,20Unchanged'!D222)/100,2))*100</f>
        <v>9707.5857774288397</v>
      </c>
      <c r="C222">
        <f>(3/(1+('CurrentFact-N10,20Unchanged'!C222+'CurrentFact-N10,20Unchanged'!G222)/100)+103/POWER(1+('CurrentFact-N10,20Unchanged'!D222+'CurrentFact-N10,20Unchanged'!G222)/100,2))*100</f>
        <v>9614.9673582483465</v>
      </c>
      <c r="D222">
        <f>(3/(1+('CurrentFact-N10,20Unchanged'!C222+'CurrentFact-N10,20Unchanged'!H222)/100)+103/POWER(1+('CurrentFact-N10,20Unchanged'!D222+'CurrentFact-N10,20Unchanged'!H222)/100,2))*100</f>
        <v>9585.6351176792741</v>
      </c>
      <c r="E222">
        <f>(3/(1+('CurrentFact-N10,20Unchanged'!C222+'CurrentFact-N10,20Unchanged'!I222)/100)+103/POWER(1+('CurrentFact-N10,20Unchanged'!D222+'CurrentFact-N10,20Unchanged'!I222)/100,2))*100</f>
        <v>9582.1326987173798</v>
      </c>
      <c r="F222">
        <f>Portfolio!B$5*'CurrentFact-N10,20Unchanged'!E222</f>
        <v>52143.895533915893</v>
      </c>
      <c r="G222">
        <f>Portfolio!B$6*'CurrentFact-N10,20Unchanged'!F222</f>
        <v>3696.2945087936532</v>
      </c>
      <c r="H222">
        <f>Portfolio!B$7*'CurrentFact-N10,20Unchanged'!J222</f>
        <v>2064.4550337304254</v>
      </c>
      <c r="I222">
        <f t="shared" si="6"/>
        <v>96394.966028513809</v>
      </c>
      <c r="J222">
        <f t="shared" si="7"/>
        <v>-10.582899346438353</v>
      </c>
    </row>
    <row r="223" spans="1:10">
      <c r="A223" s="1">
        <v>45782</v>
      </c>
      <c r="B223">
        <f>(3/(1+('CurrentFact-N10,20Unchanged'!C223)/100)+103/POWER(1+('CurrentFact-N10,20Unchanged'!D223)/100,2))*100</f>
        <v>9707.5857774288397</v>
      </c>
      <c r="C223">
        <f>(3/(1+('CurrentFact-N10,20Unchanged'!C223+'CurrentFact-N10,20Unchanged'!G223)/100)+103/POWER(1+('CurrentFact-N10,20Unchanged'!D223+'CurrentFact-N10,20Unchanged'!G223)/100,2))*100</f>
        <v>9614.9673582483465</v>
      </c>
      <c r="D223">
        <f>(3/(1+('CurrentFact-N10,20Unchanged'!C223+'CurrentFact-N10,20Unchanged'!H223)/100)+103/POWER(1+('CurrentFact-N10,20Unchanged'!D223+'CurrentFact-N10,20Unchanged'!H223)/100,2))*100</f>
        <v>9595.2798181774815</v>
      </c>
      <c r="E223">
        <f>(3/(1+('CurrentFact-N10,20Unchanged'!C223+'CurrentFact-N10,20Unchanged'!I223)/100)+103/POWER(1+('CurrentFact-N10,20Unchanged'!D223+'CurrentFact-N10,20Unchanged'!I223)/100,2))*100</f>
        <v>9581.3670498975716</v>
      </c>
      <c r="F223">
        <f>Portfolio!B$5*'CurrentFact-N10,20Unchanged'!E223</f>
        <v>52143.895533915893</v>
      </c>
      <c r="G223">
        <f>Portfolio!B$6*'CurrentFact-N10,20Unchanged'!F223</f>
        <v>3696.2945087936532</v>
      </c>
      <c r="H223">
        <f>Portfolio!B$7*'CurrentFact-N10,20Unchanged'!J223</f>
        <v>2064.4550337304254</v>
      </c>
      <c r="I223">
        <f t="shared" si="6"/>
        <v>96403.845080192201</v>
      </c>
      <c r="J223">
        <f t="shared" si="7"/>
        <v>-8.8150718805845827</v>
      </c>
    </row>
    <row r="224" spans="1:10">
      <c r="A224" s="1">
        <v>45783</v>
      </c>
      <c r="B224">
        <f>(3/(1+('CurrentFact-N10,20Unchanged'!C224)/100)+103/POWER(1+('CurrentFact-N10,20Unchanged'!D224)/100,2))*100</f>
        <v>9707.5857774288397</v>
      </c>
      <c r="C224">
        <f>(3/(1+('CurrentFact-N10,20Unchanged'!C224+'CurrentFact-N10,20Unchanged'!G224)/100)+103/POWER(1+('CurrentFact-N10,20Unchanged'!D224+'CurrentFact-N10,20Unchanged'!G224)/100,2))*100</f>
        <v>9614.9673582483465</v>
      </c>
      <c r="D224">
        <f>(3/(1+('CurrentFact-N10,20Unchanged'!C224+'CurrentFact-N10,20Unchanged'!H224)/100)+103/POWER(1+('CurrentFact-N10,20Unchanged'!D224+'CurrentFact-N10,20Unchanged'!H224)/100,2))*100</f>
        <v>9600.7052993837169</v>
      </c>
      <c r="E224">
        <f>(3/(1+('CurrentFact-N10,20Unchanged'!C224+'CurrentFact-N10,20Unchanged'!I224)/100)+103/POWER(1+('CurrentFact-N10,20Unchanged'!D224+'CurrentFact-N10,20Unchanged'!I224)/100,2))*100</f>
        <v>9580.5783462320705</v>
      </c>
      <c r="F224">
        <f>Portfolio!B$5*'CurrentFact-N10,20Unchanged'!E224</f>
        <v>52143.895533915893</v>
      </c>
      <c r="G224">
        <f>Portfolio!B$6*'CurrentFact-N10,20Unchanged'!F224</f>
        <v>3696.2945087936532</v>
      </c>
      <c r="H224">
        <f>Portfolio!B$7*'CurrentFact-N10,20Unchanged'!J224</f>
        <v>2064.4550337304254</v>
      </c>
      <c r="I224">
        <f t="shared" si="6"/>
        <v>96408.481857732942</v>
      </c>
      <c r="J224">
        <f t="shared" si="7"/>
        <v>-12.038007244016626</v>
      </c>
    </row>
    <row r="225" spans="1:10">
      <c r="A225" s="1">
        <v>45784</v>
      </c>
      <c r="B225">
        <f>(3/(1+('CurrentFact-N10,20Unchanged'!C225)/100)+103/POWER(1+('CurrentFact-N10,20Unchanged'!D225)/100,2))*100</f>
        <v>9707.5857774288397</v>
      </c>
      <c r="C225">
        <f>(3/(1+('CurrentFact-N10,20Unchanged'!C225+'CurrentFact-N10,20Unchanged'!G225)/100)+103/POWER(1+('CurrentFact-N10,20Unchanged'!D225+'CurrentFact-N10,20Unchanged'!G225)/100,2))*100</f>
        <v>9614.9673582483465</v>
      </c>
      <c r="D225">
        <f>(3/(1+('CurrentFact-N10,20Unchanged'!C225+'CurrentFact-N10,20Unchanged'!H225)/100)+103/POWER(1+('CurrentFact-N10,20Unchanged'!D225+'CurrentFact-N10,20Unchanged'!H225)/100,2))*100</f>
        <v>9606.0650582133603</v>
      </c>
      <c r="E225">
        <f>(3/(1+('CurrentFact-N10,20Unchanged'!C225+'CurrentFact-N10,20Unchanged'!I225)/100)+103/POWER(1+('CurrentFact-N10,20Unchanged'!D225+'CurrentFact-N10,20Unchanged'!I225)/100,2))*100</f>
        <v>9579.4241231332035</v>
      </c>
      <c r="F225">
        <f>Portfolio!B$5*'CurrentFact-N10,20Unchanged'!E225</f>
        <v>52143.895533915893</v>
      </c>
      <c r="G225">
        <f>Portfolio!B$6*'CurrentFact-N10,20Unchanged'!F225</f>
        <v>3696.2945087936532</v>
      </c>
      <c r="H225">
        <f>Portfolio!B$7*'CurrentFact-N10,20Unchanged'!J225</f>
        <v>2064.4550337304254</v>
      </c>
      <c r="I225">
        <f t="shared" si="6"/>
        <v>96412.687393463711</v>
      </c>
      <c r="J225">
        <f t="shared" si="7"/>
        <v>13.322720567288343</v>
      </c>
    </row>
    <row r="226" spans="1:10">
      <c r="A226" s="1">
        <v>45785</v>
      </c>
      <c r="B226">
        <f>(3/(1+('CurrentFact-N10,20Unchanged'!C226)/100)+103/POWER(1+('CurrentFact-N10,20Unchanged'!D226)/100,2))*100</f>
        <v>9707.5857774288397</v>
      </c>
      <c r="C226">
        <f>(3/(1+('CurrentFact-N10,20Unchanged'!C226+'CurrentFact-N10,20Unchanged'!G226)/100)+103/POWER(1+('CurrentFact-N10,20Unchanged'!D226+'CurrentFact-N10,20Unchanged'!G226)/100,2))*100</f>
        <v>9614.9673582483465</v>
      </c>
      <c r="D226">
        <f>(3/(1+('CurrentFact-N10,20Unchanged'!C226+'CurrentFact-N10,20Unchanged'!H226)/100)+103/POWER(1+('CurrentFact-N10,20Unchanged'!D226+'CurrentFact-N10,20Unchanged'!H226)/100,2))*100</f>
        <v>9594.9564080463606</v>
      </c>
      <c r="E226">
        <f>(3/(1+('CurrentFact-N10,20Unchanged'!C226+'CurrentFact-N10,20Unchanged'!I226)/100)+103/POWER(1+('CurrentFact-N10,20Unchanged'!D226+'CurrentFact-N10,20Unchanged'!I226)/100,2))*100</f>
        <v>9579.3005286208645</v>
      </c>
      <c r="F226">
        <f>Portfolio!B$5*'CurrentFact-N10,20Unchanged'!E226</f>
        <v>52143.895533915893</v>
      </c>
      <c r="G226">
        <f>Portfolio!B$6*'CurrentFact-N10,20Unchanged'!F226</f>
        <v>3696.2945087936532</v>
      </c>
      <c r="H226">
        <f>Portfolio!B$7*'CurrentFact-N10,20Unchanged'!J226</f>
        <v>2064.4550337304254</v>
      </c>
      <c r="I226">
        <f t="shared" si="6"/>
        <v>96401.455148784386</v>
      </c>
      <c r="J226">
        <f t="shared" si="7"/>
        <v>-19.418821619445225</v>
      </c>
    </row>
    <row r="227" spans="1:10">
      <c r="A227" s="1">
        <v>45786</v>
      </c>
      <c r="B227">
        <f>(3/(1+('CurrentFact-N10,20Unchanged'!C227)/100)+103/POWER(1+('CurrentFact-N10,20Unchanged'!D227)/100,2))*100</f>
        <v>9707.5857774288397</v>
      </c>
      <c r="C227">
        <f>(3/(1+('CurrentFact-N10,20Unchanged'!C227+'CurrentFact-N10,20Unchanged'!G227)/100)+103/POWER(1+('CurrentFact-N10,20Unchanged'!D227+'CurrentFact-N10,20Unchanged'!G227)/100,2))*100</f>
        <v>9614.9673582483465</v>
      </c>
      <c r="D227">
        <f>(3/(1+('CurrentFact-N10,20Unchanged'!C227+'CurrentFact-N10,20Unchanged'!H227)/100)+103/POWER(1+('CurrentFact-N10,20Unchanged'!D227+'CurrentFact-N10,20Unchanged'!H227)/100,2))*100</f>
        <v>9578.1818572321154</v>
      </c>
      <c r="E227">
        <f>(3/(1+('CurrentFact-N10,20Unchanged'!C227+'CurrentFact-N10,20Unchanged'!I227)/100)+103/POWER(1+('CurrentFact-N10,20Unchanged'!D227+'CurrentFact-N10,20Unchanged'!I227)/100,2))*100</f>
        <v>9580.996708806304</v>
      </c>
      <c r="F227">
        <f>Portfolio!B$5*'CurrentFact-N10,20Unchanged'!E227</f>
        <v>52143.895533915893</v>
      </c>
      <c r="G227">
        <f>Portfolio!B$6*'CurrentFact-N10,20Unchanged'!F227</f>
        <v>3696.2945087936532</v>
      </c>
      <c r="H227">
        <f>Portfolio!B$7*'CurrentFact-N10,20Unchanged'!J227</f>
        <v>2064.4550337304254</v>
      </c>
      <c r="I227">
        <f t="shared" si="6"/>
        <v>96386.37677815558</v>
      </c>
      <c r="J227">
        <f t="shared" si="7"/>
        <v>-16.659994809931959</v>
      </c>
    </row>
    <row r="228" spans="1:10">
      <c r="A228" s="1">
        <v>45789</v>
      </c>
      <c r="B228">
        <f>(3/(1+('CurrentFact-N10,20Unchanged'!C228)/100)+103/POWER(1+('CurrentFact-N10,20Unchanged'!D228)/100,2))*100</f>
        <v>9707.5857774288397</v>
      </c>
      <c r="C228">
        <f>(3/(1+('CurrentFact-N10,20Unchanged'!C228+'CurrentFact-N10,20Unchanged'!G228)/100)+103/POWER(1+('CurrentFact-N10,20Unchanged'!D228+'CurrentFact-N10,20Unchanged'!G228)/100,2))*100</f>
        <v>9614.9673582483465</v>
      </c>
      <c r="D228">
        <f>(3/(1+('CurrentFact-N10,20Unchanged'!C228+'CurrentFact-N10,20Unchanged'!H228)/100)+103/POWER(1+('CurrentFact-N10,20Unchanged'!D228+'CurrentFact-N10,20Unchanged'!H228)/100,2))*100</f>
        <v>9578.893126976549</v>
      </c>
      <c r="E228">
        <f>(3/(1+('CurrentFact-N10,20Unchanged'!C228+'CurrentFact-N10,20Unchanged'!I228)/100)+103/POWER(1+('CurrentFact-N10,20Unchanged'!D228+'CurrentFact-N10,20Unchanged'!I228)/100,2))*100</f>
        <v>9580.3650991372488</v>
      </c>
      <c r="F228">
        <f>Portfolio!B$5*'CurrentFact-N10,20Unchanged'!E228</f>
        <v>52143.895533915893</v>
      </c>
      <c r="G228">
        <f>Portfolio!B$6*'CurrentFact-N10,20Unchanged'!F228</f>
        <v>3696.2945087936532</v>
      </c>
      <c r="H228">
        <f>Portfolio!B$7*'CurrentFact-N10,20Unchanged'!J228</f>
        <v>2064.4550337304254</v>
      </c>
      <c r="I228">
        <f t="shared" si="6"/>
        <v>96386.456438230962</v>
      </c>
      <c r="J228">
        <f t="shared" si="7"/>
        <v>-32.935550568858162</v>
      </c>
    </row>
    <row r="229" spans="1:10">
      <c r="A229" s="1">
        <v>45790</v>
      </c>
      <c r="B229">
        <f>(3/(1+('CurrentFact-N10,20Unchanged'!C229)/100)+103/POWER(1+('CurrentFact-N10,20Unchanged'!D229)/100,2))*100</f>
        <v>9707.5857774288397</v>
      </c>
      <c r="C229">
        <f>(3/(1+('CurrentFact-N10,20Unchanged'!C229+'CurrentFact-N10,20Unchanged'!G229)/100)+103/POWER(1+('CurrentFact-N10,20Unchanged'!D229+'CurrentFact-N10,20Unchanged'!G229)/100,2))*100</f>
        <v>9614.9673582483465</v>
      </c>
      <c r="D229">
        <f>(3/(1+('CurrentFact-N10,20Unchanged'!C229+'CurrentFact-N10,20Unchanged'!H229)/100)+103/POWER(1+('CurrentFact-N10,20Unchanged'!D229+'CurrentFact-N10,20Unchanged'!H229)/100,2))*100</f>
        <v>9606.6627172992467</v>
      </c>
      <c r="E229">
        <f>(3/(1+('CurrentFact-N10,20Unchanged'!C229+'CurrentFact-N10,20Unchanged'!I229)/100)+103/POWER(1+('CurrentFact-N10,20Unchanged'!D229+'CurrentFact-N10,20Unchanged'!I229)/100,2))*100</f>
        <v>9580.2798343728318</v>
      </c>
      <c r="F229">
        <f>Portfolio!B$5*'CurrentFact-N10,20Unchanged'!E229</f>
        <v>52143.895533915893</v>
      </c>
      <c r="G229">
        <f>Portfolio!B$6*'CurrentFact-N10,20Unchanged'!F229</f>
        <v>3696.2945087936532</v>
      </c>
      <c r="H229">
        <f>Portfolio!B$7*'CurrentFact-N10,20Unchanged'!J229</f>
        <v>2064.4550337304254</v>
      </c>
      <c r="I229">
        <f t="shared" si="6"/>
        <v>96414.140763789241</v>
      </c>
      <c r="J229">
        <f t="shared" si="7"/>
        <v>-4.6141370511322748</v>
      </c>
    </row>
    <row r="230" spans="1:10">
      <c r="A230" s="1">
        <v>45791</v>
      </c>
      <c r="B230">
        <f>(3/(1+('CurrentFact-N10,20Unchanged'!C230)/100)+103/POWER(1+('CurrentFact-N10,20Unchanged'!D230)/100,2))*100</f>
        <v>9707.5857774288397</v>
      </c>
      <c r="C230">
        <f>(3/(1+('CurrentFact-N10,20Unchanged'!C230+'CurrentFact-N10,20Unchanged'!G230)/100)+103/POWER(1+('CurrentFact-N10,20Unchanged'!D230+'CurrentFact-N10,20Unchanged'!G230)/100,2))*100</f>
        <v>9614.9673582483465</v>
      </c>
      <c r="D230">
        <f>(3/(1+('CurrentFact-N10,20Unchanged'!C230+'CurrentFact-N10,20Unchanged'!H230)/100)+103/POWER(1+('CurrentFact-N10,20Unchanged'!D230+'CurrentFact-N10,20Unchanged'!H230)/100,2))*100</f>
        <v>9605.3464852354919</v>
      </c>
      <c r="E230">
        <f>(3/(1+('CurrentFact-N10,20Unchanged'!C230+'CurrentFact-N10,20Unchanged'!I230)/100)+103/POWER(1+('CurrentFact-N10,20Unchanged'!D230+'CurrentFact-N10,20Unchanged'!I230)/100,2))*100</f>
        <v>9580.7792612115554</v>
      </c>
      <c r="F230">
        <f>Portfolio!B$5*'CurrentFact-N10,20Unchanged'!E230</f>
        <v>52143.895533915893</v>
      </c>
      <c r="G230">
        <f>Portfolio!B$6*'CurrentFact-N10,20Unchanged'!F230</f>
        <v>3696.2945087936532</v>
      </c>
      <c r="H230">
        <f>Portfolio!B$7*'CurrentFact-N10,20Unchanged'!J230</f>
        <v>2064.4550337304254</v>
      </c>
      <c r="I230">
        <f t="shared" si="6"/>
        <v>96413.3239585642</v>
      </c>
      <c r="J230">
        <f t="shared" si="7"/>
        <v>-4.3311421838589013</v>
      </c>
    </row>
    <row r="231" spans="1:10">
      <c r="A231" s="1">
        <v>45792</v>
      </c>
      <c r="B231">
        <f>(3/(1+('CurrentFact-N10,20Unchanged'!C231)/100)+103/POWER(1+('CurrentFact-N10,20Unchanged'!D231)/100,2))*100</f>
        <v>9707.5857774288397</v>
      </c>
      <c r="C231">
        <f>(3/(1+('CurrentFact-N10,20Unchanged'!C231+'CurrentFact-N10,20Unchanged'!G231)/100)+103/POWER(1+('CurrentFact-N10,20Unchanged'!D231+'CurrentFact-N10,20Unchanged'!G231)/100,2))*100</f>
        <v>9614.9673582483465</v>
      </c>
      <c r="D231">
        <f>(3/(1+('CurrentFact-N10,20Unchanged'!C231+'CurrentFact-N10,20Unchanged'!H231)/100)+103/POWER(1+('CurrentFact-N10,20Unchanged'!D231+'CurrentFact-N10,20Unchanged'!H231)/100,2))*100</f>
        <v>9604.8056388094919</v>
      </c>
      <c r="E231">
        <f>(3/(1+('CurrentFact-N10,20Unchanged'!C231+'CurrentFact-N10,20Unchanged'!I231)/100)+103/POWER(1+('CurrentFact-N10,20Unchanged'!D231+'CurrentFact-N10,20Unchanged'!I231)/100,2))*100</f>
        <v>9580.70713809466</v>
      </c>
      <c r="F231">
        <f>Portfolio!B$5*'CurrentFact-N10,20Unchanged'!E231</f>
        <v>52143.895533915893</v>
      </c>
      <c r="G231">
        <f>Portfolio!B$6*'CurrentFact-N10,20Unchanged'!F231</f>
        <v>3696.2945087936532</v>
      </c>
      <c r="H231">
        <f>Portfolio!B$7*'CurrentFact-N10,20Unchanged'!J231</f>
        <v>2064.4550337304254</v>
      </c>
      <c r="I231">
        <f t="shared" si="6"/>
        <v>96412.710989021318</v>
      </c>
      <c r="J231">
        <f t="shared" si="7"/>
        <v>-5.4725144247058779</v>
      </c>
    </row>
    <row r="232" spans="1:10">
      <c r="A232" s="1">
        <v>45793</v>
      </c>
      <c r="B232">
        <f>(3/(1+('CurrentFact-N10,20Unchanged'!C232)/100)+103/POWER(1+('CurrentFact-N10,20Unchanged'!D232)/100,2))*100</f>
        <v>9707.5857774288397</v>
      </c>
      <c r="C232">
        <f>(3/(1+('CurrentFact-N10,20Unchanged'!C232+'CurrentFact-N10,20Unchanged'!G232)/100)+103/POWER(1+('CurrentFact-N10,20Unchanged'!D232+'CurrentFact-N10,20Unchanged'!G232)/100,2))*100</f>
        <v>9614.9673582483465</v>
      </c>
      <c r="D232">
        <f>(3/(1+('CurrentFact-N10,20Unchanged'!C232+'CurrentFact-N10,20Unchanged'!H232)/100)+103/POWER(1+('CurrentFact-N10,20Unchanged'!D232+'CurrentFact-N10,20Unchanged'!H232)/100,2))*100</f>
        <v>9605.0002854818231</v>
      </c>
      <c r="E232">
        <f>(3/(1+('CurrentFact-N10,20Unchanged'!C232+'CurrentFact-N10,20Unchanged'!I232)/100)+103/POWER(1+('CurrentFact-N10,20Unchanged'!D232+'CurrentFact-N10,20Unchanged'!I232)/100,2))*100</f>
        <v>9580.6265560858756</v>
      </c>
      <c r="F232">
        <f>Portfolio!B$5*'CurrentFact-N10,20Unchanged'!E232</f>
        <v>52143.895533915893</v>
      </c>
      <c r="G232">
        <f>Portfolio!B$6*'CurrentFact-N10,20Unchanged'!F232</f>
        <v>3696.2945087936532</v>
      </c>
      <c r="H232">
        <f>Portfolio!B$7*'CurrentFact-N10,20Unchanged'!J232</f>
        <v>2064.4550337304254</v>
      </c>
      <c r="I232">
        <f t="shared" si="6"/>
        <v>96412.82505368485</v>
      </c>
      <c r="J232">
        <f t="shared" si="7"/>
        <v>17.859025171041139</v>
      </c>
    </row>
    <row r="233" spans="1:10">
      <c r="A233" s="1">
        <v>45796</v>
      </c>
      <c r="B233">
        <f>(3/(1+('CurrentFact-N10,20Unchanged'!C233)/100)+103/POWER(1+('CurrentFact-N10,20Unchanged'!D233)/100,2))*100</f>
        <v>9707.5857774288397</v>
      </c>
      <c r="C233">
        <f>(3/(1+('CurrentFact-N10,20Unchanged'!C233+'CurrentFact-N10,20Unchanged'!G233)/100)+103/POWER(1+('CurrentFact-N10,20Unchanged'!D233+'CurrentFact-N10,20Unchanged'!G233)/100,2))*100</f>
        <v>9614.9673582483465</v>
      </c>
      <c r="D233">
        <f>(3/(1+('CurrentFact-N10,20Unchanged'!C233+'CurrentFact-N10,20Unchanged'!H233)/100)+103/POWER(1+('CurrentFact-N10,20Unchanged'!D233+'CurrentFact-N10,20Unchanged'!H233)/100,2))*100</f>
        <v>9592.1994997649181</v>
      </c>
      <c r="E233">
        <f>(3/(1+('CurrentFact-N10,20Unchanged'!C233+'CurrentFact-N10,20Unchanged'!I233)/100)+103/POWER(1+('CurrentFact-N10,20Unchanged'!D233+'CurrentFact-N10,20Unchanged'!I233)/100,2))*100</f>
        <v>9579.7043812262018</v>
      </c>
      <c r="F233">
        <f>Portfolio!B$5*'CurrentFact-N10,20Unchanged'!E233</f>
        <v>52143.895533915893</v>
      </c>
      <c r="G233">
        <f>Portfolio!B$6*'CurrentFact-N10,20Unchanged'!F233</f>
        <v>3696.2945087936532</v>
      </c>
      <c r="H233">
        <f>Portfolio!B$7*'CurrentFact-N10,20Unchanged'!J233</f>
        <v>2064.4550337304254</v>
      </c>
      <c r="I233">
        <f t="shared" si="6"/>
        <v>96399.102093108289</v>
      </c>
      <c r="J233">
        <f t="shared" si="7"/>
        <v>-4.7429870839114301</v>
      </c>
    </row>
    <row r="234" spans="1:10">
      <c r="A234" s="1">
        <v>45797</v>
      </c>
      <c r="B234">
        <f>(3/(1+('CurrentFact-N10,20Unchanged'!C234)/100)+103/POWER(1+('CurrentFact-N10,20Unchanged'!D234)/100,2))*100</f>
        <v>9707.5857774288397</v>
      </c>
      <c r="C234">
        <f>(3/(1+('CurrentFact-N10,20Unchanged'!C234+'CurrentFact-N10,20Unchanged'!G234)/100)+103/POWER(1+('CurrentFact-N10,20Unchanged'!D234+'CurrentFact-N10,20Unchanged'!G234)/100,2))*100</f>
        <v>9614.9673582483465</v>
      </c>
      <c r="D234">
        <f>(3/(1+('CurrentFact-N10,20Unchanged'!C234+'CurrentFact-N10,20Unchanged'!H234)/100)+103/POWER(1+('CurrentFact-N10,20Unchanged'!D234+'CurrentFact-N10,20Unchanged'!H234)/100,2))*100</f>
        <v>9592.7551537712206</v>
      </c>
      <c r="E234">
        <f>(3/(1+('CurrentFact-N10,20Unchanged'!C234+'CurrentFact-N10,20Unchanged'!I234)/100)+103/POWER(1+('CurrentFact-N10,20Unchanged'!D234+'CurrentFact-N10,20Unchanged'!I234)/100,2))*100</f>
        <v>9581.090087865281</v>
      </c>
      <c r="F234">
        <f>Portfolio!B$5*'CurrentFact-N10,20Unchanged'!E234</f>
        <v>52143.895533915893</v>
      </c>
      <c r="G234">
        <f>Portfolio!B$6*'CurrentFact-N10,20Unchanged'!F234</f>
        <v>3696.2945087936532</v>
      </c>
      <c r="H234">
        <f>Portfolio!B$7*'CurrentFact-N10,20Unchanged'!J234</f>
        <v>2064.4550337304254</v>
      </c>
      <c r="I234">
        <f t="shared" si="6"/>
        <v>96401.043453753664</v>
      </c>
      <c r="J234">
        <f t="shared" si="7"/>
        <v>-7.4384039792785188</v>
      </c>
    </row>
    <row r="235" spans="1:10">
      <c r="A235" s="1">
        <v>45798</v>
      </c>
      <c r="B235">
        <f>(3/(1+('CurrentFact-N10,20Unchanged'!C235)/100)+103/POWER(1+('CurrentFact-N10,20Unchanged'!D235)/100,2))*100</f>
        <v>9707.5857774288397</v>
      </c>
      <c r="C235">
        <f>(3/(1+('CurrentFact-N10,20Unchanged'!C235+'CurrentFact-N10,20Unchanged'!G235)/100)+103/POWER(1+('CurrentFact-N10,20Unchanged'!D235+'CurrentFact-N10,20Unchanged'!G235)/100,2))*100</f>
        <v>9614.9673582483465</v>
      </c>
      <c r="D235">
        <f>(3/(1+('CurrentFact-N10,20Unchanged'!C235+'CurrentFact-N10,20Unchanged'!H235)/100)+103/POWER(1+('CurrentFact-N10,20Unchanged'!D235+'CurrentFact-N10,20Unchanged'!H235)/100,2))*100</f>
        <v>9614.3592258828867</v>
      </c>
      <c r="E235">
        <f>(3/(1+('CurrentFact-N10,20Unchanged'!C235+'CurrentFact-N10,20Unchanged'!I235)/100)+103/POWER(1+('CurrentFact-N10,20Unchanged'!D235+'CurrentFact-N10,20Unchanged'!I235)/100,2))*100</f>
        <v>9579.147512612697</v>
      </c>
      <c r="F235">
        <f>Portfolio!B$5*'CurrentFact-N10,20Unchanged'!E235</f>
        <v>52143.895533915893</v>
      </c>
      <c r="G235">
        <f>Portfolio!B$6*'CurrentFact-N10,20Unchanged'!F235</f>
        <v>3696.2945087936532</v>
      </c>
      <c r="H235">
        <f>Portfolio!B$7*'CurrentFact-N10,20Unchanged'!J235</f>
        <v>2064.4550337304254</v>
      </c>
      <c r="I235">
        <f t="shared" si="6"/>
        <v>96420.704950612737</v>
      </c>
      <c r="J235">
        <f t="shared" si="7"/>
        <v>8.0175571490253787</v>
      </c>
    </row>
    <row r="236" spans="1:10">
      <c r="A236" s="1">
        <v>45799</v>
      </c>
      <c r="B236">
        <f>(3/(1+('CurrentFact-N10,20Unchanged'!C236)/100)+103/POWER(1+('CurrentFact-N10,20Unchanged'!D236)/100,2))*100</f>
        <v>9707.5857774288397</v>
      </c>
      <c r="C236">
        <f>(3/(1+('CurrentFact-N10,20Unchanged'!C236+'CurrentFact-N10,20Unchanged'!G236)/100)+103/POWER(1+('CurrentFact-N10,20Unchanged'!D236+'CurrentFact-N10,20Unchanged'!G236)/100,2))*100</f>
        <v>9614.9673582483465</v>
      </c>
      <c r="D236">
        <f>(3/(1+('CurrentFact-N10,20Unchanged'!C236+'CurrentFact-N10,20Unchanged'!H236)/100)+103/POWER(1+('CurrentFact-N10,20Unchanged'!D236+'CurrentFact-N10,20Unchanged'!H236)/100,2))*100</f>
        <v>9605.9163525079039</v>
      </c>
      <c r="E236">
        <f>(3/(1+('CurrentFact-N10,20Unchanged'!C236+'CurrentFact-N10,20Unchanged'!I236)/100)+103/POWER(1+('CurrentFact-N10,20Unchanged'!D236+'CurrentFact-N10,20Unchanged'!I236)/100,2))*100</f>
        <v>9580.4976876146775</v>
      </c>
      <c r="F236">
        <f>Portfolio!B$5*'CurrentFact-N10,20Unchanged'!E236</f>
        <v>52143.895533915893</v>
      </c>
      <c r="G236">
        <f>Portfolio!B$6*'CurrentFact-N10,20Unchanged'!F236</f>
        <v>3696.2945087936532</v>
      </c>
      <c r="H236">
        <f>Portfolio!B$7*'CurrentFact-N10,20Unchanged'!J236</f>
        <v>2064.4550337304254</v>
      </c>
      <c r="I236">
        <f t="shared" si="6"/>
        <v>96413.612252239735</v>
      </c>
      <c r="J236">
        <f t="shared" si="7"/>
        <v>12.157103455348988</v>
      </c>
    </row>
    <row r="237" spans="1:10">
      <c r="A237" s="1">
        <v>45800</v>
      </c>
      <c r="B237">
        <f>(3/(1+('CurrentFact-N10,20Unchanged'!C237)/100)+103/POWER(1+('CurrentFact-N10,20Unchanged'!D237)/100,2))*100</f>
        <v>9707.5857774288397</v>
      </c>
      <c r="C237">
        <f>(3/(1+('CurrentFact-N10,20Unchanged'!C237+'CurrentFact-N10,20Unchanged'!G237)/100)+103/POWER(1+('CurrentFact-N10,20Unchanged'!D237+'CurrentFact-N10,20Unchanged'!G237)/100,2))*100</f>
        <v>9614.9673582483465</v>
      </c>
      <c r="D237">
        <f>(3/(1+('CurrentFact-N10,20Unchanged'!C237+'CurrentFact-N10,20Unchanged'!H237)/100)+103/POWER(1+('CurrentFact-N10,20Unchanged'!D237+'CurrentFact-N10,20Unchanged'!H237)/100,2))*100</f>
        <v>9608.6255415378819</v>
      </c>
      <c r="E237">
        <f>(3/(1+('CurrentFact-N10,20Unchanged'!C237+'CurrentFact-N10,20Unchanged'!I237)/100)+103/POWER(1+('CurrentFact-N10,20Unchanged'!D237+'CurrentFact-N10,20Unchanged'!I237)/100,2))*100</f>
        <v>9580.6341961793714</v>
      </c>
      <c r="F237">
        <f>Portfolio!B$5*'CurrentFact-N10,20Unchanged'!E237</f>
        <v>52143.895533915893</v>
      </c>
      <c r="G237">
        <f>Portfolio!B$6*'CurrentFact-N10,20Unchanged'!F237</f>
        <v>3696.2945087936532</v>
      </c>
      <c r="H237">
        <f>Portfolio!B$7*'CurrentFact-N10,20Unchanged'!J237</f>
        <v>2064.4550337304254</v>
      </c>
      <c r="I237">
        <f t="shared" si="6"/>
        <v>96416.45794983441</v>
      </c>
      <c r="J237">
        <f t="shared" si="7"/>
        <v>30.081171678830287</v>
      </c>
    </row>
    <row r="238" spans="1:10">
      <c r="A238" s="1">
        <v>45803</v>
      </c>
      <c r="B238">
        <f>(3/(1+('CurrentFact-N10,20Unchanged'!C238)/100)+103/POWER(1+('CurrentFact-N10,20Unchanged'!D238)/100,2))*100</f>
        <v>9707.5857774288397</v>
      </c>
      <c r="C238">
        <f>(3/(1+('CurrentFact-N10,20Unchanged'!C238+'CurrentFact-N10,20Unchanged'!G238)/100)+103/POWER(1+('CurrentFact-N10,20Unchanged'!D238+'CurrentFact-N10,20Unchanged'!G238)/100,2))*100</f>
        <v>9614.9673582483465</v>
      </c>
      <c r="D238">
        <f>(3/(1+('CurrentFact-N10,20Unchanged'!C238+'CurrentFact-N10,20Unchanged'!H238)/100)+103/POWER(1+('CurrentFact-N10,20Unchanged'!D238+'CurrentFact-N10,20Unchanged'!H238)/100,2))*100</f>
        <v>9578.2449868172571</v>
      </c>
      <c r="E238">
        <f>(3/(1+('CurrentFact-N10,20Unchanged'!C238+'CurrentFact-N10,20Unchanged'!I238)/100)+103/POWER(1+('CurrentFact-N10,20Unchanged'!D238+'CurrentFact-N10,20Unchanged'!I238)/100,2))*100</f>
        <v>9580.3464922530602</v>
      </c>
      <c r="F238">
        <f>Portfolio!B$5*'CurrentFact-N10,20Unchanged'!E238</f>
        <v>52143.895533915893</v>
      </c>
      <c r="G238">
        <f>Portfolio!B$6*'CurrentFact-N10,20Unchanged'!F238</f>
        <v>3696.2945087936532</v>
      </c>
      <c r="H238">
        <f>Portfolio!B$7*'CurrentFact-N10,20Unchanged'!J238</f>
        <v>2064.4550337304254</v>
      </c>
      <c r="I238">
        <f t="shared" si="6"/>
        <v>96385.78969118747</v>
      </c>
      <c r="J238">
        <f t="shared" si="7"/>
        <v>-0.66674704349134117</v>
      </c>
    </row>
    <row r="239" spans="1:10">
      <c r="A239" s="1">
        <v>45804</v>
      </c>
      <c r="B239">
        <f>(3/(1+('CurrentFact-N10,20Unchanged'!C239)/100)+103/POWER(1+('CurrentFact-N10,20Unchanged'!D239)/100,2))*100</f>
        <v>9707.5857774288397</v>
      </c>
      <c r="C239">
        <f>(3/(1+('CurrentFact-N10,20Unchanged'!C239+'CurrentFact-N10,20Unchanged'!G239)/100)+103/POWER(1+('CurrentFact-N10,20Unchanged'!D239+'CurrentFact-N10,20Unchanged'!G239)/100,2))*100</f>
        <v>9614.9673582483465</v>
      </c>
      <c r="D239">
        <f>(3/(1+('CurrentFact-N10,20Unchanged'!C239+'CurrentFact-N10,20Unchanged'!H239)/100)+103/POWER(1+('CurrentFact-N10,20Unchanged'!D239+'CurrentFact-N10,20Unchanged'!H239)/100,2))*100</f>
        <v>9593.2656739560534</v>
      </c>
      <c r="E239">
        <f>(3/(1+('CurrentFact-N10,20Unchanged'!C239+'CurrentFact-N10,20Unchanged'!I239)/100)+103/POWER(1+('CurrentFact-N10,20Unchanged'!D239+'CurrentFact-N10,20Unchanged'!I239)/100,2))*100</f>
        <v>9578.4733380283378</v>
      </c>
      <c r="F239">
        <f>Portfolio!B$5*'CurrentFact-N10,20Unchanged'!E239</f>
        <v>52143.895533915893</v>
      </c>
      <c r="G239">
        <f>Portfolio!B$6*'CurrentFact-N10,20Unchanged'!F239</f>
        <v>3696.2945087936532</v>
      </c>
      <c r="H239">
        <f>Portfolio!B$7*'CurrentFact-N10,20Unchanged'!J239</f>
        <v>2064.4550337304254</v>
      </c>
      <c r="I239">
        <f t="shared" si="6"/>
        <v>96398.937224101537</v>
      </c>
      <c r="J239">
        <f t="shared" si="7"/>
        <v>-15.203539687703596</v>
      </c>
    </row>
    <row r="240" spans="1:10">
      <c r="A240" s="1">
        <v>45805</v>
      </c>
      <c r="B240">
        <f>(3/(1+('CurrentFact-N10,20Unchanged'!C240)/100)+103/POWER(1+('CurrentFact-N10,20Unchanged'!D240)/100,2))*100</f>
        <v>9707.5857774288397</v>
      </c>
      <c r="C240">
        <f>(3/(1+('CurrentFact-N10,20Unchanged'!C240+'CurrentFact-N10,20Unchanged'!G240)/100)+103/POWER(1+('CurrentFact-N10,20Unchanged'!D240+'CurrentFact-N10,20Unchanged'!G240)/100,2))*100</f>
        <v>9614.9673582483465</v>
      </c>
      <c r="D240">
        <f>(3/(1+('CurrentFact-N10,20Unchanged'!C240+'CurrentFact-N10,20Unchanged'!H240)/100)+103/POWER(1+('CurrentFact-N10,20Unchanged'!D240+'CurrentFact-N10,20Unchanged'!H240)/100,2))*100</f>
        <v>9595.2920546977894</v>
      </c>
      <c r="E240">
        <f>(3/(1+('CurrentFact-N10,20Unchanged'!C240+'CurrentFact-N10,20Unchanged'!I240)/100)+103/POWER(1+('CurrentFact-N10,20Unchanged'!D240+'CurrentFact-N10,20Unchanged'!I240)/100,2))*100</f>
        <v>9580.0821636801211</v>
      </c>
      <c r="F240">
        <f>Portfolio!B$5*'CurrentFact-N10,20Unchanged'!E240</f>
        <v>52143.895533915893</v>
      </c>
      <c r="G240">
        <f>Portfolio!B$6*'CurrentFact-N10,20Unchanged'!F240</f>
        <v>3696.2945087936532</v>
      </c>
      <c r="H240">
        <f>Portfolio!B$7*'CurrentFact-N10,20Unchanged'!J240</f>
        <v>2064.4550337304254</v>
      </c>
      <c r="I240">
        <f t="shared" si="6"/>
        <v>96402.572430495056</v>
      </c>
      <c r="J240">
        <f t="shared" si="7"/>
        <v>-10.751528069144115</v>
      </c>
    </row>
    <row r="241" spans="1:10">
      <c r="A241" s="1">
        <v>45806</v>
      </c>
      <c r="B241">
        <f>(3/(1+('CurrentFact-N10,20Unchanged'!C241)/100)+103/POWER(1+('CurrentFact-N10,20Unchanged'!D241)/100,2))*100</f>
        <v>9707.5857774288397</v>
      </c>
      <c r="C241">
        <f>(3/(1+('CurrentFact-N10,20Unchanged'!C241+'CurrentFact-N10,20Unchanged'!G241)/100)+103/POWER(1+('CurrentFact-N10,20Unchanged'!D241+'CurrentFact-N10,20Unchanged'!G241)/100,2))*100</f>
        <v>9614.9673582483465</v>
      </c>
      <c r="D241">
        <f>(3/(1+('CurrentFact-N10,20Unchanged'!C241+'CurrentFact-N10,20Unchanged'!H241)/100)+103/POWER(1+('CurrentFact-N10,20Unchanged'!D241+'CurrentFact-N10,20Unchanged'!H241)/100,2))*100</f>
        <v>9607.5250496986118</v>
      </c>
      <c r="E241">
        <f>(3/(1+('CurrentFact-N10,20Unchanged'!C241+'CurrentFact-N10,20Unchanged'!I241)/100)+103/POWER(1+('CurrentFact-N10,20Unchanged'!D241+'CurrentFact-N10,20Unchanged'!I241)/100,2))*100</f>
        <v>9578.6026130307127</v>
      </c>
      <c r="F241">
        <f>Portfolio!B$5*'CurrentFact-N10,20Unchanged'!E241</f>
        <v>52143.895533915893</v>
      </c>
      <c r="G241">
        <f>Portfolio!B$6*'CurrentFact-N10,20Unchanged'!F241</f>
        <v>3696.2945087936532</v>
      </c>
      <c r="H241">
        <f>Portfolio!B$7*'CurrentFact-N10,20Unchanged'!J241</f>
        <v>2064.4550337304254</v>
      </c>
      <c r="I241">
        <f t="shared" si="6"/>
        <v>96413.325874846487</v>
      </c>
      <c r="J241">
        <f t="shared" si="7"/>
        <v>0.61488582516903989</v>
      </c>
    </row>
    <row r="242" spans="1:10">
      <c r="A242" s="1">
        <v>45807</v>
      </c>
      <c r="B242">
        <f>(3/(1+('CurrentFact-N10,20Unchanged'!C242)/100)+103/POWER(1+('CurrentFact-N10,20Unchanged'!D242)/100,2))*100</f>
        <v>9707.5857774288397</v>
      </c>
      <c r="C242">
        <f>(3/(1+('CurrentFact-N10,20Unchanged'!C242+'CurrentFact-N10,20Unchanged'!G242)/100)+103/POWER(1+('CurrentFact-N10,20Unchanged'!D242+'CurrentFact-N10,20Unchanged'!G242)/100,2))*100</f>
        <v>9614.9673582483465</v>
      </c>
      <c r="D242">
        <f>(3/(1+('CurrentFact-N10,20Unchanged'!C242+'CurrentFact-N10,20Unchanged'!H242)/100)+103/POWER(1+('CurrentFact-N10,20Unchanged'!D242+'CurrentFact-N10,20Unchanged'!H242)/100,2))*100</f>
        <v>9597.1837849055282</v>
      </c>
      <c r="E242">
        <f>(3/(1+('CurrentFact-N10,20Unchanged'!C242+'CurrentFact-N10,20Unchanged'!I242)/100)+103/POWER(1+('CurrentFact-N10,20Unchanged'!D242+'CurrentFact-N10,20Unchanged'!I242)/100,2))*100</f>
        <v>9582.1736022824825</v>
      </c>
      <c r="F242">
        <f>Portfolio!B$5*'CurrentFact-N10,20Unchanged'!E242</f>
        <v>52143.895533915893</v>
      </c>
      <c r="G242">
        <f>Portfolio!B$6*'CurrentFact-N10,20Unchanged'!F242</f>
        <v>3696.2945087936532</v>
      </c>
      <c r="H242">
        <f>Portfolio!B$7*'CurrentFact-N10,20Unchanged'!J242</f>
        <v>2064.4550337304254</v>
      </c>
      <c r="I242">
        <f t="shared" si="6"/>
        <v>96406.555599305168</v>
      </c>
      <c r="J242">
        <f t="shared" si="7"/>
        <v>-6.2694543796824291</v>
      </c>
    </row>
    <row r="243" spans="1:10">
      <c r="A243" s="1">
        <v>45810</v>
      </c>
      <c r="B243">
        <f>(3/(1+('CurrentFact-N10,20Unchanged'!C243)/100)+103/POWER(1+('CurrentFact-N10,20Unchanged'!D243)/100,2))*100</f>
        <v>9707.5857774288397</v>
      </c>
      <c r="C243">
        <f>(3/(1+('CurrentFact-N10,20Unchanged'!C243+'CurrentFact-N10,20Unchanged'!G243)/100)+103/POWER(1+('CurrentFact-N10,20Unchanged'!D243+'CurrentFact-N10,20Unchanged'!G243)/100,2))*100</f>
        <v>9614.9673582483465</v>
      </c>
      <c r="D243">
        <f>(3/(1+('CurrentFact-N10,20Unchanged'!C243+'CurrentFact-N10,20Unchanged'!H243)/100)+103/POWER(1+('CurrentFact-N10,20Unchanged'!D243+'CurrentFact-N10,20Unchanged'!H243)/100,2))*100</f>
        <v>9572.7564993013239</v>
      </c>
      <c r="E243">
        <f>(3/(1+('CurrentFact-N10,20Unchanged'!C243+'CurrentFact-N10,20Unchanged'!I243)/100)+103/POWER(1+('CurrentFact-N10,20Unchanged'!D243+'CurrentFact-N10,20Unchanged'!I243)/100,2))*100</f>
        <v>9581.3238986982269</v>
      </c>
      <c r="F243">
        <f>Portfolio!B$5*'CurrentFact-N10,20Unchanged'!E243</f>
        <v>52143.895533915893</v>
      </c>
      <c r="G243">
        <f>Portfolio!B$6*'CurrentFact-N10,20Unchanged'!F243</f>
        <v>3696.2945087936532</v>
      </c>
      <c r="H243">
        <f>Portfolio!B$7*'CurrentFact-N10,20Unchanged'!J243</f>
        <v>2064.4550337304254</v>
      </c>
      <c r="I243">
        <f t="shared" si="6"/>
        <v>96381.278610116715</v>
      </c>
      <c r="J243">
        <f t="shared" si="7"/>
        <v>-17.823482991574565</v>
      </c>
    </row>
    <row r="244" spans="1:10">
      <c r="A244" s="1">
        <v>45811</v>
      </c>
      <c r="B244">
        <f>(3/(1+('CurrentFact-N10,20Unchanged'!C244)/100)+103/POWER(1+('CurrentFact-N10,20Unchanged'!D244)/100,2))*100</f>
        <v>9707.5857774288397</v>
      </c>
      <c r="C244">
        <f>(3/(1+('CurrentFact-N10,20Unchanged'!C244+'CurrentFact-N10,20Unchanged'!G244)/100)+103/POWER(1+('CurrentFact-N10,20Unchanged'!D244+'CurrentFact-N10,20Unchanged'!G244)/100,2))*100</f>
        <v>9614.9673582483465</v>
      </c>
      <c r="D244">
        <f>(3/(1+('CurrentFact-N10,20Unchanged'!C244+'CurrentFact-N10,20Unchanged'!H244)/100)+103/POWER(1+('CurrentFact-N10,20Unchanged'!D244+'CurrentFact-N10,20Unchanged'!H244)/100,2))*100</f>
        <v>9593.0813615029529</v>
      </c>
      <c r="E244">
        <f>(3/(1+('CurrentFact-N10,20Unchanged'!C244+'CurrentFact-N10,20Unchanged'!I244)/100)+103/POWER(1+('CurrentFact-N10,20Unchanged'!D244+'CurrentFact-N10,20Unchanged'!I244)/100,2))*100</f>
        <v>9582.0486269684279</v>
      </c>
      <c r="F244">
        <f>Portfolio!B$5*'CurrentFact-N10,20Unchanged'!E244</f>
        <v>52143.895533915893</v>
      </c>
      <c r="G244">
        <f>Portfolio!B$6*'CurrentFact-N10,20Unchanged'!F244</f>
        <v>3696.2945087936532</v>
      </c>
      <c r="H244">
        <f>Portfolio!B$7*'CurrentFact-N10,20Unchanged'!J244</f>
        <v>2064.4550337304254</v>
      </c>
      <c r="I244">
        <f t="shared" si="6"/>
        <v>96402.328200588527</v>
      </c>
      <c r="J244">
        <f t="shared" si="7"/>
        <v>1.2847468348627444</v>
      </c>
    </row>
    <row r="245" spans="1:10">
      <c r="A245" s="1">
        <v>45812</v>
      </c>
      <c r="B245">
        <f>(3/(1+('CurrentFact-N10,20Unchanged'!C245)/100)+103/POWER(1+('CurrentFact-N10,20Unchanged'!D245)/100,2))*100</f>
        <v>9707.5857774288397</v>
      </c>
      <c r="C245">
        <f>(3/(1+('CurrentFact-N10,20Unchanged'!C245+'CurrentFact-N10,20Unchanged'!G245)/100)+103/POWER(1+('CurrentFact-N10,20Unchanged'!D245+'CurrentFact-N10,20Unchanged'!G245)/100,2))*100</f>
        <v>9614.9673582483465</v>
      </c>
      <c r="D245">
        <f>(3/(1+('CurrentFact-N10,20Unchanged'!C245+'CurrentFact-N10,20Unchanged'!H245)/100)+103/POWER(1+('CurrentFact-N10,20Unchanged'!D245+'CurrentFact-N10,20Unchanged'!H245)/100,2))*100</f>
        <v>9597.8939726600911</v>
      </c>
      <c r="E245">
        <f>(3/(1+('CurrentFact-N10,20Unchanged'!C245+'CurrentFact-N10,20Unchanged'!I245)/100)+103/POWER(1+('CurrentFact-N10,20Unchanged'!D245+'CurrentFact-N10,20Unchanged'!I245)/100,2))*100</f>
        <v>9578.7316904421295</v>
      </c>
      <c r="F245">
        <f>Portfolio!B$5*'CurrentFact-N10,20Unchanged'!E245</f>
        <v>52143.895533915893</v>
      </c>
      <c r="G245">
        <f>Portfolio!B$6*'CurrentFact-N10,20Unchanged'!F245</f>
        <v>3696.2945087936532</v>
      </c>
      <c r="H245">
        <f>Portfolio!B$7*'CurrentFact-N10,20Unchanged'!J245</f>
        <v>2064.4550337304254</v>
      </c>
      <c r="I245">
        <f t="shared" si="6"/>
        <v>96403.823875219387</v>
      </c>
      <c r="J245">
        <f t="shared" si="7"/>
        <v>-16.881075393350329</v>
      </c>
    </row>
    <row r="246" spans="1:10">
      <c r="A246" s="1">
        <v>45813</v>
      </c>
      <c r="B246">
        <f>(3/(1+('CurrentFact-N10,20Unchanged'!C246)/100)+103/POWER(1+('CurrentFact-N10,20Unchanged'!D246)/100,2))*100</f>
        <v>9707.5857774288397</v>
      </c>
      <c r="C246">
        <f>(3/(1+('CurrentFact-N10,20Unchanged'!C246+'CurrentFact-N10,20Unchanged'!G246)/100)+103/POWER(1+('CurrentFact-N10,20Unchanged'!D246+'CurrentFact-N10,20Unchanged'!G246)/100,2))*100</f>
        <v>9614.9673582483465</v>
      </c>
      <c r="D246">
        <f>(3/(1+('CurrentFact-N10,20Unchanged'!C246+'CurrentFact-N10,20Unchanged'!H246)/100)+103/POWER(1+('CurrentFact-N10,20Unchanged'!D246+'CurrentFact-N10,20Unchanged'!H246)/100,2))*100</f>
        <v>9593.3096901691606</v>
      </c>
      <c r="E246">
        <f>(3/(1+('CurrentFact-N10,20Unchanged'!C246+'CurrentFact-N10,20Unchanged'!I246)/100)+103/POWER(1+('CurrentFact-N10,20Unchanged'!D246+'CurrentFact-N10,20Unchanged'!I246)/100,2))*100</f>
        <v>9580.5509122102358</v>
      </c>
      <c r="F246">
        <f>Portfolio!B$5*'CurrentFact-N10,20Unchanged'!E246</f>
        <v>52143.895533915893</v>
      </c>
      <c r="G246">
        <f>Portfolio!B$6*'CurrentFact-N10,20Unchanged'!F246</f>
        <v>3696.2945087936532</v>
      </c>
      <c r="H246">
        <f>Portfolio!B$7*'CurrentFact-N10,20Unchanged'!J246</f>
        <v>2064.4550337304254</v>
      </c>
      <c r="I246">
        <f t="shared" si="6"/>
        <v>96401.058814496559</v>
      </c>
      <c r="J246">
        <f t="shared" si="7"/>
        <v>-12.553437743175891</v>
      </c>
    </row>
    <row r="247" spans="1:10">
      <c r="A247" s="1">
        <v>45814</v>
      </c>
      <c r="B247">
        <f>(3/(1+('CurrentFact-N10,20Unchanged'!C247)/100)+103/POWER(1+('CurrentFact-N10,20Unchanged'!D247)/100,2))*100</f>
        <v>9707.5857774288397</v>
      </c>
      <c r="C247">
        <f>(3/(1+('CurrentFact-N10,20Unchanged'!C247+'CurrentFact-N10,20Unchanged'!G247)/100)+103/POWER(1+('CurrentFact-N10,20Unchanged'!D247+'CurrentFact-N10,20Unchanged'!G247)/100,2))*100</f>
        <v>9614.9673582483465</v>
      </c>
      <c r="D247">
        <f>(3/(1+('CurrentFact-N10,20Unchanged'!C247+'CurrentFact-N10,20Unchanged'!H247)/100)+103/POWER(1+('CurrentFact-N10,20Unchanged'!D247+'CurrentFact-N10,20Unchanged'!H247)/100,2))*100</f>
        <v>9610.7434309632899</v>
      </c>
      <c r="E247">
        <f>(3/(1+('CurrentFact-N10,20Unchanged'!C247+'CurrentFact-N10,20Unchanged'!I247)/100)+103/POWER(1+('CurrentFact-N10,20Unchanged'!D247+'CurrentFact-N10,20Unchanged'!I247)/100,2))*100</f>
        <v>9580.5703435403866</v>
      </c>
      <c r="F247">
        <f>Portfolio!B$5*'CurrentFact-N10,20Unchanged'!E247</f>
        <v>52143.895533915893</v>
      </c>
      <c r="G247">
        <f>Portfolio!B$6*'CurrentFact-N10,20Unchanged'!F247</f>
        <v>3696.2945087936532</v>
      </c>
      <c r="H247">
        <f>Portfolio!B$7*'CurrentFact-N10,20Unchanged'!J247</f>
        <v>2064.4550337304254</v>
      </c>
      <c r="I247">
        <f t="shared" si="6"/>
        <v>96418.511986620841</v>
      </c>
      <c r="J247">
        <f t="shared" si="7"/>
        <v>2.0540367864305153</v>
      </c>
    </row>
    <row r="248" spans="1:10">
      <c r="A248" s="1">
        <v>45817</v>
      </c>
      <c r="B248">
        <f>(3/(1+('CurrentFact-N10,20Unchanged'!C248)/100)+103/POWER(1+('CurrentFact-N10,20Unchanged'!D248)/100,2))*100</f>
        <v>9707.5857774288397</v>
      </c>
      <c r="C248">
        <f>(3/(1+('CurrentFact-N10,20Unchanged'!C248+'CurrentFact-N10,20Unchanged'!G248)/100)+103/POWER(1+('CurrentFact-N10,20Unchanged'!D248+'CurrentFact-N10,20Unchanged'!G248)/100,2))*100</f>
        <v>9614.9673582483465</v>
      </c>
      <c r="D248">
        <f>(3/(1+('CurrentFact-N10,20Unchanged'!C248+'CurrentFact-N10,20Unchanged'!H248)/100)+103/POWER(1+('CurrentFact-N10,20Unchanged'!D248+'CurrentFact-N10,20Unchanged'!H248)/100,2))*100</f>
        <v>9598.225577826046</v>
      </c>
      <c r="E248">
        <f>(3/(1+('CurrentFact-N10,20Unchanged'!C248+'CurrentFact-N10,20Unchanged'!I248)/100)+103/POWER(1+('CurrentFact-N10,20Unchanged'!D248+'CurrentFact-N10,20Unchanged'!I248)/100,2))*100</f>
        <v>9578.8212801099562</v>
      </c>
      <c r="F248">
        <f>Portfolio!B$5*'CurrentFact-N10,20Unchanged'!E248</f>
        <v>52143.895533915893</v>
      </c>
      <c r="G248">
        <f>Portfolio!B$6*'CurrentFact-N10,20Unchanged'!F248</f>
        <v>3696.2945087936532</v>
      </c>
      <c r="H248">
        <f>Portfolio!B$7*'CurrentFact-N10,20Unchanged'!J248</f>
        <v>2064.4550337304254</v>
      </c>
      <c r="I248">
        <f t="shared" si="6"/>
        <v>96404.245070053163</v>
      </c>
      <c r="J248">
        <f t="shared" si="7"/>
        <v>18.455378865692182</v>
      </c>
    </row>
    <row r="249" spans="1:10">
      <c r="A249" s="1">
        <v>45818</v>
      </c>
      <c r="B249">
        <f>(3/(1+('CurrentFact-N10,20Unchanged'!C249)/100)+103/POWER(1+('CurrentFact-N10,20Unchanged'!D249)/100,2))*100</f>
        <v>9707.5857774288397</v>
      </c>
      <c r="C249">
        <f>(3/(1+('CurrentFact-N10,20Unchanged'!C249+'CurrentFact-N10,20Unchanged'!G249)/100)+103/POWER(1+('CurrentFact-N10,20Unchanged'!D249+'CurrentFact-N10,20Unchanged'!G249)/100,2))*100</f>
        <v>9614.9673582483465</v>
      </c>
      <c r="D249">
        <f>(3/(1+('CurrentFact-N10,20Unchanged'!C249+'CurrentFact-N10,20Unchanged'!H249)/100)+103/POWER(1+('CurrentFact-N10,20Unchanged'!D249+'CurrentFact-N10,20Unchanged'!H249)/100,2))*100</f>
        <v>9594.2397413920589</v>
      </c>
      <c r="E249">
        <f>(3/(1+('CurrentFact-N10,20Unchanged'!C249+'CurrentFact-N10,20Unchanged'!I249)/100)+103/POWER(1+('CurrentFact-N10,20Unchanged'!D249+'CurrentFact-N10,20Unchanged'!I249)/100,2))*100</f>
        <v>9580.40174148802</v>
      </c>
      <c r="F249">
        <f>Portfolio!B$5*'CurrentFact-N10,20Unchanged'!E249</f>
        <v>52143.895533915893</v>
      </c>
      <c r="G249">
        <f>Portfolio!B$6*'CurrentFact-N10,20Unchanged'!F249</f>
        <v>3696.2945087936532</v>
      </c>
      <c r="H249">
        <f>Portfolio!B$7*'CurrentFact-N10,20Unchanged'!J249</f>
        <v>2064.4550337304254</v>
      </c>
      <c r="I249">
        <f t="shared" si="6"/>
        <v>96401.839694997238</v>
      </c>
      <c r="J249">
        <f t="shared" si="7"/>
        <v>2.9024708957003895</v>
      </c>
    </row>
    <row r="250" spans="1:10">
      <c r="A250" s="1">
        <v>45819</v>
      </c>
      <c r="B250">
        <f>(3/(1+('CurrentFact-N10,20Unchanged'!C250)/100)+103/POWER(1+('CurrentFact-N10,20Unchanged'!D250)/100,2))*100</f>
        <v>9707.5857774288397</v>
      </c>
      <c r="C250">
        <f>(3/(1+('CurrentFact-N10,20Unchanged'!C250+'CurrentFact-N10,20Unchanged'!G250)/100)+103/POWER(1+('CurrentFact-N10,20Unchanged'!D250+'CurrentFact-N10,20Unchanged'!G250)/100,2))*100</f>
        <v>9614.9673582483465</v>
      </c>
      <c r="D250">
        <f>(3/(1+('CurrentFact-N10,20Unchanged'!C250+'CurrentFact-N10,20Unchanged'!H250)/100)+103/POWER(1+('CurrentFact-N10,20Unchanged'!D250+'CurrentFact-N10,20Unchanged'!H250)/100,2))*100</f>
        <v>9600.7061204328566</v>
      </c>
      <c r="E250">
        <f>(3/(1+('CurrentFact-N10,20Unchanged'!C250+'CurrentFact-N10,20Unchanged'!I250)/100)+103/POWER(1+('CurrentFact-N10,20Unchanged'!D250+'CurrentFact-N10,20Unchanged'!I250)/100,2))*100</f>
        <v>9582.3838735593145</v>
      </c>
      <c r="F250">
        <f>Portfolio!B$5*'CurrentFact-N10,20Unchanged'!E250</f>
        <v>52143.895533915893</v>
      </c>
      <c r="G250">
        <f>Portfolio!B$6*'CurrentFact-N10,20Unchanged'!F250</f>
        <v>3696.2945087936532</v>
      </c>
      <c r="H250">
        <f>Portfolio!B$7*'CurrentFact-N10,20Unchanged'!J250</f>
        <v>2064.4550337304254</v>
      </c>
      <c r="I250">
        <f t="shared" si="6"/>
        <v>96410.288206109326</v>
      </c>
      <c r="J250">
        <f t="shared" si="7"/>
        <v>7.7157756142696599</v>
      </c>
    </row>
    <row r="251" spans="1:10">
      <c r="A251" s="1">
        <v>45820</v>
      </c>
      <c r="B251">
        <f>(3/(1+('CurrentFact-N10,20Unchanged'!C251)/100)+103/POWER(1+('CurrentFact-N10,20Unchanged'!D251)/100,2))*100</f>
        <v>9707.5857774288397</v>
      </c>
      <c r="C251">
        <f>(3/(1+('CurrentFact-N10,20Unchanged'!C251+'CurrentFact-N10,20Unchanged'!G251)/100)+103/POWER(1+('CurrentFact-N10,20Unchanged'!D251+'CurrentFact-N10,20Unchanged'!G251)/100,2))*100</f>
        <v>9614.9673582483465</v>
      </c>
      <c r="D251">
        <f>(3/(1+('CurrentFact-N10,20Unchanged'!C251+'CurrentFact-N10,20Unchanged'!H251)/100)+103/POWER(1+('CurrentFact-N10,20Unchanged'!D251+'CurrentFact-N10,20Unchanged'!H251)/100,2))*100</f>
        <v>9595.4375715804908</v>
      </c>
      <c r="E251">
        <f>(3/(1+('CurrentFact-N10,20Unchanged'!C251+'CurrentFact-N10,20Unchanged'!I251)/100)+103/POWER(1+('CurrentFact-N10,20Unchanged'!D251+'CurrentFact-N10,20Unchanged'!I251)/100,2))*100</f>
        <v>9578.8778233571502</v>
      </c>
      <c r="F251">
        <f>Portfolio!B$5*'CurrentFact-N10,20Unchanged'!E251</f>
        <v>52143.895533915893</v>
      </c>
      <c r="G251">
        <f>Portfolio!B$6*'CurrentFact-N10,20Unchanged'!F251</f>
        <v>3696.2945087936532</v>
      </c>
      <c r="H251">
        <f>Portfolio!B$7*'CurrentFact-N10,20Unchanged'!J251</f>
        <v>2064.4550337304254</v>
      </c>
      <c r="I251">
        <f t="shared" si="6"/>
        <v>96401.513607054803</v>
      </c>
      <c r="J251">
        <f t="shared" si="7"/>
        <v>-11.812267791683553</v>
      </c>
    </row>
    <row r="252" spans="1:10">
      <c r="A252" s="1">
        <v>45821</v>
      </c>
      <c r="B252">
        <f>(3/(1+('CurrentFact-N10,20Unchanged'!C252)/100)+103/POWER(1+('CurrentFact-N10,20Unchanged'!D252)/100,2))*100</f>
        <v>9707.5857774288397</v>
      </c>
      <c r="C252">
        <f>(3/(1+('CurrentFact-N10,20Unchanged'!C252+'CurrentFact-N10,20Unchanged'!G252)/100)+103/POWER(1+('CurrentFact-N10,20Unchanged'!D252+'CurrentFact-N10,20Unchanged'!G252)/100,2))*100</f>
        <v>9614.9673582483465</v>
      </c>
      <c r="D252">
        <f>(3/(1+('CurrentFact-N10,20Unchanged'!C252+'CurrentFact-N10,20Unchanged'!H252)/100)+103/POWER(1+('CurrentFact-N10,20Unchanged'!D252+'CurrentFact-N10,20Unchanged'!H252)/100,2))*100</f>
        <v>9592.9537116926895</v>
      </c>
      <c r="E252">
        <f>(3/(1+('CurrentFact-N10,20Unchanged'!C252+'CurrentFact-N10,20Unchanged'!I252)/100)+103/POWER(1+('CurrentFact-N10,20Unchanged'!D252+'CurrentFact-N10,20Unchanged'!I252)/100,2))*100</f>
        <v>9580.31831520378</v>
      </c>
      <c r="F252">
        <f>Portfolio!B$5*'CurrentFact-N10,20Unchanged'!E252</f>
        <v>52143.895533915893</v>
      </c>
      <c r="G252">
        <f>Portfolio!B$6*'CurrentFact-N10,20Unchanged'!F252</f>
        <v>3696.2945087936532</v>
      </c>
      <c r="H252">
        <f>Portfolio!B$7*'CurrentFact-N10,20Unchanged'!J252</f>
        <v>2064.4550337304254</v>
      </c>
      <c r="I252">
        <f t="shared" ref="I252:I263" si="8">SUM(B252:H252)</f>
        <v>96400.470239013637</v>
      </c>
      <c r="J252">
        <f t="shared" ref="J252:J263" si="9">I252-I242</f>
        <v>-6.0853602915303782</v>
      </c>
    </row>
    <row r="253" spans="1:10">
      <c r="A253" s="1">
        <v>45824</v>
      </c>
      <c r="B253">
        <f>(3/(1+('CurrentFact-N10,20Unchanged'!C253)/100)+103/POWER(1+('CurrentFact-N10,20Unchanged'!D253)/100,2))*100</f>
        <v>9707.5857774288397</v>
      </c>
      <c r="C253">
        <f>(3/(1+('CurrentFact-N10,20Unchanged'!C253+'CurrentFact-N10,20Unchanged'!G253)/100)+103/POWER(1+('CurrentFact-N10,20Unchanged'!D253+'CurrentFact-N10,20Unchanged'!G253)/100,2))*100</f>
        <v>9614.9673582483465</v>
      </c>
      <c r="D253">
        <f>(3/(1+('CurrentFact-N10,20Unchanged'!C253+'CurrentFact-N10,20Unchanged'!H253)/100)+103/POWER(1+('CurrentFact-N10,20Unchanged'!D253+'CurrentFact-N10,20Unchanged'!H253)/100,2))*100</f>
        <v>9589.1775051307741</v>
      </c>
      <c r="E253">
        <f>(3/(1+('CurrentFact-N10,20Unchanged'!C253+'CurrentFact-N10,20Unchanged'!I253)/100)+103/POWER(1+('CurrentFact-N10,20Unchanged'!D253+'CurrentFact-N10,20Unchanged'!I253)/100,2))*100</f>
        <v>9580.1762428978691</v>
      </c>
      <c r="F253">
        <f>Portfolio!B$5*'CurrentFact-N10,20Unchanged'!E253</f>
        <v>52143.895533915893</v>
      </c>
      <c r="G253">
        <f>Portfolio!B$6*'CurrentFact-N10,20Unchanged'!F253</f>
        <v>3696.2945087936532</v>
      </c>
      <c r="H253">
        <f>Portfolio!B$7*'CurrentFact-N10,20Unchanged'!J253</f>
        <v>2064.4550337304254</v>
      </c>
      <c r="I253">
        <f t="shared" si="8"/>
        <v>96396.551960145793</v>
      </c>
      <c r="J253">
        <f t="shared" si="9"/>
        <v>15.273350029077847</v>
      </c>
    </row>
    <row r="254" spans="1:10">
      <c r="A254" s="1">
        <v>45825</v>
      </c>
      <c r="B254">
        <f>(3/(1+('CurrentFact-N10,20Unchanged'!C254)/100)+103/POWER(1+('CurrentFact-N10,20Unchanged'!D254)/100,2))*100</f>
        <v>9707.5857774288397</v>
      </c>
      <c r="C254">
        <f>(3/(1+('CurrentFact-N10,20Unchanged'!C254+'CurrentFact-N10,20Unchanged'!G254)/100)+103/POWER(1+('CurrentFact-N10,20Unchanged'!D254+'CurrentFact-N10,20Unchanged'!G254)/100,2))*100</f>
        <v>9614.9673582483465</v>
      </c>
      <c r="D254">
        <f>(3/(1+('CurrentFact-N10,20Unchanged'!C254+'CurrentFact-N10,20Unchanged'!H254)/100)+103/POWER(1+('CurrentFact-N10,20Unchanged'!D254+'CurrentFact-N10,20Unchanged'!H254)/100,2))*100</f>
        <v>9599.9720638752624</v>
      </c>
      <c r="E254">
        <f>(3/(1+('CurrentFact-N10,20Unchanged'!C254+'CurrentFact-N10,20Unchanged'!I254)/100)+103/POWER(1+('CurrentFact-N10,20Unchanged'!D254+'CurrentFact-N10,20Unchanged'!I254)/100,2))*100</f>
        <v>9582.7185105677108</v>
      </c>
      <c r="F254">
        <f>Portfolio!B$5*'CurrentFact-N10,20Unchanged'!E254</f>
        <v>52143.895533915893</v>
      </c>
      <c r="G254">
        <f>Portfolio!B$6*'CurrentFact-N10,20Unchanged'!F254</f>
        <v>3696.2945087936532</v>
      </c>
      <c r="H254">
        <f>Portfolio!B$7*'CurrentFact-N10,20Unchanged'!J254</f>
        <v>2064.4550337304254</v>
      </c>
      <c r="I254">
        <f t="shared" si="8"/>
        <v>96409.888786560128</v>
      </c>
      <c r="J254">
        <f t="shared" si="9"/>
        <v>7.5605859716015402</v>
      </c>
    </row>
    <row r="255" spans="1:10">
      <c r="A255" s="1">
        <v>45826</v>
      </c>
      <c r="B255">
        <f>(3/(1+('CurrentFact-N10,20Unchanged'!C255)/100)+103/POWER(1+('CurrentFact-N10,20Unchanged'!D255)/100,2))*100</f>
        <v>9707.5857774288397</v>
      </c>
      <c r="C255">
        <f>(3/(1+('CurrentFact-N10,20Unchanged'!C255+'CurrentFact-N10,20Unchanged'!G255)/100)+103/POWER(1+('CurrentFact-N10,20Unchanged'!D255+'CurrentFact-N10,20Unchanged'!G255)/100,2))*100</f>
        <v>9614.9673582483465</v>
      </c>
      <c r="D255">
        <f>(3/(1+('CurrentFact-N10,20Unchanged'!C255+'CurrentFact-N10,20Unchanged'!H255)/100)+103/POWER(1+('CurrentFact-N10,20Unchanged'!D255+'CurrentFact-N10,20Unchanged'!H255)/100,2))*100</f>
        <v>9616.0143118851229</v>
      </c>
      <c r="E255">
        <f>(3/(1+('CurrentFact-N10,20Unchanged'!C255+'CurrentFact-N10,20Unchanged'!I255)/100)+103/POWER(1+('CurrentFact-N10,20Unchanged'!D255+'CurrentFact-N10,20Unchanged'!I255)/100,2))*100</f>
        <v>9579.010759048615</v>
      </c>
      <c r="F255">
        <f>Portfolio!B$5*'CurrentFact-N10,20Unchanged'!E255</f>
        <v>52143.895533915893</v>
      </c>
      <c r="G255">
        <f>Portfolio!B$6*'CurrentFact-N10,20Unchanged'!F255</f>
        <v>3696.2945087936532</v>
      </c>
      <c r="H255">
        <f>Portfolio!B$7*'CurrentFact-N10,20Unchanged'!J255</f>
        <v>2064.4550337304254</v>
      </c>
      <c r="I255">
        <f t="shared" si="8"/>
        <v>96422.223283050902</v>
      </c>
      <c r="J255">
        <f t="shared" si="9"/>
        <v>18.399407831515418</v>
      </c>
    </row>
    <row r="256" spans="1:10">
      <c r="A256" s="1">
        <v>45827</v>
      </c>
      <c r="B256">
        <f>(3/(1+('CurrentFact-N10,20Unchanged'!C256)/100)+103/POWER(1+('CurrentFact-N10,20Unchanged'!D256)/100,2))*100</f>
        <v>9707.5857774288397</v>
      </c>
      <c r="C256">
        <f>(3/(1+('CurrentFact-N10,20Unchanged'!C256+'CurrentFact-N10,20Unchanged'!G256)/100)+103/POWER(1+('CurrentFact-N10,20Unchanged'!D256+'CurrentFact-N10,20Unchanged'!G256)/100,2))*100</f>
        <v>9614.9673582483465</v>
      </c>
      <c r="D256">
        <f>(3/(1+('CurrentFact-N10,20Unchanged'!C256+'CurrentFact-N10,20Unchanged'!H256)/100)+103/POWER(1+('CurrentFact-N10,20Unchanged'!D256+'CurrentFact-N10,20Unchanged'!H256)/100,2))*100</f>
        <v>9603.2456808209172</v>
      </c>
      <c r="E256">
        <f>(3/(1+('CurrentFact-N10,20Unchanged'!C256+'CurrentFact-N10,20Unchanged'!I256)/100)+103/POWER(1+('CurrentFact-N10,20Unchanged'!D256+'CurrentFact-N10,20Unchanged'!I256)/100,2))*100</f>
        <v>9580.7188362021134</v>
      </c>
      <c r="F256">
        <f>Portfolio!B$5*'CurrentFact-N10,20Unchanged'!E256</f>
        <v>52143.895533915893</v>
      </c>
      <c r="G256">
        <f>Portfolio!B$6*'CurrentFact-N10,20Unchanged'!F256</f>
        <v>3696.2945087936532</v>
      </c>
      <c r="H256">
        <f>Portfolio!B$7*'CurrentFact-N10,20Unchanged'!J256</f>
        <v>2064.4550337304254</v>
      </c>
      <c r="I256">
        <f t="shared" si="8"/>
        <v>96411.162729140196</v>
      </c>
      <c r="J256">
        <f t="shared" si="9"/>
        <v>10.103914643637836</v>
      </c>
    </row>
    <row r="257" spans="1:10">
      <c r="A257" s="1">
        <v>45828</v>
      </c>
      <c r="B257">
        <f>(3/(1+('CurrentFact-N10,20Unchanged'!C257)/100)+103/POWER(1+('CurrentFact-N10,20Unchanged'!D257)/100,2))*100</f>
        <v>9707.5857774288397</v>
      </c>
      <c r="C257">
        <f>(3/(1+('CurrentFact-N10,20Unchanged'!C257+'CurrentFact-N10,20Unchanged'!G257)/100)+103/POWER(1+('CurrentFact-N10,20Unchanged'!D257+'CurrentFact-N10,20Unchanged'!G257)/100,2))*100</f>
        <v>9614.9673582483465</v>
      </c>
      <c r="D257">
        <f>(3/(1+('CurrentFact-N10,20Unchanged'!C257+'CurrentFact-N10,20Unchanged'!H257)/100)+103/POWER(1+('CurrentFact-N10,20Unchanged'!D257+'CurrentFact-N10,20Unchanged'!H257)/100,2))*100</f>
        <v>9580.7913676363278</v>
      </c>
      <c r="E257">
        <f>(3/(1+('CurrentFact-N10,20Unchanged'!C257+'CurrentFact-N10,20Unchanged'!I257)/100)+103/POWER(1+('CurrentFact-N10,20Unchanged'!D257+'CurrentFact-N10,20Unchanged'!I257)/100,2))*100</f>
        <v>9579.0823356422243</v>
      </c>
      <c r="F257">
        <f>Portfolio!B$5*'CurrentFact-N10,20Unchanged'!E257</f>
        <v>52143.895533915893</v>
      </c>
      <c r="G257">
        <f>Portfolio!B$6*'CurrentFact-N10,20Unchanged'!F257</f>
        <v>3696.2945087936532</v>
      </c>
      <c r="H257">
        <f>Portfolio!B$7*'CurrentFact-N10,20Unchanged'!J257</f>
        <v>2064.4550337304254</v>
      </c>
      <c r="I257">
        <f t="shared" si="8"/>
        <v>96387.071915395703</v>
      </c>
      <c r="J257">
        <f t="shared" si="9"/>
        <v>-31.440071225137217</v>
      </c>
    </row>
    <row r="258" spans="1:10">
      <c r="A258" s="1">
        <v>45831</v>
      </c>
      <c r="B258">
        <f>(3/(1+('CurrentFact-N10,20Unchanged'!C258)/100)+103/POWER(1+('CurrentFact-N10,20Unchanged'!D258)/100,2))*100</f>
        <v>9707.5857774288397</v>
      </c>
      <c r="C258">
        <f>(3/(1+('CurrentFact-N10,20Unchanged'!C258+'CurrentFact-N10,20Unchanged'!G258)/100)+103/POWER(1+('CurrentFact-N10,20Unchanged'!D258+'CurrentFact-N10,20Unchanged'!G258)/100,2))*100</f>
        <v>9614.9673582483465</v>
      </c>
      <c r="D258">
        <f>(3/(1+('CurrentFact-N10,20Unchanged'!C258+'CurrentFact-N10,20Unchanged'!H258)/100)+103/POWER(1+('CurrentFact-N10,20Unchanged'!D258+'CurrentFact-N10,20Unchanged'!H258)/100,2))*100</f>
        <v>9609.6312191696743</v>
      </c>
      <c r="E258">
        <f>(3/(1+('CurrentFact-N10,20Unchanged'!C258+'CurrentFact-N10,20Unchanged'!I258)/100)+103/POWER(1+('CurrentFact-N10,20Unchanged'!D258+'CurrentFact-N10,20Unchanged'!I258)/100,2))*100</f>
        <v>9579.6288351442217</v>
      </c>
      <c r="F258">
        <f>Portfolio!B$5*'CurrentFact-N10,20Unchanged'!E258</f>
        <v>52143.895533915893</v>
      </c>
      <c r="G258">
        <f>Portfolio!B$6*'CurrentFact-N10,20Unchanged'!F258</f>
        <v>3696.2945087936532</v>
      </c>
      <c r="H258">
        <f>Portfolio!B$7*'CurrentFact-N10,20Unchanged'!J258</f>
        <v>2064.4550337304254</v>
      </c>
      <c r="I258">
        <f t="shared" si="8"/>
        <v>96416.458266431058</v>
      </c>
      <c r="J258">
        <f t="shared" si="9"/>
        <v>12.213196377895656</v>
      </c>
    </row>
    <row r="259" spans="1:10">
      <c r="A259" s="1">
        <v>45832</v>
      </c>
      <c r="B259">
        <f>(3/(1+('CurrentFact-N10,20Unchanged'!C259)/100)+103/POWER(1+('CurrentFact-N10,20Unchanged'!D259)/100,2))*100</f>
        <v>9707.5857774288397</v>
      </c>
      <c r="C259">
        <f>(3/(1+('CurrentFact-N10,20Unchanged'!C259+'CurrentFact-N10,20Unchanged'!G259)/100)+103/POWER(1+('CurrentFact-N10,20Unchanged'!D259+'CurrentFact-N10,20Unchanged'!G259)/100,2))*100</f>
        <v>9614.9673582483465</v>
      </c>
      <c r="D259">
        <f>(3/(1+('CurrentFact-N10,20Unchanged'!C259+'CurrentFact-N10,20Unchanged'!H259)/100)+103/POWER(1+('CurrentFact-N10,20Unchanged'!D259+'CurrentFact-N10,20Unchanged'!H259)/100,2))*100</f>
        <v>9599.9436299683312</v>
      </c>
      <c r="E259">
        <f>(3/(1+('CurrentFact-N10,20Unchanged'!C259+'CurrentFact-N10,20Unchanged'!I259)/100)+103/POWER(1+('CurrentFact-N10,20Unchanged'!D259+'CurrentFact-N10,20Unchanged'!I259)/100,2))*100</f>
        <v>9580.8706323447968</v>
      </c>
      <c r="F259">
        <f>Portfolio!B$5*'CurrentFact-N10,20Unchanged'!E259</f>
        <v>52143.895533915893</v>
      </c>
      <c r="G259">
        <f>Portfolio!B$6*'CurrentFact-N10,20Unchanged'!F259</f>
        <v>3696.2945087936532</v>
      </c>
      <c r="H259">
        <f>Portfolio!B$7*'CurrentFact-N10,20Unchanged'!J259</f>
        <v>2064.4550337304254</v>
      </c>
      <c r="I259">
        <f t="shared" si="8"/>
        <v>96408.012474430288</v>
      </c>
      <c r="J259">
        <f t="shared" si="9"/>
        <v>6.1727794330508914</v>
      </c>
    </row>
    <row r="260" spans="1:10">
      <c r="A260" s="1">
        <v>45833</v>
      </c>
      <c r="B260">
        <f>(3/(1+('CurrentFact-N10,20Unchanged'!C260)/100)+103/POWER(1+('CurrentFact-N10,20Unchanged'!D260)/100,2))*100</f>
        <v>9707.5857774288397</v>
      </c>
      <c r="C260">
        <f>(3/(1+('CurrentFact-N10,20Unchanged'!C260+'CurrentFact-N10,20Unchanged'!G260)/100)+103/POWER(1+('CurrentFact-N10,20Unchanged'!D260+'CurrentFact-N10,20Unchanged'!G260)/100,2))*100</f>
        <v>9614.9673582483465</v>
      </c>
      <c r="D260">
        <f>(3/(1+('CurrentFact-N10,20Unchanged'!C260+'CurrentFact-N10,20Unchanged'!H260)/100)+103/POWER(1+('CurrentFact-N10,20Unchanged'!D260+'CurrentFact-N10,20Unchanged'!H260)/100,2))*100</f>
        <v>9600.1467176739607</v>
      </c>
      <c r="E260">
        <f>(3/(1+('CurrentFact-N10,20Unchanged'!C260+'CurrentFact-N10,20Unchanged'!I260)/100)+103/POWER(1+('CurrentFact-N10,20Unchanged'!D260+'CurrentFact-N10,20Unchanged'!I260)/100,2))*100</f>
        <v>9581.5270132168862</v>
      </c>
      <c r="F260">
        <f>Portfolio!B$5*'CurrentFact-N10,20Unchanged'!E260</f>
        <v>52143.895533915893</v>
      </c>
      <c r="G260">
        <f>Portfolio!B$6*'CurrentFact-N10,20Unchanged'!F260</f>
        <v>3696.2945087936532</v>
      </c>
      <c r="H260">
        <f>Portfolio!B$7*'CurrentFact-N10,20Unchanged'!J260</f>
        <v>2064.4550337304254</v>
      </c>
      <c r="I260">
        <f t="shared" si="8"/>
        <v>96408.871943008009</v>
      </c>
      <c r="J260">
        <f t="shared" si="9"/>
        <v>-1.4162631013168721</v>
      </c>
    </row>
    <row r="261" spans="1:10">
      <c r="A261" s="1">
        <v>45834</v>
      </c>
      <c r="B261">
        <f>(3/(1+('CurrentFact-N10,20Unchanged'!C261)/100)+103/POWER(1+('CurrentFact-N10,20Unchanged'!D261)/100,2))*100</f>
        <v>9707.5857774288397</v>
      </c>
      <c r="C261">
        <f>(3/(1+('CurrentFact-N10,20Unchanged'!C261+'CurrentFact-N10,20Unchanged'!G261)/100)+103/POWER(1+('CurrentFact-N10,20Unchanged'!D261+'CurrentFact-N10,20Unchanged'!G261)/100,2))*100</f>
        <v>9614.9673582483465</v>
      </c>
      <c r="D261">
        <f>(3/(1+('CurrentFact-N10,20Unchanged'!C261+'CurrentFact-N10,20Unchanged'!H261)/100)+103/POWER(1+('CurrentFact-N10,20Unchanged'!D261+'CurrentFact-N10,20Unchanged'!H261)/100,2))*100</f>
        <v>9592.7745858498201</v>
      </c>
      <c r="E261">
        <f>(3/(1+('CurrentFact-N10,20Unchanged'!C261+'CurrentFact-N10,20Unchanged'!I261)/100)+103/POWER(1+('CurrentFact-N10,20Unchanged'!D261+'CurrentFact-N10,20Unchanged'!I261)/100,2))*100</f>
        <v>9579.9577290909056</v>
      </c>
      <c r="F261">
        <f>Portfolio!B$5*'CurrentFact-N10,20Unchanged'!E261</f>
        <v>52143.895533915893</v>
      </c>
      <c r="G261">
        <f>Portfolio!B$6*'CurrentFact-N10,20Unchanged'!F261</f>
        <v>3696.2945087936532</v>
      </c>
      <c r="H261">
        <f>Portfolio!B$7*'CurrentFact-N10,20Unchanged'!J261</f>
        <v>2064.4550337304254</v>
      </c>
      <c r="I261">
        <f t="shared" si="8"/>
        <v>96399.930527057877</v>
      </c>
      <c r="J261">
        <f t="shared" si="9"/>
        <v>-1.5830799969262443</v>
      </c>
    </row>
    <row r="262" spans="1:10">
      <c r="A262" s="1">
        <v>45835</v>
      </c>
      <c r="B262">
        <f>(3/(1+('CurrentFact-N10,20Unchanged'!C262)/100)+103/POWER(1+('CurrentFact-N10,20Unchanged'!D262)/100,2))*100</f>
        <v>9707.5857774288397</v>
      </c>
      <c r="C262">
        <f>(3/(1+('CurrentFact-N10,20Unchanged'!C262+'CurrentFact-N10,20Unchanged'!G262)/100)+103/POWER(1+('CurrentFact-N10,20Unchanged'!D262+'CurrentFact-N10,20Unchanged'!G262)/100,2))*100</f>
        <v>9614.9673582483465</v>
      </c>
      <c r="D262">
        <f>(3/(1+('CurrentFact-N10,20Unchanged'!C262+'CurrentFact-N10,20Unchanged'!H262)/100)+103/POWER(1+('CurrentFact-N10,20Unchanged'!D262+'CurrentFact-N10,20Unchanged'!H262)/100,2))*100</f>
        <v>9601.0935830005292</v>
      </c>
      <c r="E262">
        <f>(3/(1+('CurrentFact-N10,20Unchanged'!C262+'CurrentFact-N10,20Unchanged'!I262)/100)+103/POWER(1+('CurrentFact-N10,20Unchanged'!D262+'CurrentFact-N10,20Unchanged'!I262)/100,2))*100</f>
        <v>9582.0954414573189</v>
      </c>
      <c r="F262">
        <f>Portfolio!B$5*'CurrentFact-N10,20Unchanged'!E262</f>
        <v>52143.895533915893</v>
      </c>
      <c r="G262">
        <f>Portfolio!B$6*'CurrentFact-N10,20Unchanged'!F262</f>
        <v>3696.2945087936532</v>
      </c>
      <c r="H262">
        <f>Portfolio!B$7*'CurrentFact-N10,20Unchanged'!J262</f>
        <v>2064.4550337304254</v>
      </c>
      <c r="I262">
        <f t="shared" si="8"/>
        <v>96410.387236575014</v>
      </c>
      <c r="J262">
        <f t="shared" si="9"/>
        <v>9.9169975613767747</v>
      </c>
    </row>
    <row r="263" spans="1:10">
      <c r="A263" s="1">
        <v>45838</v>
      </c>
      <c r="B263">
        <f>(3/(1+('CurrentFact-N10,20Unchanged'!C263)/100)+103/POWER(1+('CurrentFact-N10,20Unchanged'!D263)/100,2))*100</f>
        <v>9707.5857774288397</v>
      </c>
      <c r="C263">
        <f>(3/(1+('CurrentFact-N10,20Unchanged'!C263+'CurrentFact-N10,20Unchanged'!G263)/100)+103/POWER(1+('CurrentFact-N10,20Unchanged'!D263+'CurrentFact-N10,20Unchanged'!G263)/100,2))*100</f>
        <v>9614.9673582483465</v>
      </c>
      <c r="D263">
        <f>(3/(1+('CurrentFact-N10,20Unchanged'!C263+'CurrentFact-N10,20Unchanged'!H263)/100)+103/POWER(1+('CurrentFact-N10,20Unchanged'!D263+'CurrentFact-N10,20Unchanged'!H263)/100,2))*100</f>
        <v>9604.1572253555169</v>
      </c>
      <c r="E263">
        <f>(3/(1+('CurrentFact-N10,20Unchanged'!C263+'CurrentFact-N10,20Unchanged'!I263)/100)+103/POWER(1+('CurrentFact-N10,20Unchanged'!D263+'CurrentFact-N10,20Unchanged'!I263)/100,2))*100</f>
        <v>9579.331729350537</v>
      </c>
      <c r="F263">
        <f>Portfolio!B$5*'CurrentFact-N10,20Unchanged'!E263</f>
        <v>52143.895533915893</v>
      </c>
      <c r="G263">
        <f>Portfolio!B$6*'CurrentFact-N10,20Unchanged'!F263</f>
        <v>3696.2945087936532</v>
      </c>
      <c r="H263">
        <f>Portfolio!B$7*'CurrentFact-N10,20Unchanged'!J263</f>
        <v>2064.4550337304254</v>
      </c>
      <c r="I263">
        <f t="shared" si="8"/>
        <v>96410.68716682322</v>
      </c>
      <c r="J263">
        <f t="shared" si="9"/>
        <v>14.13520667742705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4156-46B7-44F2-A98A-ADFEF2985D3A}">
  <dimension ref="A1:L263"/>
  <sheetViews>
    <sheetView workbookViewId="0">
      <pane xSplit="1" ySplit="2" topLeftCell="D3" activePane="bottomRight" state="frozen"/>
      <selection pane="topRight" activeCell="B1" sqref="B1"/>
      <selection pane="bottomLeft" activeCell="A3" sqref="A3"/>
      <selection pane="bottomRight" activeCell="L3" sqref="L3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74</v>
      </c>
      <c r="C1" t="s">
        <v>75</v>
      </c>
      <c r="D1" t="s">
        <v>76</v>
      </c>
      <c r="E1" t="s">
        <v>77</v>
      </c>
      <c r="F1" t="s">
        <v>74</v>
      </c>
      <c r="G1" t="s">
        <v>74</v>
      </c>
      <c r="H1" t="s">
        <v>78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56</v>
      </c>
    </row>
    <row r="3" spans="1:12">
      <c r="A3" s="1">
        <v>45474</v>
      </c>
      <c r="B3">
        <f>(3/(1+('CurrentFact-N10,20,40Unchanged'!C3)/100)+103/POWER(1+('CurrentFact-N10,20,40Unchanged'!D3)/100,2))*100</f>
        <v>9707.5857774288397</v>
      </c>
      <c r="C3">
        <f>(3/(1+('CurrentFact-N10,20,40Unchanged'!C3+'CurrentFact-N10,20,40Unchanged'!G3)/100)+103/POWER(1+('CurrentFact-N10,20,40Unchanged'!D3+'CurrentFact-N10,20,40Unchanged'!G3)/100,2))*100</f>
        <v>9614.9673582483465</v>
      </c>
      <c r="D3">
        <f>(3/(1+('CurrentFact-N10,20,40Unchanged'!C3+'CurrentFact-N10,20,40Unchanged'!H3)/100)+103/POWER(1+('CurrentFact-N10,20,40Unchanged'!D3+'CurrentFact-N10,20,40Unchanged'!H3)/100,2))*100</f>
        <v>9601.2395558122898</v>
      </c>
      <c r="E3">
        <f>(3/(1+('CurrentFact-N10,20,40Unchanged'!C3+'CurrentFact-N10,20,40Unchanged'!I3)/100)+103/POWER(1+('CurrentFact-N10,20,40Unchanged'!D3+'CurrentFact-N10,20,40Unchanged'!I3)/100,2))*100</f>
        <v>9676.6907857653259</v>
      </c>
      <c r="F3">
        <f>Portfolio!B$5*'CurrentFact-N10,20,40Unchanged'!E3</f>
        <v>52143.895533915893</v>
      </c>
      <c r="G3">
        <f>Portfolio!B$6*'CurrentFact-N10,20,40Unchanged'!F3</f>
        <v>3696.2945087936532</v>
      </c>
      <c r="H3">
        <f>Portfolio!B$7*'CurrentFact-N10,20,40Unchanged'!J3</f>
        <v>2064.4550337304254</v>
      </c>
      <c r="I3">
        <f>SUM(B3:H3)</f>
        <v>96505.128553694783</v>
      </c>
      <c r="K3" s="8">
        <f>_xlfn.PERCENTILE.INC(J13:J263, 0.025)</f>
        <v>-101.83539258838573</v>
      </c>
      <c r="L3">
        <f>AVERAGEIF(J13:J263, "&lt;="&amp;K3,J13:J263)</f>
        <v>-104.13360185658841</v>
      </c>
    </row>
    <row r="4" spans="1:12">
      <c r="A4" s="1">
        <v>45475</v>
      </c>
      <c r="B4">
        <f>(3/(1+('CurrentFact-N10,20,40Unchanged'!C4)/100)+103/POWER(1+('CurrentFact-N10,20,40Unchanged'!D4)/100,2))*100</f>
        <v>9707.5857774288397</v>
      </c>
      <c r="C4">
        <f>(3/(1+('CurrentFact-N10,20,40Unchanged'!C4+'CurrentFact-N10,20,40Unchanged'!G4)/100)+103/POWER(1+('CurrentFact-N10,20,40Unchanged'!D4+'CurrentFact-N10,20,40Unchanged'!G4)/100,2))*100</f>
        <v>9614.9673582483465</v>
      </c>
      <c r="D4">
        <f>(3/(1+('CurrentFact-N10,20,40Unchanged'!C4+'CurrentFact-N10,20,40Unchanged'!H4)/100)+103/POWER(1+('CurrentFact-N10,20,40Unchanged'!D4+'CurrentFact-N10,20,40Unchanged'!H4)/100,2))*100</f>
        <v>9601.2395558122898</v>
      </c>
      <c r="E4">
        <f>(3/(1+('CurrentFact-N10,20,40Unchanged'!C4+'CurrentFact-N10,20,40Unchanged'!I4)/100)+103/POWER(1+('CurrentFact-N10,20,40Unchanged'!D4+'CurrentFact-N10,20,40Unchanged'!I4)/100,2))*100</f>
        <v>9676.5087411427976</v>
      </c>
      <c r="F4">
        <f>Portfolio!B$5*'CurrentFact-N10,20,40Unchanged'!E4</f>
        <v>52143.895533915893</v>
      </c>
      <c r="G4">
        <f>Portfolio!B$6*'CurrentFact-N10,20,40Unchanged'!F4</f>
        <v>3696.2945087936532</v>
      </c>
      <c r="H4">
        <f>Portfolio!B$7*'CurrentFact-N10,20,40Unchanged'!J4</f>
        <v>2064.4550337304254</v>
      </c>
      <c r="I4">
        <f t="shared" ref="I4:I67" si="0">SUM(B4:H4)</f>
        <v>96504.946509072237</v>
      </c>
    </row>
    <row r="5" spans="1:12">
      <c r="A5" s="1">
        <v>45476</v>
      </c>
      <c r="B5">
        <f>(3/(1+('CurrentFact-N10,20,40Unchanged'!C5)/100)+103/POWER(1+('CurrentFact-N10,20,40Unchanged'!D5)/100,2))*100</f>
        <v>9707.5857774288397</v>
      </c>
      <c r="C5">
        <f>(3/(1+('CurrentFact-N10,20,40Unchanged'!C5+'CurrentFact-N10,20,40Unchanged'!G5)/100)+103/POWER(1+('CurrentFact-N10,20,40Unchanged'!D5+'CurrentFact-N10,20,40Unchanged'!G5)/100,2))*100</f>
        <v>9614.9673582483465</v>
      </c>
      <c r="D5">
        <f>(3/(1+('CurrentFact-N10,20,40Unchanged'!C5+'CurrentFact-N10,20,40Unchanged'!H5)/100)+103/POWER(1+('CurrentFact-N10,20,40Unchanged'!D5+'CurrentFact-N10,20,40Unchanged'!H5)/100,2))*100</f>
        <v>9601.2395558122898</v>
      </c>
      <c r="E5">
        <f>(3/(1+('CurrentFact-N10,20,40Unchanged'!C5+'CurrentFact-N10,20,40Unchanged'!I5)/100)+103/POWER(1+('CurrentFact-N10,20,40Unchanged'!D5+'CurrentFact-N10,20,40Unchanged'!I5)/100,2))*100</f>
        <v>9676.3449057655907</v>
      </c>
      <c r="F5">
        <f>Portfolio!B$5*'CurrentFact-N10,20,40Unchanged'!E5</f>
        <v>52143.895533915893</v>
      </c>
      <c r="G5">
        <f>Portfolio!B$6*'CurrentFact-N10,20,40Unchanged'!F5</f>
        <v>3696.2945087936532</v>
      </c>
      <c r="H5">
        <f>Portfolio!B$7*'CurrentFact-N10,20,40Unchanged'!J5</f>
        <v>2064.4550337304254</v>
      </c>
      <c r="I5">
        <f t="shared" si="0"/>
        <v>96504.782673695037</v>
      </c>
    </row>
    <row r="6" spans="1:12">
      <c r="A6" s="1">
        <v>45477</v>
      </c>
      <c r="B6">
        <f>(3/(1+('CurrentFact-N10,20,40Unchanged'!C6)/100)+103/POWER(1+('CurrentFact-N10,20,40Unchanged'!D6)/100,2))*100</f>
        <v>9707.5857774288397</v>
      </c>
      <c r="C6">
        <f>(3/(1+('CurrentFact-N10,20,40Unchanged'!C6+'CurrentFact-N10,20,40Unchanged'!G6)/100)+103/POWER(1+('CurrentFact-N10,20,40Unchanged'!D6+'CurrentFact-N10,20,40Unchanged'!G6)/100,2))*100</f>
        <v>9614.9673582483465</v>
      </c>
      <c r="D6">
        <f>(3/(1+('CurrentFact-N10,20,40Unchanged'!C6+'CurrentFact-N10,20,40Unchanged'!H6)/100)+103/POWER(1+('CurrentFact-N10,20,40Unchanged'!D6+'CurrentFact-N10,20,40Unchanged'!H6)/100,2))*100</f>
        <v>9601.2395558122898</v>
      </c>
      <c r="E6">
        <f>(3/(1+('CurrentFact-N10,20,40Unchanged'!C6+'CurrentFact-N10,20,40Unchanged'!I6)/100)+103/POWER(1+('CurrentFact-N10,20,40Unchanged'!D6+'CurrentFact-N10,20,40Unchanged'!I6)/100,2))*100</f>
        <v>9674.761385040998</v>
      </c>
      <c r="F6">
        <f>Portfolio!B$5*'CurrentFact-N10,20,40Unchanged'!E6</f>
        <v>52143.895533915893</v>
      </c>
      <c r="G6">
        <f>Portfolio!B$6*'CurrentFact-N10,20,40Unchanged'!F6</f>
        <v>3696.2945087936532</v>
      </c>
      <c r="H6">
        <f>Portfolio!B$7*'CurrentFact-N10,20,40Unchanged'!J6</f>
        <v>2064.4550337304254</v>
      </c>
      <c r="I6">
        <f t="shared" si="0"/>
        <v>96503.199152970454</v>
      </c>
    </row>
    <row r="7" spans="1:12">
      <c r="A7" s="1">
        <v>45478</v>
      </c>
      <c r="B7">
        <f>(3/(1+('CurrentFact-N10,20,40Unchanged'!C7)/100)+103/POWER(1+('CurrentFact-N10,20,40Unchanged'!D7)/100,2))*100</f>
        <v>9707.5857774288397</v>
      </c>
      <c r="C7">
        <f>(3/(1+('CurrentFact-N10,20,40Unchanged'!C7+'CurrentFact-N10,20,40Unchanged'!G7)/100)+103/POWER(1+('CurrentFact-N10,20,40Unchanged'!D7+'CurrentFact-N10,20,40Unchanged'!G7)/100,2))*100</f>
        <v>9614.9673582483465</v>
      </c>
      <c r="D7">
        <f>(3/(1+('CurrentFact-N10,20,40Unchanged'!C7+'CurrentFact-N10,20,40Unchanged'!H7)/100)+103/POWER(1+('CurrentFact-N10,20,40Unchanged'!D7+'CurrentFact-N10,20,40Unchanged'!H7)/100,2))*100</f>
        <v>9601.2395558122898</v>
      </c>
      <c r="E7">
        <f>(3/(1+('CurrentFact-N10,20,40Unchanged'!C7+'CurrentFact-N10,20,40Unchanged'!I7)/100)+103/POWER(1+('CurrentFact-N10,20,40Unchanged'!D7+'CurrentFact-N10,20,40Unchanged'!I7)/100,2))*100</f>
        <v>9676.8000136403025</v>
      </c>
      <c r="F7">
        <f>Portfolio!B$5*'CurrentFact-N10,20,40Unchanged'!E7</f>
        <v>52143.895533915893</v>
      </c>
      <c r="G7">
        <f>Portfolio!B$6*'CurrentFact-N10,20,40Unchanged'!F7</f>
        <v>3696.2945087936532</v>
      </c>
      <c r="H7">
        <f>Portfolio!B$7*'CurrentFact-N10,20,40Unchanged'!J7</f>
        <v>2064.4550337304254</v>
      </c>
      <c r="I7">
        <f t="shared" si="0"/>
        <v>96505.23778156974</v>
      </c>
    </row>
    <row r="8" spans="1:12">
      <c r="A8" s="1">
        <v>45481</v>
      </c>
      <c r="B8">
        <f>(3/(1+('CurrentFact-N10,20,40Unchanged'!C8)/100)+103/POWER(1+('CurrentFact-N10,20,40Unchanged'!D8)/100,2))*100</f>
        <v>9707.5857774288397</v>
      </c>
      <c r="C8">
        <f>(3/(1+('CurrentFact-N10,20,40Unchanged'!C8+'CurrentFact-N10,20,40Unchanged'!G8)/100)+103/POWER(1+('CurrentFact-N10,20,40Unchanged'!D8+'CurrentFact-N10,20,40Unchanged'!G8)/100,2))*100</f>
        <v>9614.9673582483465</v>
      </c>
      <c r="D8">
        <f>(3/(1+('CurrentFact-N10,20,40Unchanged'!C8+'CurrentFact-N10,20,40Unchanged'!H8)/100)+103/POWER(1+('CurrentFact-N10,20,40Unchanged'!D8+'CurrentFact-N10,20,40Unchanged'!H8)/100,2))*100</f>
        <v>9601.2395558122898</v>
      </c>
      <c r="E8">
        <f>(3/(1+('CurrentFact-N10,20,40Unchanged'!C8+'CurrentFact-N10,20,40Unchanged'!I8)/100)+103/POWER(1+('CurrentFact-N10,20,40Unchanged'!D8+'CurrentFact-N10,20,40Unchanged'!I8)/100,2))*100</f>
        <v>9676.1810780625983</v>
      </c>
      <c r="F8">
        <f>Portfolio!B$5*'CurrentFact-N10,20,40Unchanged'!E8</f>
        <v>52143.895533915893</v>
      </c>
      <c r="G8">
        <f>Portfolio!B$6*'CurrentFact-N10,20,40Unchanged'!F8</f>
        <v>3696.2945087936532</v>
      </c>
      <c r="H8">
        <f>Portfolio!B$7*'CurrentFact-N10,20,40Unchanged'!J8</f>
        <v>2064.4550337304254</v>
      </c>
      <c r="I8">
        <f t="shared" si="0"/>
        <v>96504.618845992052</v>
      </c>
    </row>
    <row r="9" spans="1:12">
      <c r="A9" s="1">
        <v>45482</v>
      </c>
      <c r="B9">
        <f>(3/(1+('CurrentFact-N10,20,40Unchanged'!C9)/100)+103/POWER(1+('CurrentFact-N10,20,40Unchanged'!D9)/100,2))*100</f>
        <v>9707.5857774288397</v>
      </c>
      <c r="C9">
        <f>(3/(1+('CurrentFact-N10,20,40Unchanged'!C9+'CurrentFact-N10,20,40Unchanged'!G9)/100)+103/POWER(1+('CurrentFact-N10,20,40Unchanged'!D9+'CurrentFact-N10,20,40Unchanged'!G9)/100,2))*100</f>
        <v>9614.9673582483465</v>
      </c>
      <c r="D9">
        <f>(3/(1+('CurrentFact-N10,20,40Unchanged'!C9+'CurrentFact-N10,20,40Unchanged'!H9)/100)+103/POWER(1+('CurrentFact-N10,20,40Unchanged'!D9+'CurrentFact-N10,20,40Unchanged'!H9)/100,2))*100</f>
        <v>9601.2395558122898</v>
      </c>
      <c r="E9">
        <f>(3/(1+('CurrentFact-N10,20,40Unchanged'!C9+'CurrentFact-N10,20,40Unchanged'!I9)/100)+103/POWER(1+('CurrentFact-N10,20,40Unchanged'!D9+'CurrentFact-N10,20,40Unchanged'!I9)/100,2))*100</f>
        <v>9673.7787046826343</v>
      </c>
      <c r="F9">
        <f>Portfolio!B$5*'CurrentFact-N10,20,40Unchanged'!E9</f>
        <v>52143.895533915893</v>
      </c>
      <c r="G9">
        <f>Portfolio!B$6*'CurrentFact-N10,20,40Unchanged'!F9</f>
        <v>3696.2945087936532</v>
      </c>
      <c r="H9">
        <f>Portfolio!B$7*'CurrentFact-N10,20,40Unchanged'!J9</f>
        <v>2064.4550337304254</v>
      </c>
      <c r="I9">
        <f t="shared" si="0"/>
        <v>96502.216472612083</v>
      </c>
    </row>
    <row r="10" spans="1:12">
      <c r="A10" s="1">
        <v>45483</v>
      </c>
      <c r="B10">
        <f>(3/(1+('CurrentFact-N10,20,40Unchanged'!C10)/100)+103/POWER(1+('CurrentFact-N10,20,40Unchanged'!D10)/100,2))*100</f>
        <v>9707.5857774288397</v>
      </c>
      <c r="C10">
        <f>(3/(1+('CurrentFact-N10,20,40Unchanged'!C10+'CurrentFact-N10,20,40Unchanged'!G10)/100)+103/POWER(1+('CurrentFact-N10,20,40Unchanged'!D10+'CurrentFact-N10,20,40Unchanged'!G10)/100,2))*100</f>
        <v>9614.9673582483465</v>
      </c>
      <c r="D10">
        <f>(3/(1+('CurrentFact-N10,20,40Unchanged'!C10+'CurrentFact-N10,20,40Unchanged'!H10)/100)+103/POWER(1+('CurrentFact-N10,20,40Unchanged'!D10+'CurrentFact-N10,20,40Unchanged'!H10)/100,2))*100</f>
        <v>9601.2395558122898</v>
      </c>
      <c r="E10">
        <f>(3/(1+('CurrentFact-N10,20,40Unchanged'!C10+'CurrentFact-N10,20,40Unchanged'!I10)/100)+103/POWER(1+('CurrentFact-N10,20,40Unchanged'!D10+'CurrentFact-N10,20,40Unchanged'!I10)/100,2))*100</f>
        <v>9671.0498348775582</v>
      </c>
      <c r="F10">
        <f>Portfolio!B$5*'CurrentFact-N10,20,40Unchanged'!E10</f>
        <v>52143.895533915893</v>
      </c>
      <c r="G10">
        <f>Portfolio!B$6*'CurrentFact-N10,20,40Unchanged'!F10</f>
        <v>3696.2945087936532</v>
      </c>
      <c r="H10">
        <f>Portfolio!B$7*'CurrentFact-N10,20,40Unchanged'!J10</f>
        <v>2064.4550337304254</v>
      </c>
      <c r="I10">
        <f t="shared" si="0"/>
        <v>96499.487602806999</v>
      </c>
    </row>
    <row r="11" spans="1:12">
      <c r="A11" s="1">
        <v>45484</v>
      </c>
      <c r="B11">
        <f>(3/(1+('CurrentFact-N10,20,40Unchanged'!C11)/100)+103/POWER(1+('CurrentFact-N10,20,40Unchanged'!D11)/100,2))*100</f>
        <v>9707.5857774288397</v>
      </c>
      <c r="C11">
        <f>(3/(1+('CurrentFact-N10,20,40Unchanged'!C11+'CurrentFact-N10,20,40Unchanged'!G11)/100)+103/POWER(1+('CurrentFact-N10,20,40Unchanged'!D11+'CurrentFact-N10,20,40Unchanged'!G11)/100,2))*100</f>
        <v>9614.9673582483465</v>
      </c>
      <c r="D11">
        <f>(3/(1+('CurrentFact-N10,20,40Unchanged'!C11+'CurrentFact-N10,20,40Unchanged'!H11)/100)+103/POWER(1+('CurrentFact-N10,20,40Unchanged'!D11+'CurrentFact-N10,20,40Unchanged'!H11)/100,2))*100</f>
        <v>9601.2395558122898</v>
      </c>
      <c r="E11">
        <f>(3/(1+('CurrentFact-N10,20,40Unchanged'!C11+'CurrentFact-N10,20,40Unchanged'!I11)/100)+103/POWER(1+('CurrentFact-N10,20,40Unchanged'!D11+'CurrentFact-N10,20,40Unchanged'!I11)/100,2))*100</f>
        <v>9672.6688259421371</v>
      </c>
      <c r="F11">
        <f>Portfolio!B$5*'CurrentFact-N10,20,40Unchanged'!E11</f>
        <v>52143.895533915893</v>
      </c>
      <c r="G11">
        <f>Portfolio!B$6*'CurrentFact-N10,20,40Unchanged'!F11</f>
        <v>3696.2945087936532</v>
      </c>
      <c r="H11">
        <f>Portfolio!B$7*'CurrentFact-N10,20,40Unchanged'!J11</f>
        <v>2064.4550337304254</v>
      </c>
      <c r="I11">
        <f t="shared" si="0"/>
        <v>96501.106593871576</v>
      </c>
    </row>
    <row r="12" spans="1:12">
      <c r="A12" s="1">
        <v>45485</v>
      </c>
      <c r="B12">
        <f>(3/(1+('CurrentFact-N10,20,40Unchanged'!C12)/100)+103/POWER(1+('CurrentFact-N10,20,40Unchanged'!D12)/100,2))*100</f>
        <v>9707.5857774288397</v>
      </c>
      <c r="C12">
        <f>(3/(1+('CurrentFact-N10,20,40Unchanged'!C12+'CurrentFact-N10,20,40Unchanged'!G12)/100)+103/POWER(1+('CurrentFact-N10,20,40Unchanged'!D12+'CurrentFact-N10,20,40Unchanged'!G12)/100,2))*100</f>
        <v>9614.9673582483465</v>
      </c>
      <c r="D12">
        <f>(3/(1+('CurrentFact-N10,20,40Unchanged'!C12+'CurrentFact-N10,20,40Unchanged'!H12)/100)+103/POWER(1+('CurrentFact-N10,20,40Unchanged'!D12+'CurrentFact-N10,20,40Unchanged'!H12)/100,2))*100</f>
        <v>9601.2395558122898</v>
      </c>
      <c r="E12">
        <f>(3/(1+('CurrentFact-N10,20,40Unchanged'!C12+'CurrentFact-N10,20,40Unchanged'!I12)/100)+103/POWER(1+('CurrentFact-N10,20,40Unchanged'!D12+'CurrentFact-N10,20,40Unchanged'!I12)/100,2))*100</f>
        <v>9674.8341802658124</v>
      </c>
      <c r="F12">
        <f>Portfolio!B$5*'CurrentFact-N10,20,40Unchanged'!E12</f>
        <v>52143.895533915893</v>
      </c>
      <c r="G12">
        <f>Portfolio!B$6*'CurrentFact-N10,20,40Unchanged'!F12</f>
        <v>3696.2945087936532</v>
      </c>
      <c r="H12">
        <f>Portfolio!B$7*'CurrentFact-N10,20,40Unchanged'!J12</f>
        <v>2064.4550337304254</v>
      </c>
      <c r="I12">
        <f t="shared" si="0"/>
        <v>96503.271948195266</v>
      </c>
    </row>
    <row r="13" spans="1:12">
      <c r="A13" s="1">
        <v>45488</v>
      </c>
      <c r="B13">
        <f>(3/(1+('CurrentFact-N10,20,40Unchanged'!C13)/100)+103/POWER(1+('CurrentFact-N10,20,40Unchanged'!D13)/100,2))*100</f>
        <v>9707.5857774288397</v>
      </c>
      <c r="C13">
        <f>(3/(1+('CurrentFact-N10,20,40Unchanged'!C13+'CurrentFact-N10,20,40Unchanged'!G13)/100)+103/POWER(1+('CurrentFact-N10,20,40Unchanged'!D13+'CurrentFact-N10,20,40Unchanged'!G13)/100,2))*100</f>
        <v>9614.9673582483465</v>
      </c>
      <c r="D13">
        <f>(3/(1+('CurrentFact-N10,20,40Unchanged'!C13+'CurrentFact-N10,20,40Unchanged'!H13)/100)+103/POWER(1+('CurrentFact-N10,20,40Unchanged'!D13+'CurrentFact-N10,20,40Unchanged'!H13)/100,2))*100</f>
        <v>9601.2395558122898</v>
      </c>
      <c r="E13">
        <f>(3/(1+('CurrentFact-N10,20,40Unchanged'!C13+'CurrentFact-N10,20,40Unchanged'!I13)/100)+103/POWER(1+('CurrentFact-N10,20,40Unchanged'!D13+'CurrentFact-N10,20,40Unchanged'!I13)/100,2))*100</f>
        <v>9679.0214075942895</v>
      </c>
      <c r="F13">
        <f>Portfolio!B$5*'CurrentFact-N10,20,40Unchanged'!E13</f>
        <v>52143.895533915893</v>
      </c>
      <c r="G13">
        <f>Portfolio!B$6*'CurrentFact-N10,20,40Unchanged'!F13</f>
        <v>3696.2945087936532</v>
      </c>
      <c r="H13">
        <f>Portfolio!B$7*'CurrentFact-N10,20,40Unchanged'!J13</f>
        <v>2064.4550337304254</v>
      </c>
      <c r="I13">
        <f t="shared" si="0"/>
        <v>96507.459175523749</v>
      </c>
      <c r="J13">
        <f>I13-I3</f>
        <v>2.3306218289653771</v>
      </c>
    </row>
    <row r="14" spans="1:12">
      <c r="A14" s="1">
        <v>45489</v>
      </c>
      <c r="B14">
        <f>(3/(1+('CurrentFact-N10,20,40Unchanged'!C14)/100)+103/POWER(1+('CurrentFact-N10,20,40Unchanged'!D14)/100,2))*100</f>
        <v>9707.5857774288397</v>
      </c>
      <c r="C14">
        <f>(3/(1+('CurrentFact-N10,20,40Unchanged'!C14+'CurrentFact-N10,20,40Unchanged'!G14)/100)+103/POWER(1+('CurrentFact-N10,20,40Unchanged'!D14+'CurrentFact-N10,20,40Unchanged'!G14)/100,2))*100</f>
        <v>9614.9673582483465</v>
      </c>
      <c r="D14">
        <f>(3/(1+('CurrentFact-N10,20,40Unchanged'!C14+'CurrentFact-N10,20,40Unchanged'!H14)/100)+103/POWER(1+('CurrentFact-N10,20,40Unchanged'!D14+'CurrentFact-N10,20,40Unchanged'!H14)/100,2))*100</f>
        <v>9601.2395558122898</v>
      </c>
      <c r="E14">
        <f>(3/(1+('CurrentFact-N10,20,40Unchanged'!C14+'CurrentFact-N10,20,40Unchanged'!I14)/100)+103/POWER(1+('CurrentFact-N10,20,40Unchanged'!D14+'CurrentFact-N10,20,40Unchanged'!I14)/100,2))*100</f>
        <v>9680.9338783473122</v>
      </c>
      <c r="F14">
        <f>Portfolio!B$5*'CurrentFact-N10,20,40Unchanged'!E14</f>
        <v>52143.895533915893</v>
      </c>
      <c r="G14">
        <f>Portfolio!B$6*'CurrentFact-N10,20,40Unchanged'!F14</f>
        <v>3696.2945087936532</v>
      </c>
      <c r="H14">
        <f>Portfolio!B$7*'CurrentFact-N10,20,40Unchanged'!J14</f>
        <v>2064.4550337304254</v>
      </c>
      <c r="I14">
        <f t="shared" si="0"/>
        <v>96509.371646276762</v>
      </c>
      <c r="J14">
        <f t="shared" ref="J14:J77" si="1">I14-I4</f>
        <v>4.4251372045255266</v>
      </c>
    </row>
    <row r="15" spans="1:12">
      <c r="A15" s="1">
        <v>45490</v>
      </c>
      <c r="B15">
        <f>(3/(1+('CurrentFact-N10,20,40Unchanged'!C15)/100)+103/POWER(1+('CurrentFact-N10,20,40Unchanged'!D15)/100,2))*100</f>
        <v>9707.5857774288397</v>
      </c>
      <c r="C15">
        <f>(3/(1+('CurrentFact-N10,20,40Unchanged'!C15+'CurrentFact-N10,20,40Unchanged'!G15)/100)+103/POWER(1+('CurrentFact-N10,20,40Unchanged'!D15+'CurrentFact-N10,20,40Unchanged'!G15)/100,2))*100</f>
        <v>9614.9673582483465</v>
      </c>
      <c r="D15">
        <f>(3/(1+('CurrentFact-N10,20,40Unchanged'!C15+'CurrentFact-N10,20,40Unchanged'!H15)/100)+103/POWER(1+('CurrentFact-N10,20,40Unchanged'!D15+'CurrentFact-N10,20,40Unchanged'!H15)/100,2))*100</f>
        <v>9601.2395558122898</v>
      </c>
      <c r="E15">
        <f>(3/(1+('CurrentFact-N10,20,40Unchanged'!C15+'CurrentFact-N10,20,40Unchanged'!I15)/100)+103/POWER(1+('CurrentFact-N10,20,40Unchanged'!D15+'CurrentFact-N10,20,40Unchanged'!I15)/100,2))*100</f>
        <v>9680.6970665619065</v>
      </c>
      <c r="F15">
        <f>Portfolio!B$5*'CurrentFact-N10,20,40Unchanged'!E15</f>
        <v>52143.895533915893</v>
      </c>
      <c r="G15">
        <f>Portfolio!B$6*'CurrentFact-N10,20,40Unchanged'!F15</f>
        <v>3696.2945087936532</v>
      </c>
      <c r="H15">
        <f>Portfolio!B$7*'CurrentFact-N10,20,40Unchanged'!J15</f>
        <v>2064.4550337304254</v>
      </c>
      <c r="I15">
        <f t="shared" si="0"/>
        <v>96509.134834491357</v>
      </c>
      <c r="J15">
        <f t="shared" si="1"/>
        <v>4.3521607963193674</v>
      </c>
    </row>
    <row r="16" spans="1:12">
      <c r="A16" s="1">
        <v>45491</v>
      </c>
      <c r="B16">
        <f>(3/(1+('CurrentFact-N10,20,40Unchanged'!C16)/100)+103/POWER(1+('CurrentFact-N10,20,40Unchanged'!D16)/100,2))*100</f>
        <v>9707.5857774288397</v>
      </c>
      <c r="C16">
        <f>(3/(1+('CurrentFact-N10,20,40Unchanged'!C16+'CurrentFact-N10,20,40Unchanged'!G16)/100)+103/POWER(1+('CurrentFact-N10,20,40Unchanged'!D16+'CurrentFact-N10,20,40Unchanged'!G16)/100,2))*100</f>
        <v>9614.9673582483465</v>
      </c>
      <c r="D16">
        <f>(3/(1+('CurrentFact-N10,20,40Unchanged'!C16+'CurrentFact-N10,20,40Unchanged'!H16)/100)+103/POWER(1+('CurrentFact-N10,20,40Unchanged'!D16+'CurrentFact-N10,20,40Unchanged'!H16)/100,2))*100</f>
        <v>9601.2395558122898</v>
      </c>
      <c r="E16">
        <f>(3/(1+('CurrentFact-N10,20,40Unchanged'!C16+'CurrentFact-N10,20,40Unchanged'!I16)/100)+103/POWER(1+('CurrentFact-N10,20,40Unchanged'!D16+'CurrentFact-N10,20,40Unchanged'!I16)/100,2))*100</f>
        <v>9682.0998570962529</v>
      </c>
      <c r="F16">
        <f>Portfolio!B$5*'CurrentFact-N10,20,40Unchanged'!E16</f>
        <v>52143.895533915893</v>
      </c>
      <c r="G16">
        <f>Portfolio!B$6*'CurrentFact-N10,20,40Unchanged'!F16</f>
        <v>3696.2945087936532</v>
      </c>
      <c r="H16">
        <f>Portfolio!B$7*'CurrentFact-N10,20,40Unchanged'!J16</f>
        <v>2064.4550337304254</v>
      </c>
      <c r="I16">
        <f t="shared" si="0"/>
        <v>96510.537625025696</v>
      </c>
      <c r="J16">
        <f t="shared" si="1"/>
        <v>7.3384720552421641</v>
      </c>
    </row>
    <row r="17" spans="1:10">
      <c r="A17" s="1">
        <v>45492</v>
      </c>
      <c r="B17">
        <f>(3/(1+('CurrentFact-N10,20,40Unchanged'!C17)/100)+103/POWER(1+('CurrentFact-N10,20,40Unchanged'!D17)/100,2))*100</f>
        <v>9707.5857774288397</v>
      </c>
      <c r="C17">
        <f>(3/(1+('CurrentFact-N10,20,40Unchanged'!C17+'CurrentFact-N10,20,40Unchanged'!G17)/100)+103/POWER(1+('CurrentFact-N10,20,40Unchanged'!D17+'CurrentFact-N10,20,40Unchanged'!G17)/100,2))*100</f>
        <v>9614.9673582483465</v>
      </c>
      <c r="D17">
        <f>(3/(1+('CurrentFact-N10,20,40Unchanged'!C17+'CurrentFact-N10,20,40Unchanged'!H17)/100)+103/POWER(1+('CurrentFact-N10,20,40Unchanged'!D17+'CurrentFact-N10,20,40Unchanged'!H17)/100,2))*100</f>
        <v>9601.2395558122898</v>
      </c>
      <c r="E17">
        <f>(3/(1+('CurrentFact-N10,20,40Unchanged'!C17+'CurrentFact-N10,20,40Unchanged'!I17)/100)+103/POWER(1+('CurrentFact-N10,20,40Unchanged'!D17+'CurrentFact-N10,20,40Unchanged'!I17)/100,2))*100</f>
        <v>9682.136298174546</v>
      </c>
      <c r="F17">
        <f>Portfolio!B$5*'CurrentFact-N10,20,40Unchanged'!E17</f>
        <v>52143.895533915893</v>
      </c>
      <c r="G17">
        <f>Portfolio!B$6*'CurrentFact-N10,20,40Unchanged'!F17</f>
        <v>3696.2945087936532</v>
      </c>
      <c r="H17">
        <f>Portfolio!B$7*'CurrentFact-N10,20,40Unchanged'!J17</f>
        <v>2064.4550337304254</v>
      </c>
      <c r="I17">
        <f t="shared" si="0"/>
        <v>96510.574066103989</v>
      </c>
      <c r="J17">
        <f t="shared" si="1"/>
        <v>5.3362845342489891</v>
      </c>
    </row>
    <row r="18" spans="1:10">
      <c r="A18" s="1">
        <v>45495</v>
      </c>
      <c r="B18">
        <f>(3/(1+('CurrentFact-N10,20,40Unchanged'!C18)/100)+103/POWER(1+('CurrentFact-N10,20,40Unchanged'!D18)/100,2))*100</f>
        <v>9707.5857774288397</v>
      </c>
      <c r="C18">
        <f>(3/(1+('CurrentFact-N10,20,40Unchanged'!C18+'CurrentFact-N10,20,40Unchanged'!G18)/100)+103/POWER(1+('CurrentFact-N10,20,40Unchanged'!D18+'CurrentFact-N10,20,40Unchanged'!G18)/100,2))*100</f>
        <v>9614.9673582483465</v>
      </c>
      <c r="D18">
        <f>(3/(1+('CurrentFact-N10,20,40Unchanged'!C18+'CurrentFact-N10,20,40Unchanged'!H18)/100)+103/POWER(1+('CurrentFact-N10,20,40Unchanged'!D18+'CurrentFact-N10,20,40Unchanged'!H18)/100,2))*100</f>
        <v>9601.2395558122898</v>
      </c>
      <c r="E18">
        <f>(3/(1+('CurrentFact-N10,20,40Unchanged'!C18+'CurrentFact-N10,20,40Unchanged'!I18)/100)+103/POWER(1+('CurrentFact-N10,20,40Unchanged'!D18+'CurrentFact-N10,20,40Unchanged'!I18)/100,2))*100</f>
        <v>9680.1870356704276</v>
      </c>
      <c r="F18">
        <f>Portfolio!B$5*'CurrentFact-N10,20,40Unchanged'!E18</f>
        <v>52143.895533915893</v>
      </c>
      <c r="G18">
        <f>Portfolio!B$6*'CurrentFact-N10,20,40Unchanged'!F18</f>
        <v>3696.2945087936532</v>
      </c>
      <c r="H18">
        <f>Portfolio!B$7*'CurrentFact-N10,20,40Unchanged'!J18</f>
        <v>2064.4550337304254</v>
      </c>
      <c r="I18">
        <f t="shared" si="0"/>
        <v>96508.624803599872</v>
      </c>
      <c r="J18">
        <f t="shared" si="1"/>
        <v>4.0059576078201644</v>
      </c>
    </row>
    <row r="19" spans="1:10">
      <c r="A19" s="1">
        <v>45496</v>
      </c>
      <c r="B19">
        <f>(3/(1+('CurrentFact-N10,20,40Unchanged'!C19)/100)+103/POWER(1+('CurrentFact-N10,20,40Unchanged'!D19)/100,2))*100</f>
        <v>9707.5857774288397</v>
      </c>
      <c r="C19">
        <f>(3/(1+('CurrentFact-N10,20,40Unchanged'!C19+'CurrentFact-N10,20,40Unchanged'!G19)/100)+103/POWER(1+('CurrentFact-N10,20,40Unchanged'!D19+'CurrentFact-N10,20,40Unchanged'!G19)/100,2))*100</f>
        <v>9614.9673582483465</v>
      </c>
      <c r="D19">
        <f>(3/(1+('CurrentFact-N10,20,40Unchanged'!C19+'CurrentFact-N10,20,40Unchanged'!H19)/100)+103/POWER(1+('CurrentFact-N10,20,40Unchanged'!D19+'CurrentFact-N10,20,40Unchanged'!H19)/100,2))*100</f>
        <v>9601.2395558122898</v>
      </c>
      <c r="E19">
        <f>(3/(1+('CurrentFact-N10,20,40Unchanged'!C19+'CurrentFact-N10,20,40Unchanged'!I19)/100)+103/POWER(1+('CurrentFact-N10,20,40Unchanged'!D19+'CurrentFact-N10,20,40Unchanged'!I19)/100,2))*100</f>
        <v>9680.9156629472927</v>
      </c>
      <c r="F19">
        <f>Portfolio!B$5*'CurrentFact-N10,20,40Unchanged'!E19</f>
        <v>52143.895533915893</v>
      </c>
      <c r="G19">
        <f>Portfolio!B$6*'CurrentFact-N10,20,40Unchanged'!F19</f>
        <v>3696.2945087936532</v>
      </c>
      <c r="H19">
        <f>Portfolio!B$7*'CurrentFact-N10,20,40Unchanged'!J19</f>
        <v>2064.4550337304254</v>
      </c>
      <c r="I19">
        <f t="shared" si="0"/>
        <v>96509.353430876741</v>
      </c>
      <c r="J19">
        <f t="shared" si="1"/>
        <v>7.1369582646584604</v>
      </c>
    </row>
    <row r="20" spans="1:10">
      <c r="A20" s="1">
        <v>45497</v>
      </c>
      <c r="B20">
        <f>(3/(1+('CurrentFact-N10,20,40Unchanged'!C20)/100)+103/POWER(1+('CurrentFact-N10,20,40Unchanged'!D20)/100,2))*100</f>
        <v>9707.5857774288397</v>
      </c>
      <c r="C20">
        <f>(3/(1+('CurrentFact-N10,20,40Unchanged'!C20+'CurrentFact-N10,20,40Unchanged'!G20)/100)+103/POWER(1+('CurrentFact-N10,20,40Unchanged'!D20+'CurrentFact-N10,20,40Unchanged'!G20)/100,2))*100</f>
        <v>9614.9673582483465</v>
      </c>
      <c r="D20">
        <f>(3/(1+('CurrentFact-N10,20,40Unchanged'!C20+'CurrentFact-N10,20,40Unchanged'!H20)/100)+103/POWER(1+('CurrentFact-N10,20,40Unchanged'!D20+'CurrentFact-N10,20,40Unchanged'!H20)/100,2))*100</f>
        <v>9601.2395558122898</v>
      </c>
      <c r="E20">
        <f>(3/(1+('CurrentFact-N10,20,40Unchanged'!C20+'CurrentFact-N10,20,40Unchanged'!I20)/100)+103/POWER(1+('CurrentFact-N10,20,40Unchanged'!D20+'CurrentFact-N10,20,40Unchanged'!I20)/100,2))*100</f>
        <v>9682.2456191808233</v>
      </c>
      <c r="F20">
        <f>Portfolio!B$5*'CurrentFact-N10,20,40Unchanged'!E20</f>
        <v>52143.895533915893</v>
      </c>
      <c r="G20">
        <f>Portfolio!B$6*'CurrentFact-N10,20,40Unchanged'!F20</f>
        <v>3696.2945087936532</v>
      </c>
      <c r="H20">
        <f>Portfolio!B$7*'CurrentFact-N10,20,40Unchanged'!J20</f>
        <v>2064.4550337304254</v>
      </c>
      <c r="I20">
        <f t="shared" si="0"/>
        <v>96510.683387110272</v>
      </c>
      <c r="J20">
        <f t="shared" si="1"/>
        <v>11.195784303272376</v>
      </c>
    </row>
    <row r="21" spans="1:10">
      <c r="A21" s="1">
        <v>45498</v>
      </c>
      <c r="B21">
        <f>(3/(1+('CurrentFact-N10,20,40Unchanged'!C21)/100)+103/POWER(1+('CurrentFact-N10,20,40Unchanged'!D21)/100,2))*100</f>
        <v>9707.5857774288397</v>
      </c>
      <c r="C21">
        <f>(3/(1+('CurrentFact-N10,20,40Unchanged'!C21+'CurrentFact-N10,20,40Unchanged'!G21)/100)+103/POWER(1+('CurrentFact-N10,20,40Unchanged'!D21+'CurrentFact-N10,20,40Unchanged'!G21)/100,2))*100</f>
        <v>9614.9673582483465</v>
      </c>
      <c r="D21">
        <f>(3/(1+('CurrentFact-N10,20,40Unchanged'!C21+'CurrentFact-N10,20,40Unchanged'!H21)/100)+103/POWER(1+('CurrentFact-N10,20,40Unchanged'!D21+'CurrentFact-N10,20,40Unchanged'!H21)/100,2))*100</f>
        <v>9601.2395558122898</v>
      </c>
      <c r="E21">
        <f>(3/(1+('CurrentFact-N10,20,40Unchanged'!C21+'CurrentFact-N10,20,40Unchanged'!I21)/100)+103/POWER(1+('CurrentFact-N10,20,40Unchanged'!D21+'CurrentFact-N10,20,40Unchanged'!I21)/100,2))*100</f>
        <v>9681.1160491018709</v>
      </c>
      <c r="F21">
        <f>Portfolio!B$5*'CurrentFact-N10,20,40Unchanged'!E21</f>
        <v>52143.895533915893</v>
      </c>
      <c r="G21">
        <f>Portfolio!B$6*'CurrentFact-N10,20,40Unchanged'!F21</f>
        <v>3696.2945087936532</v>
      </c>
      <c r="H21">
        <f>Portfolio!B$7*'CurrentFact-N10,20,40Unchanged'!J21</f>
        <v>2064.4550337304254</v>
      </c>
      <c r="I21">
        <f t="shared" si="0"/>
        <v>96509.553817031323</v>
      </c>
      <c r="J21">
        <f t="shared" si="1"/>
        <v>8.4472231597464997</v>
      </c>
    </row>
    <row r="22" spans="1:10">
      <c r="A22" s="1">
        <v>45499</v>
      </c>
      <c r="B22">
        <f>(3/(1+('CurrentFact-N10,20,40Unchanged'!C22)/100)+103/POWER(1+('CurrentFact-N10,20,40Unchanged'!D22)/100,2))*100</f>
        <v>9707.5857774288397</v>
      </c>
      <c r="C22">
        <f>(3/(1+('CurrentFact-N10,20,40Unchanged'!C22+'CurrentFact-N10,20,40Unchanged'!G22)/100)+103/POWER(1+('CurrentFact-N10,20,40Unchanged'!D22+'CurrentFact-N10,20,40Unchanged'!G22)/100,2))*100</f>
        <v>9614.9673582483465</v>
      </c>
      <c r="D22">
        <f>(3/(1+('CurrentFact-N10,20,40Unchanged'!C22+'CurrentFact-N10,20,40Unchanged'!H22)/100)+103/POWER(1+('CurrentFact-N10,20,40Unchanged'!D22+'CurrentFact-N10,20,40Unchanged'!H22)/100,2))*100</f>
        <v>9601.2395558122898</v>
      </c>
      <c r="E22">
        <f>(3/(1+('CurrentFact-N10,20,40Unchanged'!C22+'CurrentFact-N10,20,40Unchanged'!I22)/100)+103/POWER(1+('CurrentFact-N10,20,40Unchanged'!D22+'CurrentFact-N10,20,40Unchanged'!I22)/100,2))*100</f>
        <v>9682.8651459978046</v>
      </c>
      <c r="F22">
        <f>Portfolio!B$5*'CurrentFact-N10,20,40Unchanged'!E22</f>
        <v>52143.895533915893</v>
      </c>
      <c r="G22">
        <f>Portfolio!B$6*'CurrentFact-N10,20,40Unchanged'!F22</f>
        <v>3696.2945087936532</v>
      </c>
      <c r="H22">
        <f>Portfolio!B$7*'CurrentFact-N10,20,40Unchanged'!J22</f>
        <v>2064.4550337304254</v>
      </c>
      <c r="I22">
        <f t="shared" si="0"/>
        <v>96511.302913927255</v>
      </c>
      <c r="J22">
        <f t="shared" si="1"/>
        <v>8.0309657319885446</v>
      </c>
    </row>
    <row r="23" spans="1:10">
      <c r="A23" s="1">
        <v>45502</v>
      </c>
      <c r="B23">
        <f>(3/(1+('CurrentFact-N10,20,40Unchanged'!C23)/100)+103/POWER(1+('CurrentFact-N10,20,40Unchanged'!D23)/100,2))*100</f>
        <v>9707.5857774288397</v>
      </c>
      <c r="C23">
        <f>(3/(1+('CurrentFact-N10,20,40Unchanged'!C23+'CurrentFact-N10,20,40Unchanged'!G23)/100)+103/POWER(1+('CurrentFact-N10,20,40Unchanged'!D23+'CurrentFact-N10,20,40Unchanged'!G23)/100,2))*100</f>
        <v>9614.9673582483465</v>
      </c>
      <c r="D23">
        <f>(3/(1+('CurrentFact-N10,20,40Unchanged'!C23+'CurrentFact-N10,20,40Unchanged'!H23)/100)+103/POWER(1+('CurrentFact-N10,20,40Unchanged'!D23+'CurrentFact-N10,20,40Unchanged'!H23)/100,2))*100</f>
        <v>9601.2395558122898</v>
      </c>
      <c r="E23">
        <f>(3/(1+('CurrentFact-N10,20,40Unchanged'!C23+'CurrentFact-N10,20,40Unchanged'!I23)/100)+103/POWER(1+('CurrentFact-N10,20,40Unchanged'!D23+'CurrentFact-N10,20,40Unchanged'!I23)/100,2))*100</f>
        <v>9684.0132511794254</v>
      </c>
      <c r="F23">
        <f>Portfolio!B$5*'CurrentFact-N10,20,40Unchanged'!E23</f>
        <v>52143.895533915893</v>
      </c>
      <c r="G23">
        <f>Portfolio!B$6*'CurrentFact-N10,20,40Unchanged'!F23</f>
        <v>3696.2945087936532</v>
      </c>
      <c r="H23">
        <f>Portfolio!B$7*'CurrentFact-N10,20,40Unchanged'!J23</f>
        <v>2064.4550337304254</v>
      </c>
      <c r="I23">
        <f t="shared" si="0"/>
        <v>96512.451019108878</v>
      </c>
      <c r="J23">
        <f t="shared" si="1"/>
        <v>4.9918435851286631</v>
      </c>
    </row>
    <row r="24" spans="1:10">
      <c r="A24" s="1">
        <v>45503</v>
      </c>
      <c r="B24">
        <f>(3/(1+('CurrentFact-N10,20,40Unchanged'!C24)/100)+103/POWER(1+('CurrentFact-N10,20,40Unchanged'!D24)/100,2))*100</f>
        <v>9707.5857774288397</v>
      </c>
      <c r="C24">
        <f>(3/(1+('CurrentFact-N10,20,40Unchanged'!C24+'CurrentFact-N10,20,40Unchanged'!G24)/100)+103/POWER(1+('CurrentFact-N10,20,40Unchanged'!D24+'CurrentFact-N10,20,40Unchanged'!G24)/100,2))*100</f>
        <v>9614.9673582483465</v>
      </c>
      <c r="D24">
        <f>(3/(1+('CurrentFact-N10,20,40Unchanged'!C24+'CurrentFact-N10,20,40Unchanged'!H24)/100)+103/POWER(1+('CurrentFact-N10,20,40Unchanged'!D24+'CurrentFact-N10,20,40Unchanged'!H24)/100,2))*100</f>
        <v>9601.2395558122898</v>
      </c>
      <c r="E24">
        <f>(3/(1+('CurrentFact-N10,20,40Unchanged'!C24+'CurrentFact-N10,20,40Unchanged'!I24)/100)+103/POWER(1+('CurrentFact-N10,20,40Unchanged'!D24+'CurrentFact-N10,20,40Unchanged'!I24)/100,2))*100</f>
        <v>9683.0473718095345</v>
      </c>
      <c r="F24">
        <f>Portfolio!B$5*'CurrentFact-N10,20,40Unchanged'!E24</f>
        <v>52143.895533915893</v>
      </c>
      <c r="G24">
        <f>Portfolio!B$6*'CurrentFact-N10,20,40Unchanged'!F24</f>
        <v>3696.2945087936532</v>
      </c>
      <c r="H24">
        <f>Portfolio!B$7*'CurrentFact-N10,20,40Unchanged'!J24</f>
        <v>2064.4550337304254</v>
      </c>
      <c r="I24">
        <f t="shared" si="0"/>
        <v>96511.485139738972</v>
      </c>
      <c r="J24">
        <f t="shared" si="1"/>
        <v>2.1134934622095898</v>
      </c>
    </row>
    <row r="25" spans="1:10">
      <c r="A25" s="1">
        <v>45504</v>
      </c>
      <c r="B25">
        <f>(3/(1+('CurrentFact-N10,20,40Unchanged'!C25)/100)+103/POWER(1+('CurrentFact-N10,20,40Unchanged'!D25)/100,2))*100</f>
        <v>9707.5857774288397</v>
      </c>
      <c r="C25">
        <f>(3/(1+('CurrentFact-N10,20,40Unchanged'!C25+'CurrentFact-N10,20,40Unchanged'!G25)/100)+103/POWER(1+('CurrentFact-N10,20,40Unchanged'!D25+'CurrentFact-N10,20,40Unchanged'!G25)/100,2))*100</f>
        <v>9614.9673582483465</v>
      </c>
      <c r="D25">
        <f>(3/(1+('CurrentFact-N10,20,40Unchanged'!C25+'CurrentFact-N10,20,40Unchanged'!H25)/100)+103/POWER(1+('CurrentFact-N10,20,40Unchanged'!D25+'CurrentFact-N10,20,40Unchanged'!H25)/100,2))*100</f>
        <v>9601.2395558122898</v>
      </c>
      <c r="E25">
        <f>(3/(1+('CurrentFact-N10,20,40Unchanged'!C25+'CurrentFact-N10,20,40Unchanged'!I25)/100)+103/POWER(1+('CurrentFact-N10,20,40Unchanged'!D25+'CurrentFact-N10,20,40Unchanged'!I25)/100,2))*100</f>
        <v>9681.5714969712353</v>
      </c>
      <c r="F25">
        <f>Portfolio!B$5*'CurrentFact-N10,20,40Unchanged'!E25</f>
        <v>52143.895533915893</v>
      </c>
      <c r="G25">
        <f>Portfolio!B$6*'CurrentFact-N10,20,40Unchanged'!F25</f>
        <v>3696.2945087936532</v>
      </c>
      <c r="H25">
        <f>Portfolio!B$7*'CurrentFact-N10,20,40Unchanged'!J25</f>
        <v>2064.4550337304254</v>
      </c>
      <c r="I25">
        <f t="shared" si="0"/>
        <v>96510.009264900684</v>
      </c>
      <c r="J25">
        <f t="shared" si="1"/>
        <v>0.87443040932703298</v>
      </c>
    </row>
    <row r="26" spans="1:10">
      <c r="A26" s="1">
        <v>45505</v>
      </c>
      <c r="B26">
        <f>(3/(1+('CurrentFact-N10,20,40Unchanged'!C26)/100)+103/POWER(1+('CurrentFact-N10,20,40Unchanged'!D26)/100,2))*100</f>
        <v>9707.5857774288397</v>
      </c>
      <c r="C26">
        <f>(3/(1+('CurrentFact-N10,20,40Unchanged'!C26+'CurrentFact-N10,20,40Unchanged'!G26)/100)+103/POWER(1+('CurrentFact-N10,20,40Unchanged'!D26+'CurrentFact-N10,20,40Unchanged'!G26)/100,2))*100</f>
        <v>9614.9673582483465</v>
      </c>
      <c r="D26">
        <f>(3/(1+('CurrentFact-N10,20,40Unchanged'!C26+'CurrentFact-N10,20,40Unchanged'!H26)/100)+103/POWER(1+('CurrentFact-N10,20,40Unchanged'!D26+'CurrentFact-N10,20,40Unchanged'!H26)/100,2))*100</f>
        <v>9601.2395558122898</v>
      </c>
      <c r="E26">
        <f>(3/(1+('CurrentFact-N10,20,40Unchanged'!C26+'CurrentFact-N10,20,40Unchanged'!I26)/100)+103/POWER(1+('CurrentFact-N10,20,40Unchanged'!D26+'CurrentFact-N10,20,40Unchanged'!I26)/100,2))*100</f>
        <v>9682.5007116969864</v>
      </c>
      <c r="F26">
        <f>Portfolio!B$5*'CurrentFact-N10,20,40Unchanged'!E26</f>
        <v>52143.895533915893</v>
      </c>
      <c r="G26">
        <f>Portfolio!B$6*'CurrentFact-N10,20,40Unchanged'!F26</f>
        <v>3696.2945087936532</v>
      </c>
      <c r="H26">
        <f>Portfolio!B$7*'CurrentFact-N10,20,40Unchanged'!J26</f>
        <v>2064.4550337304254</v>
      </c>
      <c r="I26">
        <f t="shared" si="0"/>
        <v>96510.938479626435</v>
      </c>
      <c r="J26">
        <f t="shared" si="1"/>
        <v>0.40085460073896684</v>
      </c>
    </row>
    <row r="27" spans="1:10">
      <c r="A27" s="1">
        <v>45506</v>
      </c>
      <c r="B27">
        <f>(3/(1+('CurrentFact-N10,20,40Unchanged'!C27)/100)+103/POWER(1+('CurrentFact-N10,20,40Unchanged'!D27)/100,2))*100</f>
        <v>9707.5857774288397</v>
      </c>
      <c r="C27">
        <f>(3/(1+('CurrentFact-N10,20,40Unchanged'!C27+'CurrentFact-N10,20,40Unchanged'!G27)/100)+103/POWER(1+('CurrentFact-N10,20,40Unchanged'!D27+'CurrentFact-N10,20,40Unchanged'!G27)/100,2))*100</f>
        <v>9614.9673582483465</v>
      </c>
      <c r="D27">
        <f>(3/(1+('CurrentFact-N10,20,40Unchanged'!C27+'CurrentFact-N10,20,40Unchanged'!H27)/100)+103/POWER(1+('CurrentFact-N10,20,40Unchanged'!D27+'CurrentFact-N10,20,40Unchanged'!H27)/100,2))*100</f>
        <v>9601.2395558122898</v>
      </c>
      <c r="E27">
        <f>(3/(1+('CurrentFact-N10,20,40Unchanged'!C27+'CurrentFact-N10,20,40Unchanged'!I27)/100)+103/POWER(1+('CurrentFact-N10,20,40Unchanged'!D27+'CurrentFact-N10,20,40Unchanged'!I27)/100,2))*100</f>
        <v>9683.0655932861519</v>
      </c>
      <c r="F27">
        <f>Portfolio!B$5*'CurrentFact-N10,20,40Unchanged'!E27</f>
        <v>52143.895533915893</v>
      </c>
      <c r="G27">
        <f>Portfolio!B$6*'CurrentFact-N10,20,40Unchanged'!F27</f>
        <v>3696.2945087936532</v>
      </c>
      <c r="H27">
        <f>Portfolio!B$7*'CurrentFact-N10,20,40Unchanged'!J27</f>
        <v>2064.4550337304254</v>
      </c>
      <c r="I27">
        <f t="shared" si="0"/>
        <v>96511.503361215611</v>
      </c>
      <c r="J27">
        <f t="shared" si="1"/>
        <v>0.92929511162219569</v>
      </c>
    </row>
    <row r="28" spans="1:10">
      <c r="A28" s="1">
        <v>45509</v>
      </c>
      <c r="B28">
        <f>(3/(1+('CurrentFact-N10,20,40Unchanged'!C28)/100)+103/POWER(1+('CurrentFact-N10,20,40Unchanged'!D28)/100,2))*100</f>
        <v>9707.5857774288397</v>
      </c>
      <c r="C28">
        <f>(3/(1+('CurrentFact-N10,20,40Unchanged'!C28+'CurrentFact-N10,20,40Unchanged'!G28)/100)+103/POWER(1+('CurrentFact-N10,20,40Unchanged'!D28+'CurrentFact-N10,20,40Unchanged'!G28)/100,2))*100</f>
        <v>9614.9673582483465</v>
      </c>
      <c r="D28">
        <f>(3/(1+('CurrentFact-N10,20,40Unchanged'!C28+'CurrentFact-N10,20,40Unchanged'!H28)/100)+103/POWER(1+('CurrentFact-N10,20,40Unchanged'!D28+'CurrentFact-N10,20,40Unchanged'!H28)/100,2))*100</f>
        <v>9601.2395558122898</v>
      </c>
      <c r="E28">
        <f>(3/(1+('CurrentFact-N10,20,40Unchanged'!C28+'CurrentFact-N10,20,40Unchanged'!I28)/100)+103/POWER(1+('CurrentFact-N10,20,40Unchanged'!D28+'CurrentFact-N10,20,40Unchanged'!I28)/100,2))*100</f>
        <v>9682.8104799624489</v>
      </c>
      <c r="F28">
        <f>Portfolio!B$5*'CurrentFact-N10,20,40Unchanged'!E28</f>
        <v>52143.895533915893</v>
      </c>
      <c r="G28">
        <f>Portfolio!B$6*'CurrentFact-N10,20,40Unchanged'!F28</f>
        <v>3696.2945087936532</v>
      </c>
      <c r="H28">
        <f>Portfolio!B$7*'CurrentFact-N10,20,40Unchanged'!J28</f>
        <v>2064.4550337304254</v>
      </c>
      <c r="I28">
        <f t="shared" si="0"/>
        <v>96511.248247891897</v>
      </c>
      <c r="J28">
        <f t="shared" si="1"/>
        <v>2.6234442920249421</v>
      </c>
    </row>
    <row r="29" spans="1:10">
      <c r="A29" s="1">
        <v>45510</v>
      </c>
      <c r="B29">
        <f>(3/(1+('CurrentFact-N10,20,40Unchanged'!C29)/100)+103/POWER(1+('CurrentFact-N10,20,40Unchanged'!D29)/100,2))*100</f>
        <v>9707.5857774288397</v>
      </c>
      <c r="C29">
        <f>(3/(1+('CurrentFact-N10,20,40Unchanged'!C29+'CurrentFact-N10,20,40Unchanged'!G29)/100)+103/POWER(1+('CurrentFact-N10,20,40Unchanged'!D29+'CurrentFact-N10,20,40Unchanged'!G29)/100,2))*100</f>
        <v>9614.9673582483465</v>
      </c>
      <c r="D29">
        <f>(3/(1+('CurrentFact-N10,20,40Unchanged'!C29+'CurrentFact-N10,20,40Unchanged'!H29)/100)+103/POWER(1+('CurrentFact-N10,20,40Unchanged'!D29+'CurrentFact-N10,20,40Unchanged'!H29)/100,2))*100</f>
        <v>9601.2395558122898</v>
      </c>
      <c r="E29">
        <f>(3/(1+('CurrentFact-N10,20,40Unchanged'!C29+'CurrentFact-N10,20,40Unchanged'!I29)/100)+103/POWER(1+('CurrentFact-N10,20,40Unchanged'!D29+'CurrentFact-N10,20,40Unchanged'!I29)/100,2))*100</f>
        <v>9681.6990276353554</v>
      </c>
      <c r="F29">
        <f>Portfolio!B$5*'CurrentFact-N10,20,40Unchanged'!E29</f>
        <v>52143.895533915893</v>
      </c>
      <c r="G29">
        <f>Portfolio!B$6*'CurrentFact-N10,20,40Unchanged'!F29</f>
        <v>3696.2945087936532</v>
      </c>
      <c r="H29">
        <f>Portfolio!B$7*'CurrentFact-N10,20,40Unchanged'!J29</f>
        <v>2064.4550337304254</v>
      </c>
      <c r="I29">
        <f t="shared" si="0"/>
        <v>96510.136795564802</v>
      </c>
      <c r="J29">
        <f t="shared" si="1"/>
        <v>0.78336468806082848</v>
      </c>
    </row>
    <row r="30" spans="1:10">
      <c r="A30" s="1">
        <v>45511</v>
      </c>
      <c r="B30">
        <f>(3/(1+('CurrentFact-N10,20,40Unchanged'!C30)/100)+103/POWER(1+('CurrentFact-N10,20,40Unchanged'!D30)/100,2))*100</f>
        <v>9707.5857774288397</v>
      </c>
      <c r="C30">
        <f>(3/(1+('CurrentFact-N10,20,40Unchanged'!C30+'CurrentFact-N10,20,40Unchanged'!G30)/100)+103/POWER(1+('CurrentFact-N10,20,40Unchanged'!D30+'CurrentFact-N10,20,40Unchanged'!G30)/100,2))*100</f>
        <v>9614.9673582483465</v>
      </c>
      <c r="D30">
        <f>(3/(1+('CurrentFact-N10,20,40Unchanged'!C30+'CurrentFact-N10,20,40Unchanged'!H30)/100)+103/POWER(1+('CurrentFact-N10,20,40Unchanged'!D30+'CurrentFact-N10,20,40Unchanged'!H30)/100,2))*100</f>
        <v>9601.2395558122898</v>
      </c>
      <c r="E30">
        <f>(3/(1+('CurrentFact-N10,20,40Unchanged'!C30+'CurrentFact-N10,20,40Unchanged'!I30)/100)+103/POWER(1+('CurrentFact-N10,20,40Unchanged'!D30+'CurrentFact-N10,20,40Unchanged'!I30)/100,2))*100</f>
        <v>9679.4038563019276</v>
      </c>
      <c r="F30">
        <f>Portfolio!B$5*'CurrentFact-N10,20,40Unchanged'!E30</f>
        <v>52143.895533915893</v>
      </c>
      <c r="G30">
        <f>Portfolio!B$6*'CurrentFact-N10,20,40Unchanged'!F30</f>
        <v>3696.2945087936532</v>
      </c>
      <c r="H30">
        <f>Portfolio!B$7*'CurrentFact-N10,20,40Unchanged'!J30</f>
        <v>2064.4550337304254</v>
      </c>
      <c r="I30">
        <f t="shared" si="0"/>
        <v>96507.841624231369</v>
      </c>
      <c r="J30">
        <f t="shared" si="1"/>
        <v>-2.841762878902955</v>
      </c>
    </row>
    <row r="31" spans="1:10">
      <c r="A31" s="1">
        <v>45512</v>
      </c>
      <c r="B31">
        <f>(3/(1+('CurrentFact-N10,20,40Unchanged'!C31)/100)+103/POWER(1+('CurrentFact-N10,20,40Unchanged'!D31)/100,2))*100</f>
        <v>9707.5857774288397</v>
      </c>
      <c r="C31">
        <f>(3/(1+('CurrentFact-N10,20,40Unchanged'!C31+'CurrentFact-N10,20,40Unchanged'!G31)/100)+103/POWER(1+('CurrentFact-N10,20,40Unchanged'!D31+'CurrentFact-N10,20,40Unchanged'!G31)/100,2))*100</f>
        <v>9614.9673582483465</v>
      </c>
      <c r="D31">
        <f>(3/(1+('CurrentFact-N10,20,40Unchanged'!C31+'CurrentFact-N10,20,40Unchanged'!H31)/100)+103/POWER(1+('CurrentFact-N10,20,40Unchanged'!D31+'CurrentFact-N10,20,40Unchanged'!H31)/100,2))*100</f>
        <v>9601.2395558122898</v>
      </c>
      <c r="E31">
        <f>(3/(1+('CurrentFact-N10,20,40Unchanged'!C31+'CurrentFact-N10,20,40Unchanged'!I31)/100)+103/POWER(1+('CurrentFact-N10,20,40Unchanged'!D31+'CurrentFact-N10,20,40Unchanged'!I31)/100,2))*100</f>
        <v>9680.5149077507449</v>
      </c>
      <c r="F31">
        <f>Portfolio!B$5*'CurrentFact-N10,20,40Unchanged'!E31</f>
        <v>52143.895533915893</v>
      </c>
      <c r="G31">
        <f>Portfolio!B$6*'CurrentFact-N10,20,40Unchanged'!F31</f>
        <v>3696.2945087936532</v>
      </c>
      <c r="H31">
        <f>Portfolio!B$7*'CurrentFact-N10,20,40Unchanged'!J31</f>
        <v>2064.4550337304254</v>
      </c>
      <c r="I31">
        <f t="shared" si="0"/>
        <v>96508.952675680193</v>
      </c>
      <c r="J31">
        <f t="shared" si="1"/>
        <v>-0.60114135112962686</v>
      </c>
    </row>
    <row r="32" spans="1:10">
      <c r="A32" s="1">
        <v>45513</v>
      </c>
      <c r="B32">
        <f>(3/(1+('CurrentFact-N10,20,40Unchanged'!C32)/100)+103/POWER(1+('CurrentFact-N10,20,40Unchanged'!D32)/100,2))*100</f>
        <v>9707.5857774288397</v>
      </c>
      <c r="C32">
        <f>(3/(1+('CurrentFact-N10,20,40Unchanged'!C32+'CurrentFact-N10,20,40Unchanged'!G32)/100)+103/POWER(1+('CurrentFact-N10,20,40Unchanged'!D32+'CurrentFact-N10,20,40Unchanged'!G32)/100,2))*100</f>
        <v>9614.9673582483465</v>
      </c>
      <c r="D32">
        <f>(3/(1+('CurrentFact-N10,20,40Unchanged'!C32+'CurrentFact-N10,20,40Unchanged'!H32)/100)+103/POWER(1+('CurrentFact-N10,20,40Unchanged'!D32+'CurrentFact-N10,20,40Unchanged'!H32)/100,2))*100</f>
        <v>9601.2395558122898</v>
      </c>
      <c r="E32">
        <f>(3/(1+('CurrentFact-N10,20,40Unchanged'!C32+'CurrentFact-N10,20,40Unchanged'!I32)/100)+103/POWER(1+('CurrentFact-N10,20,40Unchanged'!D32+'CurrentFact-N10,20,40Unchanged'!I32)/100,2))*100</f>
        <v>9680.0777498733969</v>
      </c>
      <c r="F32">
        <f>Portfolio!B$5*'CurrentFact-N10,20,40Unchanged'!E32</f>
        <v>52143.895533915893</v>
      </c>
      <c r="G32">
        <f>Portfolio!B$6*'CurrentFact-N10,20,40Unchanged'!F32</f>
        <v>3696.2945087936532</v>
      </c>
      <c r="H32">
        <f>Portfolio!B$7*'CurrentFact-N10,20,40Unchanged'!J32</f>
        <v>2064.4550337304254</v>
      </c>
      <c r="I32">
        <f t="shared" si="0"/>
        <v>96508.515517802851</v>
      </c>
      <c r="J32">
        <f t="shared" si="1"/>
        <v>-2.7873961244040402</v>
      </c>
    </row>
    <row r="33" spans="1:10">
      <c r="A33" s="1">
        <v>45516</v>
      </c>
      <c r="B33">
        <f>(3/(1+('CurrentFact-N10,20,40Unchanged'!C33)/100)+103/POWER(1+('CurrentFact-N10,20,40Unchanged'!D33)/100,2))*100</f>
        <v>9707.5857774288397</v>
      </c>
      <c r="C33">
        <f>(3/(1+('CurrentFact-N10,20,40Unchanged'!C33+'CurrentFact-N10,20,40Unchanged'!G33)/100)+103/POWER(1+('CurrentFact-N10,20,40Unchanged'!D33+'CurrentFact-N10,20,40Unchanged'!G33)/100,2))*100</f>
        <v>9614.9673582483465</v>
      </c>
      <c r="D33">
        <f>(3/(1+('CurrentFact-N10,20,40Unchanged'!C33+'CurrentFact-N10,20,40Unchanged'!H33)/100)+103/POWER(1+('CurrentFact-N10,20,40Unchanged'!D33+'CurrentFact-N10,20,40Unchanged'!H33)/100,2))*100</f>
        <v>9601.2395558122898</v>
      </c>
      <c r="E33">
        <f>(3/(1+('CurrentFact-N10,20,40Unchanged'!C33+'CurrentFact-N10,20,40Unchanged'!I33)/100)+103/POWER(1+('CurrentFact-N10,20,40Unchanged'!D33+'CurrentFact-N10,20,40Unchanged'!I33)/100,2))*100</f>
        <v>9682.7375920633258</v>
      </c>
      <c r="F33">
        <f>Portfolio!B$5*'CurrentFact-N10,20,40Unchanged'!E33</f>
        <v>52143.895533915893</v>
      </c>
      <c r="G33">
        <f>Portfolio!B$6*'CurrentFact-N10,20,40Unchanged'!F33</f>
        <v>3696.2945087936532</v>
      </c>
      <c r="H33">
        <f>Portfolio!B$7*'CurrentFact-N10,20,40Unchanged'!J33</f>
        <v>2064.4550337304254</v>
      </c>
      <c r="I33">
        <f t="shared" si="0"/>
        <v>96511.175359992776</v>
      </c>
      <c r="J33">
        <f t="shared" si="1"/>
        <v>-1.2756591161014512</v>
      </c>
    </row>
    <row r="34" spans="1:10">
      <c r="A34" s="1">
        <v>45517</v>
      </c>
      <c r="B34">
        <f>(3/(1+('CurrentFact-N10,20,40Unchanged'!C34)/100)+103/POWER(1+('CurrentFact-N10,20,40Unchanged'!D34)/100,2))*100</f>
        <v>9707.5857774288397</v>
      </c>
      <c r="C34">
        <f>(3/(1+('CurrentFact-N10,20,40Unchanged'!C34+'CurrentFact-N10,20,40Unchanged'!G34)/100)+103/POWER(1+('CurrentFact-N10,20,40Unchanged'!D34+'CurrentFact-N10,20,40Unchanged'!G34)/100,2))*100</f>
        <v>9614.9673582483465</v>
      </c>
      <c r="D34">
        <f>(3/(1+('CurrentFact-N10,20,40Unchanged'!C34+'CurrentFact-N10,20,40Unchanged'!H34)/100)+103/POWER(1+('CurrentFact-N10,20,40Unchanged'!D34+'CurrentFact-N10,20,40Unchanged'!H34)/100,2))*100</f>
        <v>9601.2395558122898</v>
      </c>
      <c r="E34">
        <f>(3/(1+('CurrentFact-N10,20,40Unchanged'!C34+'CurrentFact-N10,20,40Unchanged'!I34)/100)+103/POWER(1+('CurrentFact-N10,20,40Unchanged'!D34+'CurrentFact-N10,20,40Unchanged'!I34)/100,2))*100</f>
        <v>9683.2296010785903</v>
      </c>
      <c r="F34">
        <f>Portfolio!B$5*'CurrentFact-N10,20,40Unchanged'!E34</f>
        <v>52143.895533915893</v>
      </c>
      <c r="G34">
        <f>Portfolio!B$6*'CurrentFact-N10,20,40Unchanged'!F34</f>
        <v>3696.2945087936532</v>
      </c>
      <c r="H34">
        <f>Portfolio!B$7*'CurrentFact-N10,20,40Unchanged'!J34</f>
        <v>2064.4550337304254</v>
      </c>
      <c r="I34">
        <f t="shared" si="0"/>
        <v>96511.667369008035</v>
      </c>
      <c r="J34">
        <f t="shared" si="1"/>
        <v>0.18222926906310022</v>
      </c>
    </row>
    <row r="35" spans="1:10">
      <c r="A35" s="1">
        <v>45518</v>
      </c>
      <c r="B35">
        <f>(3/(1+('CurrentFact-N10,20,40Unchanged'!C35)/100)+103/POWER(1+('CurrentFact-N10,20,40Unchanged'!D35)/100,2))*100</f>
        <v>9707.5857774288397</v>
      </c>
      <c r="C35">
        <f>(3/(1+('CurrentFact-N10,20,40Unchanged'!C35+'CurrentFact-N10,20,40Unchanged'!G35)/100)+103/POWER(1+('CurrentFact-N10,20,40Unchanged'!D35+'CurrentFact-N10,20,40Unchanged'!G35)/100,2))*100</f>
        <v>9614.9673582483465</v>
      </c>
      <c r="D35">
        <f>(3/(1+('CurrentFact-N10,20,40Unchanged'!C35+'CurrentFact-N10,20,40Unchanged'!H35)/100)+103/POWER(1+('CurrentFact-N10,20,40Unchanged'!D35+'CurrentFact-N10,20,40Unchanged'!H35)/100,2))*100</f>
        <v>9601.2395558122898</v>
      </c>
      <c r="E35">
        <f>(3/(1+('CurrentFact-N10,20,40Unchanged'!C35+'CurrentFact-N10,20,40Unchanged'!I35)/100)+103/POWER(1+('CurrentFact-N10,20,40Unchanged'!D35+'CurrentFact-N10,20,40Unchanged'!I35)/100,2))*100</f>
        <v>9682.9744812089939</v>
      </c>
      <c r="F35">
        <f>Portfolio!B$5*'CurrentFact-N10,20,40Unchanged'!E35</f>
        <v>52143.895533915893</v>
      </c>
      <c r="G35">
        <f>Portfolio!B$6*'CurrentFact-N10,20,40Unchanged'!F35</f>
        <v>3696.2945087936532</v>
      </c>
      <c r="H35">
        <f>Portfolio!B$7*'CurrentFact-N10,20,40Unchanged'!J35</f>
        <v>2064.4550337304254</v>
      </c>
      <c r="I35">
        <f t="shared" si="0"/>
        <v>96511.412249138433</v>
      </c>
      <c r="J35">
        <f t="shared" si="1"/>
        <v>1.4029842377494788</v>
      </c>
    </row>
    <row r="36" spans="1:10">
      <c r="A36" s="1">
        <v>45519</v>
      </c>
      <c r="B36">
        <f>(3/(1+('CurrentFact-N10,20,40Unchanged'!C36)/100)+103/POWER(1+('CurrentFact-N10,20,40Unchanged'!D36)/100,2))*100</f>
        <v>9707.5857774288397</v>
      </c>
      <c r="C36">
        <f>(3/(1+('CurrentFact-N10,20,40Unchanged'!C36+'CurrentFact-N10,20,40Unchanged'!G36)/100)+103/POWER(1+('CurrentFact-N10,20,40Unchanged'!D36+'CurrentFact-N10,20,40Unchanged'!G36)/100,2))*100</f>
        <v>9614.9673582483465</v>
      </c>
      <c r="D36">
        <f>(3/(1+('CurrentFact-N10,20,40Unchanged'!C36+'CurrentFact-N10,20,40Unchanged'!H36)/100)+103/POWER(1+('CurrentFact-N10,20,40Unchanged'!D36+'CurrentFact-N10,20,40Unchanged'!H36)/100,2))*100</f>
        <v>9601.2395558122898</v>
      </c>
      <c r="E36">
        <f>(3/(1+('CurrentFact-N10,20,40Unchanged'!C36+'CurrentFact-N10,20,40Unchanged'!I36)/100)+103/POWER(1+('CurrentFact-N10,20,40Unchanged'!D36+'CurrentFact-N10,20,40Unchanged'!I36)/100,2))*100</f>
        <v>9683.3024945884808</v>
      </c>
      <c r="F36">
        <f>Portfolio!B$5*'CurrentFact-N10,20,40Unchanged'!E36</f>
        <v>52143.895533915893</v>
      </c>
      <c r="G36">
        <f>Portfolio!B$6*'CurrentFact-N10,20,40Unchanged'!F36</f>
        <v>3696.2945087936532</v>
      </c>
      <c r="H36">
        <f>Portfolio!B$7*'CurrentFact-N10,20,40Unchanged'!J36</f>
        <v>2064.4550337304254</v>
      </c>
      <c r="I36">
        <f t="shared" si="0"/>
        <v>96511.740262517938</v>
      </c>
      <c r="J36">
        <f t="shared" si="1"/>
        <v>0.80178289150353521</v>
      </c>
    </row>
    <row r="37" spans="1:10">
      <c r="A37" s="1">
        <v>45520</v>
      </c>
      <c r="B37">
        <f>(3/(1+('CurrentFact-N10,20,40Unchanged'!C37)/100)+103/POWER(1+('CurrentFact-N10,20,40Unchanged'!D37)/100,2))*100</f>
        <v>9707.5857774288397</v>
      </c>
      <c r="C37">
        <f>(3/(1+('CurrentFact-N10,20,40Unchanged'!C37+'CurrentFact-N10,20,40Unchanged'!G37)/100)+103/POWER(1+('CurrentFact-N10,20,40Unchanged'!D37+'CurrentFact-N10,20,40Unchanged'!G37)/100,2))*100</f>
        <v>9614.9673582483465</v>
      </c>
      <c r="D37">
        <f>(3/(1+('CurrentFact-N10,20,40Unchanged'!C37+'CurrentFact-N10,20,40Unchanged'!H37)/100)+103/POWER(1+('CurrentFact-N10,20,40Unchanged'!D37+'CurrentFact-N10,20,40Unchanged'!H37)/100,2))*100</f>
        <v>9601.2395558122898</v>
      </c>
      <c r="E37">
        <f>(3/(1+('CurrentFact-N10,20,40Unchanged'!C37+'CurrentFact-N10,20,40Unchanged'!I37)/100)+103/POWER(1+('CurrentFact-N10,20,40Unchanged'!D37+'CurrentFact-N10,20,40Unchanged'!I37)/100,2))*100</f>
        <v>9682.4642685408926</v>
      </c>
      <c r="F37">
        <f>Portfolio!B$5*'CurrentFact-N10,20,40Unchanged'!E37</f>
        <v>52143.895533915893</v>
      </c>
      <c r="G37">
        <f>Portfolio!B$6*'CurrentFact-N10,20,40Unchanged'!F37</f>
        <v>3696.2945087936532</v>
      </c>
      <c r="H37">
        <f>Portfolio!B$7*'CurrentFact-N10,20,40Unchanged'!J37</f>
        <v>2064.4550337304254</v>
      </c>
      <c r="I37">
        <f t="shared" si="0"/>
        <v>96510.902036470332</v>
      </c>
      <c r="J37">
        <f t="shared" si="1"/>
        <v>-0.60132474527927116</v>
      </c>
    </row>
    <row r="38" spans="1:10">
      <c r="A38" s="1">
        <v>45523</v>
      </c>
      <c r="B38">
        <f>(3/(1+('CurrentFact-N10,20,40Unchanged'!C38)/100)+103/POWER(1+('CurrentFact-N10,20,40Unchanged'!D38)/100,2))*100</f>
        <v>9707.5857774288397</v>
      </c>
      <c r="C38">
        <f>(3/(1+('CurrentFact-N10,20,40Unchanged'!C38+'CurrentFact-N10,20,40Unchanged'!G38)/100)+103/POWER(1+('CurrentFact-N10,20,40Unchanged'!D38+'CurrentFact-N10,20,40Unchanged'!G38)/100,2))*100</f>
        <v>9614.9673582483465</v>
      </c>
      <c r="D38">
        <f>(3/(1+('CurrentFact-N10,20,40Unchanged'!C38+'CurrentFact-N10,20,40Unchanged'!H38)/100)+103/POWER(1+('CurrentFact-N10,20,40Unchanged'!D38+'CurrentFact-N10,20,40Unchanged'!H38)/100,2))*100</f>
        <v>9601.2395558122898</v>
      </c>
      <c r="E38">
        <f>(3/(1+('CurrentFact-N10,20,40Unchanged'!C38+'CurrentFact-N10,20,40Unchanged'!I38)/100)+103/POWER(1+('CurrentFact-N10,20,40Unchanged'!D38+'CurrentFact-N10,20,40Unchanged'!I38)/100,2))*100</f>
        <v>9682.1909584439472</v>
      </c>
      <c r="F38">
        <f>Portfolio!B$5*'CurrentFact-N10,20,40Unchanged'!E38</f>
        <v>52143.895533915893</v>
      </c>
      <c r="G38">
        <f>Portfolio!B$6*'CurrentFact-N10,20,40Unchanged'!F38</f>
        <v>3696.2945087936532</v>
      </c>
      <c r="H38">
        <f>Portfolio!B$7*'CurrentFact-N10,20,40Unchanged'!J38</f>
        <v>2064.4550337304254</v>
      </c>
      <c r="I38">
        <f t="shared" si="0"/>
        <v>96510.628726373398</v>
      </c>
      <c r="J38">
        <f t="shared" si="1"/>
        <v>-0.61952151849982329</v>
      </c>
    </row>
    <row r="39" spans="1:10">
      <c r="A39" s="1">
        <v>45524</v>
      </c>
      <c r="B39">
        <f>(3/(1+('CurrentFact-N10,20,40Unchanged'!C39)/100)+103/POWER(1+('CurrentFact-N10,20,40Unchanged'!D39)/100,2))*100</f>
        <v>9707.5857774288397</v>
      </c>
      <c r="C39">
        <f>(3/(1+('CurrentFact-N10,20,40Unchanged'!C39+'CurrentFact-N10,20,40Unchanged'!G39)/100)+103/POWER(1+('CurrentFact-N10,20,40Unchanged'!D39+'CurrentFact-N10,20,40Unchanged'!G39)/100,2))*100</f>
        <v>9614.9673582483465</v>
      </c>
      <c r="D39">
        <f>(3/(1+('CurrentFact-N10,20,40Unchanged'!C39+'CurrentFact-N10,20,40Unchanged'!H39)/100)+103/POWER(1+('CurrentFact-N10,20,40Unchanged'!D39+'CurrentFact-N10,20,40Unchanged'!H39)/100,2))*100</f>
        <v>9601.2395558122898</v>
      </c>
      <c r="E39">
        <f>(3/(1+('CurrentFact-N10,20,40Unchanged'!C39+'CurrentFact-N10,20,40Unchanged'!I39)/100)+103/POWER(1+('CurrentFact-N10,20,40Unchanged'!D39+'CurrentFact-N10,20,40Unchanged'!I39)/100,2))*100</f>
        <v>9682.2820610902218</v>
      </c>
      <c r="F39">
        <f>Portfolio!B$5*'CurrentFact-N10,20,40Unchanged'!E39</f>
        <v>52143.895533915893</v>
      </c>
      <c r="G39">
        <f>Portfolio!B$6*'CurrentFact-N10,20,40Unchanged'!F39</f>
        <v>3696.2945087936532</v>
      </c>
      <c r="H39">
        <f>Portfolio!B$7*'CurrentFact-N10,20,40Unchanged'!J39</f>
        <v>2064.4550337304254</v>
      </c>
      <c r="I39">
        <f t="shared" si="0"/>
        <v>96510.719829019668</v>
      </c>
      <c r="J39">
        <f t="shared" si="1"/>
        <v>0.58303345486638136</v>
      </c>
    </row>
    <row r="40" spans="1:10">
      <c r="A40" s="1">
        <v>45525</v>
      </c>
      <c r="B40">
        <f>(3/(1+('CurrentFact-N10,20,40Unchanged'!C40)/100)+103/POWER(1+('CurrentFact-N10,20,40Unchanged'!D40)/100,2))*100</f>
        <v>9707.5857774288397</v>
      </c>
      <c r="C40">
        <f>(3/(1+('CurrentFact-N10,20,40Unchanged'!C40+'CurrentFact-N10,20,40Unchanged'!G40)/100)+103/POWER(1+('CurrentFact-N10,20,40Unchanged'!D40+'CurrentFact-N10,20,40Unchanged'!G40)/100,2))*100</f>
        <v>9614.9673582483465</v>
      </c>
      <c r="D40">
        <f>(3/(1+('CurrentFact-N10,20,40Unchanged'!C40+'CurrentFact-N10,20,40Unchanged'!H40)/100)+103/POWER(1+('CurrentFact-N10,20,40Unchanged'!D40+'CurrentFact-N10,20,40Unchanged'!H40)/100,2))*100</f>
        <v>9601.2395558122898</v>
      </c>
      <c r="E40">
        <f>(3/(1+('CurrentFact-N10,20,40Unchanged'!C40+'CurrentFact-N10,20,40Unchanged'!I40)/100)+103/POWER(1+('CurrentFact-N10,20,40Unchanged'!D40+'CurrentFact-N10,20,40Unchanged'!I40)/100,2))*100</f>
        <v>9683.5029573304655</v>
      </c>
      <c r="F40">
        <f>Portfolio!B$5*'CurrentFact-N10,20,40Unchanged'!E40</f>
        <v>52143.895533915893</v>
      </c>
      <c r="G40">
        <f>Portfolio!B$6*'CurrentFact-N10,20,40Unchanged'!F40</f>
        <v>3696.2945087936532</v>
      </c>
      <c r="H40">
        <f>Portfolio!B$7*'CurrentFact-N10,20,40Unchanged'!J40</f>
        <v>2064.4550337304254</v>
      </c>
      <c r="I40">
        <f t="shared" si="0"/>
        <v>96511.940725259919</v>
      </c>
      <c r="J40">
        <f t="shared" si="1"/>
        <v>4.0991010285506491</v>
      </c>
    </row>
    <row r="41" spans="1:10">
      <c r="A41" s="1">
        <v>45526</v>
      </c>
      <c r="B41">
        <f>(3/(1+('CurrentFact-N10,20,40Unchanged'!C41)/100)+103/POWER(1+('CurrentFact-N10,20,40Unchanged'!D41)/100,2))*100</f>
        <v>9707.5857774288397</v>
      </c>
      <c r="C41">
        <f>(3/(1+('CurrentFact-N10,20,40Unchanged'!C41+'CurrentFact-N10,20,40Unchanged'!G41)/100)+103/POWER(1+('CurrentFact-N10,20,40Unchanged'!D41+'CurrentFact-N10,20,40Unchanged'!G41)/100,2))*100</f>
        <v>9614.9673582483465</v>
      </c>
      <c r="D41">
        <f>(3/(1+('CurrentFact-N10,20,40Unchanged'!C41+'CurrentFact-N10,20,40Unchanged'!H41)/100)+103/POWER(1+('CurrentFact-N10,20,40Unchanged'!D41+'CurrentFact-N10,20,40Unchanged'!H41)/100,2))*100</f>
        <v>9601.2395558122898</v>
      </c>
      <c r="E41">
        <f>(3/(1+('CurrentFact-N10,20,40Unchanged'!C41+'CurrentFact-N10,20,40Unchanged'!I41)/100)+103/POWER(1+('CurrentFact-N10,20,40Unchanged'!D41+'CurrentFact-N10,20,40Unchanged'!I41)/100,2))*100</f>
        <v>9681.2800068736287</v>
      </c>
      <c r="F41">
        <f>Portfolio!B$5*'CurrentFact-N10,20,40Unchanged'!E41</f>
        <v>52143.895533915893</v>
      </c>
      <c r="G41">
        <f>Portfolio!B$6*'CurrentFact-N10,20,40Unchanged'!F41</f>
        <v>3696.2945087936532</v>
      </c>
      <c r="H41">
        <f>Portfolio!B$7*'CurrentFact-N10,20,40Unchanged'!J41</f>
        <v>2064.4550337304254</v>
      </c>
      <c r="I41">
        <f t="shared" si="0"/>
        <v>96509.717774803081</v>
      </c>
      <c r="J41">
        <f t="shared" si="1"/>
        <v>0.76509912288747728</v>
      </c>
    </row>
    <row r="42" spans="1:10">
      <c r="A42" s="1">
        <v>45527</v>
      </c>
      <c r="B42">
        <f>(3/(1+('CurrentFact-N10,20,40Unchanged'!C42)/100)+103/POWER(1+('CurrentFact-N10,20,40Unchanged'!D42)/100,2))*100</f>
        <v>9707.5857774288397</v>
      </c>
      <c r="C42">
        <f>(3/(1+('CurrentFact-N10,20,40Unchanged'!C42+'CurrentFact-N10,20,40Unchanged'!G42)/100)+103/POWER(1+('CurrentFact-N10,20,40Unchanged'!D42+'CurrentFact-N10,20,40Unchanged'!G42)/100,2))*100</f>
        <v>9614.9673582483465</v>
      </c>
      <c r="D42">
        <f>(3/(1+('CurrentFact-N10,20,40Unchanged'!C42+'CurrentFact-N10,20,40Unchanged'!H42)/100)+103/POWER(1+('CurrentFact-N10,20,40Unchanged'!D42+'CurrentFact-N10,20,40Unchanged'!H42)/100,2))*100</f>
        <v>9601.2395558122898</v>
      </c>
      <c r="E42">
        <f>(3/(1+('CurrentFact-N10,20,40Unchanged'!C42+'CurrentFact-N10,20,40Unchanged'!I42)/100)+103/POWER(1+('CurrentFact-N10,20,40Unchanged'!D42+'CurrentFact-N10,20,40Unchanged'!I42)/100,2))*100</f>
        <v>9683.2478248126099</v>
      </c>
      <c r="F42">
        <f>Portfolio!B$5*'CurrentFact-N10,20,40Unchanged'!E42</f>
        <v>52143.895533915893</v>
      </c>
      <c r="G42">
        <f>Portfolio!B$6*'CurrentFact-N10,20,40Unchanged'!F42</f>
        <v>3696.2945087936532</v>
      </c>
      <c r="H42">
        <f>Portfolio!B$7*'CurrentFact-N10,20,40Unchanged'!J42</f>
        <v>2064.4550337304254</v>
      </c>
      <c r="I42">
        <f t="shared" si="0"/>
        <v>96511.685592742055</v>
      </c>
      <c r="J42">
        <f t="shared" si="1"/>
        <v>3.1700749392039143</v>
      </c>
    </row>
    <row r="43" spans="1:10">
      <c r="A43" s="1">
        <v>45530</v>
      </c>
      <c r="B43">
        <f>(3/(1+('CurrentFact-N10,20,40Unchanged'!C43)/100)+103/POWER(1+('CurrentFact-N10,20,40Unchanged'!D43)/100,2))*100</f>
        <v>9707.5857774288397</v>
      </c>
      <c r="C43">
        <f>(3/(1+('CurrentFact-N10,20,40Unchanged'!C43+'CurrentFact-N10,20,40Unchanged'!G43)/100)+103/POWER(1+('CurrentFact-N10,20,40Unchanged'!D43+'CurrentFact-N10,20,40Unchanged'!G43)/100,2))*100</f>
        <v>9614.9673582483465</v>
      </c>
      <c r="D43">
        <f>(3/(1+('CurrentFact-N10,20,40Unchanged'!C43+'CurrentFact-N10,20,40Unchanged'!H43)/100)+103/POWER(1+('CurrentFact-N10,20,40Unchanged'!D43+'CurrentFact-N10,20,40Unchanged'!H43)/100,2))*100</f>
        <v>9601.2395558122898</v>
      </c>
      <c r="E43">
        <f>(3/(1+('CurrentFact-N10,20,40Unchanged'!C43+'CurrentFact-N10,20,40Unchanged'!I43)/100)+103/POWER(1+('CurrentFact-N10,20,40Unchanged'!D43+'CurrentFact-N10,20,40Unchanged'!I43)/100,2))*100</f>
        <v>9678.2201598923075</v>
      </c>
      <c r="F43">
        <f>Portfolio!B$5*'CurrentFact-N10,20,40Unchanged'!E43</f>
        <v>52143.895533915893</v>
      </c>
      <c r="G43">
        <f>Portfolio!B$6*'CurrentFact-N10,20,40Unchanged'!F43</f>
        <v>3696.2945087936532</v>
      </c>
      <c r="H43">
        <f>Portfolio!B$7*'CurrentFact-N10,20,40Unchanged'!J43</f>
        <v>2064.4550337304254</v>
      </c>
      <c r="I43">
        <f t="shared" si="0"/>
        <v>96506.657927821754</v>
      </c>
      <c r="J43">
        <f t="shared" si="1"/>
        <v>-4.5174321710219374</v>
      </c>
    </row>
    <row r="44" spans="1:10">
      <c r="A44" s="1">
        <v>45531</v>
      </c>
      <c r="B44">
        <f>(3/(1+('CurrentFact-N10,20,40Unchanged'!C44)/100)+103/POWER(1+('CurrentFact-N10,20,40Unchanged'!D44)/100,2))*100</f>
        <v>9707.5857774288397</v>
      </c>
      <c r="C44">
        <f>(3/(1+('CurrentFact-N10,20,40Unchanged'!C44+'CurrentFact-N10,20,40Unchanged'!G44)/100)+103/POWER(1+('CurrentFact-N10,20,40Unchanged'!D44+'CurrentFact-N10,20,40Unchanged'!G44)/100,2))*100</f>
        <v>9614.9673582483465</v>
      </c>
      <c r="D44">
        <f>(3/(1+('CurrentFact-N10,20,40Unchanged'!C44+'CurrentFact-N10,20,40Unchanged'!H44)/100)+103/POWER(1+('CurrentFact-N10,20,40Unchanged'!D44+'CurrentFact-N10,20,40Unchanged'!H44)/100,2))*100</f>
        <v>9601.2395558122898</v>
      </c>
      <c r="E44">
        <f>(3/(1+('CurrentFact-N10,20,40Unchanged'!C44+'CurrentFact-N10,20,40Unchanged'!I44)/100)+103/POWER(1+('CurrentFact-N10,20,40Unchanged'!D44+'CurrentFact-N10,20,40Unchanged'!I44)/100,2))*100</f>
        <v>9678.5297207193616</v>
      </c>
      <c r="F44">
        <f>Portfolio!B$5*'CurrentFact-N10,20,40Unchanged'!E44</f>
        <v>52143.895533915893</v>
      </c>
      <c r="G44">
        <f>Portfolio!B$6*'CurrentFact-N10,20,40Unchanged'!F44</f>
        <v>3696.2945087936532</v>
      </c>
      <c r="H44">
        <f>Portfolio!B$7*'CurrentFact-N10,20,40Unchanged'!J44</f>
        <v>2064.4550337304254</v>
      </c>
      <c r="I44">
        <f t="shared" si="0"/>
        <v>96506.967488648806</v>
      </c>
      <c r="J44">
        <f t="shared" si="1"/>
        <v>-4.6998803592287004</v>
      </c>
    </row>
    <row r="45" spans="1:10">
      <c r="A45" s="1">
        <v>45532</v>
      </c>
      <c r="B45">
        <f>(3/(1+('CurrentFact-N10,20,40Unchanged'!C45)/100)+103/POWER(1+('CurrentFact-N10,20,40Unchanged'!D45)/100,2))*100</f>
        <v>9707.5857774288397</v>
      </c>
      <c r="C45">
        <f>(3/(1+('CurrentFact-N10,20,40Unchanged'!C45+'CurrentFact-N10,20,40Unchanged'!G45)/100)+103/POWER(1+('CurrentFact-N10,20,40Unchanged'!D45+'CurrentFact-N10,20,40Unchanged'!G45)/100,2))*100</f>
        <v>9614.9673582483465</v>
      </c>
      <c r="D45">
        <f>(3/(1+('CurrentFact-N10,20,40Unchanged'!C45+'CurrentFact-N10,20,40Unchanged'!H45)/100)+103/POWER(1+('CurrentFact-N10,20,40Unchanged'!D45+'CurrentFact-N10,20,40Unchanged'!H45)/100,2))*100</f>
        <v>9601.2395558122898</v>
      </c>
      <c r="E45">
        <f>(3/(1+('CurrentFact-N10,20,40Unchanged'!C45+'CurrentFact-N10,20,40Unchanged'!I45)/100)+103/POWER(1+('CurrentFact-N10,20,40Unchanged'!D45+'CurrentFact-N10,20,40Unchanged'!I45)/100,2))*100</f>
        <v>9676.3813140356069</v>
      </c>
      <c r="F45">
        <f>Portfolio!B$5*'CurrentFact-N10,20,40Unchanged'!E45</f>
        <v>52143.895533915893</v>
      </c>
      <c r="G45">
        <f>Portfolio!B$6*'CurrentFact-N10,20,40Unchanged'!F45</f>
        <v>3696.2945087936532</v>
      </c>
      <c r="H45">
        <f>Portfolio!B$7*'CurrentFact-N10,20,40Unchanged'!J45</f>
        <v>2064.4550337304254</v>
      </c>
      <c r="I45">
        <f t="shared" si="0"/>
        <v>96504.819081965048</v>
      </c>
      <c r="J45">
        <f t="shared" si="1"/>
        <v>-6.5931671733851545</v>
      </c>
    </row>
    <row r="46" spans="1:10">
      <c r="A46" s="1">
        <v>45533</v>
      </c>
      <c r="B46">
        <f>(3/(1+('CurrentFact-N10,20,40Unchanged'!C46)/100)+103/POWER(1+('CurrentFact-N10,20,40Unchanged'!D46)/100,2))*100</f>
        <v>9707.5857774288397</v>
      </c>
      <c r="C46">
        <f>(3/(1+('CurrentFact-N10,20,40Unchanged'!C46+'CurrentFact-N10,20,40Unchanged'!G46)/100)+103/POWER(1+('CurrentFact-N10,20,40Unchanged'!D46+'CurrentFact-N10,20,40Unchanged'!G46)/100,2))*100</f>
        <v>9614.9673582483465</v>
      </c>
      <c r="D46">
        <f>(3/(1+('CurrentFact-N10,20,40Unchanged'!C46+'CurrentFact-N10,20,40Unchanged'!H46)/100)+103/POWER(1+('CurrentFact-N10,20,40Unchanged'!D46+'CurrentFact-N10,20,40Unchanged'!H46)/100,2))*100</f>
        <v>9601.2395558122898</v>
      </c>
      <c r="E46">
        <f>(3/(1+('CurrentFact-N10,20,40Unchanged'!C46+'CurrentFact-N10,20,40Unchanged'!I46)/100)+103/POWER(1+('CurrentFact-N10,20,40Unchanged'!D46+'CurrentFact-N10,20,40Unchanged'!I46)/100,2))*100</f>
        <v>9678.8028742649876</v>
      </c>
      <c r="F46">
        <f>Portfolio!B$5*'CurrentFact-N10,20,40Unchanged'!E46</f>
        <v>52143.895533915893</v>
      </c>
      <c r="G46">
        <f>Portfolio!B$6*'CurrentFact-N10,20,40Unchanged'!F46</f>
        <v>3696.2945087936532</v>
      </c>
      <c r="H46">
        <f>Portfolio!B$7*'CurrentFact-N10,20,40Unchanged'!J46</f>
        <v>2064.4550337304254</v>
      </c>
      <c r="I46">
        <f t="shared" si="0"/>
        <v>96507.240642194432</v>
      </c>
      <c r="J46">
        <f t="shared" si="1"/>
        <v>-4.4996203235059511</v>
      </c>
    </row>
    <row r="47" spans="1:10">
      <c r="A47" s="1">
        <v>45534</v>
      </c>
      <c r="B47">
        <f>(3/(1+('CurrentFact-N10,20,40Unchanged'!C47)/100)+103/POWER(1+('CurrentFact-N10,20,40Unchanged'!D47)/100,2))*100</f>
        <v>9707.5857774288397</v>
      </c>
      <c r="C47">
        <f>(3/(1+('CurrentFact-N10,20,40Unchanged'!C47+'CurrentFact-N10,20,40Unchanged'!G47)/100)+103/POWER(1+('CurrentFact-N10,20,40Unchanged'!D47+'CurrentFact-N10,20,40Unchanged'!G47)/100,2))*100</f>
        <v>9614.9673582483465</v>
      </c>
      <c r="D47">
        <f>(3/(1+('CurrentFact-N10,20,40Unchanged'!C47+'CurrentFact-N10,20,40Unchanged'!H47)/100)+103/POWER(1+('CurrentFact-N10,20,40Unchanged'!D47+'CurrentFact-N10,20,40Unchanged'!H47)/100,2))*100</f>
        <v>9601.2395558122898</v>
      </c>
      <c r="E47">
        <f>(3/(1+('CurrentFact-N10,20,40Unchanged'!C47+'CurrentFact-N10,20,40Unchanged'!I47)/100)+103/POWER(1+('CurrentFact-N10,20,40Unchanged'!D47+'CurrentFact-N10,20,40Unchanged'!I47)/100,2))*100</f>
        <v>9678.4022532928229</v>
      </c>
      <c r="F47">
        <f>Portfolio!B$5*'CurrentFact-N10,20,40Unchanged'!E47</f>
        <v>52143.895533915893</v>
      </c>
      <c r="G47">
        <f>Portfolio!B$6*'CurrentFact-N10,20,40Unchanged'!F47</f>
        <v>3696.2945087936532</v>
      </c>
      <c r="H47">
        <f>Portfolio!B$7*'CurrentFact-N10,20,40Unchanged'!J47</f>
        <v>2064.4550337304254</v>
      </c>
      <c r="I47">
        <f t="shared" si="0"/>
        <v>96506.840021222277</v>
      </c>
      <c r="J47">
        <f t="shared" si="1"/>
        <v>-4.0620152480551042</v>
      </c>
    </row>
    <row r="48" spans="1:10">
      <c r="A48" s="1">
        <v>45537</v>
      </c>
      <c r="B48">
        <f>(3/(1+('CurrentFact-N10,20,40Unchanged'!C48)/100)+103/POWER(1+('CurrentFact-N10,20,40Unchanged'!D48)/100,2))*100</f>
        <v>9707.5857774288397</v>
      </c>
      <c r="C48">
        <f>(3/(1+('CurrentFact-N10,20,40Unchanged'!C48+'CurrentFact-N10,20,40Unchanged'!G48)/100)+103/POWER(1+('CurrentFact-N10,20,40Unchanged'!D48+'CurrentFact-N10,20,40Unchanged'!G48)/100,2))*100</f>
        <v>9614.9673582483465</v>
      </c>
      <c r="D48">
        <f>(3/(1+('CurrentFact-N10,20,40Unchanged'!C48+'CurrentFact-N10,20,40Unchanged'!H48)/100)+103/POWER(1+('CurrentFact-N10,20,40Unchanged'!D48+'CurrentFact-N10,20,40Unchanged'!H48)/100,2))*100</f>
        <v>9601.2395558122898</v>
      </c>
      <c r="E48">
        <f>(3/(1+('CurrentFact-N10,20,40Unchanged'!C48+'CurrentFact-N10,20,40Unchanged'!I48)/100)+103/POWER(1+('CurrentFact-N10,20,40Unchanged'!D48+'CurrentFact-N10,20,40Unchanged'!I48)/100,2))*100</f>
        <v>9680.496691807788</v>
      </c>
      <c r="F48">
        <f>Portfolio!B$5*'CurrentFact-N10,20,40Unchanged'!E48</f>
        <v>52143.895533915893</v>
      </c>
      <c r="G48">
        <f>Portfolio!B$6*'CurrentFact-N10,20,40Unchanged'!F48</f>
        <v>3696.2945087936532</v>
      </c>
      <c r="H48">
        <f>Portfolio!B$7*'CurrentFact-N10,20,40Unchanged'!J48</f>
        <v>2064.4550337304254</v>
      </c>
      <c r="I48">
        <f t="shared" si="0"/>
        <v>96508.93445973724</v>
      </c>
      <c r="J48">
        <f t="shared" si="1"/>
        <v>-1.6942666361574084</v>
      </c>
    </row>
    <row r="49" spans="1:10">
      <c r="A49" s="1">
        <v>45538</v>
      </c>
      <c r="B49">
        <f>(3/(1+('CurrentFact-N10,20,40Unchanged'!C49)/100)+103/POWER(1+('CurrentFact-N10,20,40Unchanged'!D49)/100,2))*100</f>
        <v>9707.5857774288397</v>
      </c>
      <c r="C49">
        <f>(3/(1+('CurrentFact-N10,20,40Unchanged'!C49+'CurrentFact-N10,20,40Unchanged'!G49)/100)+103/POWER(1+('CurrentFact-N10,20,40Unchanged'!D49+'CurrentFact-N10,20,40Unchanged'!G49)/100,2))*100</f>
        <v>9614.9673582483465</v>
      </c>
      <c r="D49">
        <f>(3/(1+('CurrentFact-N10,20,40Unchanged'!C49+'CurrentFact-N10,20,40Unchanged'!H49)/100)+103/POWER(1+('CurrentFact-N10,20,40Unchanged'!D49+'CurrentFact-N10,20,40Unchanged'!H49)/100,2))*100</f>
        <v>9601.2395558122898</v>
      </c>
      <c r="E49">
        <f>(3/(1+('CurrentFact-N10,20,40Unchanged'!C49+'CurrentFact-N10,20,40Unchanged'!I49)/100)+103/POWER(1+('CurrentFact-N10,20,40Unchanged'!D49+'CurrentFact-N10,20,40Unchanged'!I49)/100,2))*100</f>
        <v>9680.5331237456321</v>
      </c>
      <c r="F49">
        <f>Portfolio!B$5*'CurrentFact-N10,20,40Unchanged'!E49</f>
        <v>52143.895533915893</v>
      </c>
      <c r="G49">
        <f>Portfolio!B$6*'CurrentFact-N10,20,40Unchanged'!F49</f>
        <v>3696.2945087936532</v>
      </c>
      <c r="H49">
        <f>Portfolio!B$7*'CurrentFact-N10,20,40Unchanged'!J49</f>
        <v>2064.4550337304254</v>
      </c>
      <c r="I49">
        <f t="shared" si="0"/>
        <v>96508.970891675082</v>
      </c>
      <c r="J49">
        <f t="shared" si="1"/>
        <v>-1.748937344586011</v>
      </c>
    </row>
    <row r="50" spans="1:10">
      <c r="A50" s="1">
        <v>45539</v>
      </c>
      <c r="B50">
        <f>(3/(1+('CurrentFact-N10,20,40Unchanged'!C50)/100)+103/POWER(1+('CurrentFact-N10,20,40Unchanged'!D50)/100,2))*100</f>
        <v>9707.5857774288397</v>
      </c>
      <c r="C50">
        <f>(3/(1+('CurrentFact-N10,20,40Unchanged'!C50+'CurrentFact-N10,20,40Unchanged'!G50)/100)+103/POWER(1+('CurrentFact-N10,20,40Unchanged'!D50+'CurrentFact-N10,20,40Unchanged'!G50)/100,2))*100</f>
        <v>9614.9673582483465</v>
      </c>
      <c r="D50">
        <f>(3/(1+('CurrentFact-N10,20,40Unchanged'!C50+'CurrentFact-N10,20,40Unchanged'!H50)/100)+103/POWER(1+('CurrentFact-N10,20,40Unchanged'!D50+'CurrentFact-N10,20,40Unchanged'!H50)/100,2))*100</f>
        <v>9601.2395558122898</v>
      </c>
      <c r="E50">
        <f>(3/(1+('CurrentFact-N10,20,40Unchanged'!C50+'CurrentFact-N10,20,40Unchanged'!I50)/100)+103/POWER(1+('CurrentFact-N10,20,40Unchanged'!D50+'CurrentFact-N10,20,40Unchanged'!I50)/100,2))*100</f>
        <v>9677.5464639503971</v>
      </c>
      <c r="F50">
        <f>Portfolio!B$5*'CurrentFact-N10,20,40Unchanged'!E50</f>
        <v>52143.895533915893</v>
      </c>
      <c r="G50">
        <f>Portfolio!B$6*'CurrentFact-N10,20,40Unchanged'!F50</f>
        <v>3696.2945087936532</v>
      </c>
      <c r="H50">
        <f>Portfolio!B$7*'CurrentFact-N10,20,40Unchanged'!J50</f>
        <v>2064.4550337304254</v>
      </c>
      <c r="I50">
        <f t="shared" si="0"/>
        <v>96505.984231879847</v>
      </c>
      <c r="J50">
        <f t="shared" si="1"/>
        <v>-5.956493380072061</v>
      </c>
    </row>
    <row r="51" spans="1:10">
      <c r="A51" s="1">
        <v>45540</v>
      </c>
      <c r="B51">
        <f>(3/(1+('CurrentFact-N10,20,40Unchanged'!C51)/100)+103/POWER(1+('CurrentFact-N10,20,40Unchanged'!D51)/100,2))*100</f>
        <v>9707.5857774288397</v>
      </c>
      <c r="C51">
        <f>(3/(1+('CurrentFact-N10,20,40Unchanged'!C51+'CurrentFact-N10,20,40Unchanged'!G51)/100)+103/POWER(1+('CurrentFact-N10,20,40Unchanged'!D51+'CurrentFact-N10,20,40Unchanged'!G51)/100,2))*100</f>
        <v>9614.9673582483465</v>
      </c>
      <c r="D51">
        <f>(3/(1+('CurrentFact-N10,20,40Unchanged'!C51+'CurrentFact-N10,20,40Unchanged'!H51)/100)+103/POWER(1+('CurrentFact-N10,20,40Unchanged'!D51+'CurrentFact-N10,20,40Unchanged'!H51)/100,2))*100</f>
        <v>9601.2395558122898</v>
      </c>
      <c r="E51">
        <f>(3/(1+('CurrentFact-N10,20,40Unchanged'!C51+'CurrentFact-N10,20,40Unchanged'!I51)/100)+103/POWER(1+('CurrentFact-N10,20,40Unchanged'!D51+'CurrentFact-N10,20,40Unchanged'!I51)/100,2))*100</f>
        <v>9676.9638606911049</v>
      </c>
      <c r="F51">
        <f>Portfolio!B$5*'CurrentFact-N10,20,40Unchanged'!E51</f>
        <v>52143.895533915893</v>
      </c>
      <c r="G51">
        <f>Portfolio!B$6*'CurrentFact-N10,20,40Unchanged'!F51</f>
        <v>3696.2945087936532</v>
      </c>
      <c r="H51">
        <f>Portfolio!B$7*'CurrentFact-N10,20,40Unchanged'!J51</f>
        <v>2064.4550337304254</v>
      </c>
      <c r="I51">
        <f t="shared" si="0"/>
        <v>96505.401628620544</v>
      </c>
      <c r="J51">
        <f t="shared" si="1"/>
        <v>-4.3161461825366132</v>
      </c>
    </row>
    <row r="52" spans="1:10">
      <c r="A52" s="1">
        <v>45541</v>
      </c>
      <c r="B52">
        <f>(3/(1+('CurrentFact-N10,20,40Unchanged'!C52)/100)+103/POWER(1+('CurrentFact-N10,20,40Unchanged'!D52)/100,2))*100</f>
        <v>9707.5857774288397</v>
      </c>
      <c r="C52">
        <f>(3/(1+('CurrentFact-N10,20,40Unchanged'!C52+'CurrentFact-N10,20,40Unchanged'!G52)/100)+103/POWER(1+('CurrentFact-N10,20,40Unchanged'!D52+'CurrentFact-N10,20,40Unchanged'!G52)/100,2))*100</f>
        <v>9614.9673582483465</v>
      </c>
      <c r="D52">
        <f>(3/(1+('CurrentFact-N10,20,40Unchanged'!C52+'CurrentFact-N10,20,40Unchanged'!H52)/100)+103/POWER(1+('CurrentFact-N10,20,40Unchanged'!D52+'CurrentFact-N10,20,40Unchanged'!H52)/100,2))*100</f>
        <v>9601.2395558122898</v>
      </c>
      <c r="E52">
        <f>(3/(1+('CurrentFact-N10,20,40Unchanged'!C52+'CurrentFact-N10,20,40Unchanged'!I52)/100)+103/POWER(1+('CurrentFact-N10,20,40Unchanged'!D52+'CurrentFact-N10,20,40Unchanged'!I52)/100,2))*100</f>
        <v>9674.9433798658083</v>
      </c>
      <c r="F52">
        <f>Portfolio!B$5*'CurrentFact-N10,20,40Unchanged'!E52</f>
        <v>52143.895533915893</v>
      </c>
      <c r="G52">
        <f>Portfolio!B$6*'CurrentFact-N10,20,40Unchanged'!F52</f>
        <v>3696.2945087936532</v>
      </c>
      <c r="H52">
        <f>Portfolio!B$7*'CurrentFact-N10,20,40Unchanged'!J52</f>
        <v>2064.4550337304254</v>
      </c>
      <c r="I52">
        <f t="shared" si="0"/>
        <v>96503.381147795255</v>
      </c>
      <c r="J52">
        <f t="shared" si="1"/>
        <v>-8.3044449467997765</v>
      </c>
    </row>
    <row r="53" spans="1:10">
      <c r="A53" s="1">
        <v>45544</v>
      </c>
      <c r="B53">
        <f>(3/(1+('CurrentFact-N10,20,40Unchanged'!C53)/100)+103/POWER(1+('CurrentFact-N10,20,40Unchanged'!D53)/100,2))*100</f>
        <v>9707.5857774288397</v>
      </c>
      <c r="C53">
        <f>(3/(1+('CurrentFact-N10,20,40Unchanged'!C53+'CurrentFact-N10,20,40Unchanged'!G53)/100)+103/POWER(1+('CurrentFact-N10,20,40Unchanged'!D53+'CurrentFact-N10,20,40Unchanged'!G53)/100,2))*100</f>
        <v>9614.9673582483465</v>
      </c>
      <c r="D53">
        <f>(3/(1+('CurrentFact-N10,20,40Unchanged'!C53+'CurrentFact-N10,20,40Unchanged'!H53)/100)+103/POWER(1+('CurrentFact-N10,20,40Unchanged'!D53+'CurrentFact-N10,20,40Unchanged'!H53)/100,2))*100</f>
        <v>9601.2395558122898</v>
      </c>
      <c r="E53">
        <f>(3/(1+('CurrentFact-N10,20,40Unchanged'!C53+'CurrentFact-N10,20,40Unchanged'!I53)/100)+103/POWER(1+('CurrentFact-N10,20,40Unchanged'!D53+'CurrentFact-N10,20,40Unchanged'!I53)/100,2))*100</f>
        <v>9676.6179693770573</v>
      </c>
      <c r="F53">
        <f>Portfolio!B$5*'CurrentFact-N10,20,40Unchanged'!E53</f>
        <v>52143.895533915893</v>
      </c>
      <c r="G53">
        <f>Portfolio!B$6*'CurrentFact-N10,20,40Unchanged'!F53</f>
        <v>3696.2945087936532</v>
      </c>
      <c r="H53">
        <f>Portfolio!B$7*'CurrentFact-N10,20,40Unchanged'!J53</f>
        <v>2064.4550337304254</v>
      </c>
      <c r="I53">
        <f t="shared" si="0"/>
        <v>96505.055737306509</v>
      </c>
      <c r="J53">
        <f t="shared" si="1"/>
        <v>-1.6021905152447289</v>
      </c>
    </row>
    <row r="54" spans="1:10">
      <c r="A54" s="1">
        <v>45545</v>
      </c>
      <c r="B54">
        <f>(3/(1+('CurrentFact-N10,20,40Unchanged'!C54)/100)+103/POWER(1+('CurrentFact-N10,20,40Unchanged'!D54)/100,2))*100</f>
        <v>9707.5857774288397</v>
      </c>
      <c r="C54">
        <f>(3/(1+('CurrentFact-N10,20,40Unchanged'!C54+'CurrentFact-N10,20,40Unchanged'!G54)/100)+103/POWER(1+('CurrentFact-N10,20,40Unchanged'!D54+'CurrentFact-N10,20,40Unchanged'!G54)/100,2))*100</f>
        <v>9614.9673582483465</v>
      </c>
      <c r="D54">
        <f>(3/(1+('CurrentFact-N10,20,40Unchanged'!C54+'CurrentFact-N10,20,40Unchanged'!H54)/100)+103/POWER(1+('CurrentFact-N10,20,40Unchanged'!D54+'CurrentFact-N10,20,40Unchanged'!H54)/100,2))*100</f>
        <v>9601.2395558122898</v>
      </c>
      <c r="E54">
        <f>(3/(1+('CurrentFact-N10,20,40Unchanged'!C54+'CurrentFact-N10,20,40Unchanged'!I54)/100)+103/POWER(1+('CurrentFact-N10,20,40Unchanged'!D54+'CurrentFact-N10,20,40Unchanged'!I54)/100,2))*100</f>
        <v>9678.4204632656547</v>
      </c>
      <c r="F54">
        <f>Portfolio!B$5*'CurrentFact-N10,20,40Unchanged'!E54</f>
        <v>52143.895533915893</v>
      </c>
      <c r="G54">
        <f>Portfolio!B$6*'CurrentFact-N10,20,40Unchanged'!F54</f>
        <v>3696.2945087936532</v>
      </c>
      <c r="H54">
        <f>Portfolio!B$7*'CurrentFact-N10,20,40Unchanged'!J54</f>
        <v>2064.4550337304254</v>
      </c>
      <c r="I54">
        <f t="shared" si="0"/>
        <v>96506.858231195103</v>
      </c>
      <c r="J54">
        <f t="shared" si="1"/>
        <v>-0.10925745370332152</v>
      </c>
    </row>
    <row r="55" spans="1:10">
      <c r="A55" s="1">
        <v>45546</v>
      </c>
      <c r="B55">
        <f>(3/(1+('CurrentFact-N10,20,40Unchanged'!C55)/100)+103/POWER(1+('CurrentFact-N10,20,40Unchanged'!D55)/100,2))*100</f>
        <v>9707.5857774288397</v>
      </c>
      <c r="C55">
        <f>(3/(1+('CurrentFact-N10,20,40Unchanged'!C55+'CurrentFact-N10,20,40Unchanged'!G55)/100)+103/POWER(1+('CurrentFact-N10,20,40Unchanged'!D55+'CurrentFact-N10,20,40Unchanged'!G55)/100,2))*100</f>
        <v>9614.9673582483465</v>
      </c>
      <c r="D55">
        <f>(3/(1+('CurrentFact-N10,20,40Unchanged'!C55+'CurrentFact-N10,20,40Unchanged'!H55)/100)+103/POWER(1+('CurrentFact-N10,20,40Unchanged'!D55+'CurrentFact-N10,20,40Unchanged'!H55)/100,2))*100</f>
        <v>9601.2395558122898</v>
      </c>
      <c r="E55">
        <f>(3/(1+('CurrentFact-N10,20,40Unchanged'!C55+'CurrentFact-N10,20,40Unchanged'!I55)/100)+103/POWER(1+('CurrentFact-N10,20,40Unchanged'!D55+'CurrentFact-N10,20,40Unchanged'!I55)/100,2))*100</f>
        <v>9676.1992782327652</v>
      </c>
      <c r="F55">
        <f>Portfolio!B$5*'CurrentFact-N10,20,40Unchanged'!E55</f>
        <v>52143.895533915893</v>
      </c>
      <c r="G55">
        <f>Portfolio!B$6*'CurrentFact-N10,20,40Unchanged'!F55</f>
        <v>3696.2945087936532</v>
      </c>
      <c r="H55">
        <f>Portfolio!B$7*'CurrentFact-N10,20,40Unchanged'!J55</f>
        <v>2064.4550337304254</v>
      </c>
      <c r="I55">
        <f t="shared" si="0"/>
        <v>96504.637046162214</v>
      </c>
      <c r="J55">
        <f t="shared" si="1"/>
        <v>-0.18203580283443443</v>
      </c>
    </row>
    <row r="56" spans="1:10">
      <c r="A56" s="1">
        <v>45547</v>
      </c>
      <c r="B56">
        <f>(3/(1+('CurrentFact-N10,20,40Unchanged'!C56)/100)+103/POWER(1+('CurrentFact-N10,20,40Unchanged'!D56)/100,2))*100</f>
        <v>9707.5857774288397</v>
      </c>
      <c r="C56">
        <f>(3/(1+('CurrentFact-N10,20,40Unchanged'!C56+'CurrentFact-N10,20,40Unchanged'!G56)/100)+103/POWER(1+('CurrentFact-N10,20,40Unchanged'!D56+'CurrentFact-N10,20,40Unchanged'!G56)/100,2))*100</f>
        <v>9614.9673582483465</v>
      </c>
      <c r="D56">
        <f>(3/(1+('CurrentFact-N10,20,40Unchanged'!C56+'CurrentFact-N10,20,40Unchanged'!H56)/100)+103/POWER(1+('CurrentFact-N10,20,40Unchanged'!D56+'CurrentFact-N10,20,40Unchanged'!H56)/100,2))*100</f>
        <v>9601.2395558122898</v>
      </c>
      <c r="E56">
        <f>(3/(1+('CurrentFact-N10,20,40Unchanged'!C56+'CurrentFact-N10,20,40Unchanged'!I56)/100)+103/POWER(1+('CurrentFact-N10,20,40Unchanged'!D56+'CurrentFact-N10,20,40Unchanged'!I56)/100,2))*100</f>
        <v>9678.966772692831</v>
      </c>
      <c r="F56">
        <f>Portfolio!B$5*'CurrentFact-N10,20,40Unchanged'!E56</f>
        <v>52143.895533915893</v>
      </c>
      <c r="G56">
        <f>Portfolio!B$6*'CurrentFact-N10,20,40Unchanged'!F56</f>
        <v>3696.2945087936532</v>
      </c>
      <c r="H56">
        <f>Portfolio!B$7*'CurrentFact-N10,20,40Unchanged'!J56</f>
        <v>2064.4550337304254</v>
      </c>
      <c r="I56">
        <f t="shared" si="0"/>
        <v>96507.404540622287</v>
      </c>
      <c r="J56">
        <f t="shared" si="1"/>
        <v>0.16389842785429209</v>
      </c>
    </row>
    <row r="57" spans="1:10">
      <c r="A57" s="1">
        <v>45548</v>
      </c>
      <c r="B57">
        <f>(3/(1+('CurrentFact-N10,20,40Unchanged'!C57)/100)+103/POWER(1+('CurrentFact-N10,20,40Unchanged'!D57)/100,2))*100</f>
        <v>9707.5857774288397</v>
      </c>
      <c r="C57">
        <f>(3/(1+('CurrentFact-N10,20,40Unchanged'!C57+'CurrentFact-N10,20,40Unchanged'!G57)/100)+103/POWER(1+('CurrentFact-N10,20,40Unchanged'!D57+'CurrentFact-N10,20,40Unchanged'!G57)/100,2))*100</f>
        <v>9614.9673582483465</v>
      </c>
      <c r="D57">
        <f>(3/(1+('CurrentFact-N10,20,40Unchanged'!C57+'CurrentFact-N10,20,40Unchanged'!H57)/100)+103/POWER(1+('CurrentFact-N10,20,40Unchanged'!D57+'CurrentFact-N10,20,40Unchanged'!H57)/100,2))*100</f>
        <v>9601.2395558122898</v>
      </c>
      <c r="E57">
        <f>(3/(1+('CurrentFact-N10,20,40Unchanged'!C57+'CurrentFact-N10,20,40Unchanged'!I57)/100)+103/POWER(1+('CurrentFact-N10,20,40Unchanged'!D57+'CurrentFact-N10,20,40Unchanged'!I57)/100,2))*100</f>
        <v>9680.0595351765915</v>
      </c>
      <c r="F57">
        <f>Portfolio!B$5*'CurrentFact-N10,20,40Unchanged'!E57</f>
        <v>52143.895533915893</v>
      </c>
      <c r="G57">
        <f>Portfolio!B$6*'CurrentFact-N10,20,40Unchanged'!F57</f>
        <v>3696.2945087936532</v>
      </c>
      <c r="H57">
        <f>Portfolio!B$7*'CurrentFact-N10,20,40Unchanged'!J57</f>
        <v>2064.4550337304254</v>
      </c>
      <c r="I57">
        <f t="shared" si="0"/>
        <v>96508.497303106036</v>
      </c>
      <c r="J57">
        <f t="shared" si="1"/>
        <v>1.6572818837594241</v>
      </c>
    </row>
    <row r="58" spans="1:10">
      <c r="A58" s="1">
        <v>45551</v>
      </c>
      <c r="B58">
        <f>(3/(1+('CurrentFact-N10,20,40Unchanged'!C58)/100)+103/POWER(1+('CurrentFact-N10,20,40Unchanged'!D58)/100,2))*100</f>
        <v>9707.5857774288397</v>
      </c>
      <c r="C58">
        <f>(3/(1+('CurrentFact-N10,20,40Unchanged'!C58+'CurrentFact-N10,20,40Unchanged'!G58)/100)+103/POWER(1+('CurrentFact-N10,20,40Unchanged'!D58+'CurrentFact-N10,20,40Unchanged'!G58)/100,2))*100</f>
        <v>9614.9673582483465</v>
      </c>
      <c r="D58">
        <f>(3/(1+('CurrentFact-N10,20,40Unchanged'!C58+'CurrentFact-N10,20,40Unchanged'!H58)/100)+103/POWER(1+('CurrentFact-N10,20,40Unchanged'!D58+'CurrentFact-N10,20,40Unchanged'!H58)/100,2))*100</f>
        <v>9601.2395558122898</v>
      </c>
      <c r="E58">
        <f>(3/(1+('CurrentFact-N10,20,40Unchanged'!C58+'CurrentFact-N10,20,40Unchanged'!I58)/100)+103/POWER(1+('CurrentFact-N10,20,40Unchanged'!D58+'CurrentFact-N10,20,40Unchanged'!I58)/100,2))*100</f>
        <v>9682.8104799624489</v>
      </c>
      <c r="F58">
        <f>Portfolio!B$5*'CurrentFact-N10,20,40Unchanged'!E58</f>
        <v>52143.895533915893</v>
      </c>
      <c r="G58">
        <f>Portfolio!B$6*'CurrentFact-N10,20,40Unchanged'!F58</f>
        <v>3696.2945087936532</v>
      </c>
      <c r="H58">
        <f>Portfolio!B$7*'CurrentFact-N10,20,40Unchanged'!J58</f>
        <v>2064.4550337304254</v>
      </c>
      <c r="I58">
        <f t="shared" si="0"/>
        <v>96511.248247891897</v>
      </c>
      <c r="J58">
        <f t="shared" si="1"/>
        <v>2.3137881546572316</v>
      </c>
    </row>
    <row r="59" spans="1:10">
      <c r="A59" s="1">
        <v>45552</v>
      </c>
      <c r="B59">
        <f>(3/(1+('CurrentFact-N10,20,40Unchanged'!C59)/100)+103/POWER(1+('CurrentFact-N10,20,40Unchanged'!D59)/100,2))*100</f>
        <v>9707.5857774288397</v>
      </c>
      <c r="C59">
        <f>(3/(1+('CurrentFact-N10,20,40Unchanged'!C59+'CurrentFact-N10,20,40Unchanged'!G59)/100)+103/POWER(1+('CurrentFact-N10,20,40Unchanged'!D59+'CurrentFact-N10,20,40Unchanged'!G59)/100,2))*100</f>
        <v>9614.9673582483465</v>
      </c>
      <c r="D59">
        <f>(3/(1+('CurrentFact-N10,20,40Unchanged'!C59+'CurrentFact-N10,20,40Unchanged'!H59)/100)+103/POWER(1+('CurrentFact-N10,20,40Unchanged'!D59+'CurrentFact-N10,20,40Unchanged'!H59)/100,2))*100</f>
        <v>9601.2395558122898</v>
      </c>
      <c r="E59">
        <f>(3/(1+('CurrentFact-N10,20,40Unchanged'!C59+'CurrentFact-N10,20,40Unchanged'!I59)/100)+103/POWER(1+('CurrentFact-N10,20,40Unchanged'!D59+'CurrentFact-N10,20,40Unchanged'!I59)/100,2))*100</f>
        <v>9683.6851995883117</v>
      </c>
      <c r="F59">
        <f>Portfolio!B$5*'CurrentFact-N10,20,40Unchanged'!E59</f>
        <v>52143.895533915893</v>
      </c>
      <c r="G59">
        <f>Portfolio!B$6*'CurrentFact-N10,20,40Unchanged'!F59</f>
        <v>3696.2945087936532</v>
      </c>
      <c r="H59">
        <f>Portfolio!B$7*'CurrentFact-N10,20,40Unchanged'!J59</f>
        <v>2064.4550337304254</v>
      </c>
      <c r="I59">
        <f t="shared" si="0"/>
        <v>96512.12296751776</v>
      </c>
      <c r="J59">
        <f t="shared" si="1"/>
        <v>3.152075842677732</v>
      </c>
    </row>
    <row r="60" spans="1:10">
      <c r="A60" s="1">
        <v>45553</v>
      </c>
      <c r="B60">
        <f>(3/(1+('CurrentFact-N10,20,40Unchanged'!C60)/100)+103/POWER(1+('CurrentFact-N10,20,40Unchanged'!D60)/100,2))*100</f>
        <v>9707.5857774288397</v>
      </c>
      <c r="C60">
        <f>(3/(1+('CurrentFact-N10,20,40Unchanged'!C60+'CurrentFact-N10,20,40Unchanged'!G60)/100)+103/POWER(1+('CurrentFact-N10,20,40Unchanged'!D60+'CurrentFact-N10,20,40Unchanged'!G60)/100,2))*100</f>
        <v>9614.9673582483465</v>
      </c>
      <c r="D60">
        <f>(3/(1+('CurrentFact-N10,20,40Unchanged'!C60+'CurrentFact-N10,20,40Unchanged'!H60)/100)+103/POWER(1+('CurrentFact-N10,20,40Unchanged'!D60+'CurrentFact-N10,20,40Unchanged'!H60)/100,2))*100</f>
        <v>9601.2395558122898</v>
      </c>
      <c r="E60">
        <f>(3/(1+('CurrentFact-N10,20,40Unchanged'!C60+'CurrentFact-N10,20,40Unchanged'!I60)/100)+103/POWER(1+('CurrentFact-N10,20,40Unchanged'!D60+'CurrentFact-N10,20,40Unchanged'!I60)/100,2))*100</f>
        <v>9682.0087570471096</v>
      </c>
      <c r="F60">
        <f>Portfolio!B$5*'CurrentFact-N10,20,40Unchanged'!E60</f>
        <v>52143.895533915893</v>
      </c>
      <c r="G60">
        <f>Portfolio!B$6*'CurrentFact-N10,20,40Unchanged'!F60</f>
        <v>3696.2945087936532</v>
      </c>
      <c r="H60">
        <f>Portfolio!B$7*'CurrentFact-N10,20,40Unchanged'!J60</f>
        <v>2064.4550337304254</v>
      </c>
      <c r="I60">
        <f t="shared" si="0"/>
        <v>96510.446524976549</v>
      </c>
      <c r="J60">
        <f t="shared" si="1"/>
        <v>4.4622930967016146</v>
      </c>
    </row>
    <row r="61" spans="1:10">
      <c r="A61" s="1">
        <v>45554</v>
      </c>
      <c r="B61">
        <f>(3/(1+('CurrentFact-N10,20,40Unchanged'!C61)/100)+103/POWER(1+('CurrentFact-N10,20,40Unchanged'!D61)/100,2))*100</f>
        <v>9707.5857774288397</v>
      </c>
      <c r="C61">
        <f>(3/(1+('CurrentFact-N10,20,40Unchanged'!C61+'CurrentFact-N10,20,40Unchanged'!G61)/100)+103/POWER(1+('CurrentFact-N10,20,40Unchanged'!D61+'CurrentFact-N10,20,40Unchanged'!G61)/100,2))*100</f>
        <v>9614.9673582483465</v>
      </c>
      <c r="D61">
        <f>(3/(1+('CurrentFact-N10,20,40Unchanged'!C61+'CurrentFact-N10,20,40Unchanged'!H61)/100)+103/POWER(1+('CurrentFact-N10,20,40Unchanged'!D61+'CurrentFact-N10,20,40Unchanged'!H61)/100,2))*100</f>
        <v>9601.2395558122898</v>
      </c>
      <c r="E61">
        <f>(3/(1+('CurrentFact-N10,20,40Unchanged'!C61+'CurrentFact-N10,20,40Unchanged'!I61)/100)+103/POWER(1+('CurrentFact-N10,20,40Unchanged'!D61+'CurrentFact-N10,20,40Unchanged'!I61)/100,2))*100</f>
        <v>9681.2071364265666</v>
      </c>
      <c r="F61">
        <f>Portfolio!B$5*'CurrentFact-N10,20,40Unchanged'!E61</f>
        <v>52143.895533915893</v>
      </c>
      <c r="G61">
        <f>Portfolio!B$6*'CurrentFact-N10,20,40Unchanged'!F61</f>
        <v>3696.2945087936532</v>
      </c>
      <c r="H61">
        <f>Portfolio!B$7*'CurrentFact-N10,20,40Unchanged'!J61</f>
        <v>2064.4550337304254</v>
      </c>
      <c r="I61">
        <f t="shared" si="0"/>
        <v>96509.644904356013</v>
      </c>
      <c r="J61">
        <f t="shared" si="1"/>
        <v>4.2432757354690693</v>
      </c>
    </row>
    <row r="62" spans="1:10">
      <c r="A62" s="1">
        <v>45555</v>
      </c>
      <c r="B62">
        <f>(3/(1+('CurrentFact-N10,20,40Unchanged'!C62)/100)+103/POWER(1+('CurrentFact-N10,20,40Unchanged'!D62)/100,2))*100</f>
        <v>9707.5857774288397</v>
      </c>
      <c r="C62">
        <f>(3/(1+('CurrentFact-N10,20,40Unchanged'!C62+'CurrentFact-N10,20,40Unchanged'!G62)/100)+103/POWER(1+('CurrentFact-N10,20,40Unchanged'!D62+'CurrentFact-N10,20,40Unchanged'!G62)/100,2))*100</f>
        <v>9614.9673582483465</v>
      </c>
      <c r="D62">
        <f>(3/(1+('CurrentFact-N10,20,40Unchanged'!C62+'CurrentFact-N10,20,40Unchanged'!H62)/100)+103/POWER(1+('CurrentFact-N10,20,40Unchanged'!D62+'CurrentFact-N10,20,40Unchanged'!H62)/100,2))*100</f>
        <v>9601.2395558122898</v>
      </c>
      <c r="E62">
        <f>(3/(1+('CurrentFact-N10,20,40Unchanged'!C62+'CurrentFact-N10,20,40Unchanged'!I62)/100)+103/POWER(1+('CurrentFact-N10,20,40Unchanged'!D62+'CurrentFact-N10,20,40Unchanged'!I62)/100,2))*100</f>
        <v>9681.2982250495716</v>
      </c>
      <c r="F62">
        <f>Portfolio!B$5*'CurrentFact-N10,20,40Unchanged'!E62</f>
        <v>52143.895533915893</v>
      </c>
      <c r="G62">
        <f>Portfolio!B$6*'CurrentFact-N10,20,40Unchanged'!F62</f>
        <v>3696.2945087936532</v>
      </c>
      <c r="H62">
        <f>Portfolio!B$7*'CurrentFact-N10,20,40Unchanged'!J62</f>
        <v>2064.4550337304254</v>
      </c>
      <c r="I62">
        <f t="shared" si="0"/>
        <v>96509.735992979025</v>
      </c>
      <c r="J62">
        <f t="shared" si="1"/>
        <v>6.3548451837705215</v>
      </c>
    </row>
    <row r="63" spans="1:10">
      <c r="A63" s="1">
        <v>45558</v>
      </c>
      <c r="B63">
        <f>(3/(1+('CurrentFact-N10,20,40Unchanged'!C63)/100)+103/POWER(1+('CurrentFact-N10,20,40Unchanged'!D63)/100,2))*100</f>
        <v>9707.5857774288397</v>
      </c>
      <c r="C63">
        <f>(3/(1+('CurrentFact-N10,20,40Unchanged'!C63+'CurrentFact-N10,20,40Unchanged'!G63)/100)+103/POWER(1+('CurrentFact-N10,20,40Unchanged'!D63+'CurrentFact-N10,20,40Unchanged'!G63)/100,2))*100</f>
        <v>9614.9673582483465</v>
      </c>
      <c r="D63">
        <f>(3/(1+('CurrentFact-N10,20,40Unchanged'!C63+'CurrentFact-N10,20,40Unchanged'!H63)/100)+103/POWER(1+('CurrentFact-N10,20,40Unchanged'!D63+'CurrentFact-N10,20,40Unchanged'!H63)/100,2))*100</f>
        <v>9601.2395558122898</v>
      </c>
      <c r="E63">
        <f>(3/(1+('CurrentFact-N10,20,40Unchanged'!C63+'CurrentFact-N10,20,40Unchanged'!I63)/100)+103/POWER(1+('CurrentFact-N10,20,40Unchanged'!D63+'CurrentFact-N10,20,40Unchanged'!I63)/100,2))*100</f>
        <v>9681.6079350369982</v>
      </c>
      <c r="F63">
        <f>Portfolio!B$5*'CurrentFact-N10,20,40Unchanged'!E63</f>
        <v>52143.895533915893</v>
      </c>
      <c r="G63">
        <f>Portfolio!B$6*'CurrentFact-N10,20,40Unchanged'!F63</f>
        <v>3696.2945087936532</v>
      </c>
      <c r="H63">
        <f>Portfolio!B$7*'CurrentFact-N10,20,40Unchanged'!J63</f>
        <v>2064.4550337304254</v>
      </c>
      <c r="I63">
        <f t="shared" si="0"/>
        <v>96510.045702966454</v>
      </c>
      <c r="J63">
        <f t="shared" si="1"/>
        <v>4.9899656599445734</v>
      </c>
    </row>
    <row r="64" spans="1:10">
      <c r="A64" s="1">
        <v>45559</v>
      </c>
      <c r="B64">
        <f>(3/(1+('CurrentFact-N10,20,40Unchanged'!C64)/100)+103/POWER(1+('CurrentFact-N10,20,40Unchanged'!D64)/100,2))*100</f>
        <v>9707.5857774288397</v>
      </c>
      <c r="C64">
        <f>(3/(1+('CurrentFact-N10,20,40Unchanged'!C64+'CurrentFact-N10,20,40Unchanged'!G64)/100)+103/POWER(1+('CurrentFact-N10,20,40Unchanged'!D64+'CurrentFact-N10,20,40Unchanged'!G64)/100,2))*100</f>
        <v>9614.9673582483465</v>
      </c>
      <c r="D64">
        <f>(3/(1+('CurrentFact-N10,20,40Unchanged'!C64+'CurrentFact-N10,20,40Unchanged'!H64)/100)+103/POWER(1+('CurrentFact-N10,20,40Unchanged'!D64+'CurrentFact-N10,20,40Unchanged'!H64)/100,2))*100</f>
        <v>9601.2395558122898</v>
      </c>
      <c r="E64">
        <f>(3/(1+('CurrentFact-N10,20,40Unchanged'!C64+'CurrentFact-N10,20,40Unchanged'!I64)/100)+103/POWER(1+('CurrentFact-N10,20,40Unchanged'!D64+'CurrentFact-N10,20,40Unchanged'!I64)/100,2))*100</f>
        <v>9682.9744812089939</v>
      </c>
      <c r="F64">
        <f>Portfolio!B$5*'CurrentFact-N10,20,40Unchanged'!E64</f>
        <v>52143.895533915893</v>
      </c>
      <c r="G64">
        <f>Portfolio!B$6*'CurrentFact-N10,20,40Unchanged'!F64</f>
        <v>3696.2945087936532</v>
      </c>
      <c r="H64">
        <f>Portfolio!B$7*'CurrentFact-N10,20,40Unchanged'!J64</f>
        <v>2064.4550337304254</v>
      </c>
      <c r="I64">
        <f t="shared" si="0"/>
        <v>96511.412249138433</v>
      </c>
      <c r="J64">
        <f t="shared" si="1"/>
        <v>4.5540179433301091</v>
      </c>
    </row>
    <row r="65" spans="1:10">
      <c r="A65" s="1">
        <v>45560</v>
      </c>
      <c r="B65">
        <f>(3/(1+('CurrentFact-N10,20,40Unchanged'!C65)/100)+103/POWER(1+('CurrentFact-N10,20,40Unchanged'!D65)/100,2))*100</f>
        <v>9707.5857774288397</v>
      </c>
      <c r="C65">
        <f>(3/(1+('CurrentFact-N10,20,40Unchanged'!C65+'CurrentFact-N10,20,40Unchanged'!G65)/100)+103/POWER(1+('CurrentFact-N10,20,40Unchanged'!D65+'CurrentFact-N10,20,40Unchanged'!G65)/100,2))*100</f>
        <v>9614.9673582483465</v>
      </c>
      <c r="D65">
        <f>(3/(1+('CurrentFact-N10,20,40Unchanged'!C65+'CurrentFact-N10,20,40Unchanged'!H65)/100)+103/POWER(1+('CurrentFact-N10,20,40Unchanged'!D65+'CurrentFact-N10,20,40Unchanged'!H65)/100,2))*100</f>
        <v>9601.2395558122898</v>
      </c>
      <c r="E65">
        <f>(3/(1+('CurrentFact-N10,20,40Unchanged'!C65+'CurrentFact-N10,20,40Unchanged'!I65)/100)+103/POWER(1+('CurrentFact-N10,20,40Unchanged'!D65+'CurrentFact-N10,20,40Unchanged'!I65)/100,2))*100</f>
        <v>9684.1772832883726</v>
      </c>
      <c r="F65">
        <f>Portfolio!B$5*'CurrentFact-N10,20,40Unchanged'!E65</f>
        <v>52143.895533915893</v>
      </c>
      <c r="G65">
        <f>Portfolio!B$6*'CurrentFact-N10,20,40Unchanged'!F65</f>
        <v>3696.2945087936532</v>
      </c>
      <c r="H65">
        <f>Portfolio!B$7*'CurrentFact-N10,20,40Unchanged'!J65</f>
        <v>2064.4550337304254</v>
      </c>
      <c r="I65">
        <f t="shared" si="0"/>
        <v>96512.615051217814</v>
      </c>
      <c r="J65">
        <f t="shared" si="1"/>
        <v>7.9780050556000788</v>
      </c>
    </row>
    <row r="66" spans="1:10">
      <c r="A66" s="1">
        <v>45561</v>
      </c>
      <c r="B66">
        <f>(3/(1+('CurrentFact-N10,20,40Unchanged'!C66)/100)+103/POWER(1+('CurrentFact-N10,20,40Unchanged'!D66)/100,2))*100</f>
        <v>9707.5857774288397</v>
      </c>
      <c r="C66">
        <f>(3/(1+('CurrentFact-N10,20,40Unchanged'!C66+'CurrentFact-N10,20,40Unchanged'!G66)/100)+103/POWER(1+('CurrentFact-N10,20,40Unchanged'!D66+'CurrentFact-N10,20,40Unchanged'!G66)/100,2))*100</f>
        <v>9614.9673582483465</v>
      </c>
      <c r="D66">
        <f>(3/(1+('CurrentFact-N10,20,40Unchanged'!C66+'CurrentFact-N10,20,40Unchanged'!H66)/100)+103/POWER(1+('CurrentFact-N10,20,40Unchanged'!D66+'CurrentFact-N10,20,40Unchanged'!H66)/100,2))*100</f>
        <v>9601.2395558122898</v>
      </c>
      <c r="E66">
        <f>(3/(1+('CurrentFact-N10,20,40Unchanged'!C66+'CurrentFact-N10,20,40Unchanged'!I66)/100)+103/POWER(1+('CurrentFact-N10,20,40Unchanged'!D66+'CurrentFact-N10,20,40Unchanged'!I66)/100,2))*100</f>
        <v>9682.4096059340463</v>
      </c>
      <c r="F66">
        <f>Portfolio!B$5*'CurrentFact-N10,20,40Unchanged'!E66</f>
        <v>52143.895533915893</v>
      </c>
      <c r="G66">
        <f>Portfolio!B$6*'CurrentFact-N10,20,40Unchanged'!F66</f>
        <v>3696.2945087936532</v>
      </c>
      <c r="H66">
        <f>Portfolio!B$7*'CurrentFact-N10,20,40Unchanged'!J66</f>
        <v>2064.4550337304254</v>
      </c>
      <c r="I66">
        <f t="shared" si="0"/>
        <v>96510.847373863493</v>
      </c>
      <c r="J66">
        <f t="shared" si="1"/>
        <v>3.4428332412062446</v>
      </c>
    </row>
    <row r="67" spans="1:10">
      <c r="A67" s="1">
        <v>45562</v>
      </c>
      <c r="B67">
        <f>(3/(1+('CurrentFact-N10,20,40Unchanged'!C67)/100)+103/POWER(1+('CurrentFact-N10,20,40Unchanged'!D67)/100,2))*100</f>
        <v>9707.5857774288397</v>
      </c>
      <c r="C67">
        <f>(3/(1+('CurrentFact-N10,20,40Unchanged'!C67+'CurrentFact-N10,20,40Unchanged'!G67)/100)+103/POWER(1+('CurrentFact-N10,20,40Unchanged'!D67+'CurrentFact-N10,20,40Unchanged'!G67)/100,2))*100</f>
        <v>9614.9673582483465</v>
      </c>
      <c r="D67">
        <f>(3/(1+('CurrentFact-N10,20,40Unchanged'!C67+'CurrentFact-N10,20,40Unchanged'!H67)/100)+103/POWER(1+('CurrentFact-N10,20,40Unchanged'!D67+'CurrentFact-N10,20,40Unchanged'!H67)/100,2))*100</f>
        <v>9601.2395558122898</v>
      </c>
      <c r="E67">
        <f>(3/(1+('CurrentFact-N10,20,40Unchanged'!C67+'CurrentFact-N10,20,40Unchanged'!I67)/100)+103/POWER(1+('CurrentFact-N10,20,40Unchanged'!D67+'CurrentFact-N10,20,40Unchanged'!I67)/100,2))*100</f>
        <v>9682.0269773005712</v>
      </c>
      <c r="F67">
        <f>Portfolio!B$5*'CurrentFact-N10,20,40Unchanged'!E67</f>
        <v>52143.895533915893</v>
      </c>
      <c r="G67">
        <f>Portfolio!B$6*'CurrentFact-N10,20,40Unchanged'!F67</f>
        <v>3696.2945087936532</v>
      </c>
      <c r="H67">
        <f>Portfolio!B$7*'CurrentFact-N10,20,40Unchanged'!J67</f>
        <v>2064.4550337304254</v>
      </c>
      <c r="I67">
        <f t="shared" si="0"/>
        <v>96510.464745230012</v>
      </c>
      <c r="J67">
        <f t="shared" si="1"/>
        <v>1.9674421239760704</v>
      </c>
    </row>
    <row r="68" spans="1:10">
      <c r="A68" s="1">
        <v>45565</v>
      </c>
      <c r="B68">
        <f>(3/(1+('CurrentFact-N10,20,40Unchanged'!C68)/100)+103/POWER(1+('CurrentFact-N10,20,40Unchanged'!D68)/100,2))*100</f>
        <v>9707.5857774288397</v>
      </c>
      <c r="C68">
        <f>(3/(1+('CurrentFact-N10,20,40Unchanged'!C68+'CurrentFact-N10,20,40Unchanged'!G68)/100)+103/POWER(1+('CurrentFact-N10,20,40Unchanged'!D68+'CurrentFact-N10,20,40Unchanged'!G68)/100,2))*100</f>
        <v>9614.9673582483465</v>
      </c>
      <c r="D68">
        <f>(3/(1+('CurrentFact-N10,20,40Unchanged'!C68+'CurrentFact-N10,20,40Unchanged'!H68)/100)+103/POWER(1+('CurrentFact-N10,20,40Unchanged'!D68+'CurrentFact-N10,20,40Unchanged'!H68)/100,2))*100</f>
        <v>9601.2395558122898</v>
      </c>
      <c r="E68">
        <f>(3/(1+('CurrentFact-N10,20,40Unchanged'!C68+'CurrentFact-N10,20,40Unchanged'!I68)/100)+103/POWER(1+('CurrentFact-N10,20,40Unchanged'!D68+'CurrentFact-N10,20,40Unchanged'!I68)/100,2))*100</f>
        <v>9675.5803973896527</v>
      </c>
      <c r="F68">
        <f>Portfolio!B$5*'CurrentFact-N10,20,40Unchanged'!E68</f>
        <v>52143.895533915893</v>
      </c>
      <c r="G68">
        <f>Portfolio!B$6*'CurrentFact-N10,20,40Unchanged'!F68</f>
        <v>3696.2945087936532</v>
      </c>
      <c r="H68">
        <f>Portfolio!B$7*'CurrentFact-N10,20,40Unchanged'!J68</f>
        <v>2064.4550337304254</v>
      </c>
      <c r="I68">
        <f t="shared" ref="I68:I131" si="2">SUM(B68:H68)</f>
        <v>96504.01816531911</v>
      </c>
      <c r="J68">
        <f t="shared" si="1"/>
        <v>-7.2300825727870688</v>
      </c>
    </row>
    <row r="69" spans="1:10">
      <c r="A69" s="1">
        <v>45566</v>
      </c>
      <c r="B69">
        <f>(3/(1+('CurrentFact-N10,20,40Unchanged'!C69)/100)+103/POWER(1+('CurrentFact-N10,20,40Unchanged'!D69)/100,2))*100</f>
        <v>9707.5857774288397</v>
      </c>
      <c r="C69">
        <f>(3/(1+('CurrentFact-N10,20,40Unchanged'!C69+'CurrentFact-N10,20,40Unchanged'!G69)/100)+103/POWER(1+('CurrentFact-N10,20,40Unchanged'!D69+'CurrentFact-N10,20,40Unchanged'!G69)/100,2))*100</f>
        <v>9614.9673582483465</v>
      </c>
      <c r="D69">
        <f>(3/(1+('CurrentFact-N10,20,40Unchanged'!C69+'CurrentFact-N10,20,40Unchanged'!H69)/100)+103/POWER(1+('CurrentFact-N10,20,40Unchanged'!D69+'CurrentFact-N10,20,40Unchanged'!H69)/100,2))*100</f>
        <v>9601.2395558122898</v>
      </c>
      <c r="E69">
        <f>(3/(1+('CurrentFact-N10,20,40Unchanged'!C69+'CurrentFact-N10,20,40Unchanged'!I69)/100)+103/POWER(1+('CurrentFact-N10,20,40Unchanged'!D69+'CurrentFact-N10,20,40Unchanged'!I69)/100,2))*100</f>
        <v>9676.1992782327652</v>
      </c>
      <c r="F69">
        <f>Portfolio!B$5*'CurrentFact-N10,20,40Unchanged'!E69</f>
        <v>52143.895533915893</v>
      </c>
      <c r="G69">
        <f>Portfolio!B$6*'CurrentFact-N10,20,40Unchanged'!F69</f>
        <v>3696.2945087936532</v>
      </c>
      <c r="H69">
        <f>Portfolio!B$7*'CurrentFact-N10,20,40Unchanged'!J69</f>
        <v>2064.4550337304254</v>
      </c>
      <c r="I69">
        <f t="shared" si="2"/>
        <v>96504.637046162214</v>
      </c>
      <c r="J69">
        <f t="shared" si="1"/>
        <v>-7.4859213555464521</v>
      </c>
    </row>
    <row r="70" spans="1:10">
      <c r="A70" s="1">
        <v>45567</v>
      </c>
      <c r="B70">
        <f>(3/(1+('CurrentFact-N10,20,40Unchanged'!C70)/100)+103/POWER(1+('CurrentFact-N10,20,40Unchanged'!D70)/100,2))*100</f>
        <v>9707.5857774288397</v>
      </c>
      <c r="C70">
        <f>(3/(1+('CurrentFact-N10,20,40Unchanged'!C70+'CurrentFact-N10,20,40Unchanged'!G70)/100)+103/POWER(1+('CurrentFact-N10,20,40Unchanged'!D70+'CurrentFact-N10,20,40Unchanged'!G70)/100,2))*100</f>
        <v>9614.9673582483465</v>
      </c>
      <c r="D70">
        <f>(3/(1+('CurrentFact-N10,20,40Unchanged'!C70+'CurrentFact-N10,20,40Unchanged'!H70)/100)+103/POWER(1+('CurrentFact-N10,20,40Unchanged'!D70+'CurrentFact-N10,20,40Unchanged'!H70)/100,2))*100</f>
        <v>9601.2395558122898</v>
      </c>
      <c r="E70">
        <f>(3/(1+('CurrentFact-N10,20,40Unchanged'!C70+'CurrentFact-N10,20,40Unchanged'!I70)/100)+103/POWER(1+('CurrentFact-N10,20,40Unchanged'!D70+'CurrentFact-N10,20,40Unchanged'!I70)/100,2))*100</f>
        <v>9676.7454012054895</v>
      </c>
      <c r="F70">
        <f>Portfolio!B$5*'CurrentFact-N10,20,40Unchanged'!E70</f>
        <v>52143.895533915893</v>
      </c>
      <c r="G70">
        <f>Portfolio!B$6*'CurrentFact-N10,20,40Unchanged'!F70</f>
        <v>3696.2945087936532</v>
      </c>
      <c r="H70">
        <f>Portfolio!B$7*'CurrentFact-N10,20,40Unchanged'!J70</f>
        <v>2064.4550337304254</v>
      </c>
      <c r="I70">
        <f t="shared" si="2"/>
        <v>96505.183169134936</v>
      </c>
      <c r="J70">
        <f t="shared" si="1"/>
        <v>-5.2633558416127926</v>
      </c>
    </row>
    <row r="71" spans="1:10">
      <c r="A71" s="1">
        <v>45568</v>
      </c>
      <c r="B71">
        <f>(3/(1+('CurrentFact-N10,20,40Unchanged'!C71)/100)+103/POWER(1+('CurrentFact-N10,20,40Unchanged'!D71)/100,2))*100</f>
        <v>9707.5857774288397</v>
      </c>
      <c r="C71">
        <f>(3/(1+('CurrentFact-N10,20,40Unchanged'!C71+'CurrentFact-N10,20,40Unchanged'!G71)/100)+103/POWER(1+('CurrentFact-N10,20,40Unchanged'!D71+'CurrentFact-N10,20,40Unchanged'!G71)/100,2))*100</f>
        <v>9614.9673582483465</v>
      </c>
      <c r="D71">
        <f>(3/(1+('CurrentFact-N10,20,40Unchanged'!C71+'CurrentFact-N10,20,40Unchanged'!H71)/100)+103/POWER(1+('CurrentFact-N10,20,40Unchanged'!D71+'CurrentFact-N10,20,40Unchanged'!H71)/100,2))*100</f>
        <v>9601.2395558122898</v>
      </c>
      <c r="E71">
        <f>(3/(1+('CurrentFact-N10,20,40Unchanged'!C71+'CurrentFact-N10,20,40Unchanged'!I71)/100)+103/POWER(1+('CurrentFact-N10,20,40Unchanged'!D71+'CurrentFact-N10,20,40Unchanged'!I71)/100,2))*100</f>
        <v>9673.0326980464833</v>
      </c>
      <c r="F71">
        <f>Portfolio!B$5*'CurrentFact-N10,20,40Unchanged'!E71</f>
        <v>52143.895533915893</v>
      </c>
      <c r="G71">
        <f>Portfolio!B$6*'CurrentFact-N10,20,40Unchanged'!F71</f>
        <v>3696.2945087936532</v>
      </c>
      <c r="H71">
        <f>Portfolio!B$7*'CurrentFact-N10,20,40Unchanged'!J71</f>
        <v>2064.4550337304254</v>
      </c>
      <c r="I71">
        <f t="shared" si="2"/>
        <v>96501.47046597593</v>
      </c>
      <c r="J71">
        <f t="shared" si="1"/>
        <v>-8.174438380083302</v>
      </c>
    </row>
    <row r="72" spans="1:10">
      <c r="A72" s="1">
        <v>45569</v>
      </c>
      <c r="B72">
        <f>(3/(1+('CurrentFact-N10,20,40Unchanged'!C72)/100)+103/POWER(1+('CurrentFact-N10,20,40Unchanged'!D72)/100,2))*100</f>
        <v>9707.5857774288397</v>
      </c>
      <c r="C72">
        <f>(3/(1+('CurrentFact-N10,20,40Unchanged'!C72+'CurrentFact-N10,20,40Unchanged'!G72)/100)+103/POWER(1+('CurrentFact-N10,20,40Unchanged'!D72+'CurrentFact-N10,20,40Unchanged'!G72)/100,2))*100</f>
        <v>9614.9673582483465</v>
      </c>
      <c r="D72">
        <f>(3/(1+('CurrentFact-N10,20,40Unchanged'!C72+'CurrentFact-N10,20,40Unchanged'!H72)/100)+103/POWER(1+('CurrentFact-N10,20,40Unchanged'!D72+'CurrentFact-N10,20,40Unchanged'!H72)/100,2))*100</f>
        <v>9601.2395558122898</v>
      </c>
      <c r="E72">
        <f>(3/(1+('CurrentFact-N10,20,40Unchanged'!C72+'CurrentFact-N10,20,40Unchanged'!I72)/100)+103/POWER(1+('CurrentFact-N10,20,40Unchanged'!D72+'CurrentFact-N10,20,40Unchanged'!I72)/100,2))*100</f>
        <v>9674.3428190550749</v>
      </c>
      <c r="F72">
        <f>Portfolio!B$5*'CurrentFact-N10,20,40Unchanged'!E72</f>
        <v>52143.895533915893</v>
      </c>
      <c r="G72">
        <f>Portfolio!B$6*'CurrentFact-N10,20,40Unchanged'!F72</f>
        <v>3696.2945087936532</v>
      </c>
      <c r="H72">
        <f>Portfolio!B$7*'CurrentFact-N10,20,40Unchanged'!J72</f>
        <v>2064.4550337304254</v>
      </c>
      <c r="I72">
        <f t="shared" si="2"/>
        <v>96502.780586984532</v>
      </c>
      <c r="J72">
        <f t="shared" si="1"/>
        <v>-6.9554059944930486</v>
      </c>
    </row>
    <row r="73" spans="1:10">
      <c r="A73" s="1">
        <v>45572</v>
      </c>
      <c r="B73">
        <f>(3/(1+('CurrentFact-N10,20,40Unchanged'!C73)/100)+103/POWER(1+('CurrentFact-N10,20,40Unchanged'!D73)/100,2))*100</f>
        <v>9707.5857774288397</v>
      </c>
      <c r="C73">
        <f>(3/(1+('CurrentFact-N10,20,40Unchanged'!C73+'CurrentFact-N10,20,40Unchanged'!G73)/100)+103/POWER(1+('CurrentFact-N10,20,40Unchanged'!D73+'CurrentFact-N10,20,40Unchanged'!G73)/100,2))*100</f>
        <v>9614.9673582483465</v>
      </c>
      <c r="D73">
        <f>(3/(1+('CurrentFact-N10,20,40Unchanged'!C73+'CurrentFact-N10,20,40Unchanged'!H73)/100)+103/POWER(1+('CurrentFact-N10,20,40Unchanged'!D73+'CurrentFact-N10,20,40Unchanged'!H73)/100,2))*100</f>
        <v>9601.2395558122898</v>
      </c>
      <c r="E73">
        <f>(3/(1+('CurrentFact-N10,20,40Unchanged'!C73+'CurrentFact-N10,20,40Unchanged'!I73)/100)+103/POWER(1+('CurrentFact-N10,20,40Unchanged'!D73+'CurrentFact-N10,20,40Unchanged'!I73)/100,2))*100</f>
        <v>9675.4529888018551</v>
      </c>
      <c r="F73">
        <f>Portfolio!B$5*'CurrentFact-N10,20,40Unchanged'!E73</f>
        <v>52143.895533915893</v>
      </c>
      <c r="G73">
        <f>Portfolio!B$6*'CurrentFact-N10,20,40Unchanged'!F73</f>
        <v>3696.2945087936532</v>
      </c>
      <c r="H73">
        <f>Portfolio!B$7*'CurrentFact-N10,20,40Unchanged'!J73</f>
        <v>2064.4550337304254</v>
      </c>
      <c r="I73">
        <f t="shared" si="2"/>
        <v>96503.8907567313</v>
      </c>
      <c r="J73">
        <f t="shared" si="1"/>
        <v>-6.1549462351540569</v>
      </c>
    </row>
    <row r="74" spans="1:10">
      <c r="A74" s="1">
        <v>45573</v>
      </c>
      <c r="B74">
        <f>(3/(1+('CurrentFact-N10,20,40Unchanged'!C74)/100)+103/POWER(1+('CurrentFact-N10,20,40Unchanged'!D74)/100,2))*100</f>
        <v>9707.5857774288397</v>
      </c>
      <c r="C74">
        <f>(3/(1+('CurrentFact-N10,20,40Unchanged'!C74+'CurrentFact-N10,20,40Unchanged'!G74)/100)+103/POWER(1+('CurrentFact-N10,20,40Unchanged'!D74+'CurrentFact-N10,20,40Unchanged'!G74)/100,2))*100</f>
        <v>9614.9673582483465</v>
      </c>
      <c r="D74">
        <f>(3/(1+('CurrentFact-N10,20,40Unchanged'!C74+'CurrentFact-N10,20,40Unchanged'!H74)/100)+103/POWER(1+('CurrentFact-N10,20,40Unchanged'!D74+'CurrentFact-N10,20,40Unchanged'!H74)/100,2))*100</f>
        <v>9601.2395558122898</v>
      </c>
      <c r="E74">
        <f>(3/(1+('CurrentFact-N10,20,40Unchanged'!C74+'CurrentFact-N10,20,40Unchanged'!I74)/100)+103/POWER(1+('CurrentFact-N10,20,40Unchanged'!D74+'CurrentFact-N10,20,40Unchanged'!I74)/100,2))*100</f>
        <v>9671.5045655223075</v>
      </c>
      <c r="F74">
        <f>Portfolio!B$5*'CurrentFact-N10,20,40Unchanged'!E74</f>
        <v>52143.895533915893</v>
      </c>
      <c r="G74">
        <f>Portfolio!B$6*'CurrentFact-N10,20,40Unchanged'!F74</f>
        <v>3696.2945087936532</v>
      </c>
      <c r="H74">
        <f>Portfolio!B$7*'CurrentFact-N10,20,40Unchanged'!J74</f>
        <v>2064.4550337304254</v>
      </c>
      <c r="I74">
        <f t="shared" si="2"/>
        <v>96499.942333451763</v>
      </c>
      <c r="J74">
        <f t="shared" si="1"/>
        <v>-11.469915686669992</v>
      </c>
    </row>
    <row r="75" spans="1:10">
      <c r="A75" s="1">
        <v>45574</v>
      </c>
      <c r="B75">
        <f>(3/(1+('CurrentFact-N10,20,40Unchanged'!C75)/100)+103/POWER(1+('CurrentFact-N10,20,40Unchanged'!D75)/100,2))*100</f>
        <v>9707.5857774288397</v>
      </c>
      <c r="C75">
        <f>(3/(1+('CurrentFact-N10,20,40Unchanged'!C75+'CurrentFact-N10,20,40Unchanged'!G75)/100)+103/POWER(1+('CurrentFact-N10,20,40Unchanged'!D75+'CurrentFact-N10,20,40Unchanged'!G75)/100,2))*100</f>
        <v>9614.9673582483465</v>
      </c>
      <c r="D75">
        <f>(3/(1+('CurrentFact-N10,20,40Unchanged'!C75+'CurrentFact-N10,20,40Unchanged'!H75)/100)+103/POWER(1+('CurrentFact-N10,20,40Unchanged'!D75+'CurrentFact-N10,20,40Unchanged'!H75)/100,2))*100</f>
        <v>9601.2395558122898</v>
      </c>
      <c r="E75">
        <f>(3/(1+('CurrentFact-N10,20,40Unchanged'!C75+'CurrentFact-N10,20,40Unchanged'!I75)/100)+103/POWER(1+('CurrentFact-N10,20,40Unchanged'!D75+'CurrentFact-N10,20,40Unchanged'!I75)/100,2))*100</f>
        <v>9673.6877249516419</v>
      </c>
      <c r="F75">
        <f>Portfolio!B$5*'CurrentFact-N10,20,40Unchanged'!E75</f>
        <v>52143.895533915893</v>
      </c>
      <c r="G75">
        <f>Portfolio!B$6*'CurrentFact-N10,20,40Unchanged'!F75</f>
        <v>3696.2945087936532</v>
      </c>
      <c r="H75">
        <f>Portfolio!B$7*'CurrentFact-N10,20,40Unchanged'!J75</f>
        <v>2064.4550337304254</v>
      </c>
      <c r="I75">
        <f t="shared" si="2"/>
        <v>96502.125492881081</v>
      </c>
      <c r="J75">
        <f t="shared" si="1"/>
        <v>-10.489558336732443</v>
      </c>
    </row>
    <row r="76" spans="1:10">
      <c r="A76" s="1">
        <v>45575</v>
      </c>
      <c r="B76">
        <f>(3/(1+('CurrentFact-N10,20,40Unchanged'!C76)/100)+103/POWER(1+('CurrentFact-N10,20,40Unchanged'!D76)/100,2))*100</f>
        <v>9707.5857774288397</v>
      </c>
      <c r="C76">
        <f>(3/(1+('CurrentFact-N10,20,40Unchanged'!C76+'CurrentFact-N10,20,40Unchanged'!G76)/100)+103/POWER(1+('CurrentFact-N10,20,40Unchanged'!D76+'CurrentFact-N10,20,40Unchanged'!G76)/100,2))*100</f>
        <v>9614.9673582483465</v>
      </c>
      <c r="D76">
        <f>(3/(1+('CurrentFact-N10,20,40Unchanged'!C76+'CurrentFact-N10,20,40Unchanged'!H76)/100)+103/POWER(1+('CurrentFact-N10,20,40Unchanged'!D76+'CurrentFact-N10,20,40Unchanged'!H76)/100,2))*100</f>
        <v>9601.2395558122898</v>
      </c>
      <c r="E76">
        <f>(3/(1+('CurrentFact-N10,20,40Unchanged'!C76+'CurrentFact-N10,20,40Unchanged'!I76)/100)+103/POWER(1+('CurrentFact-N10,20,40Unchanged'!D76+'CurrentFact-N10,20,40Unchanged'!I76)/100,2))*100</f>
        <v>9673.8514921772967</v>
      </c>
      <c r="F76">
        <f>Portfolio!B$5*'CurrentFact-N10,20,40Unchanged'!E76</f>
        <v>52143.895533915893</v>
      </c>
      <c r="G76">
        <f>Portfolio!B$6*'CurrentFact-N10,20,40Unchanged'!F76</f>
        <v>3696.2945087936532</v>
      </c>
      <c r="H76">
        <f>Portfolio!B$7*'CurrentFact-N10,20,40Unchanged'!J76</f>
        <v>2064.4550337304254</v>
      </c>
      <c r="I76">
        <f t="shared" si="2"/>
        <v>96502.289260106743</v>
      </c>
      <c r="J76">
        <f t="shared" si="1"/>
        <v>-8.5581137567496626</v>
      </c>
    </row>
    <row r="77" spans="1:10">
      <c r="A77" s="1">
        <v>45576</v>
      </c>
      <c r="B77">
        <f>(3/(1+('CurrentFact-N10,20,40Unchanged'!C77)/100)+103/POWER(1+('CurrentFact-N10,20,40Unchanged'!D77)/100,2))*100</f>
        <v>9707.5857774288397</v>
      </c>
      <c r="C77">
        <f>(3/(1+('CurrentFact-N10,20,40Unchanged'!C77+'CurrentFact-N10,20,40Unchanged'!G77)/100)+103/POWER(1+('CurrentFact-N10,20,40Unchanged'!D77+'CurrentFact-N10,20,40Unchanged'!G77)/100,2))*100</f>
        <v>9614.9673582483465</v>
      </c>
      <c r="D77">
        <f>(3/(1+('CurrentFact-N10,20,40Unchanged'!C77+'CurrentFact-N10,20,40Unchanged'!H77)/100)+103/POWER(1+('CurrentFact-N10,20,40Unchanged'!D77+'CurrentFact-N10,20,40Unchanged'!H77)/100,2))*100</f>
        <v>9601.2395558122898</v>
      </c>
      <c r="E77">
        <f>(3/(1+('CurrentFact-N10,20,40Unchanged'!C77+'CurrentFact-N10,20,40Unchanged'!I77)/100)+103/POWER(1+('CurrentFact-N10,20,40Unchanged'!D77+'CurrentFact-N10,20,40Unchanged'!I77)/100,2))*100</f>
        <v>9675.7442131577227</v>
      </c>
      <c r="F77">
        <f>Portfolio!B$5*'CurrentFact-N10,20,40Unchanged'!E77</f>
        <v>52143.895533915893</v>
      </c>
      <c r="G77">
        <f>Portfolio!B$6*'CurrentFact-N10,20,40Unchanged'!F77</f>
        <v>3696.2945087936532</v>
      </c>
      <c r="H77">
        <f>Portfolio!B$7*'CurrentFact-N10,20,40Unchanged'!J77</f>
        <v>2064.4550337304254</v>
      </c>
      <c r="I77">
        <f t="shared" si="2"/>
        <v>96504.181981087168</v>
      </c>
      <c r="J77">
        <f t="shared" si="1"/>
        <v>-6.282764142844826</v>
      </c>
    </row>
    <row r="78" spans="1:10">
      <c r="A78" s="1">
        <v>45579</v>
      </c>
      <c r="B78">
        <f>(3/(1+('CurrentFact-N10,20,40Unchanged'!C78)/100)+103/POWER(1+('CurrentFact-N10,20,40Unchanged'!D78)/100,2))*100</f>
        <v>9707.5857774288397</v>
      </c>
      <c r="C78">
        <f>(3/(1+('CurrentFact-N10,20,40Unchanged'!C78+'CurrentFact-N10,20,40Unchanged'!G78)/100)+103/POWER(1+('CurrentFact-N10,20,40Unchanged'!D78+'CurrentFact-N10,20,40Unchanged'!G78)/100,2))*100</f>
        <v>9614.9673582483465</v>
      </c>
      <c r="D78">
        <f>(3/(1+('CurrentFact-N10,20,40Unchanged'!C78+'CurrentFact-N10,20,40Unchanged'!H78)/100)+103/POWER(1+('CurrentFact-N10,20,40Unchanged'!D78+'CurrentFact-N10,20,40Unchanged'!H78)/100,2))*100</f>
        <v>9601.2395558122898</v>
      </c>
      <c r="E78">
        <f>(3/(1+('CurrentFact-N10,20,40Unchanged'!C78+'CurrentFact-N10,20,40Unchanged'!I78)/100)+103/POWER(1+('CurrentFact-N10,20,40Unchanged'!D78+'CurrentFact-N10,20,40Unchanged'!I78)/100,2))*100</f>
        <v>9678.2201598923075</v>
      </c>
      <c r="F78">
        <f>Portfolio!B$5*'CurrentFact-N10,20,40Unchanged'!E78</f>
        <v>52143.895533915893</v>
      </c>
      <c r="G78">
        <f>Portfolio!B$6*'CurrentFact-N10,20,40Unchanged'!F78</f>
        <v>3696.2945087936532</v>
      </c>
      <c r="H78">
        <f>Portfolio!B$7*'CurrentFact-N10,20,40Unchanged'!J78</f>
        <v>2064.4550337304254</v>
      </c>
      <c r="I78">
        <f t="shared" si="2"/>
        <v>96506.657927821754</v>
      </c>
      <c r="J78">
        <f t="shared" ref="J78:J141" si="3">I78-I68</f>
        <v>2.6397625026438618</v>
      </c>
    </row>
    <row r="79" spans="1:10">
      <c r="A79" s="1">
        <v>45580</v>
      </c>
      <c r="B79">
        <f>(3/(1+('CurrentFact-N10,20,40Unchanged'!C79)/100)+103/POWER(1+('CurrentFact-N10,20,40Unchanged'!D79)/100,2))*100</f>
        <v>9707.5857774288397</v>
      </c>
      <c r="C79">
        <f>(3/(1+('CurrentFact-N10,20,40Unchanged'!C79+'CurrentFact-N10,20,40Unchanged'!G79)/100)+103/POWER(1+('CurrentFact-N10,20,40Unchanged'!D79+'CurrentFact-N10,20,40Unchanged'!G79)/100,2))*100</f>
        <v>9614.9673582483465</v>
      </c>
      <c r="D79">
        <f>(3/(1+('CurrentFact-N10,20,40Unchanged'!C79+'CurrentFact-N10,20,40Unchanged'!H79)/100)+103/POWER(1+('CurrentFact-N10,20,40Unchanged'!D79+'CurrentFact-N10,20,40Unchanged'!H79)/100,2))*100</f>
        <v>9601.2395558122898</v>
      </c>
      <c r="E79">
        <f>(3/(1+('CurrentFact-N10,20,40Unchanged'!C79+'CurrentFact-N10,20,40Unchanged'!I79)/100)+103/POWER(1+('CurrentFact-N10,20,40Unchanged'!D79+'CurrentFact-N10,20,40Unchanged'!I79)/100,2))*100</f>
        <v>9677.1277119446768</v>
      </c>
      <c r="F79">
        <f>Portfolio!B$5*'CurrentFact-N10,20,40Unchanged'!E79</f>
        <v>52143.895533915893</v>
      </c>
      <c r="G79">
        <f>Portfolio!B$6*'CurrentFact-N10,20,40Unchanged'!F79</f>
        <v>3696.2945087936532</v>
      </c>
      <c r="H79">
        <f>Portfolio!B$7*'CurrentFact-N10,20,40Unchanged'!J79</f>
        <v>2064.4550337304254</v>
      </c>
      <c r="I79">
        <f t="shared" si="2"/>
        <v>96505.565479874116</v>
      </c>
      <c r="J79">
        <f t="shared" si="3"/>
        <v>0.92843371190247126</v>
      </c>
    </row>
    <row r="80" spans="1:10">
      <c r="A80" s="1">
        <v>45581</v>
      </c>
      <c r="B80">
        <f>(3/(1+('CurrentFact-N10,20,40Unchanged'!C80)/100)+103/POWER(1+('CurrentFact-N10,20,40Unchanged'!D80)/100,2))*100</f>
        <v>9707.5857774288397</v>
      </c>
      <c r="C80">
        <f>(3/(1+('CurrentFact-N10,20,40Unchanged'!C80+'CurrentFact-N10,20,40Unchanged'!G80)/100)+103/POWER(1+('CurrentFact-N10,20,40Unchanged'!D80+'CurrentFact-N10,20,40Unchanged'!G80)/100,2))*100</f>
        <v>9614.9673582483465</v>
      </c>
      <c r="D80">
        <f>(3/(1+('CurrentFact-N10,20,40Unchanged'!C80+'CurrentFact-N10,20,40Unchanged'!H80)/100)+103/POWER(1+('CurrentFact-N10,20,40Unchanged'!D80+'CurrentFact-N10,20,40Unchanged'!H80)/100,2))*100</f>
        <v>9601.2395558122898</v>
      </c>
      <c r="E80">
        <f>(3/(1+('CurrentFact-N10,20,40Unchanged'!C80+'CurrentFact-N10,20,40Unchanged'!I80)/100)+103/POWER(1+('CurrentFact-N10,20,40Unchanged'!D80+'CurrentFact-N10,20,40Unchanged'!I80)/100,2))*100</f>
        <v>9672.3413563481736</v>
      </c>
      <c r="F80">
        <f>Portfolio!B$5*'CurrentFact-N10,20,40Unchanged'!E80</f>
        <v>52143.895533915893</v>
      </c>
      <c r="G80">
        <f>Portfolio!B$6*'CurrentFact-N10,20,40Unchanged'!F80</f>
        <v>3696.2945087936532</v>
      </c>
      <c r="H80">
        <f>Portfolio!B$7*'CurrentFact-N10,20,40Unchanged'!J80</f>
        <v>2064.4550337304254</v>
      </c>
      <c r="I80">
        <f t="shared" si="2"/>
        <v>96500.779124277615</v>
      </c>
      <c r="J80">
        <f t="shared" si="3"/>
        <v>-4.4040448573214235</v>
      </c>
    </row>
    <row r="81" spans="1:10">
      <c r="A81" s="1">
        <v>45582</v>
      </c>
      <c r="B81">
        <f>(3/(1+('CurrentFact-N10,20,40Unchanged'!C81)/100)+103/POWER(1+('CurrentFact-N10,20,40Unchanged'!D81)/100,2))*100</f>
        <v>9707.5857774288397</v>
      </c>
      <c r="C81">
        <f>(3/(1+('CurrentFact-N10,20,40Unchanged'!C81+'CurrentFact-N10,20,40Unchanged'!G81)/100)+103/POWER(1+('CurrentFact-N10,20,40Unchanged'!D81+'CurrentFact-N10,20,40Unchanged'!G81)/100,2))*100</f>
        <v>9614.9673582483465</v>
      </c>
      <c r="D81">
        <f>(3/(1+('CurrentFact-N10,20,40Unchanged'!C81+'CurrentFact-N10,20,40Unchanged'!H81)/100)+103/POWER(1+('CurrentFact-N10,20,40Unchanged'!D81+'CurrentFact-N10,20,40Unchanged'!H81)/100,2))*100</f>
        <v>9601.2395558122898</v>
      </c>
      <c r="E81">
        <f>(3/(1+('CurrentFact-N10,20,40Unchanged'!C81+'CurrentFact-N10,20,40Unchanged'!I81)/100)+103/POWER(1+('CurrentFact-N10,20,40Unchanged'!D81+'CurrentFact-N10,20,40Unchanged'!I81)/100,2))*100</f>
        <v>9676.1810780625983</v>
      </c>
      <c r="F81">
        <f>Portfolio!B$5*'CurrentFact-N10,20,40Unchanged'!E81</f>
        <v>52143.895533915893</v>
      </c>
      <c r="G81">
        <f>Portfolio!B$6*'CurrentFact-N10,20,40Unchanged'!F81</f>
        <v>3696.2945087936532</v>
      </c>
      <c r="H81">
        <f>Portfolio!B$7*'CurrentFact-N10,20,40Unchanged'!J81</f>
        <v>2064.4550337304254</v>
      </c>
      <c r="I81">
        <f t="shared" si="2"/>
        <v>96504.618845992052</v>
      </c>
      <c r="J81">
        <f t="shared" si="3"/>
        <v>3.1483800161222462</v>
      </c>
    </row>
    <row r="82" spans="1:10">
      <c r="A82" s="1">
        <v>45583</v>
      </c>
      <c r="B82">
        <f>(3/(1+('CurrentFact-N10,20,40Unchanged'!C82)/100)+103/POWER(1+('CurrentFact-N10,20,40Unchanged'!D82)/100,2))*100</f>
        <v>9707.5857774288397</v>
      </c>
      <c r="C82">
        <f>(3/(1+('CurrentFact-N10,20,40Unchanged'!C82+'CurrentFact-N10,20,40Unchanged'!G82)/100)+103/POWER(1+('CurrentFact-N10,20,40Unchanged'!D82+'CurrentFact-N10,20,40Unchanged'!G82)/100,2))*100</f>
        <v>9614.9673582483465</v>
      </c>
      <c r="D82">
        <f>(3/(1+('CurrentFact-N10,20,40Unchanged'!C82+'CurrentFact-N10,20,40Unchanged'!H82)/100)+103/POWER(1+('CurrentFact-N10,20,40Unchanged'!D82+'CurrentFact-N10,20,40Unchanged'!H82)/100,2))*100</f>
        <v>9601.2395558122898</v>
      </c>
      <c r="E82">
        <f>(3/(1+('CurrentFact-N10,20,40Unchanged'!C82+'CurrentFact-N10,20,40Unchanged'!I82)/100)+103/POWER(1+('CurrentFact-N10,20,40Unchanged'!D82+'CurrentFact-N10,20,40Unchanged'!I82)/100,2))*100</f>
        <v>9674.9615799806725</v>
      </c>
      <c r="F82">
        <f>Portfolio!B$5*'CurrentFact-N10,20,40Unchanged'!E82</f>
        <v>52143.895533915893</v>
      </c>
      <c r="G82">
        <f>Portfolio!B$6*'CurrentFact-N10,20,40Unchanged'!F82</f>
        <v>3696.2945087936532</v>
      </c>
      <c r="H82">
        <f>Portfolio!B$7*'CurrentFact-N10,20,40Unchanged'!J82</f>
        <v>2064.4550337304254</v>
      </c>
      <c r="I82">
        <f t="shared" si="2"/>
        <v>96503.399347910119</v>
      </c>
      <c r="J82">
        <f t="shared" si="3"/>
        <v>0.61876092558668461</v>
      </c>
    </row>
    <row r="83" spans="1:10">
      <c r="A83" s="1">
        <v>45586</v>
      </c>
      <c r="B83">
        <f>(3/(1+('CurrentFact-N10,20,40Unchanged'!C83)/100)+103/POWER(1+('CurrentFact-N10,20,40Unchanged'!D83)/100,2))*100</f>
        <v>9707.5857774288397</v>
      </c>
      <c r="C83">
        <f>(3/(1+('CurrentFact-N10,20,40Unchanged'!C83+'CurrentFact-N10,20,40Unchanged'!G83)/100)+103/POWER(1+('CurrentFact-N10,20,40Unchanged'!D83+'CurrentFact-N10,20,40Unchanged'!G83)/100,2))*100</f>
        <v>9614.9673582483465</v>
      </c>
      <c r="D83">
        <f>(3/(1+('CurrentFact-N10,20,40Unchanged'!C83+'CurrentFact-N10,20,40Unchanged'!H83)/100)+103/POWER(1+('CurrentFact-N10,20,40Unchanged'!D83+'CurrentFact-N10,20,40Unchanged'!H83)/100,2))*100</f>
        <v>9601.2395558122898</v>
      </c>
      <c r="E83">
        <f>(3/(1+('CurrentFact-N10,20,40Unchanged'!C83+'CurrentFact-N10,20,40Unchanged'!I83)/100)+103/POWER(1+('CurrentFact-N10,20,40Unchanged'!D83+'CurrentFact-N10,20,40Unchanged'!I83)/100,2))*100</f>
        <v>9667.9948878388495</v>
      </c>
      <c r="F83">
        <f>Portfolio!B$5*'CurrentFact-N10,20,40Unchanged'!E83</f>
        <v>52143.895533915893</v>
      </c>
      <c r="G83">
        <f>Portfolio!B$6*'CurrentFact-N10,20,40Unchanged'!F83</f>
        <v>3696.2945087936532</v>
      </c>
      <c r="H83">
        <f>Portfolio!B$7*'CurrentFact-N10,20,40Unchanged'!J83</f>
        <v>2064.4550337304254</v>
      </c>
      <c r="I83">
        <f t="shared" si="2"/>
        <v>96496.432655768294</v>
      </c>
      <c r="J83">
        <f t="shared" si="3"/>
        <v>-7.4581009630055632</v>
      </c>
    </row>
    <row r="84" spans="1:10">
      <c r="A84" s="1">
        <v>45587</v>
      </c>
      <c r="B84">
        <f>(3/(1+('CurrentFact-N10,20,40Unchanged'!C84)/100)+103/POWER(1+('CurrentFact-N10,20,40Unchanged'!D84)/100,2))*100</f>
        <v>9707.5857774288397</v>
      </c>
      <c r="C84">
        <f>(3/(1+('CurrentFact-N10,20,40Unchanged'!C84+'CurrentFact-N10,20,40Unchanged'!G84)/100)+103/POWER(1+('CurrentFact-N10,20,40Unchanged'!D84+'CurrentFact-N10,20,40Unchanged'!G84)/100,2))*100</f>
        <v>9614.9673582483465</v>
      </c>
      <c r="D84">
        <f>(3/(1+('CurrentFact-N10,20,40Unchanged'!C84+'CurrentFact-N10,20,40Unchanged'!H84)/100)+103/POWER(1+('CurrentFact-N10,20,40Unchanged'!D84+'CurrentFact-N10,20,40Unchanged'!H84)/100,2))*100</f>
        <v>9601.2395558122898</v>
      </c>
      <c r="E84">
        <f>(3/(1+('CurrentFact-N10,20,40Unchanged'!C84+'CurrentFact-N10,20,40Unchanged'!I84)/100)+103/POWER(1+('CurrentFact-N10,20,40Unchanged'!D84+'CurrentFact-N10,20,40Unchanged'!I84)/100,2))*100</f>
        <v>9670.4314528997838</v>
      </c>
      <c r="F84">
        <f>Portfolio!B$5*'CurrentFact-N10,20,40Unchanged'!E84</f>
        <v>52143.895533915893</v>
      </c>
      <c r="G84">
        <f>Portfolio!B$6*'CurrentFact-N10,20,40Unchanged'!F84</f>
        <v>3696.2945087936532</v>
      </c>
      <c r="H84">
        <f>Portfolio!B$7*'CurrentFact-N10,20,40Unchanged'!J84</f>
        <v>2064.4550337304254</v>
      </c>
      <c r="I84">
        <f t="shared" si="2"/>
        <v>96498.869220829234</v>
      </c>
      <c r="J84">
        <f t="shared" si="3"/>
        <v>-1.0731126225291518</v>
      </c>
    </row>
    <row r="85" spans="1:10">
      <c r="A85" s="1">
        <v>45588</v>
      </c>
      <c r="B85">
        <f>(3/(1+('CurrentFact-N10,20,40Unchanged'!C85)/100)+103/POWER(1+('CurrentFact-N10,20,40Unchanged'!D85)/100,2))*100</f>
        <v>9707.5857774288397</v>
      </c>
      <c r="C85">
        <f>(3/(1+('CurrentFact-N10,20,40Unchanged'!C85+'CurrentFact-N10,20,40Unchanged'!G85)/100)+103/POWER(1+('CurrentFact-N10,20,40Unchanged'!D85+'CurrentFact-N10,20,40Unchanged'!G85)/100,2))*100</f>
        <v>9614.9673582483465</v>
      </c>
      <c r="D85">
        <f>(3/(1+('CurrentFact-N10,20,40Unchanged'!C85+'CurrentFact-N10,20,40Unchanged'!H85)/100)+103/POWER(1+('CurrentFact-N10,20,40Unchanged'!D85+'CurrentFact-N10,20,40Unchanged'!H85)/100,2))*100</f>
        <v>9601.2395558122898</v>
      </c>
      <c r="E85">
        <f>(3/(1+('CurrentFact-N10,20,40Unchanged'!C85+'CurrentFact-N10,20,40Unchanged'!I85)/100)+103/POWER(1+('CurrentFact-N10,20,40Unchanged'!D85+'CurrentFact-N10,20,40Unchanged'!I85)/100,2))*100</f>
        <v>9672.9781178175181</v>
      </c>
      <c r="F85">
        <f>Portfolio!B$5*'CurrentFact-N10,20,40Unchanged'!E85</f>
        <v>52143.895533915893</v>
      </c>
      <c r="G85">
        <f>Portfolio!B$6*'CurrentFact-N10,20,40Unchanged'!F85</f>
        <v>3696.2945087936532</v>
      </c>
      <c r="H85">
        <f>Portfolio!B$7*'CurrentFact-N10,20,40Unchanged'!J85</f>
        <v>2064.4550337304254</v>
      </c>
      <c r="I85">
        <f t="shared" si="2"/>
        <v>96501.415885746974</v>
      </c>
      <c r="J85">
        <f t="shared" si="3"/>
        <v>-0.70960713410750031</v>
      </c>
    </row>
    <row r="86" spans="1:10">
      <c r="A86" s="1">
        <v>45589</v>
      </c>
      <c r="B86">
        <f>(3/(1+('CurrentFact-N10,20,40Unchanged'!C86)/100)+103/POWER(1+('CurrentFact-N10,20,40Unchanged'!D86)/100,2))*100</f>
        <v>9707.5857774288397</v>
      </c>
      <c r="C86">
        <f>(3/(1+('CurrentFact-N10,20,40Unchanged'!C86+'CurrentFact-N10,20,40Unchanged'!G86)/100)+103/POWER(1+('CurrentFact-N10,20,40Unchanged'!D86+'CurrentFact-N10,20,40Unchanged'!G86)/100,2))*100</f>
        <v>9614.9673582483465</v>
      </c>
      <c r="D86">
        <f>(3/(1+('CurrentFact-N10,20,40Unchanged'!C86+'CurrentFact-N10,20,40Unchanged'!H86)/100)+103/POWER(1+('CurrentFact-N10,20,40Unchanged'!D86+'CurrentFact-N10,20,40Unchanged'!H86)/100,2))*100</f>
        <v>9601.2395558122898</v>
      </c>
      <c r="E86">
        <f>(3/(1+('CurrentFact-N10,20,40Unchanged'!C86+'CurrentFact-N10,20,40Unchanged'!I86)/100)+103/POWER(1+('CurrentFact-N10,20,40Unchanged'!D86+'CurrentFact-N10,20,40Unchanged'!I86)/100,2))*100</f>
        <v>9670.7588245401621</v>
      </c>
      <c r="F86">
        <f>Portfolio!B$5*'CurrentFact-N10,20,40Unchanged'!E86</f>
        <v>52143.895533915893</v>
      </c>
      <c r="G86">
        <f>Portfolio!B$6*'CurrentFact-N10,20,40Unchanged'!F86</f>
        <v>3696.2945087936532</v>
      </c>
      <c r="H86">
        <f>Portfolio!B$7*'CurrentFact-N10,20,40Unchanged'!J86</f>
        <v>2064.4550337304254</v>
      </c>
      <c r="I86">
        <f t="shared" si="2"/>
        <v>96499.196592469612</v>
      </c>
      <c r="J86">
        <f t="shared" si="3"/>
        <v>-3.0926676371309441</v>
      </c>
    </row>
    <row r="87" spans="1:10">
      <c r="A87" s="1">
        <v>45590</v>
      </c>
      <c r="B87">
        <f>(3/(1+('CurrentFact-N10,20,40Unchanged'!C87)/100)+103/POWER(1+('CurrentFact-N10,20,40Unchanged'!D87)/100,2))*100</f>
        <v>9707.5857774288397</v>
      </c>
      <c r="C87">
        <f>(3/(1+('CurrentFact-N10,20,40Unchanged'!C87+'CurrentFact-N10,20,40Unchanged'!G87)/100)+103/POWER(1+('CurrentFact-N10,20,40Unchanged'!D87+'CurrentFact-N10,20,40Unchanged'!G87)/100,2))*100</f>
        <v>9614.9673582483465</v>
      </c>
      <c r="D87">
        <f>(3/(1+('CurrentFact-N10,20,40Unchanged'!C87+'CurrentFact-N10,20,40Unchanged'!H87)/100)+103/POWER(1+('CurrentFact-N10,20,40Unchanged'!D87+'CurrentFact-N10,20,40Unchanged'!H87)/100,2))*100</f>
        <v>9601.2395558122898</v>
      </c>
      <c r="E87">
        <f>(3/(1+('CurrentFact-N10,20,40Unchanged'!C87+'CurrentFact-N10,20,40Unchanged'!I87)/100)+103/POWER(1+('CurrentFact-N10,20,40Unchanged'!D87+'CurrentFact-N10,20,40Unchanged'!I87)/100,2))*100</f>
        <v>9669.8676874657613</v>
      </c>
      <c r="F87">
        <f>Portfolio!B$5*'CurrentFact-N10,20,40Unchanged'!E87</f>
        <v>52143.895533915893</v>
      </c>
      <c r="G87">
        <f>Portfolio!B$6*'CurrentFact-N10,20,40Unchanged'!F87</f>
        <v>3696.2945087936532</v>
      </c>
      <c r="H87">
        <f>Portfolio!B$7*'CurrentFact-N10,20,40Unchanged'!J87</f>
        <v>2064.4550337304254</v>
      </c>
      <c r="I87">
        <f t="shared" si="2"/>
        <v>96498.30545539521</v>
      </c>
      <c r="J87">
        <f t="shared" si="3"/>
        <v>-5.8765256919577951</v>
      </c>
    </row>
    <row r="88" spans="1:10">
      <c r="A88" s="1">
        <v>45593</v>
      </c>
      <c r="B88">
        <f>(3/(1+('CurrentFact-N10,20,40Unchanged'!C88)/100)+103/POWER(1+('CurrentFact-N10,20,40Unchanged'!D88)/100,2))*100</f>
        <v>9707.5857774288397</v>
      </c>
      <c r="C88">
        <f>(3/(1+('CurrentFact-N10,20,40Unchanged'!C88+'CurrentFact-N10,20,40Unchanged'!G88)/100)+103/POWER(1+('CurrentFact-N10,20,40Unchanged'!D88+'CurrentFact-N10,20,40Unchanged'!G88)/100,2))*100</f>
        <v>9614.9673582483465</v>
      </c>
      <c r="D88">
        <f>(3/(1+('CurrentFact-N10,20,40Unchanged'!C88+'CurrentFact-N10,20,40Unchanged'!H88)/100)+103/POWER(1+('CurrentFact-N10,20,40Unchanged'!D88+'CurrentFact-N10,20,40Unchanged'!H88)/100,2))*100</f>
        <v>9601.2395558122898</v>
      </c>
      <c r="E88">
        <f>(3/(1+('CurrentFact-N10,20,40Unchanged'!C88+'CurrentFact-N10,20,40Unchanged'!I88)/100)+103/POWER(1+('CurrentFact-N10,20,40Unchanged'!D88+'CurrentFact-N10,20,40Unchanged'!I88)/100,2))*100</f>
        <v>9674.4884042634476</v>
      </c>
      <c r="F88">
        <f>Portfolio!B$5*'CurrentFact-N10,20,40Unchanged'!E88</f>
        <v>52143.895533915893</v>
      </c>
      <c r="G88">
        <f>Portfolio!B$6*'CurrentFact-N10,20,40Unchanged'!F88</f>
        <v>3696.2945087936532</v>
      </c>
      <c r="H88">
        <f>Portfolio!B$7*'CurrentFact-N10,20,40Unchanged'!J88</f>
        <v>2064.4550337304254</v>
      </c>
      <c r="I88">
        <f t="shared" si="2"/>
        <v>96502.926172192907</v>
      </c>
      <c r="J88">
        <f t="shared" si="3"/>
        <v>-3.7317556288471678</v>
      </c>
    </row>
    <row r="89" spans="1:10">
      <c r="A89" s="1">
        <v>45594</v>
      </c>
      <c r="B89">
        <f>(3/(1+('CurrentFact-N10,20,40Unchanged'!C89)/100)+103/POWER(1+('CurrentFact-N10,20,40Unchanged'!D89)/100,2))*100</f>
        <v>9707.5857774288397</v>
      </c>
      <c r="C89">
        <f>(3/(1+('CurrentFact-N10,20,40Unchanged'!C89+'CurrentFact-N10,20,40Unchanged'!G89)/100)+103/POWER(1+('CurrentFact-N10,20,40Unchanged'!D89+'CurrentFact-N10,20,40Unchanged'!G89)/100,2))*100</f>
        <v>9614.9673582483465</v>
      </c>
      <c r="D89">
        <f>(3/(1+('CurrentFact-N10,20,40Unchanged'!C89+'CurrentFact-N10,20,40Unchanged'!H89)/100)+103/POWER(1+('CurrentFact-N10,20,40Unchanged'!D89+'CurrentFact-N10,20,40Unchanged'!H89)/100,2))*100</f>
        <v>9601.2395558122898</v>
      </c>
      <c r="E89">
        <f>(3/(1+('CurrentFact-N10,20,40Unchanged'!C89+'CurrentFact-N10,20,40Unchanged'!I89)/100)+103/POWER(1+('CurrentFact-N10,20,40Unchanged'!D89+'CurrentFact-N10,20,40Unchanged'!I89)/100,2))*100</f>
        <v>9676.8000136403025</v>
      </c>
      <c r="F89">
        <f>Portfolio!B$5*'CurrentFact-N10,20,40Unchanged'!E89</f>
        <v>52143.895533915893</v>
      </c>
      <c r="G89">
        <f>Portfolio!B$6*'CurrentFact-N10,20,40Unchanged'!F89</f>
        <v>3696.2945087936532</v>
      </c>
      <c r="H89">
        <f>Portfolio!B$7*'CurrentFact-N10,20,40Unchanged'!J89</f>
        <v>2064.4550337304254</v>
      </c>
      <c r="I89">
        <f t="shared" si="2"/>
        <v>96505.23778156974</v>
      </c>
      <c r="J89">
        <f t="shared" si="3"/>
        <v>-0.32769830437609926</v>
      </c>
    </row>
    <row r="90" spans="1:10">
      <c r="A90" s="1">
        <v>45595</v>
      </c>
      <c r="B90">
        <f>(3/(1+('CurrentFact-N10,20,40Unchanged'!C90)/100)+103/POWER(1+('CurrentFact-N10,20,40Unchanged'!D90)/100,2))*100</f>
        <v>9707.5857774288397</v>
      </c>
      <c r="C90">
        <f>(3/(1+('CurrentFact-N10,20,40Unchanged'!C90+'CurrentFact-N10,20,40Unchanged'!G90)/100)+103/POWER(1+('CurrentFact-N10,20,40Unchanged'!D90+'CurrentFact-N10,20,40Unchanged'!G90)/100,2))*100</f>
        <v>9614.9673582483465</v>
      </c>
      <c r="D90">
        <f>(3/(1+('CurrentFact-N10,20,40Unchanged'!C90+'CurrentFact-N10,20,40Unchanged'!H90)/100)+103/POWER(1+('CurrentFact-N10,20,40Unchanged'!D90+'CurrentFact-N10,20,40Unchanged'!H90)/100,2))*100</f>
        <v>9601.2395558122898</v>
      </c>
      <c r="E90">
        <f>(3/(1+('CurrentFact-N10,20,40Unchanged'!C90+'CurrentFact-N10,20,40Unchanged'!I90)/100)+103/POWER(1+('CurrentFact-N10,20,40Unchanged'!D90+'CurrentFact-N10,20,40Unchanged'!I90)/100,2))*100</f>
        <v>9679.0031959085572</v>
      </c>
      <c r="F90">
        <f>Portfolio!B$5*'CurrentFact-N10,20,40Unchanged'!E90</f>
        <v>52143.895533915893</v>
      </c>
      <c r="G90">
        <f>Portfolio!B$6*'CurrentFact-N10,20,40Unchanged'!F90</f>
        <v>3696.2945087936532</v>
      </c>
      <c r="H90">
        <f>Portfolio!B$7*'CurrentFact-N10,20,40Unchanged'!J90</f>
        <v>2064.4550337304254</v>
      </c>
      <c r="I90">
        <f t="shared" si="2"/>
        <v>96507.440963838017</v>
      </c>
      <c r="J90">
        <f t="shared" si="3"/>
        <v>6.6618395604018588</v>
      </c>
    </row>
    <row r="91" spans="1:10">
      <c r="A91" s="1">
        <v>45596</v>
      </c>
      <c r="B91">
        <f>(3/(1+('CurrentFact-N10,20,40Unchanged'!C91)/100)+103/POWER(1+('CurrentFact-N10,20,40Unchanged'!D91)/100,2))*100</f>
        <v>9707.5857774288397</v>
      </c>
      <c r="C91">
        <f>(3/(1+('CurrentFact-N10,20,40Unchanged'!C91+'CurrentFact-N10,20,40Unchanged'!G91)/100)+103/POWER(1+('CurrentFact-N10,20,40Unchanged'!D91+'CurrentFact-N10,20,40Unchanged'!G91)/100,2))*100</f>
        <v>9614.9673582483465</v>
      </c>
      <c r="D91">
        <f>(3/(1+('CurrentFact-N10,20,40Unchanged'!C91+'CurrentFact-N10,20,40Unchanged'!H91)/100)+103/POWER(1+('CurrentFact-N10,20,40Unchanged'!D91+'CurrentFact-N10,20,40Unchanged'!H91)/100,2))*100</f>
        <v>9601.2395558122898</v>
      </c>
      <c r="E91">
        <f>(3/(1+('CurrentFact-N10,20,40Unchanged'!C91+'CurrentFact-N10,20,40Unchanged'!I91)/100)+103/POWER(1+('CurrentFact-N10,20,40Unchanged'!D91+'CurrentFact-N10,20,40Unchanged'!I91)/100,2))*100</f>
        <v>9680.3691851352687</v>
      </c>
      <c r="F91">
        <f>Portfolio!B$5*'CurrentFact-N10,20,40Unchanged'!E91</f>
        <v>52143.895533915893</v>
      </c>
      <c r="G91">
        <f>Portfolio!B$6*'CurrentFact-N10,20,40Unchanged'!F91</f>
        <v>3696.2945087936532</v>
      </c>
      <c r="H91">
        <f>Portfolio!B$7*'CurrentFact-N10,20,40Unchanged'!J91</f>
        <v>2064.4550337304254</v>
      </c>
      <c r="I91">
        <f t="shared" si="2"/>
        <v>96508.806953064719</v>
      </c>
      <c r="J91">
        <f t="shared" si="3"/>
        <v>4.1881070726667531</v>
      </c>
    </row>
    <row r="92" spans="1:10">
      <c r="A92" s="1">
        <v>45597</v>
      </c>
      <c r="B92">
        <f>(3/(1+('CurrentFact-N10,20,40Unchanged'!C92)/100)+103/POWER(1+('CurrentFact-N10,20,40Unchanged'!D92)/100,2))*100</f>
        <v>9707.5857774288397</v>
      </c>
      <c r="C92">
        <f>(3/(1+('CurrentFact-N10,20,40Unchanged'!C92+'CurrentFact-N10,20,40Unchanged'!G92)/100)+103/POWER(1+('CurrentFact-N10,20,40Unchanged'!D92+'CurrentFact-N10,20,40Unchanged'!G92)/100,2))*100</f>
        <v>9614.9673582483465</v>
      </c>
      <c r="D92">
        <f>(3/(1+('CurrentFact-N10,20,40Unchanged'!C92+'CurrentFact-N10,20,40Unchanged'!H92)/100)+103/POWER(1+('CurrentFact-N10,20,40Unchanged'!D92+'CurrentFact-N10,20,40Unchanged'!H92)/100,2))*100</f>
        <v>9601.2395558122898</v>
      </c>
      <c r="E92">
        <f>(3/(1+('CurrentFact-N10,20,40Unchanged'!C92+'CurrentFact-N10,20,40Unchanged'!I92)/100)+103/POWER(1+('CurrentFact-N10,20,40Unchanged'!D92+'CurrentFact-N10,20,40Unchanged'!I92)/100,2))*100</f>
        <v>9680.4056146090297</v>
      </c>
      <c r="F92">
        <f>Portfolio!B$5*'CurrentFact-N10,20,40Unchanged'!E92</f>
        <v>52143.895533915893</v>
      </c>
      <c r="G92">
        <f>Portfolio!B$6*'CurrentFact-N10,20,40Unchanged'!F92</f>
        <v>3696.2945087936532</v>
      </c>
      <c r="H92">
        <f>Portfolio!B$7*'CurrentFact-N10,20,40Unchanged'!J92</f>
        <v>2064.4550337304254</v>
      </c>
      <c r="I92">
        <f t="shared" si="2"/>
        <v>96508.843382538471</v>
      </c>
      <c r="J92">
        <f t="shared" si="3"/>
        <v>5.4440346283518011</v>
      </c>
    </row>
    <row r="93" spans="1:10">
      <c r="A93" s="1">
        <v>45600</v>
      </c>
      <c r="B93">
        <f>(3/(1+('CurrentFact-N10,20,40Unchanged'!C93)/100)+103/POWER(1+('CurrentFact-N10,20,40Unchanged'!D93)/100,2))*100</f>
        <v>9707.5857774288397</v>
      </c>
      <c r="C93">
        <f>(3/(1+('CurrentFact-N10,20,40Unchanged'!C93+'CurrentFact-N10,20,40Unchanged'!G93)/100)+103/POWER(1+('CurrentFact-N10,20,40Unchanged'!D93+'CurrentFact-N10,20,40Unchanged'!G93)/100,2))*100</f>
        <v>9614.9673582483465</v>
      </c>
      <c r="D93">
        <f>(3/(1+('CurrentFact-N10,20,40Unchanged'!C93+'CurrentFact-N10,20,40Unchanged'!H93)/100)+103/POWER(1+('CurrentFact-N10,20,40Unchanged'!D93+'CurrentFact-N10,20,40Unchanged'!H93)/100,2))*100</f>
        <v>9601.2395558122898</v>
      </c>
      <c r="E93">
        <f>(3/(1+('CurrentFact-N10,20,40Unchanged'!C93+'CurrentFact-N10,20,40Unchanged'!I93)/100)+103/POWER(1+('CurrentFact-N10,20,40Unchanged'!D93+'CurrentFact-N10,20,40Unchanged'!I93)/100,2))*100</f>
        <v>9679.6770472220851</v>
      </c>
      <c r="F93">
        <f>Portfolio!B$5*'CurrentFact-N10,20,40Unchanged'!E93</f>
        <v>52143.895533915893</v>
      </c>
      <c r="G93">
        <f>Portfolio!B$6*'CurrentFact-N10,20,40Unchanged'!F93</f>
        <v>3696.2945087936532</v>
      </c>
      <c r="H93">
        <f>Portfolio!B$7*'CurrentFact-N10,20,40Unchanged'!J93</f>
        <v>2064.4550337304254</v>
      </c>
      <c r="I93">
        <f t="shared" si="2"/>
        <v>96508.114815151523</v>
      </c>
      <c r="J93">
        <f t="shared" si="3"/>
        <v>11.682159383228282</v>
      </c>
    </row>
    <row r="94" spans="1:10">
      <c r="A94" s="1">
        <v>45601</v>
      </c>
      <c r="B94">
        <f>(3/(1+('CurrentFact-N10,20,40Unchanged'!C94)/100)+103/POWER(1+('CurrentFact-N10,20,40Unchanged'!D94)/100,2))*100</f>
        <v>9707.5857774288397</v>
      </c>
      <c r="C94">
        <f>(3/(1+('CurrentFact-N10,20,40Unchanged'!C94+'CurrentFact-N10,20,40Unchanged'!G94)/100)+103/POWER(1+('CurrentFact-N10,20,40Unchanged'!D94+'CurrentFact-N10,20,40Unchanged'!G94)/100,2))*100</f>
        <v>9614.9673582483465</v>
      </c>
      <c r="D94">
        <f>(3/(1+('CurrentFact-N10,20,40Unchanged'!C94+'CurrentFact-N10,20,40Unchanged'!H94)/100)+103/POWER(1+('CurrentFact-N10,20,40Unchanged'!D94+'CurrentFact-N10,20,40Unchanged'!H94)/100,2))*100</f>
        <v>9601.2395558122898</v>
      </c>
      <c r="E94">
        <f>(3/(1+('CurrentFact-N10,20,40Unchanged'!C94+'CurrentFact-N10,20,40Unchanged'!I94)/100)+103/POWER(1+('CurrentFact-N10,20,40Unchanged'!D94+'CurrentFact-N10,20,40Unchanged'!I94)/100,2))*100</f>
        <v>9681.7172470058304</v>
      </c>
      <c r="F94">
        <f>Portfolio!B$5*'CurrentFact-N10,20,40Unchanged'!E94</f>
        <v>52143.895533915893</v>
      </c>
      <c r="G94">
        <f>Portfolio!B$6*'CurrentFact-N10,20,40Unchanged'!F94</f>
        <v>3696.2945087936532</v>
      </c>
      <c r="H94">
        <f>Portfolio!B$7*'CurrentFact-N10,20,40Unchanged'!J94</f>
        <v>2064.4550337304254</v>
      </c>
      <c r="I94">
        <f t="shared" si="2"/>
        <v>96510.15501493527</v>
      </c>
      <c r="J94">
        <f t="shared" si="3"/>
        <v>11.28579410603561</v>
      </c>
    </row>
    <row r="95" spans="1:10">
      <c r="A95" s="1">
        <v>45602</v>
      </c>
      <c r="B95">
        <f>(3/(1+('CurrentFact-N10,20,40Unchanged'!C95)/100)+103/POWER(1+('CurrentFact-N10,20,40Unchanged'!D95)/100,2))*100</f>
        <v>9707.5857774288397</v>
      </c>
      <c r="C95">
        <f>(3/(1+('CurrentFact-N10,20,40Unchanged'!C95+'CurrentFact-N10,20,40Unchanged'!G95)/100)+103/POWER(1+('CurrentFact-N10,20,40Unchanged'!D95+'CurrentFact-N10,20,40Unchanged'!G95)/100,2))*100</f>
        <v>9614.9673582483465</v>
      </c>
      <c r="D95">
        <f>(3/(1+('CurrentFact-N10,20,40Unchanged'!C95+'CurrentFact-N10,20,40Unchanged'!H95)/100)+103/POWER(1+('CurrentFact-N10,20,40Unchanged'!D95+'CurrentFact-N10,20,40Unchanged'!H95)/100,2))*100</f>
        <v>9601.2395558122898</v>
      </c>
      <c r="E95">
        <f>(3/(1+('CurrentFact-N10,20,40Unchanged'!C95+'CurrentFact-N10,20,40Unchanged'!I95)/100)+103/POWER(1+('CurrentFact-N10,20,40Unchanged'!D95+'CurrentFact-N10,20,40Unchanged'!I95)/100,2))*100</f>
        <v>9680.6424173310115</v>
      </c>
      <c r="F95">
        <f>Portfolio!B$5*'CurrentFact-N10,20,40Unchanged'!E95</f>
        <v>52143.895533915893</v>
      </c>
      <c r="G95">
        <f>Portfolio!B$6*'CurrentFact-N10,20,40Unchanged'!F95</f>
        <v>3696.2945087936532</v>
      </c>
      <c r="H95">
        <f>Portfolio!B$7*'CurrentFact-N10,20,40Unchanged'!J95</f>
        <v>2064.4550337304254</v>
      </c>
      <c r="I95">
        <f t="shared" si="2"/>
        <v>96509.080185260449</v>
      </c>
      <c r="J95">
        <f t="shared" si="3"/>
        <v>7.6642995134752709</v>
      </c>
    </row>
    <row r="96" spans="1:10">
      <c r="A96" s="1">
        <v>45603</v>
      </c>
      <c r="B96">
        <f>(3/(1+('CurrentFact-N10,20,40Unchanged'!C96)/100)+103/POWER(1+('CurrentFact-N10,20,40Unchanged'!D96)/100,2))*100</f>
        <v>9707.5857774288397</v>
      </c>
      <c r="C96">
        <f>(3/(1+('CurrentFact-N10,20,40Unchanged'!C96+'CurrentFact-N10,20,40Unchanged'!G96)/100)+103/POWER(1+('CurrentFact-N10,20,40Unchanged'!D96+'CurrentFact-N10,20,40Unchanged'!G96)/100,2))*100</f>
        <v>9614.9673582483465</v>
      </c>
      <c r="D96">
        <f>(3/(1+('CurrentFact-N10,20,40Unchanged'!C96+'CurrentFact-N10,20,40Unchanged'!H96)/100)+103/POWER(1+('CurrentFact-N10,20,40Unchanged'!D96+'CurrentFact-N10,20,40Unchanged'!H96)/100,2))*100</f>
        <v>9601.2395558122898</v>
      </c>
      <c r="E96">
        <f>(3/(1+('CurrentFact-N10,20,40Unchanged'!C96+'CurrentFact-N10,20,40Unchanged'!I96)/100)+103/POWER(1+('CurrentFact-N10,20,40Unchanged'!D96+'CurrentFact-N10,20,40Unchanged'!I96)/100,2))*100</f>
        <v>9681.7354664282466</v>
      </c>
      <c r="F96">
        <f>Portfolio!B$5*'CurrentFact-N10,20,40Unchanged'!E96</f>
        <v>52143.895533915893</v>
      </c>
      <c r="G96">
        <f>Portfolio!B$6*'CurrentFact-N10,20,40Unchanged'!F96</f>
        <v>3696.2945087936532</v>
      </c>
      <c r="H96">
        <f>Portfolio!B$7*'CurrentFact-N10,20,40Unchanged'!J96</f>
        <v>2064.4550337304254</v>
      </c>
      <c r="I96">
        <f t="shared" si="2"/>
        <v>96510.173234357702</v>
      </c>
      <c r="J96">
        <f t="shared" si="3"/>
        <v>10.976641888089944</v>
      </c>
    </row>
    <row r="97" spans="1:10">
      <c r="A97" s="1">
        <v>45604</v>
      </c>
      <c r="B97">
        <f>(3/(1+('CurrentFact-N10,20,40Unchanged'!C97)/100)+103/POWER(1+('CurrentFact-N10,20,40Unchanged'!D97)/100,2))*100</f>
        <v>9707.5857774288397</v>
      </c>
      <c r="C97">
        <f>(3/(1+('CurrentFact-N10,20,40Unchanged'!C97+'CurrentFact-N10,20,40Unchanged'!G97)/100)+103/POWER(1+('CurrentFact-N10,20,40Unchanged'!D97+'CurrentFact-N10,20,40Unchanged'!G97)/100,2))*100</f>
        <v>9614.9673582483465</v>
      </c>
      <c r="D97">
        <f>(3/(1+('CurrentFact-N10,20,40Unchanged'!C97+'CurrentFact-N10,20,40Unchanged'!H97)/100)+103/POWER(1+('CurrentFact-N10,20,40Unchanged'!D97+'CurrentFact-N10,20,40Unchanged'!H97)/100,2))*100</f>
        <v>9601.2395558122898</v>
      </c>
      <c r="E97">
        <f>(3/(1+('CurrentFact-N10,20,40Unchanged'!C97+'CurrentFact-N10,20,40Unchanged'!I97)/100)+103/POWER(1+('CurrentFact-N10,20,40Unchanged'!D97+'CurrentFact-N10,20,40Unchanged'!I97)/100,2))*100</f>
        <v>9681.6990276353554</v>
      </c>
      <c r="F97">
        <f>Portfolio!B$5*'CurrentFact-N10,20,40Unchanged'!E97</f>
        <v>52143.895533915893</v>
      </c>
      <c r="G97">
        <f>Portfolio!B$6*'CurrentFact-N10,20,40Unchanged'!F97</f>
        <v>3696.2945087936532</v>
      </c>
      <c r="H97">
        <f>Portfolio!B$7*'CurrentFact-N10,20,40Unchanged'!J97</f>
        <v>2064.4550337304254</v>
      </c>
      <c r="I97">
        <f t="shared" si="2"/>
        <v>96510.136795564802</v>
      </c>
      <c r="J97">
        <f t="shared" si="3"/>
        <v>11.831340169592295</v>
      </c>
    </row>
    <row r="98" spans="1:10">
      <c r="A98" s="1">
        <v>45607</v>
      </c>
      <c r="B98">
        <f>(3/(1+('CurrentFact-N10,20,40Unchanged'!C98)/100)+103/POWER(1+('CurrentFact-N10,20,40Unchanged'!D98)/100,2))*100</f>
        <v>9707.5857774288397</v>
      </c>
      <c r="C98">
        <f>(3/(1+('CurrentFact-N10,20,40Unchanged'!C98+'CurrentFact-N10,20,40Unchanged'!G98)/100)+103/POWER(1+('CurrentFact-N10,20,40Unchanged'!D98+'CurrentFact-N10,20,40Unchanged'!G98)/100,2))*100</f>
        <v>9614.9673582483465</v>
      </c>
      <c r="D98">
        <f>(3/(1+('CurrentFact-N10,20,40Unchanged'!C98+'CurrentFact-N10,20,40Unchanged'!H98)/100)+103/POWER(1+('CurrentFact-N10,20,40Unchanged'!D98+'CurrentFact-N10,20,40Unchanged'!H98)/100,2))*100</f>
        <v>9601.2395558122898</v>
      </c>
      <c r="E98">
        <f>(3/(1+('CurrentFact-N10,20,40Unchanged'!C98+'CurrentFact-N10,20,40Unchanged'!I98)/100)+103/POWER(1+('CurrentFact-N10,20,40Unchanged'!D98+'CurrentFact-N10,20,40Unchanged'!I98)/100,2))*100</f>
        <v>9683.1020398709661</v>
      </c>
      <c r="F98">
        <f>Portfolio!B$5*'CurrentFact-N10,20,40Unchanged'!E98</f>
        <v>52143.895533915893</v>
      </c>
      <c r="G98">
        <f>Portfolio!B$6*'CurrentFact-N10,20,40Unchanged'!F98</f>
        <v>3696.2945087936532</v>
      </c>
      <c r="H98">
        <f>Portfolio!B$7*'CurrentFact-N10,20,40Unchanged'!J98</f>
        <v>2064.4550337304254</v>
      </c>
      <c r="I98">
        <f t="shared" si="2"/>
        <v>96511.539807800407</v>
      </c>
      <c r="J98">
        <f t="shared" si="3"/>
        <v>8.6136356075003278</v>
      </c>
    </row>
    <row r="99" spans="1:10">
      <c r="A99" s="1">
        <v>45608</v>
      </c>
      <c r="B99">
        <f>(3/(1+('CurrentFact-N10,20,40Unchanged'!C99)/100)+103/POWER(1+('CurrentFact-N10,20,40Unchanged'!D99)/100,2))*100</f>
        <v>9707.5857774288397</v>
      </c>
      <c r="C99">
        <f>(3/(1+('CurrentFact-N10,20,40Unchanged'!C99+'CurrentFact-N10,20,40Unchanged'!G99)/100)+103/POWER(1+('CurrentFact-N10,20,40Unchanged'!D99+'CurrentFact-N10,20,40Unchanged'!G99)/100,2))*100</f>
        <v>9614.9673582483465</v>
      </c>
      <c r="D99">
        <f>(3/(1+('CurrentFact-N10,20,40Unchanged'!C99+'CurrentFact-N10,20,40Unchanged'!H99)/100)+103/POWER(1+('CurrentFact-N10,20,40Unchanged'!D99+'CurrentFact-N10,20,40Unchanged'!H99)/100,2))*100</f>
        <v>9601.2395558122898</v>
      </c>
      <c r="E99">
        <f>(3/(1+('CurrentFact-N10,20,40Unchanged'!C99+'CurrentFact-N10,20,40Unchanged'!I99)/100)+103/POWER(1+('CurrentFact-N10,20,40Unchanged'!D99+'CurrentFact-N10,20,40Unchanged'!I99)/100,2))*100</f>
        <v>9683.2113773965266</v>
      </c>
      <c r="F99">
        <f>Portfolio!B$5*'CurrentFact-N10,20,40Unchanged'!E99</f>
        <v>52143.895533915893</v>
      </c>
      <c r="G99">
        <f>Portfolio!B$6*'CurrentFact-N10,20,40Unchanged'!F99</f>
        <v>3696.2945087936532</v>
      </c>
      <c r="H99">
        <f>Portfolio!B$7*'CurrentFact-N10,20,40Unchanged'!J99</f>
        <v>2064.4550337304254</v>
      </c>
      <c r="I99">
        <f t="shared" si="2"/>
        <v>96511.649145325966</v>
      </c>
      <c r="J99">
        <f t="shared" si="3"/>
        <v>6.41136375622591</v>
      </c>
    </row>
    <row r="100" spans="1:10">
      <c r="A100" s="1">
        <v>45609</v>
      </c>
      <c r="B100">
        <f>(3/(1+('CurrentFact-N10,20,40Unchanged'!C100)/100)+103/POWER(1+('CurrentFact-N10,20,40Unchanged'!D100)/100,2))*100</f>
        <v>9707.5857774288397</v>
      </c>
      <c r="C100">
        <f>(3/(1+('CurrentFact-N10,20,40Unchanged'!C100+'CurrentFact-N10,20,40Unchanged'!G100)/100)+103/POWER(1+('CurrentFact-N10,20,40Unchanged'!D100+'CurrentFact-N10,20,40Unchanged'!G100)/100,2))*100</f>
        <v>9614.9673582483465</v>
      </c>
      <c r="D100">
        <f>(3/(1+('CurrentFact-N10,20,40Unchanged'!C100+'CurrentFact-N10,20,40Unchanged'!H100)/100)+103/POWER(1+('CurrentFact-N10,20,40Unchanged'!D100+'CurrentFact-N10,20,40Unchanged'!H100)/100,2))*100</f>
        <v>9601.2395558122898</v>
      </c>
      <c r="E100">
        <f>(3/(1+('CurrentFact-N10,20,40Unchanged'!C100+'CurrentFact-N10,20,40Unchanged'!I100)/100)+103/POWER(1+('CurrentFact-N10,20,40Unchanged'!D100+'CurrentFact-N10,20,40Unchanged'!I100)/100,2))*100</f>
        <v>9684.1226042922844</v>
      </c>
      <c r="F100">
        <f>Portfolio!B$5*'CurrentFact-N10,20,40Unchanged'!E100</f>
        <v>52143.895533915893</v>
      </c>
      <c r="G100">
        <f>Portfolio!B$6*'CurrentFact-N10,20,40Unchanged'!F100</f>
        <v>3696.2945087936532</v>
      </c>
      <c r="H100">
        <f>Portfolio!B$7*'CurrentFact-N10,20,40Unchanged'!J100</f>
        <v>2064.4550337304254</v>
      </c>
      <c r="I100">
        <f t="shared" si="2"/>
        <v>96512.560372221735</v>
      </c>
      <c r="J100">
        <f t="shared" si="3"/>
        <v>5.1194083837181097</v>
      </c>
    </row>
    <row r="101" spans="1:10">
      <c r="A101" s="1">
        <v>45610</v>
      </c>
      <c r="B101">
        <f>(3/(1+('CurrentFact-N10,20,40Unchanged'!C101)/100)+103/POWER(1+('CurrentFact-N10,20,40Unchanged'!D101)/100,2))*100</f>
        <v>9707.5857774288397</v>
      </c>
      <c r="C101">
        <f>(3/(1+('CurrentFact-N10,20,40Unchanged'!C101+'CurrentFact-N10,20,40Unchanged'!G101)/100)+103/POWER(1+('CurrentFact-N10,20,40Unchanged'!D101+'CurrentFact-N10,20,40Unchanged'!G101)/100,2))*100</f>
        <v>9614.9673582483465</v>
      </c>
      <c r="D101">
        <f>(3/(1+('CurrentFact-N10,20,40Unchanged'!C101+'CurrentFact-N10,20,40Unchanged'!H101)/100)+103/POWER(1+('CurrentFact-N10,20,40Unchanged'!D101+'CurrentFact-N10,20,40Unchanged'!H101)/100,2))*100</f>
        <v>9601.2395558122898</v>
      </c>
      <c r="E101">
        <f>(3/(1+('CurrentFact-N10,20,40Unchanged'!C101+'CurrentFact-N10,20,40Unchanged'!I101)/100)+103/POWER(1+('CurrentFact-N10,20,40Unchanged'!D101+'CurrentFact-N10,20,40Unchanged'!I101)/100,2))*100</f>
        <v>9684.8334520784665</v>
      </c>
      <c r="F101">
        <f>Portfolio!B$5*'CurrentFact-N10,20,40Unchanged'!E101</f>
        <v>52143.895533915893</v>
      </c>
      <c r="G101">
        <f>Portfolio!B$6*'CurrentFact-N10,20,40Unchanged'!F101</f>
        <v>3696.2945087936532</v>
      </c>
      <c r="H101">
        <f>Portfolio!B$7*'CurrentFact-N10,20,40Unchanged'!J101</f>
        <v>2064.4550337304254</v>
      </c>
      <c r="I101">
        <f t="shared" si="2"/>
        <v>96513.271220007911</v>
      </c>
      <c r="J101">
        <f t="shared" si="3"/>
        <v>4.4642669431923423</v>
      </c>
    </row>
    <row r="102" spans="1:10">
      <c r="A102" s="1">
        <v>45611</v>
      </c>
      <c r="B102">
        <f>(3/(1+('CurrentFact-N10,20,40Unchanged'!C102)/100)+103/POWER(1+('CurrentFact-N10,20,40Unchanged'!D102)/100,2))*100</f>
        <v>9707.5857774288397</v>
      </c>
      <c r="C102">
        <f>(3/(1+('CurrentFact-N10,20,40Unchanged'!C102+'CurrentFact-N10,20,40Unchanged'!G102)/100)+103/POWER(1+('CurrentFact-N10,20,40Unchanged'!D102+'CurrentFact-N10,20,40Unchanged'!G102)/100,2))*100</f>
        <v>9614.9673582483465</v>
      </c>
      <c r="D102">
        <f>(3/(1+('CurrentFact-N10,20,40Unchanged'!C102+'CurrentFact-N10,20,40Unchanged'!H102)/100)+103/POWER(1+('CurrentFact-N10,20,40Unchanged'!D102+'CurrentFact-N10,20,40Unchanged'!H102)/100,2))*100</f>
        <v>9601.2395558122898</v>
      </c>
      <c r="E102">
        <f>(3/(1+('CurrentFact-N10,20,40Unchanged'!C102+'CurrentFact-N10,20,40Unchanged'!I102)/100)+103/POWER(1+('CurrentFact-N10,20,40Unchanged'!D102+'CurrentFact-N10,20,40Unchanged'!I102)/100,2))*100</f>
        <v>9684.4142257946733</v>
      </c>
      <c r="F102">
        <f>Portfolio!B$5*'CurrentFact-N10,20,40Unchanged'!E102</f>
        <v>52143.895533915893</v>
      </c>
      <c r="G102">
        <f>Portfolio!B$6*'CurrentFact-N10,20,40Unchanged'!F102</f>
        <v>3696.2945087936532</v>
      </c>
      <c r="H102">
        <f>Portfolio!B$7*'CurrentFact-N10,20,40Unchanged'!J102</f>
        <v>2064.4550337304254</v>
      </c>
      <c r="I102">
        <f t="shared" si="2"/>
        <v>96512.851993724122</v>
      </c>
      <c r="J102">
        <f t="shared" si="3"/>
        <v>4.0086111856508069</v>
      </c>
    </row>
    <row r="103" spans="1:10">
      <c r="A103" s="1">
        <v>45614</v>
      </c>
      <c r="B103">
        <f>(3/(1+('CurrentFact-N10,20,40Unchanged'!C103)/100)+103/POWER(1+('CurrentFact-N10,20,40Unchanged'!D103)/100,2))*100</f>
        <v>9707.5857774288397</v>
      </c>
      <c r="C103">
        <f>(3/(1+('CurrentFact-N10,20,40Unchanged'!C103+'CurrentFact-N10,20,40Unchanged'!G103)/100)+103/POWER(1+('CurrentFact-N10,20,40Unchanged'!D103+'CurrentFact-N10,20,40Unchanged'!G103)/100,2))*100</f>
        <v>9614.9673582483465</v>
      </c>
      <c r="D103">
        <f>(3/(1+('CurrentFact-N10,20,40Unchanged'!C103+'CurrentFact-N10,20,40Unchanged'!H103)/100)+103/POWER(1+('CurrentFact-N10,20,40Unchanged'!D103+'CurrentFact-N10,20,40Unchanged'!H103)/100,2))*100</f>
        <v>9601.2395558122898</v>
      </c>
      <c r="E103">
        <f>(3/(1+('CurrentFact-N10,20,40Unchanged'!C103+'CurrentFact-N10,20,40Unchanged'!I103)/100)+103/POWER(1+('CurrentFact-N10,20,40Unchanged'!D103+'CurrentFact-N10,20,40Unchanged'!I103)/100,2))*100</f>
        <v>9683.9950252631097</v>
      </c>
      <c r="F103">
        <f>Portfolio!B$5*'CurrentFact-N10,20,40Unchanged'!E103</f>
        <v>52143.895533915893</v>
      </c>
      <c r="G103">
        <f>Portfolio!B$6*'CurrentFact-N10,20,40Unchanged'!F103</f>
        <v>3696.2945087936532</v>
      </c>
      <c r="H103">
        <f>Portfolio!B$7*'CurrentFact-N10,20,40Unchanged'!J103</f>
        <v>2064.4550337304254</v>
      </c>
      <c r="I103">
        <f t="shared" si="2"/>
        <v>96512.432793192565</v>
      </c>
      <c r="J103">
        <f t="shared" si="3"/>
        <v>4.3179780410428066</v>
      </c>
    </row>
    <row r="104" spans="1:10">
      <c r="A104" s="1">
        <v>45615</v>
      </c>
      <c r="B104">
        <f>(3/(1+('CurrentFact-N10,20,40Unchanged'!C104)/100)+103/POWER(1+('CurrentFact-N10,20,40Unchanged'!D104)/100,2))*100</f>
        <v>9707.5857774288397</v>
      </c>
      <c r="C104">
        <f>(3/(1+('CurrentFact-N10,20,40Unchanged'!C104+'CurrentFact-N10,20,40Unchanged'!G104)/100)+103/POWER(1+('CurrentFact-N10,20,40Unchanged'!D104+'CurrentFact-N10,20,40Unchanged'!G104)/100,2))*100</f>
        <v>9614.9673582483465</v>
      </c>
      <c r="D104">
        <f>(3/(1+('CurrentFact-N10,20,40Unchanged'!C104+'CurrentFact-N10,20,40Unchanged'!H104)/100)+103/POWER(1+('CurrentFact-N10,20,40Unchanged'!D104+'CurrentFact-N10,20,40Unchanged'!H104)/100,2))*100</f>
        <v>9601.2395558122898</v>
      </c>
      <c r="E104">
        <f>(3/(1+('CurrentFact-N10,20,40Unchanged'!C104+'CurrentFact-N10,20,40Unchanged'!I104)/100)+103/POWER(1+('CurrentFact-N10,20,40Unchanged'!D104+'CurrentFact-N10,20,40Unchanged'!I104)/100,2))*100</f>
        <v>9684.5235857668922</v>
      </c>
      <c r="F104">
        <f>Portfolio!B$5*'CurrentFact-N10,20,40Unchanged'!E104</f>
        <v>52143.895533915893</v>
      </c>
      <c r="G104">
        <f>Portfolio!B$6*'CurrentFact-N10,20,40Unchanged'!F104</f>
        <v>3696.2945087936532</v>
      </c>
      <c r="H104">
        <f>Portfolio!B$7*'CurrentFact-N10,20,40Unchanged'!J104</f>
        <v>2064.4550337304254</v>
      </c>
      <c r="I104">
        <f t="shared" si="2"/>
        <v>96512.96135369633</v>
      </c>
      <c r="J104">
        <f t="shared" si="3"/>
        <v>2.806338761060033</v>
      </c>
    </row>
    <row r="105" spans="1:10">
      <c r="A105" s="1">
        <v>45616</v>
      </c>
      <c r="B105">
        <f>(3/(1+('CurrentFact-N10,20,40Unchanged'!C105)/100)+103/POWER(1+('CurrentFact-N10,20,40Unchanged'!D105)/100,2))*100</f>
        <v>9707.5857774288397</v>
      </c>
      <c r="C105">
        <f>(3/(1+('CurrentFact-N10,20,40Unchanged'!C105+'CurrentFact-N10,20,40Unchanged'!G105)/100)+103/POWER(1+('CurrentFact-N10,20,40Unchanged'!D105+'CurrentFact-N10,20,40Unchanged'!G105)/100,2))*100</f>
        <v>9614.9673582483465</v>
      </c>
      <c r="D105">
        <f>(3/(1+('CurrentFact-N10,20,40Unchanged'!C105+'CurrentFact-N10,20,40Unchanged'!H105)/100)+103/POWER(1+('CurrentFact-N10,20,40Unchanged'!D105+'CurrentFact-N10,20,40Unchanged'!H105)/100,2))*100</f>
        <v>9601.2395558122898</v>
      </c>
      <c r="E105">
        <f>(3/(1+('CurrentFact-N10,20,40Unchanged'!C105+'CurrentFact-N10,20,40Unchanged'!I105)/100)+103/POWER(1+('CurrentFact-N10,20,40Unchanged'!D105+'CurrentFact-N10,20,40Unchanged'!I105)/100,2))*100</f>
        <v>9683.7034246212697</v>
      </c>
      <c r="F105">
        <f>Portfolio!B$5*'CurrentFact-N10,20,40Unchanged'!E105</f>
        <v>52143.895533915893</v>
      </c>
      <c r="G105">
        <f>Portfolio!B$6*'CurrentFact-N10,20,40Unchanged'!F105</f>
        <v>3696.2945087936532</v>
      </c>
      <c r="H105">
        <f>Portfolio!B$7*'CurrentFact-N10,20,40Unchanged'!J105</f>
        <v>2064.4550337304254</v>
      </c>
      <c r="I105">
        <f t="shared" si="2"/>
        <v>96512.141192550713</v>
      </c>
      <c r="J105">
        <f t="shared" si="3"/>
        <v>3.0610072902636603</v>
      </c>
    </row>
    <row r="106" spans="1:10">
      <c r="A106" s="1">
        <v>45617</v>
      </c>
      <c r="B106">
        <f>(3/(1+('CurrentFact-N10,20,40Unchanged'!C106)/100)+103/POWER(1+('CurrentFact-N10,20,40Unchanged'!D106)/100,2))*100</f>
        <v>9707.5857774288397</v>
      </c>
      <c r="C106">
        <f>(3/(1+('CurrentFact-N10,20,40Unchanged'!C106+'CurrentFact-N10,20,40Unchanged'!G106)/100)+103/POWER(1+('CurrentFact-N10,20,40Unchanged'!D106+'CurrentFact-N10,20,40Unchanged'!G106)/100,2))*100</f>
        <v>9614.9673582483465</v>
      </c>
      <c r="D106">
        <f>(3/(1+('CurrentFact-N10,20,40Unchanged'!C106+'CurrentFact-N10,20,40Unchanged'!H106)/100)+103/POWER(1+('CurrentFact-N10,20,40Unchanged'!D106+'CurrentFact-N10,20,40Unchanged'!H106)/100,2))*100</f>
        <v>9601.2395558122898</v>
      </c>
      <c r="E106">
        <f>(3/(1+('CurrentFact-N10,20,40Unchanged'!C106+'CurrentFact-N10,20,40Unchanged'!I106)/100)+103/POWER(1+('CurrentFact-N10,20,40Unchanged'!D106+'CurrentFact-N10,20,40Unchanged'!I106)/100,2))*100</f>
        <v>9684.1226042922844</v>
      </c>
      <c r="F106">
        <f>Portfolio!B$5*'CurrentFact-N10,20,40Unchanged'!E106</f>
        <v>52143.895533915893</v>
      </c>
      <c r="G106">
        <f>Portfolio!B$6*'CurrentFact-N10,20,40Unchanged'!F106</f>
        <v>3696.2945087936532</v>
      </c>
      <c r="H106">
        <f>Portfolio!B$7*'CurrentFact-N10,20,40Unchanged'!J106</f>
        <v>2064.4550337304254</v>
      </c>
      <c r="I106">
        <f t="shared" si="2"/>
        <v>96512.560372221735</v>
      </c>
      <c r="J106">
        <f t="shared" si="3"/>
        <v>2.387137864032411</v>
      </c>
    </row>
    <row r="107" spans="1:10">
      <c r="A107" s="1">
        <v>45618</v>
      </c>
      <c r="B107">
        <f>(3/(1+('CurrentFact-N10,20,40Unchanged'!C107)/100)+103/POWER(1+('CurrentFact-N10,20,40Unchanged'!D107)/100,2))*100</f>
        <v>9707.5857774288397</v>
      </c>
      <c r="C107">
        <f>(3/(1+('CurrentFact-N10,20,40Unchanged'!C107+'CurrentFact-N10,20,40Unchanged'!G107)/100)+103/POWER(1+('CurrentFact-N10,20,40Unchanged'!D107+'CurrentFact-N10,20,40Unchanged'!G107)/100,2))*100</f>
        <v>9614.9673582483465</v>
      </c>
      <c r="D107">
        <f>(3/(1+('CurrentFact-N10,20,40Unchanged'!C107+'CurrentFact-N10,20,40Unchanged'!H107)/100)+103/POWER(1+('CurrentFact-N10,20,40Unchanged'!D107+'CurrentFact-N10,20,40Unchanged'!H107)/100,2))*100</f>
        <v>9601.2395558122898</v>
      </c>
      <c r="E107">
        <f>(3/(1+('CurrentFact-N10,20,40Unchanged'!C107+'CurrentFact-N10,20,40Unchanged'!I107)/100)+103/POWER(1+('CurrentFact-N10,20,40Unchanged'!D107+'CurrentFact-N10,20,40Unchanged'!I107)/100,2))*100</f>
        <v>9683.9038981990943</v>
      </c>
      <c r="F107">
        <f>Portfolio!B$5*'CurrentFact-N10,20,40Unchanged'!E107</f>
        <v>52143.895533915893</v>
      </c>
      <c r="G107">
        <f>Portfolio!B$6*'CurrentFact-N10,20,40Unchanged'!F107</f>
        <v>3696.2945087936532</v>
      </c>
      <c r="H107">
        <f>Portfolio!B$7*'CurrentFact-N10,20,40Unchanged'!J107</f>
        <v>2064.4550337304254</v>
      </c>
      <c r="I107">
        <f t="shared" si="2"/>
        <v>96512.341666128545</v>
      </c>
      <c r="J107">
        <f t="shared" si="3"/>
        <v>2.2048705637425883</v>
      </c>
    </row>
    <row r="108" spans="1:10">
      <c r="A108" s="1">
        <v>45621</v>
      </c>
      <c r="B108">
        <f>(3/(1+('CurrentFact-N10,20,40Unchanged'!C108)/100)+103/POWER(1+('CurrentFact-N10,20,40Unchanged'!D108)/100,2))*100</f>
        <v>9707.5857774288397</v>
      </c>
      <c r="C108">
        <f>(3/(1+('CurrentFact-N10,20,40Unchanged'!C108+'CurrentFact-N10,20,40Unchanged'!G108)/100)+103/POWER(1+('CurrentFact-N10,20,40Unchanged'!D108+'CurrentFact-N10,20,40Unchanged'!G108)/100,2))*100</f>
        <v>9614.9673582483465</v>
      </c>
      <c r="D108">
        <f>(3/(1+('CurrentFact-N10,20,40Unchanged'!C108+'CurrentFact-N10,20,40Unchanged'!H108)/100)+103/POWER(1+('CurrentFact-N10,20,40Unchanged'!D108+'CurrentFact-N10,20,40Unchanged'!H108)/100,2))*100</f>
        <v>9601.2395558122898</v>
      </c>
      <c r="E108">
        <f>(3/(1+('CurrentFact-N10,20,40Unchanged'!C108+'CurrentFact-N10,20,40Unchanged'!I108)/100)+103/POWER(1+('CurrentFact-N10,20,40Unchanged'!D108+'CurrentFact-N10,20,40Unchanged'!I108)/100,2))*100</f>
        <v>9684.5235857668922</v>
      </c>
      <c r="F108">
        <f>Portfolio!B$5*'CurrentFact-N10,20,40Unchanged'!E108</f>
        <v>52143.895533915893</v>
      </c>
      <c r="G108">
        <f>Portfolio!B$6*'CurrentFact-N10,20,40Unchanged'!F108</f>
        <v>3696.2945087936532</v>
      </c>
      <c r="H108">
        <f>Portfolio!B$7*'CurrentFact-N10,20,40Unchanged'!J108</f>
        <v>2064.4550337304254</v>
      </c>
      <c r="I108">
        <f t="shared" si="2"/>
        <v>96512.96135369633</v>
      </c>
      <c r="J108">
        <f t="shared" si="3"/>
        <v>1.4215458959224634</v>
      </c>
    </row>
    <row r="109" spans="1:10">
      <c r="A109" s="1">
        <v>45622</v>
      </c>
      <c r="B109">
        <f>(3/(1+('CurrentFact-N10,20,40Unchanged'!C109)/100)+103/POWER(1+('CurrentFact-N10,20,40Unchanged'!D109)/100,2))*100</f>
        <v>9707.5857774288397</v>
      </c>
      <c r="C109">
        <f>(3/(1+('CurrentFact-N10,20,40Unchanged'!C109+'CurrentFact-N10,20,40Unchanged'!G109)/100)+103/POWER(1+('CurrentFact-N10,20,40Unchanged'!D109+'CurrentFact-N10,20,40Unchanged'!G109)/100,2))*100</f>
        <v>9614.9673582483465</v>
      </c>
      <c r="D109">
        <f>(3/(1+('CurrentFact-N10,20,40Unchanged'!C109+'CurrentFact-N10,20,40Unchanged'!H109)/100)+103/POWER(1+('CurrentFact-N10,20,40Unchanged'!D109+'CurrentFact-N10,20,40Unchanged'!H109)/100,2))*100</f>
        <v>9601.2395558122898</v>
      </c>
      <c r="E109">
        <f>(3/(1+('CurrentFact-N10,20,40Unchanged'!C109+'CurrentFact-N10,20,40Unchanged'!I109)/100)+103/POWER(1+('CurrentFact-N10,20,40Unchanged'!D109+'CurrentFact-N10,20,40Unchanged'!I109)/100,2))*100</f>
        <v>9685.5443789132642</v>
      </c>
      <c r="F109">
        <f>Portfolio!B$5*'CurrentFact-N10,20,40Unchanged'!E109</f>
        <v>52143.895533915893</v>
      </c>
      <c r="G109">
        <f>Portfolio!B$6*'CurrentFact-N10,20,40Unchanged'!F109</f>
        <v>3696.2945087936532</v>
      </c>
      <c r="H109">
        <f>Portfolio!B$7*'CurrentFact-N10,20,40Unchanged'!J109</f>
        <v>2064.4550337304254</v>
      </c>
      <c r="I109">
        <f t="shared" si="2"/>
        <v>96513.982146842711</v>
      </c>
      <c r="J109">
        <f t="shared" si="3"/>
        <v>2.3330015167448437</v>
      </c>
    </row>
    <row r="110" spans="1:10">
      <c r="A110" s="1">
        <v>45623</v>
      </c>
      <c r="B110">
        <f>(3/(1+('CurrentFact-N10,20,40Unchanged'!C110)/100)+103/POWER(1+('CurrentFact-N10,20,40Unchanged'!D110)/100,2))*100</f>
        <v>9707.5857774288397</v>
      </c>
      <c r="C110">
        <f>(3/(1+('CurrentFact-N10,20,40Unchanged'!C110+'CurrentFact-N10,20,40Unchanged'!G110)/100)+103/POWER(1+('CurrentFact-N10,20,40Unchanged'!D110+'CurrentFact-N10,20,40Unchanged'!G110)/100,2))*100</f>
        <v>9614.9673582483465</v>
      </c>
      <c r="D110">
        <f>(3/(1+('CurrentFact-N10,20,40Unchanged'!C110+'CurrentFact-N10,20,40Unchanged'!H110)/100)+103/POWER(1+('CurrentFact-N10,20,40Unchanged'!D110+'CurrentFact-N10,20,40Unchanged'!H110)/100,2))*100</f>
        <v>9601.2395558122898</v>
      </c>
      <c r="E110">
        <f>(3/(1+('CurrentFact-N10,20,40Unchanged'!C110+'CurrentFact-N10,20,40Unchanged'!I110)/100)+103/POWER(1+('CurrentFact-N10,20,40Unchanged'!D110+'CurrentFact-N10,20,40Unchanged'!I110)/100,2))*100</f>
        <v>9685.3256241759664</v>
      </c>
      <c r="F110">
        <f>Portfolio!B$5*'CurrentFact-N10,20,40Unchanged'!E110</f>
        <v>52143.895533915893</v>
      </c>
      <c r="G110">
        <f>Portfolio!B$6*'CurrentFact-N10,20,40Unchanged'!F110</f>
        <v>3696.2945087936532</v>
      </c>
      <c r="H110">
        <f>Portfolio!B$7*'CurrentFact-N10,20,40Unchanged'!J110</f>
        <v>2064.4550337304254</v>
      </c>
      <c r="I110">
        <f t="shared" si="2"/>
        <v>96513.763392105408</v>
      </c>
      <c r="J110">
        <f t="shared" si="3"/>
        <v>1.2030198836728232</v>
      </c>
    </row>
    <row r="111" spans="1:10">
      <c r="A111" s="1">
        <v>45624</v>
      </c>
      <c r="B111">
        <f>(3/(1+('CurrentFact-N10,20,40Unchanged'!C111)/100)+103/POWER(1+('CurrentFact-N10,20,40Unchanged'!D111)/100,2))*100</f>
        <v>9707.5857774288397</v>
      </c>
      <c r="C111">
        <f>(3/(1+('CurrentFact-N10,20,40Unchanged'!C111+'CurrentFact-N10,20,40Unchanged'!G111)/100)+103/POWER(1+('CurrentFact-N10,20,40Unchanged'!D111+'CurrentFact-N10,20,40Unchanged'!G111)/100,2))*100</f>
        <v>9614.9673582483465</v>
      </c>
      <c r="D111">
        <f>(3/(1+('CurrentFact-N10,20,40Unchanged'!C111+'CurrentFact-N10,20,40Unchanged'!H111)/100)+103/POWER(1+('CurrentFact-N10,20,40Unchanged'!D111+'CurrentFact-N10,20,40Unchanged'!H111)/100,2))*100</f>
        <v>9601.2395558122898</v>
      </c>
      <c r="E111">
        <f>(3/(1+('CurrentFact-N10,20,40Unchanged'!C111+'CurrentFact-N10,20,40Unchanged'!I111)/100)+103/POWER(1+('CurrentFact-N10,20,40Unchanged'!D111+'CurrentFact-N10,20,40Unchanged'!I111)/100,2))*100</f>
        <v>9684.7969973590189</v>
      </c>
      <c r="F111">
        <f>Portfolio!B$5*'CurrentFact-N10,20,40Unchanged'!E111</f>
        <v>52143.895533915893</v>
      </c>
      <c r="G111">
        <f>Portfolio!B$6*'CurrentFact-N10,20,40Unchanged'!F111</f>
        <v>3696.2945087936532</v>
      </c>
      <c r="H111">
        <f>Portfolio!B$7*'CurrentFact-N10,20,40Unchanged'!J111</f>
        <v>2064.4550337304254</v>
      </c>
      <c r="I111">
        <f t="shared" si="2"/>
        <v>96513.234765288478</v>
      </c>
      <c r="J111">
        <f t="shared" si="3"/>
        <v>-3.6454719433095306E-2</v>
      </c>
    </row>
    <row r="112" spans="1:10">
      <c r="A112" s="1">
        <v>45625</v>
      </c>
      <c r="B112">
        <f>(3/(1+('CurrentFact-N10,20,40Unchanged'!C112)/100)+103/POWER(1+('CurrentFact-N10,20,40Unchanged'!D112)/100,2))*100</f>
        <v>9707.5857774288397</v>
      </c>
      <c r="C112">
        <f>(3/(1+('CurrentFact-N10,20,40Unchanged'!C112+'CurrentFact-N10,20,40Unchanged'!G112)/100)+103/POWER(1+('CurrentFact-N10,20,40Unchanged'!D112+'CurrentFact-N10,20,40Unchanged'!G112)/100,2))*100</f>
        <v>9614.9673582483465</v>
      </c>
      <c r="D112">
        <f>(3/(1+('CurrentFact-N10,20,40Unchanged'!C112+'CurrentFact-N10,20,40Unchanged'!H112)/100)+103/POWER(1+('CurrentFact-N10,20,40Unchanged'!D112+'CurrentFact-N10,20,40Unchanged'!H112)/100,2))*100</f>
        <v>9601.2395558122898</v>
      </c>
      <c r="E112">
        <f>(3/(1+('CurrentFact-N10,20,40Unchanged'!C112+'CurrentFact-N10,20,40Unchanged'!I112)/100)+103/POWER(1+('CurrentFact-N10,20,40Unchanged'!D112+'CurrentFact-N10,20,40Unchanged'!I112)/100,2))*100</f>
        <v>9685.1615626001931</v>
      </c>
      <c r="F112">
        <f>Portfolio!B$5*'CurrentFact-N10,20,40Unchanged'!E112</f>
        <v>52143.895533915893</v>
      </c>
      <c r="G112">
        <f>Portfolio!B$6*'CurrentFact-N10,20,40Unchanged'!F112</f>
        <v>3696.2945087936532</v>
      </c>
      <c r="H112">
        <f>Portfolio!B$7*'CurrentFact-N10,20,40Unchanged'!J112</f>
        <v>2064.4550337304254</v>
      </c>
      <c r="I112">
        <f t="shared" si="2"/>
        <v>96513.599330529643</v>
      </c>
      <c r="J112">
        <f t="shared" si="3"/>
        <v>0.74733680552162696</v>
      </c>
    </row>
    <row r="113" spans="1:10">
      <c r="A113" s="1">
        <v>45628</v>
      </c>
      <c r="B113">
        <f>(3/(1+('CurrentFact-N10,20,40Unchanged'!C113)/100)+103/POWER(1+('CurrentFact-N10,20,40Unchanged'!D113)/100,2))*100</f>
        <v>9707.5857774288397</v>
      </c>
      <c r="C113">
        <f>(3/(1+('CurrentFact-N10,20,40Unchanged'!C113+'CurrentFact-N10,20,40Unchanged'!G113)/100)+103/POWER(1+('CurrentFact-N10,20,40Unchanged'!D113+'CurrentFact-N10,20,40Unchanged'!G113)/100,2))*100</f>
        <v>9614.9673582483465</v>
      </c>
      <c r="D113">
        <f>(3/(1+('CurrentFact-N10,20,40Unchanged'!C113+'CurrentFact-N10,20,40Unchanged'!H113)/100)+103/POWER(1+('CurrentFact-N10,20,40Unchanged'!D113+'CurrentFact-N10,20,40Unchanged'!H113)/100,2))*100</f>
        <v>9601.2395558122898</v>
      </c>
      <c r="E113">
        <f>(3/(1+('CurrentFact-N10,20,40Unchanged'!C113+'CurrentFact-N10,20,40Unchanged'!I113)/100)+103/POWER(1+('CurrentFact-N10,20,40Unchanged'!D113+'CurrentFact-N10,20,40Unchanged'!I113)/100,2))*100</f>
        <v>9682.6282609042173</v>
      </c>
      <c r="F113">
        <f>Portfolio!B$5*'CurrentFact-N10,20,40Unchanged'!E113</f>
        <v>52143.895533915893</v>
      </c>
      <c r="G113">
        <f>Portfolio!B$6*'CurrentFact-N10,20,40Unchanged'!F113</f>
        <v>3696.2945087936532</v>
      </c>
      <c r="H113">
        <f>Portfolio!B$7*'CurrentFact-N10,20,40Unchanged'!J113</f>
        <v>2064.4550337304254</v>
      </c>
      <c r="I113">
        <f t="shared" si="2"/>
        <v>96511.066028833666</v>
      </c>
      <c r="J113">
        <f t="shared" si="3"/>
        <v>-1.3667643588996725</v>
      </c>
    </row>
    <row r="114" spans="1:10">
      <c r="A114" s="1">
        <v>45629</v>
      </c>
      <c r="B114">
        <f>(3/(1+('CurrentFact-N10,20,40Unchanged'!C114)/100)+103/POWER(1+('CurrentFact-N10,20,40Unchanged'!D114)/100,2))*100</f>
        <v>9707.5857774288397</v>
      </c>
      <c r="C114">
        <f>(3/(1+('CurrentFact-N10,20,40Unchanged'!C114+'CurrentFact-N10,20,40Unchanged'!G114)/100)+103/POWER(1+('CurrentFact-N10,20,40Unchanged'!D114+'CurrentFact-N10,20,40Unchanged'!G114)/100,2))*100</f>
        <v>9614.9673582483465</v>
      </c>
      <c r="D114">
        <f>(3/(1+('CurrentFact-N10,20,40Unchanged'!C114+'CurrentFact-N10,20,40Unchanged'!H114)/100)+103/POWER(1+('CurrentFact-N10,20,40Unchanged'!D114+'CurrentFact-N10,20,40Unchanged'!H114)/100,2))*100</f>
        <v>9601.2395558122898</v>
      </c>
      <c r="E114">
        <f>(3/(1+('CurrentFact-N10,20,40Unchanged'!C114+'CurrentFact-N10,20,40Unchanged'!I114)/100)+103/POWER(1+('CurrentFact-N10,20,40Unchanged'!D114+'CurrentFact-N10,20,40Unchanged'!I114)/100,2))*100</f>
        <v>9682.6647049953754</v>
      </c>
      <c r="F114">
        <f>Portfolio!B$5*'CurrentFact-N10,20,40Unchanged'!E114</f>
        <v>52143.895533915893</v>
      </c>
      <c r="G114">
        <f>Portfolio!B$6*'CurrentFact-N10,20,40Unchanged'!F114</f>
        <v>3696.2945087936532</v>
      </c>
      <c r="H114">
        <f>Portfolio!B$7*'CurrentFact-N10,20,40Unchanged'!J114</f>
        <v>2064.4550337304254</v>
      </c>
      <c r="I114">
        <f t="shared" si="2"/>
        <v>96511.102472924831</v>
      </c>
      <c r="J114">
        <f t="shared" si="3"/>
        <v>-1.8588807714986615</v>
      </c>
    </row>
    <row r="115" spans="1:10">
      <c r="A115" s="1">
        <v>45630</v>
      </c>
      <c r="B115">
        <f>(3/(1+('CurrentFact-N10,20,40Unchanged'!C115)/100)+103/POWER(1+('CurrentFact-N10,20,40Unchanged'!D115)/100,2))*100</f>
        <v>9707.5857774288397</v>
      </c>
      <c r="C115">
        <f>(3/(1+('CurrentFact-N10,20,40Unchanged'!C115+'CurrentFact-N10,20,40Unchanged'!G115)/100)+103/POWER(1+('CurrentFact-N10,20,40Unchanged'!D115+'CurrentFact-N10,20,40Unchanged'!G115)/100,2))*100</f>
        <v>9614.9673582483465</v>
      </c>
      <c r="D115">
        <f>(3/(1+('CurrentFact-N10,20,40Unchanged'!C115+'CurrentFact-N10,20,40Unchanged'!H115)/100)+103/POWER(1+('CurrentFact-N10,20,40Unchanged'!D115+'CurrentFact-N10,20,40Unchanged'!H115)/100,2))*100</f>
        <v>9601.2395558122898</v>
      </c>
      <c r="E115">
        <f>(3/(1+('CurrentFact-N10,20,40Unchanged'!C115+'CurrentFact-N10,20,40Unchanged'!I115)/100)+103/POWER(1+('CurrentFact-N10,20,40Unchanged'!D115+'CurrentFact-N10,20,40Unchanged'!I115)/100,2))*100</f>
        <v>9683.7945488274545</v>
      </c>
      <c r="F115">
        <f>Portfolio!B$5*'CurrentFact-N10,20,40Unchanged'!E115</f>
        <v>52143.895533915893</v>
      </c>
      <c r="G115">
        <f>Portfolio!B$6*'CurrentFact-N10,20,40Unchanged'!F115</f>
        <v>3696.2945087936532</v>
      </c>
      <c r="H115">
        <f>Portfolio!B$7*'CurrentFact-N10,20,40Unchanged'!J115</f>
        <v>2064.4550337304254</v>
      </c>
      <c r="I115">
        <f t="shared" si="2"/>
        <v>96512.232316756912</v>
      </c>
      <c r="J115">
        <f t="shared" si="3"/>
        <v>9.112420619931072E-2</v>
      </c>
    </row>
    <row r="116" spans="1:10">
      <c r="A116" s="1">
        <v>45631</v>
      </c>
      <c r="B116">
        <f>(3/(1+('CurrentFact-N10,20,40Unchanged'!C116)/100)+103/POWER(1+('CurrentFact-N10,20,40Unchanged'!D116)/100,2))*100</f>
        <v>9707.5857774288397</v>
      </c>
      <c r="C116">
        <f>(3/(1+('CurrentFact-N10,20,40Unchanged'!C116+'CurrentFact-N10,20,40Unchanged'!G116)/100)+103/POWER(1+('CurrentFact-N10,20,40Unchanged'!D116+'CurrentFact-N10,20,40Unchanged'!G116)/100,2))*100</f>
        <v>9614.9673582483465</v>
      </c>
      <c r="D116">
        <f>(3/(1+('CurrentFact-N10,20,40Unchanged'!C116+'CurrentFact-N10,20,40Unchanged'!H116)/100)+103/POWER(1+('CurrentFact-N10,20,40Unchanged'!D116+'CurrentFact-N10,20,40Unchanged'!H116)/100,2))*100</f>
        <v>9601.2395558122898</v>
      </c>
      <c r="E116">
        <f>(3/(1+('CurrentFact-N10,20,40Unchanged'!C116+'CurrentFact-N10,20,40Unchanged'!I116)/100)+103/POWER(1+('CurrentFact-N10,20,40Unchanged'!D116+'CurrentFact-N10,20,40Unchanged'!I116)/100,2))*100</f>
        <v>9683.8674487800654</v>
      </c>
      <c r="F116">
        <f>Portfolio!B$5*'CurrentFact-N10,20,40Unchanged'!E116</f>
        <v>52143.895533915893</v>
      </c>
      <c r="G116">
        <f>Portfolio!B$6*'CurrentFact-N10,20,40Unchanged'!F116</f>
        <v>3696.2945087936532</v>
      </c>
      <c r="H116">
        <f>Portfolio!B$7*'CurrentFact-N10,20,40Unchanged'!J116</f>
        <v>2064.4550337304254</v>
      </c>
      <c r="I116">
        <f t="shared" si="2"/>
        <v>96512.305216709516</v>
      </c>
      <c r="J116">
        <f t="shared" si="3"/>
        <v>-0.25515551221906208</v>
      </c>
    </row>
    <row r="117" spans="1:10">
      <c r="A117" s="1">
        <v>45632</v>
      </c>
      <c r="B117">
        <f>(3/(1+('CurrentFact-N10,20,40Unchanged'!C117)/100)+103/POWER(1+('CurrentFact-N10,20,40Unchanged'!D117)/100,2))*100</f>
        <v>9707.5857774288397</v>
      </c>
      <c r="C117">
        <f>(3/(1+('CurrentFact-N10,20,40Unchanged'!C117+'CurrentFact-N10,20,40Unchanged'!G117)/100)+103/POWER(1+('CurrentFact-N10,20,40Unchanged'!D117+'CurrentFact-N10,20,40Unchanged'!G117)/100,2))*100</f>
        <v>9614.9673582483465</v>
      </c>
      <c r="D117">
        <f>(3/(1+('CurrentFact-N10,20,40Unchanged'!C117+'CurrentFact-N10,20,40Unchanged'!H117)/100)+103/POWER(1+('CurrentFact-N10,20,40Unchanged'!D117+'CurrentFact-N10,20,40Unchanged'!H117)/100,2))*100</f>
        <v>9601.2395558122898</v>
      </c>
      <c r="E117">
        <f>(3/(1+('CurrentFact-N10,20,40Unchanged'!C117+'CurrentFact-N10,20,40Unchanged'!I117)/100)+103/POWER(1+('CurrentFact-N10,20,40Unchanged'!D117+'CurrentFact-N10,20,40Unchanged'!I117)/100,2))*100</f>
        <v>9684.8881354165733</v>
      </c>
      <c r="F117">
        <f>Portfolio!B$5*'CurrentFact-N10,20,40Unchanged'!E117</f>
        <v>52143.895533915893</v>
      </c>
      <c r="G117">
        <f>Portfolio!B$6*'CurrentFact-N10,20,40Unchanged'!F117</f>
        <v>3696.2945087936532</v>
      </c>
      <c r="H117">
        <f>Portfolio!B$7*'CurrentFact-N10,20,40Unchanged'!J117</f>
        <v>2064.4550337304254</v>
      </c>
      <c r="I117">
        <f t="shared" si="2"/>
        <v>96513.32590334602</v>
      </c>
      <c r="J117">
        <f t="shared" si="3"/>
        <v>0.9842372174753109</v>
      </c>
    </row>
    <row r="118" spans="1:10">
      <c r="A118" s="1">
        <v>45635</v>
      </c>
      <c r="B118">
        <f>(3/(1+('CurrentFact-N10,20,40Unchanged'!C118)/100)+103/POWER(1+('CurrentFact-N10,20,40Unchanged'!D118)/100,2))*100</f>
        <v>9707.5857774288397</v>
      </c>
      <c r="C118">
        <f>(3/(1+('CurrentFact-N10,20,40Unchanged'!C118+'CurrentFact-N10,20,40Unchanged'!G118)/100)+103/POWER(1+('CurrentFact-N10,20,40Unchanged'!D118+'CurrentFact-N10,20,40Unchanged'!G118)/100,2))*100</f>
        <v>9614.9673582483465</v>
      </c>
      <c r="D118">
        <f>(3/(1+('CurrentFact-N10,20,40Unchanged'!C118+'CurrentFact-N10,20,40Unchanged'!H118)/100)+103/POWER(1+('CurrentFact-N10,20,40Unchanged'!D118+'CurrentFact-N10,20,40Unchanged'!H118)/100,2))*100</f>
        <v>9601.2395558122898</v>
      </c>
      <c r="E118">
        <f>(3/(1+('CurrentFact-N10,20,40Unchanged'!C118+'CurrentFact-N10,20,40Unchanged'!I118)/100)+103/POWER(1+('CurrentFact-N10,20,40Unchanged'!D118+'CurrentFact-N10,20,40Unchanged'!I118)/100,2))*100</f>
        <v>9683.4847328690485</v>
      </c>
      <c r="F118">
        <f>Portfolio!B$5*'CurrentFact-N10,20,40Unchanged'!E118</f>
        <v>52143.895533915893</v>
      </c>
      <c r="G118">
        <f>Portfolio!B$6*'CurrentFact-N10,20,40Unchanged'!F118</f>
        <v>3696.2945087936532</v>
      </c>
      <c r="H118">
        <f>Portfolio!B$7*'CurrentFact-N10,20,40Unchanged'!J118</f>
        <v>2064.4550337304254</v>
      </c>
      <c r="I118">
        <f t="shared" si="2"/>
        <v>96511.922500798508</v>
      </c>
      <c r="J118">
        <f t="shared" si="3"/>
        <v>-1.0388528978219256</v>
      </c>
    </row>
    <row r="119" spans="1:10">
      <c r="A119" s="1">
        <v>45636</v>
      </c>
      <c r="B119">
        <f>(3/(1+('CurrentFact-N10,20,40Unchanged'!C119)/100)+103/POWER(1+('CurrentFact-N10,20,40Unchanged'!D119)/100,2))*100</f>
        <v>9707.5857774288397</v>
      </c>
      <c r="C119">
        <f>(3/(1+('CurrentFact-N10,20,40Unchanged'!C119+'CurrentFact-N10,20,40Unchanged'!G119)/100)+103/POWER(1+('CurrentFact-N10,20,40Unchanged'!D119+'CurrentFact-N10,20,40Unchanged'!G119)/100,2))*100</f>
        <v>9614.9673582483465</v>
      </c>
      <c r="D119">
        <f>(3/(1+('CurrentFact-N10,20,40Unchanged'!C119+'CurrentFact-N10,20,40Unchanged'!H119)/100)+103/POWER(1+('CurrentFact-N10,20,40Unchanged'!D119+'CurrentFact-N10,20,40Unchanged'!H119)/100,2))*100</f>
        <v>9601.2395558122898</v>
      </c>
      <c r="E119">
        <f>(3/(1+('CurrentFact-N10,20,40Unchanged'!C119+'CurrentFact-N10,20,40Unchanged'!I119)/100)+103/POWER(1+('CurrentFact-N10,20,40Unchanged'!D119+'CurrentFact-N10,20,40Unchanged'!I119)/100,2))*100</f>
        <v>9681.954098335942</v>
      </c>
      <c r="F119">
        <f>Portfolio!B$5*'CurrentFact-N10,20,40Unchanged'!E119</f>
        <v>52143.895533915893</v>
      </c>
      <c r="G119">
        <f>Portfolio!B$6*'CurrentFact-N10,20,40Unchanged'!F119</f>
        <v>3696.2945087936532</v>
      </c>
      <c r="H119">
        <f>Portfolio!B$7*'CurrentFact-N10,20,40Unchanged'!J119</f>
        <v>2064.4550337304254</v>
      </c>
      <c r="I119">
        <f t="shared" si="2"/>
        <v>96510.391866265389</v>
      </c>
      <c r="J119">
        <f t="shared" si="3"/>
        <v>-3.5902805773221189</v>
      </c>
    </row>
    <row r="120" spans="1:10">
      <c r="A120" s="1">
        <v>45637</v>
      </c>
      <c r="B120">
        <f>(3/(1+('CurrentFact-N10,20,40Unchanged'!C120)/100)+103/POWER(1+('CurrentFact-N10,20,40Unchanged'!D120)/100,2))*100</f>
        <v>9707.5857774288397</v>
      </c>
      <c r="C120">
        <f>(3/(1+('CurrentFact-N10,20,40Unchanged'!C120+'CurrentFact-N10,20,40Unchanged'!G120)/100)+103/POWER(1+('CurrentFact-N10,20,40Unchanged'!D120+'CurrentFact-N10,20,40Unchanged'!G120)/100,2))*100</f>
        <v>9614.9673582483465</v>
      </c>
      <c r="D120">
        <f>(3/(1+('CurrentFact-N10,20,40Unchanged'!C120+'CurrentFact-N10,20,40Unchanged'!H120)/100)+103/POWER(1+('CurrentFact-N10,20,40Unchanged'!D120+'CurrentFact-N10,20,40Unchanged'!H120)/100,2))*100</f>
        <v>9601.2395558122898</v>
      </c>
      <c r="E120">
        <f>(3/(1+('CurrentFact-N10,20,40Unchanged'!C120+'CurrentFact-N10,20,40Unchanged'!I120)/100)+103/POWER(1+('CurrentFact-N10,20,40Unchanged'!D120+'CurrentFact-N10,20,40Unchanged'!I120)/100,2))*100</f>
        <v>9681.7901232696204</v>
      </c>
      <c r="F120">
        <f>Portfolio!B$5*'CurrentFact-N10,20,40Unchanged'!E120</f>
        <v>52143.895533915893</v>
      </c>
      <c r="G120">
        <f>Portfolio!B$6*'CurrentFact-N10,20,40Unchanged'!F120</f>
        <v>3696.2945087936532</v>
      </c>
      <c r="H120">
        <f>Portfolio!B$7*'CurrentFact-N10,20,40Unchanged'!J120</f>
        <v>2064.4550337304254</v>
      </c>
      <c r="I120">
        <f t="shared" si="2"/>
        <v>96510.227891199058</v>
      </c>
      <c r="J120">
        <f t="shared" si="3"/>
        <v>-3.5355009063496254</v>
      </c>
    </row>
    <row r="121" spans="1:10">
      <c r="A121" s="1">
        <v>45638</v>
      </c>
      <c r="B121">
        <f>(3/(1+('CurrentFact-N10,20,40Unchanged'!C121)/100)+103/POWER(1+('CurrentFact-N10,20,40Unchanged'!D121)/100,2))*100</f>
        <v>9707.5857774288397</v>
      </c>
      <c r="C121">
        <f>(3/(1+('CurrentFact-N10,20,40Unchanged'!C121+'CurrentFact-N10,20,40Unchanged'!G121)/100)+103/POWER(1+('CurrentFact-N10,20,40Unchanged'!D121+'CurrentFact-N10,20,40Unchanged'!G121)/100,2))*100</f>
        <v>9614.9673582483465</v>
      </c>
      <c r="D121">
        <f>(3/(1+('CurrentFact-N10,20,40Unchanged'!C121+'CurrentFact-N10,20,40Unchanged'!H121)/100)+103/POWER(1+('CurrentFact-N10,20,40Unchanged'!D121+'CurrentFact-N10,20,40Unchanged'!H121)/100,2))*100</f>
        <v>9601.2395558122898</v>
      </c>
      <c r="E121">
        <f>(3/(1+('CurrentFact-N10,20,40Unchanged'!C121+'CurrentFact-N10,20,40Unchanged'!I121)/100)+103/POWER(1+('CurrentFact-N10,20,40Unchanged'!D121+'CurrentFact-N10,20,40Unchanged'!I121)/100,2))*100</f>
        <v>9683.2113773965266</v>
      </c>
      <c r="F121">
        <f>Portfolio!B$5*'CurrentFact-N10,20,40Unchanged'!E121</f>
        <v>52143.895533915893</v>
      </c>
      <c r="G121">
        <f>Portfolio!B$6*'CurrentFact-N10,20,40Unchanged'!F121</f>
        <v>3696.2945087936532</v>
      </c>
      <c r="H121">
        <f>Portfolio!B$7*'CurrentFact-N10,20,40Unchanged'!J121</f>
        <v>2064.4550337304254</v>
      </c>
      <c r="I121">
        <f t="shared" si="2"/>
        <v>96511.649145325966</v>
      </c>
      <c r="J121">
        <f t="shared" si="3"/>
        <v>-1.5856199625122827</v>
      </c>
    </row>
    <row r="122" spans="1:10">
      <c r="A122" s="1">
        <v>45639</v>
      </c>
      <c r="B122">
        <f>(3/(1+('CurrentFact-N10,20,40Unchanged'!C122)/100)+103/POWER(1+('CurrentFact-N10,20,40Unchanged'!D122)/100,2))*100</f>
        <v>9707.5857774288397</v>
      </c>
      <c r="C122">
        <f>(3/(1+('CurrentFact-N10,20,40Unchanged'!C122+'CurrentFact-N10,20,40Unchanged'!G122)/100)+103/POWER(1+('CurrentFact-N10,20,40Unchanged'!D122+'CurrentFact-N10,20,40Unchanged'!G122)/100,2))*100</f>
        <v>9614.9673582483465</v>
      </c>
      <c r="D122">
        <f>(3/(1+('CurrentFact-N10,20,40Unchanged'!C122+'CurrentFact-N10,20,40Unchanged'!H122)/100)+103/POWER(1+('CurrentFact-N10,20,40Unchanged'!D122+'CurrentFact-N10,20,40Unchanged'!H122)/100,2))*100</f>
        <v>9601.2395558122898</v>
      </c>
      <c r="E122">
        <f>(3/(1+('CurrentFact-N10,20,40Unchanged'!C122+'CurrentFact-N10,20,40Unchanged'!I122)/100)+103/POWER(1+('CurrentFact-N10,20,40Unchanged'!D122+'CurrentFact-N10,20,40Unchanged'!I122)/100,2))*100</f>
        <v>9683.7034246212697</v>
      </c>
      <c r="F122">
        <f>Portfolio!B$5*'CurrentFact-N10,20,40Unchanged'!E122</f>
        <v>52143.895533915893</v>
      </c>
      <c r="G122">
        <f>Portfolio!B$6*'CurrentFact-N10,20,40Unchanged'!F122</f>
        <v>3696.2945087936532</v>
      </c>
      <c r="H122">
        <f>Portfolio!B$7*'CurrentFact-N10,20,40Unchanged'!J122</f>
        <v>2064.4550337304254</v>
      </c>
      <c r="I122">
        <f t="shared" si="2"/>
        <v>96512.141192550713</v>
      </c>
      <c r="J122">
        <f t="shared" si="3"/>
        <v>-1.4581379789306084</v>
      </c>
    </row>
    <row r="123" spans="1:10">
      <c r="A123" s="1">
        <v>45642</v>
      </c>
      <c r="B123">
        <f>(3/(1+('CurrentFact-N10,20,40Unchanged'!C123)/100)+103/POWER(1+('CurrentFact-N10,20,40Unchanged'!D123)/100,2))*100</f>
        <v>9707.5857774288397</v>
      </c>
      <c r="C123">
        <f>(3/(1+('CurrentFact-N10,20,40Unchanged'!C123+'CurrentFact-N10,20,40Unchanged'!G123)/100)+103/POWER(1+('CurrentFact-N10,20,40Unchanged'!D123+'CurrentFact-N10,20,40Unchanged'!G123)/100,2))*100</f>
        <v>9614.9673582483465</v>
      </c>
      <c r="D123">
        <f>(3/(1+('CurrentFact-N10,20,40Unchanged'!C123+'CurrentFact-N10,20,40Unchanged'!H123)/100)+103/POWER(1+('CurrentFact-N10,20,40Unchanged'!D123+'CurrentFact-N10,20,40Unchanged'!H123)/100,2))*100</f>
        <v>9601.2395558122898</v>
      </c>
      <c r="E123">
        <f>(3/(1+('CurrentFact-N10,20,40Unchanged'!C123+'CurrentFact-N10,20,40Unchanged'!I123)/100)+103/POWER(1+('CurrentFact-N10,20,40Unchanged'!D123+'CurrentFact-N10,20,40Unchanged'!I123)/100,2))*100</f>
        <v>9684.8699087441364</v>
      </c>
      <c r="F123">
        <f>Portfolio!B$5*'CurrentFact-N10,20,40Unchanged'!E123</f>
        <v>52143.895533915893</v>
      </c>
      <c r="G123">
        <f>Portfolio!B$6*'CurrentFact-N10,20,40Unchanged'!F123</f>
        <v>3696.2945087936532</v>
      </c>
      <c r="H123">
        <f>Portfolio!B$7*'CurrentFact-N10,20,40Unchanged'!J123</f>
        <v>2064.4550337304254</v>
      </c>
      <c r="I123">
        <f t="shared" si="2"/>
        <v>96513.307676673576</v>
      </c>
      <c r="J123">
        <f t="shared" si="3"/>
        <v>2.2416478399100015</v>
      </c>
    </row>
    <row r="124" spans="1:10">
      <c r="A124" s="1">
        <v>45643</v>
      </c>
      <c r="B124">
        <f>(3/(1+('CurrentFact-N10,20,40Unchanged'!C124)/100)+103/POWER(1+('CurrentFact-N10,20,40Unchanged'!D124)/100,2))*100</f>
        <v>9707.5857774288397</v>
      </c>
      <c r="C124">
        <f>(3/(1+('CurrentFact-N10,20,40Unchanged'!C124+'CurrentFact-N10,20,40Unchanged'!G124)/100)+103/POWER(1+('CurrentFact-N10,20,40Unchanged'!D124+'CurrentFact-N10,20,40Unchanged'!G124)/100,2))*100</f>
        <v>9614.9673582483465</v>
      </c>
      <c r="D124">
        <f>(3/(1+('CurrentFact-N10,20,40Unchanged'!C124+'CurrentFact-N10,20,40Unchanged'!H124)/100)+103/POWER(1+('CurrentFact-N10,20,40Unchanged'!D124+'CurrentFact-N10,20,40Unchanged'!H124)/100,2))*100</f>
        <v>9601.2395558122898</v>
      </c>
      <c r="E124">
        <f>(3/(1+('CurrentFact-N10,20,40Unchanged'!C124+'CurrentFact-N10,20,40Unchanged'!I124)/100)+103/POWER(1+('CurrentFact-N10,20,40Unchanged'!D124+'CurrentFact-N10,20,40Unchanged'!I124)/100,2))*100</f>
        <v>9684.3959987351082</v>
      </c>
      <c r="F124">
        <f>Portfolio!B$5*'CurrentFact-N10,20,40Unchanged'!E124</f>
        <v>52143.895533915893</v>
      </c>
      <c r="G124">
        <f>Portfolio!B$6*'CurrentFact-N10,20,40Unchanged'!F124</f>
        <v>3696.2945087936532</v>
      </c>
      <c r="H124">
        <f>Portfolio!B$7*'CurrentFact-N10,20,40Unchanged'!J124</f>
        <v>2064.4550337304254</v>
      </c>
      <c r="I124">
        <f t="shared" si="2"/>
        <v>96512.833766664553</v>
      </c>
      <c r="J124">
        <f t="shared" si="3"/>
        <v>1.7312937397218775</v>
      </c>
    </row>
    <row r="125" spans="1:10">
      <c r="A125" s="1">
        <v>45644</v>
      </c>
      <c r="B125">
        <f>(3/(1+('CurrentFact-N10,20,40Unchanged'!C125)/100)+103/POWER(1+('CurrentFact-N10,20,40Unchanged'!D125)/100,2))*100</f>
        <v>9707.5857774288397</v>
      </c>
      <c r="C125">
        <f>(3/(1+('CurrentFact-N10,20,40Unchanged'!C125+'CurrentFact-N10,20,40Unchanged'!G125)/100)+103/POWER(1+('CurrentFact-N10,20,40Unchanged'!D125+'CurrentFact-N10,20,40Unchanged'!G125)/100,2))*100</f>
        <v>9614.9673582483465</v>
      </c>
      <c r="D125">
        <f>(3/(1+('CurrentFact-N10,20,40Unchanged'!C125+'CurrentFact-N10,20,40Unchanged'!H125)/100)+103/POWER(1+('CurrentFact-N10,20,40Unchanged'!D125+'CurrentFact-N10,20,40Unchanged'!H125)/100,2))*100</f>
        <v>9601.2395558122898</v>
      </c>
      <c r="E125">
        <f>(3/(1+('CurrentFact-N10,20,40Unchanged'!C125+'CurrentFact-N10,20,40Unchanged'!I125)/100)+103/POWER(1+('CurrentFact-N10,20,40Unchanged'!D125+'CurrentFact-N10,20,40Unchanged'!I125)/100,2))*100</f>
        <v>9682.3185014697392</v>
      </c>
      <c r="F125">
        <f>Portfolio!B$5*'CurrentFact-N10,20,40Unchanged'!E125</f>
        <v>52143.895533915893</v>
      </c>
      <c r="G125">
        <f>Portfolio!B$6*'CurrentFact-N10,20,40Unchanged'!F125</f>
        <v>3696.2945087936532</v>
      </c>
      <c r="H125">
        <f>Portfolio!B$7*'CurrentFact-N10,20,40Unchanged'!J125</f>
        <v>2064.4550337304254</v>
      </c>
      <c r="I125">
        <f t="shared" si="2"/>
        <v>96510.756269399193</v>
      </c>
      <c r="J125">
        <f t="shared" si="3"/>
        <v>-1.4760473577189259</v>
      </c>
    </row>
    <row r="126" spans="1:10">
      <c r="A126" s="1">
        <v>45645</v>
      </c>
      <c r="B126">
        <f>(3/(1+('CurrentFact-N10,20,40Unchanged'!C126)/100)+103/POWER(1+('CurrentFact-N10,20,40Unchanged'!D126)/100,2))*100</f>
        <v>9707.5857774288397</v>
      </c>
      <c r="C126">
        <f>(3/(1+('CurrentFact-N10,20,40Unchanged'!C126+'CurrentFact-N10,20,40Unchanged'!G126)/100)+103/POWER(1+('CurrentFact-N10,20,40Unchanged'!D126+'CurrentFact-N10,20,40Unchanged'!G126)/100,2))*100</f>
        <v>9614.9673582483465</v>
      </c>
      <c r="D126">
        <f>(3/(1+('CurrentFact-N10,20,40Unchanged'!C126+'CurrentFact-N10,20,40Unchanged'!H126)/100)+103/POWER(1+('CurrentFact-N10,20,40Unchanged'!D126+'CurrentFact-N10,20,40Unchanged'!H126)/100,2))*100</f>
        <v>9601.2395558122898</v>
      </c>
      <c r="E126">
        <f>(3/(1+('CurrentFact-N10,20,40Unchanged'!C126+'CurrentFact-N10,20,40Unchanged'!I126)/100)+103/POWER(1+('CurrentFact-N10,20,40Unchanged'!D126+'CurrentFact-N10,20,40Unchanged'!I126)/100,2))*100</f>
        <v>9680.5877703046626</v>
      </c>
      <c r="F126">
        <f>Portfolio!B$5*'CurrentFact-N10,20,40Unchanged'!E126</f>
        <v>52143.895533915893</v>
      </c>
      <c r="G126">
        <f>Portfolio!B$6*'CurrentFact-N10,20,40Unchanged'!F126</f>
        <v>3696.2945087936532</v>
      </c>
      <c r="H126">
        <f>Portfolio!B$7*'CurrentFact-N10,20,40Unchanged'!J126</f>
        <v>2064.4550337304254</v>
      </c>
      <c r="I126">
        <f t="shared" si="2"/>
        <v>96509.025538234113</v>
      </c>
      <c r="J126">
        <f t="shared" si="3"/>
        <v>-3.2796784754027613</v>
      </c>
    </row>
    <row r="127" spans="1:10">
      <c r="A127" s="1">
        <v>45646</v>
      </c>
      <c r="B127">
        <f>(3/(1+('CurrentFact-N10,20,40Unchanged'!C127)/100)+103/POWER(1+('CurrentFact-N10,20,40Unchanged'!D127)/100,2))*100</f>
        <v>9707.5857774288397</v>
      </c>
      <c r="C127">
        <f>(3/(1+('CurrentFact-N10,20,40Unchanged'!C127+'CurrentFact-N10,20,40Unchanged'!G127)/100)+103/POWER(1+('CurrentFact-N10,20,40Unchanged'!D127+'CurrentFact-N10,20,40Unchanged'!G127)/100,2))*100</f>
        <v>9614.9673582483465</v>
      </c>
      <c r="D127">
        <f>(3/(1+('CurrentFact-N10,20,40Unchanged'!C127+'CurrentFact-N10,20,40Unchanged'!H127)/100)+103/POWER(1+('CurrentFact-N10,20,40Unchanged'!D127+'CurrentFact-N10,20,40Unchanged'!H127)/100,2))*100</f>
        <v>9601.2395558122898</v>
      </c>
      <c r="E127">
        <f>(3/(1+('CurrentFact-N10,20,40Unchanged'!C127+'CurrentFact-N10,20,40Unchanged'!I127)/100)+103/POWER(1+('CurrentFact-N10,20,40Unchanged'!D127+'CurrentFact-N10,20,40Unchanged'!I127)/100,2))*100</f>
        <v>9681.7901232696204</v>
      </c>
      <c r="F127">
        <f>Portfolio!B$5*'CurrentFact-N10,20,40Unchanged'!E127</f>
        <v>52143.895533915893</v>
      </c>
      <c r="G127">
        <f>Portfolio!B$6*'CurrentFact-N10,20,40Unchanged'!F127</f>
        <v>3696.2945087936532</v>
      </c>
      <c r="H127">
        <f>Portfolio!B$7*'CurrentFact-N10,20,40Unchanged'!J127</f>
        <v>2064.4550337304254</v>
      </c>
      <c r="I127">
        <f t="shared" si="2"/>
        <v>96510.227891199058</v>
      </c>
      <c r="J127">
        <f t="shared" si="3"/>
        <v>-3.0980121469619917</v>
      </c>
    </row>
    <row r="128" spans="1:10">
      <c r="A128" s="1">
        <v>45649</v>
      </c>
      <c r="B128">
        <f>(3/(1+('CurrentFact-N10,20,40Unchanged'!C128)/100)+103/POWER(1+('CurrentFact-N10,20,40Unchanged'!D128)/100,2))*100</f>
        <v>9707.5857774288397</v>
      </c>
      <c r="C128">
        <f>(3/(1+('CurrentFact-N10,20,40Unchanged'!C128+'CurrentFact-N10,20,40Unchanged'!G128)/100)+103/POWER(1+('CurrentFact-N10,20,40Unchanged'!D128+'CurrentFact-N10,20,40Unchanged'!G128)/100,2))*100</f>
        <v>9614.9673582483465</v>
      </c>
      <c r="D128">
        <f>(3/(1+('CurrentFact-N10,20,40Unchanged'!C128+'CurrentFact-N10,20,40Unchanged'!H128)/100)+103/POWER(1+('CurrentFact-N10,20,40Unchanged'!D128+'CurrentFact-N10,20,40Unchanged'!H128)/100,2))*100</f>
        <v>9601.2395558122898</v>
      </c>
      <c r="E128">
        <f>(3/(1+('CurrentFact-N10,20,40Unchanged'!C128+'CurrentFact-N10,20,40Unchanged'!I128)/100)+103/POWER(1+('CurrentFact-N10,20,40Unchanged'!D128+'CurrentFact-N10,20,40Unchanged'!I128)/100,2))*100</f>
        <v>9684.6694031322149</v>
      </c>
      <c r="F128">
        <f>Portfolio!B$5*'CurrentFact-N10,20,40Unchanged'!E128</f>
        <v>52143.895533915893</v>
      </c>
      <c r="G128">
        <f>Portfolio!B$6*'CurrentFact-N10,20,40Unchanged'!F128</f>
        <v>3696.2945087936532</v>
      </c>
      <c r="H128">
        <f>Portfolio!B$7*'CurrentFact-N10,20,40Unchanged'!J128</f>
        <v>2064.4550337304254</v>
      </c>
      <c r="I128">
        <f t="shared" si="2"/>
        <v>96513.107171061652</v>
      </c>
      <c r="J128">
        <f t="shared" si="3"/>
        <v>1.1846702631446533</v>
      </c>
    </row>
    <row r="129" spans="1:10">
      <c r="A129" s="1">
        <v>45650</v>
      </c>
      <c r="B129">
        <f>(3/(1+('CurrentFact-N10,20,40Unchanged'!C129)/100)+103/POWER(1+('CurrentFact-N10,20,40Unchanged'!D129)/100,2))*100</f>
        <v>9707.5857774288397</v>
      </c>
      <c r="C129">
        <f>(3/(1+('CurrentFact-N10,20,40Unchanged'!C129+'CurrentFact-N10,20,40Unchanged'!G129)/100)+103/POWER(1+('CurrentFact-N10,20,40Unchanged'!D129+'CurrentFact-N10,20,40Unchanged'!G129)/100,2))*100</f>
        <v>9614.9673582483465</v>
      </c>
      <c r="D129">
        <f>(3/(1+('CurrentFact-N10,20,40Unchanged'!C129+'CurrentFact-N10,20,40Unchanged'!H129)/100)+103/POWER(1+('CurrentFact-N10,20,40Unchanged'!D129+'CurrentFact-N10,20,40Unchanged'!H129)/100,2))*100</f>
        <v>9601.2395558122898</v>
      </c>
      <c r="E129">
        <f>(3/(1+('CurrentFact-N10,20,40Unchanged'!C129+'CurrentFact-N10,20,40Unchanged'!I129)/100)+103/POWER(1+('CurrentFact-N10,20,40Unchanged'!D129+'CurrentFact-N10,20,40Unchanged'!I129)/100,2))*100</f>
        <v>9683.594076940919</v>
      </c>
      <c r="F129">
        <f>Portfolio!B$5*'CurrentFact-N10,20,40Unchanged'!E129</f>
        <v>52143.895533915893</v>
      </c>
      <c r="G129">
        <f>Portfolio!B$6*'CurrentFact-N10,20,40Unchanged'!F129</f>
        <v>3696.2945087936532</v>
      </c>
      <c r="H129">
        <f>Portfolio!B$7*'CurrentFact-N10,20,40Unchanged'!J129</f>
        <v>2064.4550337304254</v>
      </c>
      <c r="I129">
        <f t="shared" si="2"/>
        <v>96512.031844870362</v>
      </c>
      <c r="J129">
        <f t="shared" si="3"/>
        <v>1.6399786049732938</v>
      </c>
    </row>
    <row r="130" spans="1:10">
      <c r="A130" s="1">
        <v>45651</v>
      </c>
      <c r="B130">
        <f>(3/(1+('CurrentFact-N10,20,40Unchanged'!C130)/100)+103/POWER(1+('CurrentFact-N10,20,40Unchanged'!D130)/100,2))*100</f>
        <v>9707.5857774288397</v>
      </c>
      <c r="C130">
        <f>(3/(1+('CurrentFact-N10,20,40Unchanged'!C130+'CurrentFact-N10,20,40Unchanged'!G130)/100)+103/POWER(1+('CurrentFact-N10,20,40Unchanged'!D130+'CurrentFact-N10,20,40Unchanged'!G130)/100,2))*100</f>
        <v>9614.9673582483465</v>
      </c>
      <c r="D130">
        <f>(3/(1+('CurrentFact-N10,20,40Unchanged'!C130+'CurrentFact-N10,20,40Unchanged'!H130)/100)+103/POWER(1+('CurrentFact-N10,20,40Unchanged'!D130+'CurrentFact-N10,20,40Unchanged'!H130)/100,2))*100</f>
        <v>9601.2395558122898</v>
      </c>
      <c r="E130">
        <f>(3/(1+('CurrentFact-N10,20,40Unchanged'!C130+'CurrentFact-N10,20,40Unchanged'!I130)/100)+103/POWER(1+('CurrentFact-N10,20,40Unchanged'!D130+'CurrentFact-N10,20,40Unchanged'!I130)/100,2))*100</f>
        <v>9683.0291486470051</v>
      </c>
      <c r="F130">
        <f>Portfolio!B$5*'CurrentFact-N10,20,40Unchanged'!E130</f>
        <v>52143.895533915893</v>
      </c>
      <c r="G130">
        <f>Portfolio!B$6*'CurrentFact-N10,20,40Unchanged'!F130</f>
        <v>3696.2945087936532</v>
      </c>
      <c r="H130">
        <f>Portfolio!B$7*'CurrentFact-N10,20,40Unchanged'!J130</f>
        <v>2064.4550337304254</v>
      </c>
      <c r="I130">
        <f t="shared" si="2"/>
        <v>96511.466916576464</v>
      </c>
      <c r="J130">
        <f t="shared" si="3"/>
        <v>1.2390253774065059</v>
      </c>
    </row>
    <row r="131" spans="1:10">
      <c r="A131" s="1">
        <v>45652</v>
      </c>
      <c r="B131">
        <f>(3/(1+('CurrentFact-N10,20,40Unchanged'!C131)/100)+103/POWER(1+('CurrentFact-N10,20,40Unchanged'!D131)/100,2))*100</f>
        <v>9707.5857774288397</v>
      </c>
      <c r="C131">
        <f>(3/(1+('CurrentFact-N10,20,40Unchanged'!C131+'CurrentFact-N10,20,40Unchanged'!G131)/100)+103/POWER(1+('CurrentFact-N10,20,40Unchanged'!D131+'CurrentFact-N10,20,40Unchanged'!G131)/100,2))*100</f>
        <v>9614.9673582483465</v>
      </c>
      <c r="D131">
        <f>(3/(1+('CurrentFact-N10,20,40Unchanged'!C131+'CurrentFact-N10,20,40Unchanged'!H131)/100)+103/POWER(1+('CurrentFact-N10,20,40Unchanged'!D131+'CurrentFact-N10,20,40Unchanged'!H131)/100,2))*100</f>
        <v>9601.2395558122898</v>
      </c>
      <c r="E131">
        <f>(3/(1+('CurrentFact-N10,20,40Unchanged'!C131+'CurrentFact-N10,20,40Unchanged'!I131)/100)+103/POWER(1+('CurrentFact-N10,20,40Unchanged'!D131+'CurrentFact-N10,20,40Unchanged'!I131)/100,2))*100</f>
        <v>9683.3753889296495</v>
      </c>
      <c r="F131">
        <f>Portfolio!B$5*'CurrentFact-N10,20,40Unchanged'!E131</f>
        <v>52143.895533915893</v>
      </c>
      <c r="G131">
        <f>Portfolio!B$6*'CurrentFact-N10,20,40Unchanged'!F131</f>
        <v>3696.2945087936532</v>
      </c>
      <c r="H131">
        <f>Portfolio!B$7*'CurrentFact-N10,20,40Unchanged'!J131</f>
        <v>2064.4550337304254</v>
      </c>
      <c r="I131">
        <f t="shared" si="2"/>
        <v>96511.813156859105</v>
      </c>
      <c r="J131">
        <f t="shared" si="3"/>
        <v>0.16401153313927352</v>
      </c>
    </row>
    <row r="132" spans="1:10">
      <c r="A132" s="1">
        <v>45653</v>
      </c>
      <c r="B132">
        <f>(3/(1+('CurrentFact-N10,20,40Unchanged'!C132)/100)+103/POWER(1+('CurrentFact-N10,20,40Unchanged'!D132)/100,2))*100</f>
        <v>9707.5857774288397</v>
      </c>
      <c r="C132">
        <f>(3/(1+('CurrentFact-N10,20,40Unchanged'!C132+'CurrentFact-N10,20,40Unchanged'!G132)/100)+103/POWER(1+('CurrentFact-N10,20,40Unchanged'!D132+'CurrentFact-N10,20,40Unchanged'!G132)/100,2))*100</f>
        <v>9614.9673582483465</v>
      </c>
      <c r="D132">
        <f>(3/(1+('CurrentFact-N10,20,40Unchanged'!C132+'CurrentFact-N10,20,40Unchanged'!H132)/100)+103/POWER(1+('CurrentFact-N10,20,40Unchanged'!D132+'CurrentFact-N10,20,40Unchanged'!H132)/100,2))*100</f>
        <v>9601.2395558122898</v>
      </c>
      <c r="E132">
        <f>(3/(1+('CurrentFact-N10,20,40Unchanged'!C132+'CurrentFact-N10,20,40Unchanged'!I132)/100)+103/POWER(1+('CurrentFact-N10,20,40Unchanged'!D132+'CurrentFact-N10,20,40Unchanged'!I132)/100,2))*100</f>
        <v>9682.755812656851</v>
      </c>
      <c r="F132">
        <f>Portfolio!B$5*'CurrentFact-N10,20,40Unchanged'!E132</f>
        <v>52143.895533915893</v>
      </c>
      <c r="G132">
        <f>Portfolio!B$6*'CurrentFact-N10,20,40Unchanged'!F132</f>
        <v>3696.2945087936532</v>
      </c>
      <c r="H132">
        <f>Portfolio!B$7*'CurrentFact-N10,20,40Unchanged'!J132</f>
        <v>2064.4550337304254</v>
      </c>
      <c r="I132">
        <f t="shared" ref="I132:I187" si="4">SUM(B132:H132)</f>
        <v>96511.193580586289</v>
      </c>
      <c r="J132">
        <f t="shared" si="3"/>
        <v>-0.94761196442414075</v>
      </c>
    </row>
    <row r="133" spans="1:10">
      <c r="A133" s="1">
        <v>45656</v>
      </c>
      <c r="B133">
        <f>(3/(1+('CurrentFact-N10,20,40Unchanged'!C133)/100)+103/POWER(1+('CurrentFact-N10,20,40Unchanged'!D133)/100,2))*100</f>
        <v>9707.5857774288397</v>
      </c>
      <c r="C133">
        <f>(3/(1+('CurrentFact-N10,20,40Unchanged'!C133+'CurrentFact-N10,20,40Unchanged'!G133)/100)+103/POWER(1+('CurrentFact-N10,20,40Unchanged'!D133+'CurrentFact-N10,20,40Unchanged'!G133)/100,2))*100</f>
        <v>9614.9673582483465</v>
      </c>
      <c r="D133">
        <f>(3/(1+('CurrentFact-N10,20,40Unchanged'!C133+'CurrentFact-N10,20,40Unchanged'!H133)/100)+103/POWER(1+('CurrentFact-N10,20,40Unchanged'!D133+'CurrentFact-N10,20,40Unchanged'!H133)/100,2))*100</f>
        <v>9601.2395558122898</v>
      </c>
      <c r="E133">
        <f>(3/(1+('CurrentFact-N10,20,40Unchanged'!C133+'CurrentFact-N10,20,40Unchanged'!I133)/100)+103/POWER(1+('CurrentFact-N10,20,40Unchanged'!D133+'CurrentFact-N10,20,40Unchanged'!I133)/100,2))*100</f>
        <v>9682.2456191808233</v>
      </c>
      <c r="F133">
        <f>Portfolio!B$5*'CurrentFact-N10,20,40Unchanged'!E133</f>
        <v>52143.895533915893</v>
      </c>
      <c r="G133">
        <f>Portfolio!B$6*'CurrentFact-N10,20,40Unchanged'!F133</f>
        <v>3696.2945087936532</v>
      </c>
      <c r="H133">
        <f>Portfolio!B$7*'CurrentFact-N10,20,40Unchanged'!J133</f>
        <v>2064.4550337304254</v>
      </c>
      <c r="I133">
        <f t="shared" si="4"/>
        <v>96510.683387110272</v>
      </c>
      <c r="J133">
        <f t="shared" si="3"/>
        <v>-2.6242895633040462</v>
      </c>
    </row>
    <row r="134" spans="1:10">
      <c r="A134" s="1">
        <v>45657</v>
      </c>
      <c r="B134">
        <f>(3/(1+('CurrentFact-N10,20,40Unchanged'!C134)/100)+103/POWER(1+('CurrentFact-N10,20,40Unchanged'!D134)/100,2))*100</f>
        <v>9707.5857774288397</v>
      </c>
      <c r="C134">
        <f>(3/(1+('CurrentFact-N10,20,40Unchanged'!C134+'CurrentFact-N10,20,40Unchanged'!G134)/100)+103/POWER(1+('CurrentFact-N10,20,40Unchanged'!D134+'CurrentFact-N10,20,40Unchanged'!G134)/100,2))*100</f>
        <v>9614.9673582483465</v>
      </c>
      <c r="D134">
        <f>(3/(1+('CurrentFact-N10,20,40Unchanged'!C134+'CurrentFact-N10,20,40Unchanged'!H134)/100)+103/POWER(1+('CurrentFact-N10,20,40Unchanged'!D134+'CurrentFact-N10,20,40Unchanged'!H134)/100,2))*100</f>
        <v>9601.2395558122898</v>
      </c>
      <c r="E134">
        <f>(3/(1+('CurrentFact-N10,20,40Unchanged'!C134+'CurrentFact-N10,20,40Unchanged'!I134)/100)+103/POWER(1+('CurrentFact-N10,20,40Unchanged'!D134+'CurrentFact-N10,20,40Unchanged'!I134)/100,2))*100</f>
        <v>9682.3002803851778</v>
      </c>
      <c r="F134">
        <f>Portfolio!B$5*'CurrentFact-N10,20,40Unchanged'!E134</f>
        <v>52143.895533915893</v>
      </c>
      <c r="G134">
        <f>Portfolio!B$6*'CurrentFact-N10,20,40Unchanged'!F134</f>
        <v>3696.2945087936532</v>
      </c>
      <c r="H134">
        <f>Portfolio!B$7*'CurrentFact-N10,20,40Unchanged'!J134</f>
        <v>2064.4550337304254</v>
      </c>
      <c r="I134">
        <f t="shared" si="4"/>
        <v>96510.738048314626</v>
      </c>
      <c r="J134">
        <f t="shared" si="3"/>
        <v>-2.0957183499267558</v>
      </c>
    </row>
    <row r="135" spans="1:10">
      <c r="A135" s="1">
        <v>45658</v>
      </c>
      <c r="B135">
        <f>(3/(1+('CurrentFact-N10,20,40Unchanged'!C135)/100)+103/POWER(1+('CurrentFact-N10,20,40Unchanged'!D135)/100,2))*100</f>
        <v>9707.5857774288397</v>
      </c>
      <c r="C135">
        <f>(3/(1+('CurrentFact-N10,20,40Unchanged'!C135+'CurrentFact-N10,20,40Unchanged'!G135)/100)+103/POWER(1+('CurrentFact-N10,20,40Unchanged'!D135+'CurrentFact-N10,20,40Unchanged'!G135)/100,2))*100</f>
        <v>9614.9673582483465</v>
      </c>
      <c r="D135">
        <f>(3/(1+('CurrentFact-N10,20,40Unchanged'!C135+'CurrentFact-N10,20,40Unchanged'!H135)/100)+103/POWER(1+('CurrentFact-N10,20,40Unchanged'!D135+'CurrentFact-N10,20,40Unchanged'!H135)/100,2))*100</f>
        <v>9601.2395558122898</v>
      </c>
      <c r="E135">
        <f>(3/(1+('CurrentFact-N10,20,40Unchanged'!C135+'CurrentFact-N10,20,40Unchanged'!I135)/100)+103/POWER(1+('CurrentFact-N10,20,40Unchanged'!D135+'CurrentFact-N10,20,40Unchanged'!I135)/100,2))*100</f>
        <v>9682.6282609042173</v>
      </c>
      <c r="F135">
        <f>Portfolio!B$5*'CurrentFact-N10,20,40Unchanged'!E135</f>
        <v>52143.895533915893</v>
      </c>
      <c r="G135">
        <f>Portfolio!B$6*'CurrentFact-N10,20,40Unchanged'!F135</f>
        <v>3696.2945087936532</v>
      </c>
      <c r="H135">
        <f>Portfolio!B$7*'CurrentFact-N10,20,40Unchanged'!J135</f>
        <v>2064.4550337304254</v>
      </c>
      <c r="I135">
        <f t="shared" si="4"/>
        <v>96511.066028833666</v>
      </c>
      <c r="J135">
        <f t="shared" si="3"/>
        <v>0.30975943447265308</v>
      </c>
    </row>
    <row r="136" spans="1:10">
      <c r="A136" s="1">
        <v>45659</v>
      </c>
      <c r="B136">
        <f>(3/(1+('CurrentFact-N10,20,40Unchanged'!C136)/100)+103/POWER(1+('CurrentFact-N10,20,40Unchanged'!D136)/100,2))*100</f>
        <v>9707.5857774288397</v>
      </c>
      <c r="C136">
        <f>(3/(1+('CurrentFact-N10,20,40Unchanged'!C136+'CurrentFact-N10,20,40Unchanged'!G136)/100)+103/POWER(1+('CurrentFact-N10,20,40Unchanged'!D136+'CurrentFact-N10,20,40Unchanged'!G136)/100,2))*100</f>
        <v>9614.9673582483465</v>
      </c>
      <c r="D136">
        <f>(3/(1+('CurrentFact-N10,20,40Unchanged'!C136+'CurrentFact-N10,20,40Unchanged'!H136)/100)+103/POWER(1+('CurrentFact-N10,20,40Unchanged'!D136+'CurrentFact-N10,20,40Unchanged'!H136)/100,2))*100</f>
        <v>9601.2395558122898</v>
      </c>
      <c r="E136">
        <f>(3/(1+('CurrentFact-N10,20,40Unchanged'!C136+'CurrentFact-N10,20,40Unchanged'!I136)/100)+103/POWER(1+('CurrentFact-N10,20,40Unchanged'!D136+'CurrentFact-N10,20,40Unchanged'!I136)/100,2))*100</f>
        <v>9683.739873105038</v>
      </c>
      <c r="F136">
        <f>Portfolio!B$5*'CurrentFact-N10,20,40Unchanged'!E136</f>
        <v>52143.895533915893</v>
      </c>
      <c r="G136">
        <f>Portfolio!B$6*'CurrentFact-N10,20,40Unchanged'!F136</f>
        <v>3696.2945087936532</v>
      </c>
      <c r="H136">
        <f>Portfolio!B$7*'CurrentFact-N10,20,40Unchanged'!J136</f>
        <v>2064.4550337304254</v>
      </c>
      <c r="I136">
        <f t="shared" si="4"/>
        <v>96512.177641034476</v>
      </c>
      <c r="J136">
        <f t="shared" si="3"/>
        <v>3.152102800362627</v>
      </c>
    </row>
    <row r="137" spans="1:10">
      <c r="A137" s="1">
        <v>45660</v>
      </c>
      <c r="B137">
        <f>(3/(1+('CurrentFact-N10,20,40Unchanged'!C137)/100)+103/POWER(1+('CurrentFact-N10,20,40Unchanged'!D137)/100,2))*100</f>
        <v>9707.5857774288397</v>
      </c>
      <c r="C137">
        <f>(3/(1+('CurrentFact-N10,20,40Unchanged'!C137+'CurrentFact-N10,20,40Unchanged'!G137)/100)+103/POWER(1+('CurrentFact-N10,20,40Unchanged'!D137+'CurrentFact-N10,20,40Unchanged'!G137)/100,2))*100</f>
        <v>9614.9673582483465</v>
      </c>
      <c r="D137">
        <f>(3/(1+('CurrentFact-N10,20,40Unchanged'!C137+'CurrentFact-N10,20,40Unchanged'!H137)/100)+103/POWER(1+('CurrentFact-N10,20,40Unchanged'!D137+'CurrentFact-N10,20,40Unchanged'!H137)/100,2))*100</f>
        <v>9601.2395558122898</v>
      </c>
      <c r="E137">
        <f>(3/(1+('CurrentFact-N10,20,40Unchanged'!C137+'CurrentFact-N10,20,40Unchanged'!I137)/100)+103/POWER(1+('CurrentFact-N10,20,40Unchanged'!D137+'CurrentFact-N10,20,40Unchanged'!I137)/100,2))*100</f>
        <v>9684.1590569043819</v>
      </c>
      <c r="F137">
        <f>Portfolio!B$5*'CurrentFact-N10,20,40Unchanged'!E137</f>
        <v>52143.895533915893</v>
      </c>
      <c r="G137">
        <f>Portfolio!B$6*'CurrentFact-N10,20,40Unchanged'!F137</f>
        <v>3696.2945087936532</v>
      </c>
      <c r="H137">
        <f>Portfolio!B$7*'CurrentFact-N10,20,40Unchanged'!J137</f>
        <v>2064.4550337304254</v>
      </c>
      <c r="I137">
        <f t="shared" si="4"/>
        <v>96512.596824833832</v>
      </c>
      <c r="J137">
        <f t="shared" si="3"/>
        <v>2.3689336347742938</v>
      </c>
    </row>
    <row r="138" spans="1:10">
      <c r="A138" s="1">
        <v>45663</v>
      </c>
      <c r="B138">
        <f>(3/(1+('CurrentFact-N10,20,40Unchanged'!C138)/100)+103/POWER(1+('CurrentFact-N10,20,40Unchanged'!D138)/100,2))*100</f>
        <v>9707.5857774288397</v>
      </c>
      <c r="C138">
        <f>(3/(1+('CurrentFact-N10,20,40Unchanged'!C138+'CurrentFact-N10,20,40Unchanged'!G138)/100)+103/POWER(1+('CurrentFact-N10,20,40Unchanged'!D138+'CurrentFact-N10,20,40Unchanged'!G138)/100,2))*100</f>
        <v>9614.9673582483465</v>
      </c>
      <c r="D138">
        <f>(3/(1+('CurrentFact-N10,20,40Unchanged'!C138+'CurrentFact-N10,20,40Unchanged'!H138)/100)+103/POWER(1+('CurrentFact-N10,20,40Unchanged'!D138+'CurrentFact-N10,20,40Unchanged'!H138)/100,2))*100</f>
        <v>9601.2395558122898</v>
      </c>
      <c r="E138">
        <f>(3/(1+('CurrentFact-N10,20,40Unchanged'!C138+'CurrentFact-N10,20,40Unchanged'!I138)/100)+103/POWER(1+('CurrentFact-N10,20,40Unchanged'!D138+'CurrentFact-N10,20,40Unchanged'!I138)/100,2))*100</f>
        <v>9682.1545170539957</v>
      </c>
      <c r="F138">
        <f>Portfolio!B$5*'CurrentFact-N10,20,40Unchanged'!E138</f>
        <v>52143.895533915893</v>
      </c>
      <c r="G138">
        <f>Portfolio!B$6*'CurrentFact-N10,20,40Unchanged'!F138</f>
        <v>3696.2945087936532</v>
      </c>
      <c r="H138">
        <f>Portfolio!B$7*'CurrentFact-N10,20,40Unchanged'!J138</f>
        <v>2064.4550337304254</v>
      </c>
      <c r="I138">
        <f t="shared" si="4"/>
        <v>96510.592284983446</v>
      </c>
      <c r="J138">
        <f t="shared" si="3"/>
        <v>-2.514886078206473</v>
      </c>
    </row>
    <row r="139" spans="1:10">
      <c r="A139" s="1">
        <v>45664</v>
      </c>
      <c r="B139">
        <f>(3/(1+('CurrentFact-N10,20,40Unchanged'!C139)/100)+103/POWER(1+('CurrentFact-N10,20,40Unchanged'!D139)/100,2))*100</f>
        <v>9707.5857774288397</v>
      </c>
      <c r="C139">
        <f>(3/(1+('CurrentFact-N10,20,40Unchanged'!C139+'CurrentFact-N10,20,40Unchanged'!G139)/100)+103/POWER(1+('CurrentFact-N10,20,40Unchanged'!D139+'CurrentFact-N10,20,40Unchanged'!G139)/100,2))*100</f>
        <v>9614.9673582483465</v>
      </c>
      <c r="D139">
        <f>(3/(1+('CurrentFact-N10,20,40Unchanged'!C139+'CurrentFact-N10,20,40Unchanged'!H139)/100)+103/POWER(1+('CurrentFact-N10,20,40Unchanged'!D139+'CurrentFact-N10,20,40Unchanged'!H139)/100,2))*100</f>
        <v>9601.2395558122898</v>
      </c>
      <c r="E139">
        <f>(3/(1+('CurrentFact-N10,20,40Unchanged'!C139+'CurrentFact-N10,20,40Unchanged'!I139)/100)+103/POWER(1+('CurrentFact-N10,20,40Unchanged'!D139+'CurrentFact-N10,20,40Unchanged'!I139)/100,2))*100</f>
        <v>9678.6571906891168</v>
      </c>
      <c r="F139">
        <f>Portfolio!B$5*'CurrentFact-N10,20,40Unchanged'!E139</f>
        <v>52143.895533915893</v>
      </c>
      <c r="G139">
        <f>Portfolio!B$6*'CurrentFact-N10,20,40Unchanged'!F139</f>
        <v>3696.2945087936532</v>
      </c>
      <c r="H139">
        <f>Portfolio!B$7*'CurrentFact-N10,20,40Unchanged'!J139</f>
        <v>2064.4550337304254</v>
      </c>
      <c r="I139">
        <f t="shared" si="4"/>
        <v>96507.094958618574</v>
      </c>
      <c r="J139">
        <f t="shared" si="3"/>
        <v>-4.9368862517876551</v>
      </c>
    </row>
    <row r="140" spans="1:10">
      <c r="A140" s="1">
        <v>45665</v>
      </c>
      <c r="B140">
        <f>(3/(1+('CurrentFact-N10,20,40Unchanged'!C140)/100)+103/POWER(1+('CurrentFact-N10,20,40Unchanged'!D140)/100,2))*100</f>
        <v>9707.5857774288397</v>
      </c>
      <c r="C140">
        <f>(3/(1+('CurrentFact-N10,20,40Unchanged'!C140+'CurrentFact-N10,20,40Unchanged'!G140)/100)+103/POWER(1+('CurrentFact-N10,20,40Unchanged'!D140+'CurrentFact-N10,20,40Unchanged'!G140)/100,2))*100</f>
        <v>9614.9673582483465</v>
      </c>
      <c r="D140">
        <f>(3/(1+('CurrentFact-N10,20,40Unchanged'!C140+'CurrentFact-N10,20,40Unchanged'!H140)/100)+103/POWER(1+('CurrentFact-N10,20,40Unchanged'!D140+'CurrentFact-N10,20,40Unchanged'!H140)/100,2))*100</f>
        <v>9601.2395558122898</v>
      </c>
      <c r="E140">
        <f>(3/(1+('CurrentFact-N10,20,40Unchanged'!C140+'CurrentFact-N10,20,40Unchanged'!I140)/100)+103/POWER(1+('CurrentFact-N10,20,40Unchanged'!D140+'CurrentFact-N10,20,40Unchanged'!I140)/100,2))*100</f>
        <v>9681.3346598198714</v>
      </c>
      <c r="F140">
        <f>Portfolio!B$5*'CurrentFact-N10,20,40Unchanged'!E140</f>
        <v>52143.895533915893</v>
      </c>
      <c r="G140">
        <f>Portfolio!B$6*'CurrentFact-N10,20,40Unchanged'!F140</f>
        <v>3696.2945087936532</v>
      </c>
      <c r="H140">
        <f>Portfolio!B$7*'CurrentFact-N10,20,40Unchanged'!J140</f>
        <v>2064.4550337304254</v>
      </c>
      <c r="I140">
        <f t="shared" si="4"/>
        <v>96509.772427749325</v>
      </c>
      <c r="J140">
        <f t="shared" si="3"/>
        <v>-1.6944888271391392</v>
      </c>
    </row>
    <row r="141" spans="1:10">
      <c r="A141" s="1">
        <v>45666</v>
      </c>
      <c r="B141">
        <f>(3/(1+('CurrentFact-N10,20,40Unchanged'!C141)/100)+103/POWER(1+('CurrentFact-N10,20,40Unchanged'!D141)/100,2))*100</f>
        <v>9707.5857774288397</v>
      </c>
      <c r="C141">
        <f>(3/(1+('CurrentFact-N10,20,40Unchanged'!C141+'CurrentFact-N10,20,40Unchanged'!G141)/100)+103/POWER(1+('CurrentFact-N10,20,40Unchanged'!D141+'CurrentFact-N10,20,40Unchanged'!G141)/100,2))*100</f>
        <v>9614.9673582483465</v>
      </c>
      <c r="D141">
        <f>(3/(1+('CurrentFact-N10,20,40Unchanged'!C141+'CurrentFact-N10,20,40Unchanged'!H141)/100)+103/POWER(1+('CurrentFact-N10,20,40Unchanged'!D141+'CurrentFact-N10,20,40Unchanged'!H141)/100,2))*100</f>
        <v>9601.2395558122898</v>
      </c>
      <c r="E141">
        <f>(3/(1+('CurrentFact-N10,20,40Unchanged'!C141+'CurrentFact-N10,20,40Unchanged'!I141)/100)+103/POWER(1+('CurrentFact-N10,20,40Unchanged'!D141+'CurrentFact-N10,20,40Unchanged'!I141)/100,2))*100</f>
        <v>9682.0087570471096</v>
      </c>
      <c r="F141">
        <f>Portfolio!B$5*'CurrentFact-N10,20,40Unchanged'!E141</f>
        <v>52143.895533915893</v>
      </c>
      <c r="G141">
        <f>Portfolio!B$6*'CurrentFact-N10,20,40Unchanged'!F141</f>
        <v>3696.2945087936532</v>
      </c>
      <c r="H141">
        <f>Portfolio!B$7*'CurrentFact-N10,20,40Unchanged'!J141</f>
        <v>2064.4550337304254</v>
      </c>
      <c r="I141">
        <f t="shared" si="4"/>
        <v>96510.446524976549</v>
      </c>
      <c r="J141">
        <f t="shared" si="3"/>
        <v>-1.3666318825562485</v>
      </c>
    </row>
    <row r="142" spans="1:10">
      <c r="A142" s="1">
        <v>45667</v>
      </c>
      <c r="B142">
        <f>(3/(1+('CurrentFact-N10,20,40Unchanged'!C142)/100)+103/POWER(1+('CurrentFact-N10,20,40Unchanged'!D142)/100,2))*100</f>
        <v>9707.5857774288397</v>
      </c>
      <c r="C142">
        <f>(3/(1+('CurrentFact-N10,20,40Unchanged'!C142+'CurrentFact-N10,20,40Unchanged'!G142)/100)+103/POWER(1+('CurrentFact-N10,20,40Unchanged'!D142+'CurrentFact-N10,20,40Unchanged'!G142)/100,2))*100</f>
        <v>9614.9673582483465</v>
      </c>
      <c r="D142">
        <f>(3/(1+('CurrentFact-N10,20,40Unchanged'!C142+'CurrentFact-N10,20,40Unchanged'!H142)/100)+103/POWER(1+('CurrentFact-N10,20,40Unchanged'!D142+'CurrentFact-N10,20,40Unchanged'!H142)/100,2))*100</f>
        <v>9601.2395558122898</v>
      </c>
      <c r="E142">
        <f>(3/(1+('CurrentFact-N10,20,40Unchanged'!C142+'CurrentFact-N10,20,40Unchanged'!I142)/100)+103/POWER(1+('CurrentFact-N10,20,40Unchanged'!D142+'CurrentFact-N10,20,40Unchanged'!I142)/100,2))*100</f>
        <v>9681.5897159781507</v>
      </c>
      <c r="F142">
        <f>Portfolio!B$5*'CurrentFact-N10,20,40Unchanged'!E142</f>
        <v>52143.895533915893</v>
      </c>
      <c r="G142">
        <f>Portfolio!B$6*'CurrentFact-N10,20,40Unchanged'!F142</f>
        <v>3696.2945087936532</v>
      </c>
      <c r="H142">
        <f>Portfolio!B$7*'CurrentFact-N10,20,40Unchanged'!J142</f>
        <v>2064.4550337304254</v>
      </c>
      <c r="I142">
        <f t="shared" si="4"/>
        <v>96510.027483907601</v>
      </c>
      <c r="J142">
        <f t="shared" ref="J142:J187" si="5">I142-I132</f>
        <v>-1.1660966786876088</v>
      </c>
    </row>
    <row r="143" spans="1:10">
      <c r="A143" s="1">
        <v>45670</v>
      </c>
      <c r="B143">
        <f>(3/(1+('CurrentFact-N10,20,40Unchanged'!C143)/100)+103/POWER(1+('CurrentFact-N10,20,40Unchanged'!D143)/100,2))*100</f>
        <v>9707.5857774288397</v>
      </c>
      <c r="C143">
        <f>(3/(1+('CurrentFact-N10,20,40Unchanged'!C143+'CurrentFact-N10,20,40Unchanged'!G143)/100)+103/POWER(1+('CurrentFact-N10,20,40Unchanged'!D143+'CurrentFact-N10,20,40Unchanged'!G143)/100,2))*100</f>
        <v>9614.9673582483465</v>
      </c>
      <c r="D143">
        <f>(3/(1+('CurrentFact-N10,20,40Unchanged'!C143+'CurrentFact-N10,20,40Unchanged'!H143)/100)+103/POWER(1+('CurrentFact-N10,20,40Unchanged'!D143+'CurrentFact-N10,20,40Unchanged'!H143)/100,2))*100</f>
        <v>9601.2395558122898</v>
      </c>
      <c r="E143">
        <f>(3/(1+('CurrentFact-N10,20,40Unchanged'!C143+'CurrentFact-N10,20,40Unchanged'!I143)/100)+103/POWER(1+('CurrentFact-N10,20,40Unchanged'!D143+'CurrentFact-N10,20,40Unchanged'!I143)/100,2))*100</f>
        <v>9681.0431805243425</v>
      </c>
      <c r="F143">
        <f>Portfolio!B$5*'CurrentFact-N10,20,40Unchanged'!E143</f>
        <v>52143.895533915893</v>
      </c>
      <c r="G143">
        <f>Portfolio!B$6*'CurrentFact-N10,20,40Unchanged'!F143</f>
        <v>3696.2945087936532</v>
      </c>
      <c r="H143">
        <f>Portfolio!B$7*'CurrentFact-N10,20,40Unchanged'!J143</f>
        <v>2064.4550337304254</v>
      </c>
      <c r="I143">
        <f t="shared" si="4"/>
        <v>96509.480948453798</v>
      </c>
      <c r="J143">
        <f t="shared" si="5"/>
        <v>-1.2024386564735323</v>
      </c>
    </row>
    <row r="144" spans="1:10">
      <c r="A144" s="1">
        <v>45671</v>
      </c>
      <c r="B144">
        <f>(3/(1+('CurrentFact-N10,20,40Unchanged'!C144)/100)+103/POWER(1+('CurrentFact-N10,20,40Unchanged'!D144)/100,2))*100</f>
        <v>9707.5857774288397</v>
      </c>
      <c r="C144">
        <f>(3/(1+('CurrentFact-N10,20,40Unchanged'!C144+'CurrentFact-N10,20,40Unchanged'!G144)/100)+103/POWER(1+('CurrentFact-N10,20,40Unchanged'!D144+'CurrentFact-N10,20,40Unchanged'!G144)/100,2))*100</f>
        <v>9614.9673582483465</v>
      </c>
      <c r="D144">
        <f>(3/(1+('CurrentFact-N10,20,40Unchanged'!C144+'CurrentFact-N10,20,40Unchanged'!H144)/100)+103/POWER(1+('CurrentFact-N10,20,40Unchanged'!D144+'CurrentFact-N10,20,40Unchanged'!H144)/100,2))*100</f>
        <v>9601.2395558122898</v>
      </c>
      <c r="E144">
        <f>(3/(1+('CurrentFact-N10,20,40Unchanged'!C144+'CurrentFact-N10,20,40Unchanged'!I144)/100)+103/POWER(1+('CurrentFact-N10,20,40Unchanged'!D144+'CurrentFact-N10,20,40Unchanged'!I144)/100,2))*100</f>
        <v>9682.4824900929671</v>
      </c>
      <c r="F144">
        <f>Portfolio!B$5*'CurrentFact-N10,20,40Unchanged'!E144</f>
        <v>52143.895533915893</v>
      </c>
      <c r="G144">
        <f>Portfolio!B$6*'CurrentFact-N10,20,40Unchanged'!F144</f>
        <v>3696.2945087936532</v>
      </c>
      <c r="H144">
        <f>Portfolio!B$7*'CurrentFact-N10,20,40Unchanged'!J144</f>
        <v>2064.4550337304254</v>
      </c>
      <c r="I144">
        <f t="shared" si="4"/>
        <v>96510.920258022408</v>
      </c>
      <c r="J144">
        <f t="shared" si="5"/>
        <v>0.18220970778202172</v>
      </c>
    </row>
    <row r="145" spans="1:10">
      <c r="A145" s="1">
        <v>45672</v>
      </c>
      <c r="B145">
        <f>(3/(1+('CurrentFact-N10,20,40Unchanged'!C145)/100)+103/POWER(1+('CurrentFact-N10,20,40Unchanged'!D145)/100,2))*100</f>
        <v>9707.5857774288397</v>
      </c>
      <c r="C145">
        <f>(3/(1+('CurrentFact-N10,20,40Unchanged'!C145+'CurrentFact-N10,20,40Unchanged'!G145)/100)+103/POWER(1+('CurrentFact-N10,20,40Unchanged'!D145+'CurrentFact-N10,20,40Unchanged'!G145)/100,2))*100</f>
        <v>9614.9673582483465</v>
      </c>
      <c r="D145">
        <f>(3/(1+('CurrentFact-N10,20,40Unchanged'!C145+'CurrentFact-N10,20,40Unchanged'!H145)/100)+103/POWER(1+('CurrentFact-N10,20,40Unchanged'!D145+'CurrentFact-N10,20,40Unchanged'!H145)/100,2))*100</f>
        <v>9601.2395558122898</v>
      </c>
      <c r="E145">
        <f>(3/(1+('CurrentFact-N10,20,40Unchanged'!C145+'CurrentFact-N10,20,40Unchanged'!I145)/100)+103/POWER(1+('CurrentFact-N10,20,40Unchanged'!D145+'CurrentFact-N10,20,40Unchanged'!I145)/100,2))*100</f>
        <v>9682.5007116969864</v>
      </c>
      <c r="F145">
        <f>Portfolio!B$5*'CurrentFact-N10,20,40Unchanged'!E145</f>
        <v>52143.895533915893</v>
      </c>
      <c r="G145">
        <f>Portfolio!B$6*'CurrentFact-N10,20,40Unchanged'!F145</f>
        <v>3696.2945087936532</v>
      </c>
      <c r="H145">
        <f>Portfolio!B$7*'CurrentFact-N10,20,40Unchanged'!J145</f>
        <v>2064.4550337304254</v>
      </c>
      <c r="I145">
        <f t="shared" si="4"/>
        <v>96510.938479626435</v>
      </c>
      <c r="J145">
        <f t="shared" si="5"/>
        <v>-0.12754920723091345</v>
      </c>
    </row>
    <row r="146" spans="1:10">
      <c r="A146" s="1">
        <v>45673</v>
      </c>
      <c r="B146">
        <f>(3/(1+('CurrentFact-N10,20,40Unchanged'!C146)/100)+103/POWER(1+('CurrentFact-N10,20,40Unchanged'!D146)/100,2))*100</f>
        <v>9707.5857774288397</v>
      </c>
      <c r="C146">
        <f>(3/(1+('CurrentFact-N10,20,40Unchanged'!C146+'CurrentFact-N10,20,40Unchanged'!G146)/100)+103/POWER(1+('CurrentFact-N10,20,40Unchanged'!D146+'CurrentFact-N10,20,40Unchanged'!G146)/100,2))*100</f>
        <v>9614.9673582483465</v>
      </c>
      <c r="D146">
        <f>(3/(1+('CurrentFact-N10,20,40Unchanged'!C146+'CurrentFact-N10,20,40Unchanged'!H146)/100)+103/POWER(1+('CurrentFact-N10,20,40Unchanged'!D146+'CurrentFact-N10,20,40Unchanged'!H146)/100,2))*100</f>
        <v>9601.2395558122898</v>
      </c>
      <c r="E146">
        <f>(3/(1+('CurrentFact-N10,20,40Unchanged'!C146+'CurrentFact-N10,20,40Unchanged'!I146)/100)+103/POWER(1+('CurrentFact-N10,20,40Unchanged'!D146+'CurrentFact-N10,20,40Unchanged'!I146)/100,2))*100</f>
        <v>9683.0655932861519</v>
      </c>
      <c r="F146">
        <f>Portfolio!B$5*'CurrentFact-N10,20,40Unchanged'!E146</f>
        <v>52143.895533915893</v>
      </c>
      <c r="G146">
        <f>Portfolio!B$6*'CurrentFact-N10,20,40Unchanged'!F146</f>
        <v>3696.2945087936532</v>
      </c>
      <c r="H146">
        <f>Portfolio!B$7*'CurrentFact-N10,20,40Unchanged'!J146</f>
        <v>2064.4550337304254</v>
      </c>
      <c r="I146">
        <f t="shared" si="4"/>
        <v>96511.503361215611</v>
      </c>
      <c r="J146">
        <f t="shared" si="5"/>
        <v>-0.67427981886430643</v>
      </c>
    </row>
    <row r="147" spans="1:10">
      <c r="A147" s="1">
        <v>45674</v>
      </c>
      <c r="B147">
        <f>(3/(1+('CurrentFact-N10,20,40Unchanged'!C147)/100)+103/POWER(1+('CurrentFact-N10,20,40Unchanged'!D147)/100,2))*100</f>
        <v>9707.5857774288397</v>
      </c>
      <c r="C147">
        <f>(3/(1+('CurrentFact-N10,20,40Unchanged'!C147+'CurrentFact-N10,20,40Unchanged'!G147)/100)+103/POWER(1+('CurrentFact-N10,20,40Unchanged'!D147+'CurrentFact-N10,20,40Unchanged'!G147)/100,2))*100</f>
        <v>9614.9673582483465</v>
      </c>
      <c r="D147">
        <f>(3/(1+('CurrentFact-N10,20,40Unchanged'!C147+'CurrentFact-N10,20,40Unchanged'!H147)/100)+103/POWER(1+('CurrentFact-N10,20,40Unchanged'!D147+'CurrentFact-N10,20,40Unchanged'!H147)/100,2))*100</f>
        <v>9601.2395558122898</v>
      </c>
      <c r="E147">
        <f>(3/(1+('CurrentFact-N10,20,40Unchanged'!C147+'CurrentFact-N10,20,40Unchanged'!I147)/100)+103/POWER(1+('CurrentFact-N10,20,40Unchanged'!D147+'CurrentFact-N10,20,40Unchanged'!I147)/100,2))*100</f>
        <v>9682.3185014697392</v>
      </c>
      <c r="F147">
        <f>Portfolio!B$5*'CurrentFact-N10,20,40Unchanged'!E147</f>
        <v>52143.895533915893</v>
      </c>
      <c r="G147">
        <f>Portfolio!B$6*'CurrentFact-N10,20,40Unchanged'!F147</f>
        <v>3696.2945087936532</v>
      </c>
      <c r="H147">
        <f>Portfolio!B$7*'CurrentFact-N10,20,40Unchanged'!J147</f>
        <v>2064.4550337304254</v>
      </c>
      <c r="I147">
        <f t="shared" si="4"/>
        <v>96510.756269399193</v>
      </c>
      <c r="J147">
        <f t="shared" si="5"/>
        <v>-1.8405554346391</v>
      </c>
    </row>
    <row r="148" spans="1:10">
      <c r="A148" s="1">
        <v>45677</v>
      </c>
      <c r="B148">
        <f>(3/(1+('CurrentFact-N10,20,40Unchanged'!C148)/100)+103/POWER(1+('CurrentFact-N10,20,40Unchanged'!D148)/100,2))*100</f>
        <v>9707.5857774288397</v>
      </c>
      <c r="C148">
        <f>(3/(1+('CurrentFact-N10,20,40Unchanged'!C148+'CurrentFact-N10,20,40Unchanged'!G148)/100)+103/POWER(1+('CurrentFact-N10,20,40Unchanged'!D148+'CurrentFact-N10,20,40Unchanged'!G148)/100,2))*100</f>
        <v>9614.9673582483465</v>
      </c>
      <c r="D148">
        <f>(3/(1+('CurrentFact-N10,20,40Unchanged'!C148+'CurrentFact-N10,20,40Unchanged'!H148)/100)+103/POWER(1+('CurrentFact-N10,20,40Unchanged'!D148+'CurrentFact-N10,20,40Unchanged'!H148)/100,2))*100</f>
        <v>9601.2395558122898</v>
      </c>
      <c r="E148">
        <f>(3/(1+('CurrentFact-N10,20,40Unchanged'!C148+'CurrentFact-N10,20,40Unchanged'!I148)/100)+103/POWER(1+('CurrentFact-N10,20,40Unchanged'!D148+'CurrentFact-N10,20,40Unchanged'!I148)/100,2))*100</f>
        <v>9682.9562582542785</v>
      </c>
      <c r="F148">
        <f>Portfolio!B$5*'CurrentFact-N10,20,40Unchanged'!E148</f>
        <v>52143.895533915893</v>
      </c>
      <c r="G148">
        <f>Portfolio!B$6*'CurrentFact-N10,20,40Unchanged'!F148</f>
        <v>3696.2945087936532</v>
      </c>
      <c r="H148">
        <f>Portfolio!B$7*'CurrentFact-N10,20,40Unchanged'!J148</f>
        <v>2064.4550337304254</v>
      </c>
      <c r="I148">
        <f t="shared" si="4"/>
        <v>96511.394026183727</v>
      </c>
      <c r="J148">
        <f t="shared" si="5"/>
        <v>0.80174120028095786</v>
      </c>
    </row>
    <row r="149" spans="1:10">
      <c r="A149" s="1">
        <v>45678</v>
      </c>
      <c r="B149">
        <f>(3/(1+('CurrentFact-N10,20,40Unchanged'!C149)/100)+103/POWER(1+('CurrentFact-N10,20,40Unchanged'!D149)/100,2))*100</f>
        <v>9707.5857774288397</v>
      </c>
      <c r="C149">
        <f>(3/(1+('CurrentFact-N10,20,40Unchanged'!C149+'CurrentFact-N10,20,40Unchanged'!G149)/100)+103/POWER(1+('CurrentFact-N10,20,40Unchanged'!D149+'CurrentFact-N10,20,40Unchanged'!G149)/100,2))*100</f>
        <v>9614.9673582483465</v>
      </c>
      <c r="D149">
        <f>(3/(1+('CurrentFact-N10,20,40Unchanged'!C149+'CurrentFact-N10,20,40Unchanged'!H149)/100)+103/POWER(1+('CurrentFact-N10,20,40Unchanged'!D149+'CurrentFact-N10,20,40Unchanged'!H149)/100,2))*100</f>
        <v>9601.2395558122898</v>
      </c>
      <c r="E149">
        <f>(3/(1+('CurrentFact-N10,20,40Unchanged'!C149+'CurrentFact-N10,20,40Unchanged'!I149)/100)+103/POWER(1+('CurrentFact-N10,20,40Unchanged'!D149+'CurrentFact-N10,20,40Unchanged'!I149)/100,2))*100</f>
        <v>9681.1889185102937</v>
      </c>
      <c r="F149">
        <f>Portfolio!B$5*'CurrentFact-N10,20,40Unchanged'!E149</f>
        <v>52143.895533915893</v>
      </c>
      <c r="G149">
        <f>Portfolio!B$6*'CurrentFact-N10,20,40Unchanged'!F149</f>
        <v>3696.2945087936532</v>
      </c>
      <c r="H149">
        <f>Portfolio!B$7*'CurrentFact-N10,20,40Unchanged'!J149</f>
        <v>2064.4550337304254</v>
      </c>
      <c r="I149">
        <f t="shared" si="4"/>
        <v>96509.626686439733</v>
      </c>
      <c r="J149">
        <f t="shared" si="5"/>
        <v>2.5317278211587109</v>
      </c>
    </row>
    <row r="150" spans="1:10">
      <c r="A150" s="1">
        <v>45679</v>
      </c>
      <c r="B150">
        <f>(3/(1+('CurrentFact-N10,20,40Unchanged'!C150)/100)+103/POWER(1+('CurrentFact-N10,20,40Unchanged'!D150)/100,2))*100</f>
        <v>9707.5857774288397</v>
      </c>
      <c r="C150">
        <f>(3/(1+('CurrentFact-N10,20,40Unchanged'!C150+'CurrentFact-N10,20,40Unchanged'!G150)/100)+103/POWER(1+('CurrentFact-N10,20,40Unchanged'!D150+'CurrentFact-N10,20,40Unchanged'!G150)/100,2))*100</f>
        <v>9614.9673582483465</v>
      </c>
      <c r="D150">
        <f>(3/(1+('CurrentFact-N10,20,40Unchanged'!C150+'CurrentFact-N10,20,40Unchanged'!H150)/100)+103/POWER(1+('CurrentFact-N10,20,40Unchanged'!D150+'CurrentFact-N10,20,40Unchanged'!H150)/100,2))*100</f>
        <v>9601.2395558122898</v>
      </c>
      <c r="E150">
        <f>(3/(1+('CurrentFact-N10,20,40Unchanged'!C150+'CurrentFact-N10,20,40Unchanged'!I150)/100)+103/POWER(1+('CurrentFact-N10,20,40Unchanged'!D150+'CurrentFact-N10,20,40Unchanged'!I150)/100,2))*100</f>
        <v>9681.1160491018709</v>
      </c>
      <c r="F150">
        <f>Portfolio!B$5*'CurrentFact-N10,20,40Unchanged'!E150</f>
        <v>52143.895533915893</v>
      </c>
      <c r="G150">
        <f>Portfolio!B$6*'CurrentFact-N10,20,40Unchanged'!F150</f>
        <v>3696.2945087936532</v>
      </c>
      <c r="H150">
        <f>Portfolio!B$7*'CurrentFact-N10,20,40Unchanged'!J150</f>
        <v>2064.4550337304254</v>
      </c>
      <c r="I150">
        <f t="shared" si="4"/>
        <v>96509.553817031323</v>
      </c>
      <c r="J150">
        <f t="shared" si="5"/>
        <v>-0.21861071800231002</v>
      </c>
    </row>
    <row r="151" spans="1:10">
      <c r="A151" s="1">
        <v>45680</v>
      </c>
      <c r="B151">
        <f>(3/(1+('CurrentFact-N10,20,40Unchanged'!C151)/100)+103/POWER(1+('CurrentFact-N10,20,40Unchanged'!D151)/100,2))*100</f>
        <v>9707.5857774288397</v>
      </c>
      <c r="C151">
        <f>(3/(1+('CurrentFact-N10,20,40Unchanged'!C151+'CurrentFact-N10,20,40Unchanged'!G151)/100)+103/POWER(1+('CurrentFact-N10,20,40Unchanged'!D151+'CurrentFact-N10,20,40Unchanged'!G151)/100,2))*100</f>
        <v>9614.9673582483465</v>
      </c>
      <c r="D151">
        <f>(3/(1+('CurrentFact-N10,20,40Unchanged'!C151+'CurrentFact-N10,20,40Unchanged'!H151)/100)+103/POWER(1+('CurrentFact-N10,20,40Unchanged'!D151+'CurrentFact-N10,20,40Unchanged'!H151)/100,2))*100</f>
        <v>9601.2395558122898</v>
      </c>
      <c r="E151">
        <f>(3/(1+('CurrentFact-N10,20,40Unchanged'!C151+'CurrentFact-N10,20,40Unchanged'!I151)/100)+103/POWER(1+('CurrentFact-N10,20,40Unchanged'!D151+'CurrentFact-N10,20,40Unchanged'!I151)/100,2))*100</f>
        <v>9681.2253543947754</v>
      </c>
      <c r="F151">
        <f>Portfolio!B$5*'CurrentFact-N10,20,40Unchanged'!E151</f>
        <v>52143.895533915893</v>
      </c>
      <c r="G151">
        <f>Portfolio!B$6*'CurrentFact-N10,20,40Unchanged'!F151</f>
        <v>3696.2945087936532</v>
      </c>
      <c r="H151">
        <f>Portfolio!B$7*'CurrentFact-N10,20,40Unchanged'!J151</f>
        <v>2064.4550337304254</v>
      </c>
      <c r="I151">
        <f t="shared" si="4"/>
        <v>96509.663122324215</v>
      </c>
      <c r="J151">
        <f t="shared" si="5"/>
        <v>-0.78340265233418904</v>
      </c>
    </row>
    <row r="152" spans="1:10">
      <c r="A152" s="1">
        <v>45681</v>
      </c>
      <c r="B152">
        <f>(3/(1+('CurrentFact-N10,20,40Unchanged'!C152)/100)+103/POWER(1+('CurrentFact-N10,20,40Unchanged'!D152)/100,2))*100</f>
        <v>9707.5857774288397</v>
      </c>
      <c r="C152">
        <f>(3/(1+('CurrentFact-N10,20,40Unchanged'!C152+'CurrentFact-N10,20,40Unchanged'!G152)/100)+103/POWER(1+('CurrentFact-N10,20,40Unchanged'!D152+'CurrentFact-N10,20,40Unchanged'!G152)/100,2))*100</f>
        <v>9614.9673582483465</v>
      </c>
      <c r="D152">
        <f>(3/(1+('CurrentFact-N10,20,40Unchanged'!C152+'CurrentFact-N10,20,40Unchanged'!H152)/100)+103/POWER(1+('CurrentFact-N10,20,40Unchanged'!D152+'CurrentFact-N10,20,40Unchanged'!H152)/100,2))*100</f>
        <v>9601.2395558122898</v>
      </c>
      <c r="E152">
        <f>(3/(1+('CurrentFact-N10,20,40Unchanged'!C152+'CurrentFact-N10,20,40Unchanged'!I152)/100)+103/POWER(1+('CurrentFact-N10,20,40Unchanged'!D152+'CurrentFact-N10,20,40Unchanged'!I152)/100,2))*100</f>
        <v>9680.6788500996772</v>
      </c>
      <c r="F152">
        <f>Portfolio!B$5*'CurrentFact-N10,20,40Unchanged'!E152</f>
        <v>52143.895533915893</v>
      </c>
      <c r="G152">
        <f>Portfolio!B$6*'CurrentFact-N10,20,40Unchanged'!F152</f>
        <v>3696.2945087936532</v>
      </c>
      <c r="H152">
        <f>Portfolio!B$7*'CurrentFact-N10,20,40Unchanged'!J152</f>
        <v>2064.4550337304254</v>
      </c>
      <c r="I152">
        <f t="shared" si="4"/>
        <v>96509.116618029133</v>
      </c>
      <c r="J152">
        <f t="shared" si="5"/>
        <v>-0.91086587846803013</v>
      </c>
    </row>
    <row r="153" spans="1:10">
      <c r="A153" s="1">
        <v>45684</v>
      </c>
      <c r="B153">
        <f>(3/(1+('CurrentFact-N10,20,40Unchanged'!C153)/100)+103/POWER(1+('CurrentFact-N10,20,40Unchanged'!D153)/100,2))*100</f>
        <v>9707.5857774288397</v>
      </c>
      <c r="C153">
        <f>(3/(1+('CurrentFact-N10,20,40Unchanged'!C153+'CurrentFact-N10,20,40Unchanged'!G153)/100)+103/POWER(1+('CurrentFact-N10,20,40Unchanged'!D153+'CurrentFact-N10,20,40Unchanged'!G153)/100,2))*100</f>
        <v>9614.9673582483465</v>
      </c>
      <c r="D153">
        <f>(3/(1+('CurrentFact-N10,20,40Unchanged'!C153+'CurrentFact-N10,20,40Unchanged'!H153)/100)+103/POWER(1+('CurrentFact-N10,20,40Unchanged'!D153+'CurrentFact-N10,20,40Unchanged'!H153)/100,2))*100</f>
        <v>9601.2395558122898</v>
      </c>
      <c r="E153">
        <f>(3/(1+('CurrentFact-N10,20,40Unchanged'!C153+'CurrentFact-N10,20,40Unchanged'!I153)/100)+103/POWER(1+('CurrentFact-N10,20,40Unchanged'!D153+'CurrentFact-N10,20,40Unchanged'!I153)/100,2))*100</f>
        <v>9682.4824900929671</v>
      </c>
      <c r="F153">
        <f>Portfolio!B$5*'CurrentFact-N10,20,40Unchanged'!E153</f>
        <v>52143.895533915893</v>
      </c>
      <c r="G153">
        <f>Portfolio!B$6*'CurrentFact-N10,20,40Unchanged'!F153</f>
        <v>3696.2945087936532</v>
      </c>
      <c r="H153">
        <f>Portfolio!B$7*'CurrentFact-N10,20,40Unchanged'!J153</f>
        <v>2064.4550337304254</v>
      </c>
      <c r="I153">
        <f t="shared" si="4"/>
        <v>96510.920258022408</v>
      </c>
      <c r="J153">
        <f t="shared" si="5"/>
        <v>1.4393095686100423</v>
      </c>
    </row>
    <row r="154" spans="1:10">
      <c r="A154" s="1">
        <v>45685</v>
      </c>
      <c r="B154">
        <f>(3/(1+('CurrentFact-N10,20,40Unchanged'!C154)/100)+103/POWER(1+('CurrentFact-N10,20,40Unchanged'!D154)/100,2))*100</f>
        <v>9707.5857774288397</v>
      </c>
      <c r="C154">
        <f>(3/(1+('CurrentFact-N10,20,40Unchanged'!C154+'CurrentFact-N10,20,40Unchanged'!G154)/100)+103/POWER(1+('CurrentFact-N10,20,40Unchanged'!D154+'CurrentFact-N10,20,40Unchanged'!G154)/100,2))*100</f>
        <v>9614.9673582483465</v>
      </c>
      <c r="D154">
        <f>(3/(1+('CurrentFact-N10,20,40Unchanged'!C154+'CurrentFact-N10,20,40Unchanged'!H154)/100)+103/POWER(1+('CurrentFact-N10,20,40Unchanged'!D154+'CurrentFact-N10,20,40Unchanged'!H154)/100,2))*100</f>
        <v>9601.2395558122898</v>
      </c>
      <c r="E154">
        <f>(3/(1+('CurrentFact-N10,20,40Unchanged'!C154+'CurrentFact-N10,20,40Unchanged'!I154)/100)+103/POWER(1+('CurrentFact-N10,20,40Unchanged'!D154+'CurrentFact-N10,20,40Unchanged'!I154)/100,2))*100</f>
        <v>9681.2982250495716</v>
      </c>
      <c r="F154">
        <f>Portfolio!B$5*'CurrentFact-N10,20,40Unchanged'!E154</f>
        <v>52143.895533915893</v>
      </c>
      <c r="G154">
        <f>Portfolio!B$6*'CurrentFact-N10,20,40Unchanged'!F154</f>
        <v>3696.2945087936532</v>
      </c>
      <c r="H154">
        <f>Portfolio!B$7*'CurrentFact-N10,20,40Unchanged'!J154</f>
        <v>2064.4550337304254</v>
      </c>
      <c r="I154">
        <f t="shared" si="4"/>
        <v>96509.735992979025</v>
      </c>
      <c r="J154">
        <f t="shared" si="5"/>
        <v>-1.1842650433827657</v>
      </c>
    </row>
    <row r="155" spans="1:10">
      <c r="A155" s="1">
        <v>45686</v>
      </c>
      <c r="B155">
        <f>(3/(1+('CurrentFact-N10,20,40Unchanged'!C155)/100)+103/POWER(1+('CurrentFact-N10,20,40Unchanged'!D155)/100,2))*100</f>
        <v>9707.5857774288397</v>
      </c>
      <c r="C155">
        <f>(3/(1+('CurrentFact-N10,20,40Unchanged'!C155+'CurrentFact-N10,20,40Unchanged'!G155)/100)+103/POWER(1+('CurrentFact-N10,20,40Unchanged'!D155+'CurrentFact-N10,20,40Unchanged'!G155)/100,2))*100</f>
        <v>9614.9673582483465</v>
      </c>
      <c r="D155">
        <f>(3/(1+('CurrentFact-N10,20,40Unchanged'!C155+'CurrentFact-N10,20,40Unchanged'!H155)/100)+103/POWER(1+('CurrentFact-N10,20,40Unchanged'!D155+'CurrentFact-N10,20,40Unchanged'!H155)/100,2))*100</f>
        <v>9601.2395558122898</v>
      </c>
      <c r="E155">
        <f>(3/(1+('CurrentFact-N10,20,40Unchanged'!C155+'CurrentFact-N10,20,40Unchanged'!I155)/100)+103/POWER(1+('CurrentFact-N10,20,40Unchanged'!D155+'CurrentFact-N10,20,40Unchanged'!I155)/100,2))*100</f>
        <v>9681.2800068736287</v>
      </c>
      <c r="F155">
        <f>Portfolio!B$5*'CurrentFact-N10,20,40Unchanged'!E155</f>
        <v>52143.895533915893</v>
      </c>
      <c r="G155">
        <f>Portfolio!B$6*'CurrentFact-N10,20,40Unchanged'!F155</f>
        <v>3696.2945087936532</v>
      </c>
      <c r="H155">
        <f>Portfolio!B$7*'CurrentFact-N10,20,40Unchanged'!J155</f>
        <v>2064.4550337304254</v>
      </c>
      <c r="I155">
        <f t="shared" si="4"/>
        <v>96509.717774803081</v>
      </c>
      <c r="J155">
        <f t="shared" si="5"/>
        <v>-1.2207048233540263</v>
      </c>
    </row>
    <row r="156" spans="1:10">
      <c r="A156" s="1">
        <v>45687</v>
      </c>
      <c r="B156">
        <f>(3/(1+('CurrentFact-N10,20,40Unchanged'!C156)/100)+103/POWER(1+('CurrentFact-N10,20,40Unchanged'!D156)/100,2))*100</f>
        <v>9707.5857774288397</v>
      </c>
      <c r="C156">
        <f>(3/(1+('CurrentFact-N10,20,40Unchanged'!C156+'CurrentFact-N10,20,40Unchanged'!G156)/100)+103/POWER(1+('CurrentFact-N10,20,40Unchanged'!D156+'CurrentFact-N10,20,40Unchanged'!G156)/100,2))*100</f>
        <v>9614.9673582483465</v>
      </c>
      <c r="D156">
        <f>(3/(1+('CurrentFact-N10,20,40Unchanged'!C156+'CurrentFact-N10,20,40Unchanged'!H156)/100)+103/POWER(1+('CurrentFact-N10,20,40Unchanged'!D156+'CurrentFact-N10,20,40Unchanged'!H156)/100,2))*100</f>
        <v>9601.2395558122898</v>
      </c>
      <c r="E156">
        <f>(3/(1+('CurrentFact-N10,20,40Unchanged'!C156+'CurrentFact-N10,20,40Unchanged'!I156)/100)+103/POWER(1+('CurrentFact-N10,20,40Unchanged'!D156+'CurrentFact-N10,20,40Unchanged'!I156)/100,2))*100</f>
        <v>9681.4257502605342</v>
      </c>
      <c r="F156">
        <f>Portfolio!B$5*'CurrentFact-N10,20,40Unchanged'!E156</f>
        <v>52143.895533915893</v>
      </c>
      <c r="G156">
        <f>Portfolio!B$6*'CurrentFact-N10,20,40Unchanged'!F156</f>
        <v>3696.2945087936532</v>
      </c>
      <c r="H156">
        <f>Portfolio!B$7*'CurrentFact-N10,20,40Unchanged'!J156</f>
        <v>2064.4550337304254</v>
      </c>
      <c r="I156">
        <f t="shared" si="4"/>
        <v>96509.863518189988</v>
      </c>
      <c r="J156">
        <f t="shared" si="5"/>
        <v>-1.6398430256231222</v>
      </c>
    </row>
    <row r="157" spans="1:10">
      <c r="A157" s="1">
        <v>45688</v>
      </c>
      <c r="B157">
        <f>(3/(1+('CurrentFact-N10,20,40Unchanged'!C157)/100)+103/POWER(1+('CurrentFact-N10,20,40Unchanged'!D157)/100,2))*100</f>
        <v>9707.5857774288397</v>
      </c>
      <c r="C157">
        <f>(3/(1+('CurrentFact-N10,20,40Unchanged'!C157+'CurrentFact-N10,20,40Unchanged'!G157)/100)+103/POWER(1+('CurrentFact-N10,20,40Unchanged'!D157+'CurrentFact-N10,20,40Unchanged'!G157)/100,2))*100</f>
        <v>9614.9673582483465</v>
      </c>
      <c r="D157">
        <f>(3/(1+('CurrentFact-N10,20,40Unchanged'!C157+'CurrentFact-N10,20,40Unchanged'!H157)/100)+103/POWER(1+('CurrentFact-N10,20,40Unchanged'!D157+'CurrentFact-N10,20,40Unchanged'!H157)/100,2))*100</f>
        <v>9601.2395558122898</v>
      </c>
      <c r="E157">
        <f>(3/(1+('CurrentFact-N10,20,40Unchanged'!C157+'CurrentFact-N10,20,40Unchanged'!I157)/100)+103/POWER(1+('CurrentFact-N10,20,40Unchanged'!D157+'CurrentFact-N10,20,40Unchanged'!I157)/100,2))*100</f>
        <v>9682.3549437946931</v>
      </c>
      <c r="F157">
        <f>Portfolio!B$5*'CurrentFact-N10,20,40Unchanged'!E157</f>
        <v>52143.895533915893</v>
      </c>
      <c r="G157">
        <f>Portfolio!B$6*'CurrentFact-N10,20,40Unchanged'!F157</f>
        <v>3696.2945087936532</v>
      </c>
      <c r="H157">
        <f>Portfolio!B$7*'CurrentFact-N10,20,40Unchanged'!J157</f>
        <v>2064.4550337304254</v>
      </c>
      <c r="I157">
        <f t="shared" si="4"/>
        <v>96510.792711724149</v>
      </c>
      <c r="J157">
        <f t="shared" si="5"/>
        <v>3.6442324955714867E-2</v>
      </c>
    </row>
    <row r="158" spans="1:10">
      <c r="A158" s="1">
        <v>45691</v>
      </c>
      <c r="B158">
        <f>(3/(1+('CurrentFact-N10,20,40Unchanged'!C158)/100)+103/POWER(1+('CurrentFact-N10,20,40Unchanged'!D158)/100,2))*100</f>
        <v>9707.5857774288397</v>
      </c>
      <c r="C158">
        <f>(3/(1+('CurrentFact-N10,20,40Unchanged'!C158+'CurrentFact-N10,20,40Unchanged'!G158)/100)+103/POWER(1+('CurrentFact-N10,20,40Unchanged'!D158+'CurrentFact-N10,20,40Unchanged'!G158)/100,2))*100</f>
        <v>9614.9673582483465</v>
      </c>
      <c r="D158">
        <f>(3/(1+('CurrentFact-N10,20,40Unchanged'!C158+'CurrentFact-N10,20,40Unchanged'!H158)/100)+103/POWER(1+('CurrentFact-N10,20,40Unchanged'!D158+'CurrentFact-N10,20,40Unchanged'!H158)/100,2))*100</f>
        <v>9601.2395558122898</v>
      </c>
      <c r="E158">
        <f>(3/(1+('CurrentFact-N10,20,40Unchanged'!C158+'CurrentFact-N10,20,40Unchanged'!I158)/100)+103/POWER(1+('CurrentFact-N10,20,40Unchanged'!D158+'CurrentFact-N10,20,40Unchanged'!I158)/100,2))*100</f>
        <v>9683.739873105038</v>
      </c>
      <c r="F158">
        <f>Portfolio!B$5*'CurrentFact-N10,20,40Unchanged'!E158</f>
        <v>52143.895533915893</v>
      </c>
      <c r="G158">
        <f>Portfolio!B$6*'CurrentFact-N10,20,40Unchanged'!F158</f>
        <v>3696.2945087936532</v>
      </c>
      <c r="H158">
        <f>Portfolio!B$7*'CurrentFact-N10,20,40Unchanged'!J158</f>
        <v>2064.4550337304254</v>
      </c>
      <c r="I158">
        <f t="shared" si="4"/>
        <v>96512.177641034476</v>
      </c>
      <c r="J158">
        <f t="shared" si="5"/>
        <v>0.78361485074856319</v>
      </c>
    </row>
    <row r="159" spans="1:10">
      <c r="A159" s="1">
        <v>45692</v>
      </c>
      <c r="B159">
        <f>(3/(1+('CurrentFact-N10,20,40Unchanged'!C159)/100)+103/POWER(1+('CurrentFact-N10,20,40Unchanged'!D159)/100,2))*100</f>
        <v>9707.5857774288397</v>
      </c>
      <c r="C159">
        <f>(3/(1+('CurrentFact-N10,20,40Unchanged'!C159+'CurrentFact-N10,20,40Unchanged'!G159)/100)+103/POWER(1+('CurrentFact-N10,20,40Unchanged'!D159+'CurrentFact-N10,20,40Unchanged'!G159)/100,2))*100</f>
        <v>9614.9673582483465</v>
      </c>
      <c r="D159">
        <f>(3/(1+('CurrentFact-N10,20,40Unchanged'!C159+'CurrentFact-N10,20,40Unchanged'!H159)/100)+103/POWER(1+('CurrentFact-N10,20,40Unchanged'!D159+'CurrentFact-N10,20,40Unchanged'!H159)/100,2))*100</f>
        <v>9601.2395558122898</v>
      </c>
      <c r="E159">
        <f>(3/(1+('CurrentFact-N10,20,40Unchanged'!C159+'CurrentFact-N10,20,40Unchanged'!I159)/100)+103/POWER(1+('CurrentFact-N10,20,40Unchanged'!D159+'CurrentFact-N10,20,40Unchanged'!I159)/100,2))*100</f>
        <v>9683.5029573304655</v>
      </c>
      <c r="F159">
        <f>Portfolio!B$5*'CurrentFact-N10,20,40Unchanged'!E159</f>
        <v>52143.895533915893</v>
      </c>
      <c r="G159">
        <f>Portfolio!B$6*'CurrentFact-N10,20,40Unchanged'!F159</f>
        <v>3696.2945087936532</v>
      </c>
      <c r="H159">
        <f>Portfolio!B$7*'CurrentFact-N10,20,40Unchanged'!J159</f>
        <v>2064.4550337304254</v>
      </c>
      <c r="I159">
        <f t="shared" si="4"/>
        <v>96511.940725259919</v>
      </c>
      <c r="J159">
        <f t="shared" si="5"/>
        <v>2.3140388201863971</v>
      </c>
    </row>
    <row r="160" spans="1:10">
      <c r="A160" s="1">
        <v>45693</v>
      </c>
      <c r="B160">
        <f>(3/(1+('CurrentFact-N10,20,40Unchanged'!C160)/100)+103/POWER(1+('CurrentFact-N10,20,40Unchanged'!D160)/100,2))*100</f>
        <v>9707.5857774288397</v>
      </c>
      <c r="C160">
        <f>(3/(1+('CurrentFact-N10,20,40Unchanged'!C160+'CurrentFact-N10,20,40Unchanged'!G160)/100)+103/POWER(1+('CurrentFact-N10,20,40Unchanged'!D160+'CurrentFact-N10,20,40Unchanged'!G160)/100,2))*100</f>
        <v>9614.9673582483465</v>
      </c>
      <c r="D160">
        <f>(3/(1+('CurrentFact-N10,20,40Unchanged'!C160+'CurrentFact-N10,20,40Unchanged'!H160)/100)+103/POWER(1+('CurrentFact-N10,20,40Unchanged'!D160+'CurrentFact-N10,20,40Unchanged'!H160)/100,2))*100</f>
        <v>9601.2395558122898</v>
      </c>
      <c r="E160">
        <f>(3/(1+('CurrentFact-N10,20,40Unchanged'!C160+'CurrentFact-N10,20,40Unchanged'!I160)/100)+103/POWER(1+('CurrentFact-N10,20,40Unchanged'!D160+'CurrentFact-N10,20,40Unchanged'!I160)/100,2))*100</f>
        <v>9683.4118372809407</v>
      </c>
      <c r="F160">
        <f>Portfolio!B$5*'CurrentFact-N10,20,40Unchanged'!E160</f>
        <v>52143.895533915893</v>
      </c>
      <c r="G160">
        <f>Portfolio!B$6*'CurrentFact-N10,20,40Unchanged'!F160</f>
        <v>3696.2945087936532</v>
      </c>
      <c r="H160">
        <f>Portfolio!B$7*'CurrentFact-N10,20,40Unchanged'!J160</f>
        <v>2064.4550337304254</v>
      </c>
      <c r="I160">
        <f t="shared" si="4"/>
        <v>96511.849605210387</v>
      </c>
      <c r="J160">
        <f t="shared" si="5"/>
        <v>2.2957881790644024</v>
      </c>
    </row>
    <row r="161" spans="1:10">
      <c r="A161" s="1">
        <v>45694</v>
      </c>
      <c r="B161">
        <f>(3/(1+('CurrentFact-N10,20,40Unchanged'!C161)/100)+103/POWER(1+('CurrentFact-N10,20,40Unchanged'!D161)/100,2))*100</f>
        <v>9707.5857774288397</v>
      </c>
      <c r="C161">
        <f>(3/(1+('CurrentFact-N10,20,40Unchanged'!C161+'CurrentFact-N10,20,40Unchanged'!G161)/100)+103/POWER(1+('CurrentFact-N10,20,40Unchanged'!D161+'CurrentFact-N10,20,40Unchanged'!G161)/100,2))*100</f>
        <v>9614.9673582483465</v>
      </c>
      <c r="D161">
        <f>(3/(1+('CurrentFact-N10,20,40Unchanged'!C161+'CurrentFact-N10,20,40Unchanged'!H161)/100)+103/POWER(1+('CurrentFact-N10,20,40Unchanged'!D161+'CurrentFact-N10,20,40Unchanged'!H161)/100,2))*100</f>
        <v>9601.2395558122898</v>
      </c>
      <c r="E161">
        <f>(3/(1+('CurrentFact-N10,20,40Unchanged'!C161+'CurrentFact-N10,20,40Unchanged'!I161)/100)+103/POWER(1+('CurrentFact-N10,20,40Unchanged'!D161+'CurrentFact-N10,20,40Unchanged'!I161)/100,2))*100</f>
        <v>9684.2501876058432</v>
      </c>
      <c r="F161">
        <f>Portfolio!B$5*'CurrentFact-N10,20,40Unchanged'!E161</f>
        <v>52143.895533915893</v>
      </c>
      <c r="G161">
        <f>Portfolio!B$6*'CurrentFact-N10,20,40Unchanged'!F161</f>
        <v>3696.2945087936532</v>
      </c>
      <c r="H161">
        <f>Portfolio!B$7*'CurrentFact-N10,20,40Unchanged'!J161</f>
        <v>2064.4550337304254</v>
      </c>
      <c r="I161">
        <f t="shared" si="4"/>
        <v>96512.687955535293</v>
      </c>
      <c r="J161">
        <f t="shared" si="5"/>
        <v>3.0248332110786578</v>
      </c>
    </row>
    <row r="162" spans="1:10">
      <c r="A162" s="1">
        <v>45695</v>
      </c>
      <c r="B162">
        <f>(3/(1+('CurrentFact-N10,20,40Unchanged'!C162)/100)+103/POWER(1+('CurrentFact-N10,20,40Unchanged'!D162)/100,2))*100</f>
        <v>9707.5857774288397</v>
      </c>
      <c r="C162">
        <f>(3/(1+('CurrentFact-N10,20,40Unchanged'!C162+'CurrentFact-N10,20,40Unchanged'!G162)/100)+103/POWER(1+('CurrentFact-N10,20,40Unchanged'!D162+'CurrentFact-N10,20,40Unchanged'!G162)/100,2))*100</f>
        <v>9614.9673582483465</v>
      </c>
      <c r="D162">
        <f>(3/(1+('CurrentFact-N10,20,40Unchanged'!C162+'CurrentFact-N10,20,40Unchanged'!H162)/100)+103/POWER(1+('CurrentFact-N10,20,40Unchanged'!D162+'CurrentFact-N10,20,40Unchanged'!H162)/100,2))*100</f>
        <v>9601.2395558122898</v>
      </c>
      <c r="E162">
        <f>(3/(1+('CurrentFact-N10,20,40Unchanged'!C162+'CurrentFact-N10,20,40Unchanged'!I162)/100)+103/POWER(1+('CurrentFact-N10,20,40Unchanged'!D162+'CurrentFact-N10,20,40Unchanged'!I162)/100,2))*100</f>
        <v>9683.8309978308025</v>
      </c>
      <c r="F162">
        <f>Portfolio!B$5*'CurrentFact-N10,20,40Unchanged'!E162</f>
        <v>52143.895533915893</v>
      </c>
      <c r="G162">
        <f>Portfolio!B$6*'CurrentFact-N10,20,40Unchanged'!F162</f>
        <v>3696.2945087936532</v>
      </c>
      <c r="H162">
        <f>Portfolio!B$7*'CurrentFact-N10,20,40Unchanged'!J162</f>
        <v>2064.4550337304254</v>
      </c>
      <c r="I162">
        <f t="shared" si="4"/>
        <v>96512.268765760251</v>
      </c>
      <c r="J162">
        <f t="shared" si="5"/>
        <v>3.1521477311180206</v>
      </c>
    </row>
    <row r="163" spans="1:10">
      <c r="A163" s="1">
        <v>45698</v>
      </c>
      <c r="B163">
        <f>(3/(1+('CurrentFact-N10,20,40Unchanged'!C163)/100)+103/POWER(1+('CurrentFact-N10,20,40Unchanged'!D163)/100,2))*100</f>
        <v>9707.5857774288397</v>
      </c>
      <c r="C163">
        <f>(3/(1+('CurrentFact-N10,20,40Unchanged'!C163+'CurrentFact-N10,20,40Unchanged'!G163)/100)+103/POWER(1+('CurrentFact-N10,20,40Unchanged'!D163+'CurrentFact-N10,20,40Unchanged'!G163)/100,2))*100</f>
        <v>9614.9673582483465</v>
      </c>
      <c r="D163">
        <f>(3/(1+('CurrentFact-N10,20,40Unchanged'!C163+'CurrentFact-N10,20,40Unchanged'!H163)/100)+103/POWER(1+('CurrentFact-N10,20,40Unchanged'!D163+'CurrentFact-N10,20,40Unchanged'!H163)/100,2))*100</f>
        <v>9601.2395558122898</v>
      </c>
      <c r="E163">
        <f>(3/(1+('CurrentFact-N10,20,40Unchanged'!C163+'CurrentFact-N10,20,40Unchanged'!I163)/100)+103/POWER(1+('CurrentFact-N10,20,40Unchanged'!D163+'CurrentFact-N10,20,40Unchanged'!I163)/100,2))*100</f>
        <v>9681.4257502605342</v>
      </c>
      <c r="F163">
        <f>Portfolio!B$5*'CurrentFact-N10,20,40Unchanged'!E163</f>
        <v>52143.895533915893</v>
      </c>
      <c r="G163">
        <f>Portfolio!B$6*'CurrentFact-N10,20,40Unchanged'!F163</f>
        <v>3696.2945087936532</v>
      </c>
      <c r="H163">
        <f>Portfolio!B$7*'CurrentFact-N10,20,40Unchanged'!J163</f>
        <v>2064.4550337304254</v>
      </c>
      <c r="I163">
        <f t="shared" si="4"/>
        <v>96509.863518189988</v>
      </c>
      <c r="J163">
        <f t="shared" si="5"/>
        <v>-1.0567398324201349</v>
      </c>
    </row>
    <row r="164" spans="1:10">
      <c r="A164" s="1">
        <v>45699</v>
      </c>
      <c r="B164">
        <f>(3/(1+('CurrentFact-N10,20,40Unchanged'!C164)/100)+103/POWER(1+('CurrentFact-N10,20,40Unchanged'!D164)/100,2))*100</f>
        <v>9707.5857774288397</v>
      </c>
      <c r="C164">
        <f>(3/(1+('CurrentFact-N10,20,40Unchanged'!C164+'CurrentFact-N10,20,40Unchanged'!G164)/100)+103/POWER(1+('CurrentFact-N10,20,40Unchanged'!D164+'CurrentFact-N10,20,40Unchanged'!G164)/100,2))*100</f>
        <v>9614.9673582483465</v>
      </c>
      <c r="D164">
        <f>(3/(1+('CurrentFact-N10,20,40Unchanged'!C164+'CurrentFact-N10,20,40Unchanged'!H164)/100)+103/POWER(1+('CurrentFact-N10,20,40Unchanged'!D164+'CurrentFact-N10,20,40Unchanged'!H164)/100,2))*100</f>
        <v>9601.2395558122898</v>
      </c>
      <c r="E164">
        <f>(3/(1+('CurrentFact-N10,20,40Unchanged'!C164+'CurrentFact-N10,20,40Unchanged'!I164)/100)+103/POWER(1+('CurrentFact-N10,20,40Unchanged'!D164+'CurrentFact-N10,20,40Unchanged'!I164)/100,2))*100</f>
        <v>9677.7467427287811</v>
      </c>
      <c r="F164">
        <f>Portfolio!B$5*'CurrentFact-N10,20,40Unchanged'!E164</f>
        <v>52143.895533915893</v>
      </c>
      <c r="G164">
        <f>Portfolio!B$6*'CurrentFact-N10,20,40Unchanged'!F164</f>
        <v>3696.2945087936532</v>
      </c>
      <c r="H164">
        <f>Portfolio!B$7*'CurrentFact-N10,20,40Unchanged'!J164</f>
        <v>2064.4550337304254</v>
      </c>
      <c r="I164">
        <f t="shared" si="4"/>
        <v>96506.184510658233</v>
      </c>
      <c r="J164">
        <f t="shared" si="5"/>
        <v>-3.5514823207922745</v>
      </c>
    </row>
    <row r="165" spans="1:10">
      <c r="A165" s="1">
        <v>45700</v>
      </c>
      <c r="B165">
        <f>(3/(1+('CurrentFact-N10,20,40Unchanged'!C165)/100)+103/POWER(1+('CurrentFact-N10,20,40Unchanged'!D165)/100,2))*100</f>
        <v>9707.5857774288397</v>
      </c>
      <c r="C165">
        <f>(3/(1+('CurrentFact-N10,20,40Unchanged'!C165+'CurrentFact-N10,20,40Unchanged'!G165)/100)+103/POWER(1+('CurrentFact-N10,20,40Unchanged'!D165+'CurrentFact-N10,20,40Unchanged'!G165)/100,2))*100</f>
        <v>9614.9673582483465</v>
      </c>
      <c r="D165">
        <f>(3/(1+('CurrentFact-N10,20,40Unchanged'!C165+'CurrentFact-N10,20,40Unchanged'!H165)/100)+103/POWER(1+('CurrentFact-N10,20,40Unchanged'!D165+'CurrentFact-N10,20,40Unchanged'!H165)/100,2))*100</f>
        <v>9601.2395558122898</v>
      </c>
      <c r="E165">
        <f>(3/(1+('CurrentFact-N10,20,40Unchanged'!C165+'CurrentFact-N10,20,40Unchanged'!I165)/100)+103/POWER(1+('CurrentFact-N10,20,40Unchanged'!D165+'CurrentFact-N10,20,40Unchanged'!I165)/100,2))*100</f>
        <v>9678.3294139205445</v>
      </c>
      <c r="F165">
        <f>Portfolio!B$5*'CurrentFact-N10,20,40Unchanged'!E165</f>
        <v>52143.895533915893</v>
      </c>
      <c r="G165">
        <f>Portfolio!B$6*'CurrentFact-N10,20,40Unchanged'!F165</f>
        <v>3696.2945087936532</v>
      </c>
      <c r="H165">
        <f>Portfolio!B$7*'CurrentFact-N10,20,40Unchanged'!J165</f>
        <v>2064.4550337304254</v>
      </c>
      <c r="I165">
        <f t="shared" si="4"/>
        <v>96506.767181849995</v>
      </c>
      <c r="J165">
        <f t="shared" si="5"/>
        <v>-2.9505929530860158</v>
      </c>
    </row>
    <row r="166" spans="1:10">
      <c r="A166" s="1">
        <v>45701</v>
      </c>
      <c r="B166">
        <f>(3/(1+('CurrentFact-N10,20,40Unchanged'!C166)/100)+103/POWER(1+('CurrentFact-N10,20,40Unchanged'!D166)/100,2))*100</f>
        <v>9707.5857774288397</v>
      </c>
      <c r="C166">
        <f>(3/(1+('CurrentFact-N10,20,40Unchanged'!C166+'CurrentFact-N10,20,40Unchanged'!G166)/100)+103/POWER(1+('CurrentFact-N10,20,40Unchanged'!D166+'CurrentFact-N10,20,40Unchanged'!G166)/100,2))*100</f>
        <v>9614.9673582483465</v>
      </c>
      <c r="D166">
        <f>(3/(1+('CurrentFact-N10,20,40Unchanged'!C166+'CurrentFact-N10,20,40Unchanged'!H166)/100)+103/POWER(1+('CurrentFact-N10,20,40Unchanged'!D166+'CurrentFact-N10,20,40Unchanged'!H166)/100,2))*100</f>
        <v>9601.2395558122898</v>
      </c>
      <c r="E166">
        <f>(3/(1+('CurrentFact-N10,20,40Unchanged'!C166+'CurrentFact-N10,20,40Unchanged'!I166)/100)+103/POWER(1+('CurrentFact-N10,20,40Unchanged'!D166+'CurrentFact-N10,20,40Unchanged'!I166)/100,2))*100</f>
        <v>9679.8591821495302</v>
      </c>
      <c r="F166">
        <f>Portfolio!B$5*'CurrentFact-N10,20,40Unchanged'!E166</f>
        <v>52143.895533915893</v>
      </c>
      <c r="G166">
        <f>Portfolio!B$6*'CurrentFact-N10,20,40Unchanged'!F166</f>
        <v>3696.2945087936532</v>
      </c>
      <c r="H166">
        <f>Portfolio!B$7*'CurrentFact-N10,20,40Unchanged'!J166</f>
        <v>2064.4550337304254</v>
      </c>
      <c r="I166">
        <f t="shared" si="4"/>
        <v>96508.296950078977</v>
      </c>
      <c r="J166">
        <f t="shared" si="5"/>
        <v>-1.5665681110112928</v>
      </c>
    </row>
    <row r="167" spans="1:10">
      <c r="A167" s="1">
        <v>45702</v>
      </c>
      <c r="B167">
        <f>(3/(1+('CurrentFact-N10,20,40Unchanged'!C167)/100)+103/POWER(1+('CurrentFact-N10,20,40Unchanged'!D167)/100,2))*100</f>
        <v>9707.5857774288397</v>
      </c>
      <c r="C167">
        <f>(3/(1+('CurrentFact-N10,20,40Unchanged'!C167+'CurrentFact-N10,20,40Unchanged'!G167)/100)+103/POWER(1+('CurrentFact-N10,20,40Unchanged'!D167+'CurrentFact-N10,20,40Unchanged'!G167)/100,2))*100</f>
        <v>9614.9673582483465</v>
      </c>
      <c r="D167">
        <f>(3/(1+('CurrentFact-N10,20,40Unchanged'!C167+'CurrentFact-N10,20,40Unchanged'!H167)/100)+103/POWER(1+('CurrentFact-N10,20,40Unchanged'!D167+'CurrentFact-N10,20,40Unchanged'!H167)/100,2))*100</f>
        <v>9601.2395558122898</v>
      </c>
      <c r="E167">
        <f>(3/(1+('CurrentFact-N10,20,40Unchanged'!C167+'CurrentFact-N10,20,40Unchanged'!I167)/100)+103/POWER(1+('CurrentFact-N10,20,40Unchanged'!D167+'CurrentFact-N10,20,40Unchanged'!I167)/100,2))*100</f>
        <v>9680.2416810069553</v>
      </c>
      <c r="F167">
        <f>Portfolio!B$5*'CurrentFact-N10,20,40Unchanged'!E167</f>
        <v>52143.895533915893</v>
      </c>
      <c r="G167">
        <f>Portfolio!B$6*'CurrentFact-N10,20,40Unchanged'!F167</f>
        <v>3696.2945087936532</v>
      </c>
      <c r="H167">
        <f>Portfolio!B$7*'CurrentFact-N10,20,40Unchanged'!J167</f>
        <v>2064.4550337304254</v>
      </c>
      <c r="I167">
        <f t="shared" si="4"/>
        <v>96508.679448936397</v>
      </c>
      <c r="J167">
        <f t="shared" si="5"/>
        <v>-2.1132627877523191</v>
      </c>
    </row>
    <row r="168" spans="1:10">
      <c r="A168" s="1">
        <v>45705</v>
      </c>
      <c r="B168">
        <f>(3/(1+('CurrentFact-N10,20,40Unchanged'!C168)/100)+103/POWER(1+('CurrentFact-N10,20,40Unchanged'!D168)/100,2))*100</f>
        <v>9707.5857774288397</v>
      </c>
      <c r="C168">
        <f>(3/(1+('CurrentFact-N10,20,40Unchanged'!C168+'CurrentFact-N10,20,40Unchanged'!G168)/100)+103/POWER(1+('CurrentFact-N10,20,40Unchanged'!D168+'CurrentFact-N10,20,40Unchanged'!G168)/100,2))*100</f>
        <v>9614.9673582483465</v>
      </c>
      <c r="D168">
        <f>(3/(1+('CurrentFact-N10,20,40Unchanged'!C168+'CurrentFact-N10,20,40Unchanged'!H168)/100)+103/POWER(1+('CurrentFact-N10,20,40Unchanged'!D168+'CurrentFact-N10,20,40Unchanged'!H168)/100,2))*100</f>
        <v>9601.2395558122898</v>
      </c>
      <c r="E168">
        <f>(3/(1+('CurrentFact-N10,20,40Unchanged'!C168+'CurrentFact-N10,20,40Unchanged'!I168)/100)+103/POWER(1+('CurrentFact-N10,20,40Unchanged'!D168+'CurrentFact-N10,20,40Unchanged'!I168)/100,2))*100</f>
        <v>9675.9990479662356</v>
      </c>
      <c r="F168">
        <f>Portfolio!B$5*'CurrentFact-N10,20,40Unchanged'!E168</f>
        <v>52143.895533915893</v>
      </c>
      <c r="G168">
        <f>Portfolio!B$6*'CurrentFact-N10,20,40Unchanged'!F168</f>
        <v>3696.2945087936532</v>
      </c>
      <c r="H168">
        <f>Portfolio!B$7*'CurrentFact-N10,20,40Unchanged'!J168</f>
        <v>2064.4550337304254</v>
      </c>
      <c r="I168">
        <f t="shared" si="4"/>
        <v>96504.436815895693</v>
      </c>
      <c r="J168">
        <f t="shared" si="5"/>
        <v>-7.7408251387823839</v>
      </c>
    </row>
    <row r="169" spans="1:10">
      <c r="A169" s="1">
        <v>45706</v>
      </c>
      <c r="B169">
        <f>(3/(1+('CurrentFact-N10,20,40Unchanged'!C169)/100)+103/POWER(1+('CurrentFact-N10,20,40Unchanged'!D169)/100,2))*100</f>
        <v>9707.5857774288397</v>
      </c>
      <c r="C169">
        <f>(3/(1+('CurrentFact-N10,20,40Unchanged'!C169+'CurrentFact-N10,20,40Unchanged'!G169)/100)+103/POWER(1+('CurrentFact-N10,20,40Unchanged'!D169+'CurrentFact-N10,20,40Unchanged'!G169)/100,2))*100</f>
        <v>9614.9673582483465</v>
      </c>
      <c r="D169">
        <f>(3/(1+('CurrentFact-N10,20,40Unchanged'!C169+'CurrentFact-N10,20,40Unchanged'!H169)/100)+103/POWER(1+('CurrentFact-N10,20,40Unchanged'!D169+'CurrentFact-N10,20,40Unchanged'!H169)/100,2))*100</f>
        <v>9601.2395558122898</v>
      </c>
      <c r="E169">
        <f>(3/(1+('CurrentFact-N10,20,40Unchanged'!C169+'CurrentFact-N10,20,40Unchanged'!I169)/100)+103/POWER(1+('CurrentFact-N10,20,40Unchanged'!D169+'CurrentFact-N10,20,40Unchanged'!I169)/100,2))*100</f>
        <v>9672.5050890457296</v>
      </c>
      <c r="F169">
        <f>Portfolio!B$5*'CurrentFact-N10,20,40Unchanged'!E169</f>
        <v>52143.895533915893</v>
      </c>
      <c r="G169">
        <f>Portfolio!B$6*'CurrentFact-N10,20,40Unchanged'!F169</f>
        <v>3696.2945087936532</v>
      </c>
      <c r="H169">
        <f>Portfolio!B$7*'CurrentFact-N10,20,40Unchanged'!J169</f>
        <v>2064.4550337304254</v>
      </c>
      <c r="I169">
        <f t="shared" si="4"/>
        <v>96500.942856975176</v>
      </c>
      <c r="J169">
        <f t="shared" si="5"/>
        <v>-10.997868284743163</v>
      </c>
    </row>
    <row r="170" spans="1:10">
      <c r="A170" s="1">
        <v>45707</v>
      </c>
      <c r="B170">
        <f>(3/(1+('CurrentFact-N10,20,40Unchanged'!C170)/100)+103/POWER(1+('CurrentFact-N10,20,40Unchanged'!D170)/100,2))*100</f>
        <v>9707.5857774288397</v>
      </c>
      <c r="C170">
        <f>(3/(1+('CurrentFact-N10,20,40Unchanged'!C170+'CurrentFact-N10,20,40Unchanged'!G170)/100)+103/POWER(1+('CurrentFact-N10,20,40Unchanged'!D170+'CurrentFact-N10,20,40Unchanged'!G170)/100,2))*100</f>
        <v>9614.9673582483465</v>
      </c>
      <c r="D170">
        <f>(3/(1+('CurrentFact-N10,20,40Unchanged'!C170+'CurrentFact-N10,20,40Unchanged'!H170)/100)+103/POWER(1+('CurrentFact-N10,20,40Unchanged'!D170+'CurrentFact-N10,20,40Unchanged'!H170)/100,2))*100</f>
        <v>9601.2395558122898</v>
      </c>
      <c r="E170">
        <f>(3/(1+('CurrentFact-N10,20,40Unchanged'!C170+'CurrentFact-N10,20,40Unchanged'!I170)/100)+103/POWER(1+('CurrentFact-N10,20,40Unchanged'!D170+'CurrentFact-N10,20,40Unchanged'!I170)/100,2))*100</f>
        <v>9674.0152636029943</v>
      </c>
      <c r="F170">
        <f>Portfolio!B$5*'CurrentFact-N10,20,40Unchanged'!E170</f>
        <v>52143.895533915893</v>
      </c>
      <c r="G170">
        <f>Portfolio!B$6*'CurrentFact-N10,20,40Unchanged'!F170</f>
        <v>3696.2945087936532</v>
      </c>
      <c r="H170">
        <f>Portfolio!B$7*'CurrentFact-N10,20,40Unchanged'!J170</f>
        <v>2064.4550337304254</v>
      </c>
      <c r="I170">
        <f t="shared" si="4"/>
        <v>96502.453031532437</v>
      </c>
      <c r="J170">
        <f t="shared" si="5"/>
        <v>-9.396573677950073</v>
      </c>
    </row>
    <row r="171" spans="1:10">
      <c r="A171" s="1">
        <v>45708</v>
      </c>
      <c r="B171">
        <f>(3/(1+('CurrentFact-N10,20,40Unchanged'!C171)/100)+103/POWER(1+('CurrentFact-N10,20,40Unchanged'!D171)/100,2))*100</f>
        <v>9707.5857774288397</v>
      </c>
      <c r="C171">
        <f>(3/(1+('CurrentFact-N10,20,40Unchanged'!C171+'CurrentFact-N10,20,40Unchanged'!G171)/100)+103/POWER(1+('CurrentFact-N10,20,40Unchanged'!D171+'CurrentFact-N10,20,40Unchanged'!G171)/100,2))*100</f>
        <v>9614.9673582483465</v>
      </c>
      <c r="D171">
        <f>(3/(1+('CurrentFact-N10,20,40Unchanged'!C171+'CurrentFact-N10,20,40Unchanged'!H171)/100)+103/POWER(1+('CurrentFact-N10,20,40Unchanged'!D171+'CurrentFact-N10,20,40Unchanged'!H171)/100,2))*100</f>
        <v>9601.2395558122898</v>
      </c>
      <c r="E171">
        <f>(3/(1+('CurrentFact-N10,20,40Unchanged'!C171+'CurrentFact-N10,20,40Unchanged'!I171)/100)+103/POWER(1+('CurrentFact-N10,20,40Unchanged'!D171+'CurrentFact-N10,20,40Unchanged'!I171)/100,2))*100</f>
        <v>9674.3610174584901</v>
      </c>
      <c r="F171">
        <f>Portfolio!B$5*'CurrentFact-N10,20,40Unchanged'!E171</f>
        <v>52143.895533915893</v>
      </c>
      <c r="G171">
        <f>Portfolio!B$6*'CurrentFact-N10,20,40Unchanged'!F171</f>
        <v>3696.2945087936532</v>
      </c>
      <c r="H171">
        <f>Portfolio!B$7*'CurrentFact-N10,20,40Unchanged'!J171</f>
        <v>2064.4550337304254</v>
      </c>
      <c r="I171">
        <f t="shared" si="4"/>
        <v>96502.798785387946</v>
      </c>
      <c r="J171">
        <f t="shared" si="5"/>
        <v>-9.8891701473476132</v>
      </c>
    </row>
    <row r="172" spans="1:10">
      <c r="A172" s="1">
        <v>45709</v>
      </c>
      <c r="B172">
        <f>(3/(1+('CurrentFact-N10,20,40Unchanged'!C172)/100)+103/POWER(1+('CurrentFact-N10,20,40Unchanged'!D172)/100,2))*100</f>
        <v>9707.5857774288397</v>
      </c>
      <c r="C172">
        <f>(3/(1+('CurrentFact-N10,20,40Unchanged'!C172+'CurrentFact-N10,20,40Unchanged'!G172)/100)+103/POWER(1+('CurrentFact-N10,20,40Unchanged'!D172+'CurrentFact-N10,20,40Unchanged'!G172)/100,2))*100</f>
        <v>9614.9673582483465</v>
      </c>
      <c r="D172">
        <f>(3/(1+('CurrentFact-N10,20,40Unchanged'!C172+'CurrentFact-N10,20,40Unchanged'!H172)/100)+103/POWER(1+('CurrentFact-N10,20,40Unchanged'!D172+'CurrentFact-N10,20,40Unchanged'!H172)/100,2))*100</f>
        <v>9601.2395558122898</v>
      </c>
      <c r="E172">
        <f>(3/(1+('CurrentFact-N10,20,40Unchanged'!C172+'CurrentFact-N10,20,40Unchanged'!I172)/100)+103/POWER(1+('CurrentFact-N10,20,40Unchanged'!D172+'CurrentFact-N10,20,40Unchanged'!I172)/100,2))*100</f>
        <v>9674.7431854966417</v>
      </c>
      <c r="F172">
        <f>Portfolio!B$5*'CurrentFact-N10,20,40Unchanged'!E172</f>
        <v>52143.895533915893</v>
      </c>
      <c r="G172">
        <f>Portfolio!B$6*'CurrentFact-N10,20,40Unchanged'!F172</f>
        <v>3696.2945087936532</v>
      </c>
      <c r="H172">
        <f>Portfolio!B$7*'CurrentFact-N10,20,40Unchanged'!J172</f>
        <v>2064.4550337304254</v>
      </c>
      <c r="I172">
        <f t="shared" si="4"/>
        <v>96503.180953426083</v>
      </c>
      <c r="J172">
        <f t="shared" si="5"/>
        <v>-9.0878123341681203</v>
      </c>
    </row>
    <row r="173" spans="1:10">
      <c r="A173" s="1">
        <v>45712</v>
      </c>
      <c r="B173">
        <f>(3/(1+('CurrentFact-N10,20,40Unchanged'!C173)/100)+103/POWER(1+('CurrentFact-N10,20,40Unchanged'!D173)/100,2))*100</f>
        <v>9707.5857774288397</v>
      </c>
      <c r="C173">
        <f>(3/(1+('CurrentFact-N10,20,40Unchanged'!C173+'CurrentFact-N10,20,40Unchanged'!G173)/100)+103/POWER(1+('CurrentFact-N10,20,40Unchanged'!D173+'CurrentFact-N10,20,40Unchanged'!G173)/100,2))*100</f>
        <v>9614.9673582483465</v>
      </c>
      <c r="D173">
        <f>(3/(1+('CurrentFact-N10,20,40Unchanged'!C173+'CurrentFact-N10,20,40Unchanged'!H173)/100)+103/POWER(1+('CurrentFact-N10,20,40Unchanged'!D173+'CurrentFact-N10,20,40Unchanged'!H173)/100,2))*100</f>
        <v>9601.2395558122898</v>
      </c>
      <c r="E173">
        <f>(3/(1+('CurrentFact-N10,20,40Unchanged'!C173+'CurrentFact-N10,20,40Unchanged'!I173)/100)+103/POWER(1+('CurrentFact-N10,20,40Unchanged'!D173+'CurrentFact-N10,20,40Unchanged'!I173)/100,2))*100</f>
        <v>9678.9485628995772</v>
      </c>
      <c r="F173">
        <f>Portfolio!B$5*'CurrentFact-N10,20,40Unchanged'!E173</f>
        <v>52143.895533915893</v>
      </c>
      <c r="G173">
        <f>Portfolio!B$6*'CurrentFact-N10,20,40Unchanged'!F173</f>
        <v>3696.2945087936532</v>
      </c>
      <c r="H173">
        <f>Portfolio!B$7*'CurrentFact-N10,20,40Unchanged'!J173</f>
        <v>2064.4550337304254</v>
      </c>
      <c r="I173">
        <f t="shared" si="4"/>
        <v>96507.386330829031</v>
      </c>
      <c r="J173">
        <f t="shared" si="5"/>
        <v>-2.4771873609570321</v>
      </c>
    </row>
    <row r="174" spans="1:10">
      <c r="A174" s="1">
        <v>45713</v>
      </c>
      <c r="B174">
        <f>(3/(1+('CurrentFact-N10,20,40Unchanged'!C174)/100)+103/POWER(1+('CurrentFact-N10,20,40Unchanged'!D174)/100,2))*100</f>
        <v>9707.5857774288397</v>
      </c>
      <c r="C174">
        <f>(3/(1+('CurrentFact-N10,20,40Unchanged'!C174+'CurrentFact-N10,20,40Unchanged'!G174)/100)+103/POWER(1+('CurrentFact-N10,20,40Unchanged'!D174+'CurrentFact-N10,20,40Unchanged'!G174)/100,2))*100</f>
        <v>9614.9673582483465</v>
      </c>
      <c r="D174">
        <f>(3/(1+('CurrentFact-N10,20,40Unchanged'!C174+'CurrentFact-N10,20,40Unchanged'!H174)/100)+103/POWER(1+('CurrentFact-N10,20,40Unchanged'!D174+'CurrentFact-N10,20,40Unchanged'!H174)/100,2))*100</f>
        <v>9601.2395558122898</v>
      </c>
      <c r="E174">
        <f>(3/(1+('CurrentFact-N10,20,40Unchanged'!C174+'CurrentFact-N10,20,40Unchanged'!I174)/100)+103/POWER(1+('CurrentFact-N10,20,40Unchanged'!D174+'CurrentFact-N10,20,40Unchanged'!I174)/100,2))*100</f>
        <v>9678.4386715537785</v>
      </c>
      <c r="F174">
        <f>Portfolio!B$5*'CurrentFact-N10,20,40Unchanged'!E174</f>
        <v>52143.895533915893</v>
      </c>
      <c r="G174">
        <f>Portfolio!B$6*'CurrentFact-N10,20,40Unchanged'!F174</f>
        <v>3696.2945087936532</v>
      </c>
      <c r="H174">
        <f>Portfolio!B$7*'CurrentFact-N10,20,40Unchanged'!J174</f>
        <v>2064.4550337304254</v>
      </c>
      <c r="I174">
        <f t="shared" si="4"/>
        <v>96506.876439483225</v>
      </c>
      <c r="J174">
        <f t="shared" si="5"/>
        <v>0.6919288249919191</v>
      </c>
    </row>
    <row r="175" spans="1:10">
      <c r="A175" s="1">
        <v>45714</v>
      </c>
      <c r="B175">
        <f>(3/(1+('CurrentFact-N10,20,40Unchanged'!C175)/100)+103/POWER(1+('CurrentFact-N10,20,40Unchanged'!D175)/100,2))*100</f>
        <v>9707.5857774288397</v>
      </c>
      <c r="C175">
        <f>(3/(1+('CurrentFact-N10,20,40Unchanged'!C175+'CurrentFact-N10,20,40Unchanged'!G175)/100)+103/POWER(1+('CurrentFact-N10,20,40Unchanged'!D175+'CurrentFact-N10,20,40Unchanged'!G175)/100,2))*100</f>
        <v>9614.9673582483465</v>
      </c>
      <c r="D175">
        <f>(3/(1+('CurrentFact-N10,20,40Unchanged'!C175+'CurrentFact-N10,20,40Unchanged'!H175)/100)+103/POWER(1+('CurrentFact-N10,20,40Unchanged'!D175+'CurrentFact-N10,20,40Unchanged'!H175)/100,2))*100</f>
        <v>9601.2395558122898</v>
      </c>
      <c r="E175">
        <f>(3/(1+('CurrentFact-N10,20,40Unchanged'!C175+'CurrentFact-N10,20,40Unchanged'!I175)/100)+103/POWER(1+('CurrentFact-N10,20,40Unchanged'!D175+'CurrentFact-N10,20,40Unchanged'!I175)/100,2))*100</f>
        <v>9679.5313437128316</v>
      </c>
      <c r="F175">
        <f>Portfolio!B$5*'CurrentFact-N10,20,40Unchanged'!E175</f>
        <v>52143.895533915893</v>
      </c>
      <c r="G175">
        <f>Portfolio!B$6*'CurrentFact-N10,20,40Unchanged'!F175</f>
        <v>3696.2945087936532</v>
      </c>
      <c r="H175">
        <f>Portfolio!B$7*'CurrentFact-N10,20,40Unchanged'!J175</f>
        <v>2064.4550337304254</v>
      </c>
      <c r="I175">
        <f t="shared" si="4"/>
        <v>96507.969111642276</v>
      </c>
      <c r="J175">
        <f t="shared" si="5"/>
        <v>1.2019297922815895</v>
      </c>
    </row>
    <row r="176" spans="1:10">
      <c r="A176" s="1">
        <v>45715</v>
      </c>
      <c r="B176">
        <f>(3/(1+('CurrentFact-N10,20,40Unchanged'!C176)/100)+103/POWER(1+('CurrentFact-N10,20,40Unchanged'!D176)/100,2))*100</f>
        <v>9707.5857774288397</v>
      </c>
      <c r="C176">
        <f>(3/(1+('CurrentFact-N10,20,40Unchanged'!C176+'CurrentFact-N10,20,40Unchanged'!G176)/100)+103/POWER(1+('CurrentFact-N10,20,40Unchanged'!D176+'CurrentFact-N10,20,40Unchanged'!G176)/100,2))*100</f>
        <v>9614.9673582483465</v>
      </c>
      <c r="D176">
        <f>(3/(1+('CurrentFact-N10,20,40Unchanged'!C176+'CurrentFact-N10,20,40Unchanged'!H176)/100)+103/POWER(1+('CurrentFact-N10,20,40Unchanged'!D176+'CurrentFact-N10,20,40Unchanged'!H176)/100,2))*100</f>
        <v>9601.2395558122898</v>
      </c>
      <c r="E176">
        <f>(3/(1+('CurrentFact-N10,20,40Unchanged'!C176+'CurrentFact-N10,20,40Unchanged'!I176)/100)+103/POWER(1+('CurrentFact-N10,20,40Unchanged'!D176+'CurrentFact-N10,20,40Unchanged'!I176)/100,2))*100</f>
        <v>9680.1506074427598</v>
      </c>
      <c r="F176">
        <f>Portfolio!B$5*'CurrentFact-N10,20,40Unchanged'!E176</f>
        <v>52143.895533915893</v>
      </c>
      <c r="G176">
        <f>Portfolio!B$6*'CurrentFact-N10,20,40Unchanged'!F176</f>
        <v>3696.2945087936532</v>
      </c>
      <c r="H176">
        <f>Portfolio!B$7*'CurrentFact-N10,20,40Unchanged'!J176</f>
        <v>2064.4550337304254</v>
      </c>
      <c r="I176">
        <f t="shared" si="4"/>
        <v>96508.588375372201</v>
      </c>
      <c r="J176">
        <f t="shared" si="5"/>
        <v>0.29142529322416522</v>
      </c>
    </row>
    <row r="177" spans="1:10">
      <c r="A177" s="1">
        <v>45716</v>
      </c>
      <c r="B177">
        <f>(3/(1+('CurrentFact-N10,20,40Unchanged'!C177)/100)+103/POWER(1+('CurrentFact-N10,20,40Unchanged'!D177)/100,2))*100</f>
        <v>9707.5857774288397</v>
      </c>
      <c r="C177">
        <f>(3/(1+('CurrentFact-N10,20,40Unchanged'!C177+'CurrentFact-N10,20,40Unchanged'!G177)/100)+103/POWER(1+('CurrentFact-N10,20,40Unchanged'!D177+'CurrentFact-N10,20,40Unchanged'!G177)/100,2))*100</f>
        <v>9614.9673582483465</v>
      </c>
      <c r="D177">
        <f>(3/(1+('CurrentFact-N10,20,40Unchanged'!C177+'CurrentFact-N10,20,40Unchanged'!H177)/100)+103/POWER(1+('CurrentFact-N10,20,40Unchanged'!D177+'CurrentFact-N10,20,40Unchanged'!H177)/100,2))*100</f>
        <v>9601.2395558122898</v>
      </c>
      <c r="E177">
        <f>(3/(1+('CurrentFact-N10,20,40Unchanged'!C177+'CurrentFact-N10,20,40Unchanged'!I177)/100)+103/POWER(1+('CurrentFact-N10,20,40Unchanged'!D177+'CurrentFact-N10,20,40Unchanged'!I177)/100,2))*100</f>
        <v>9680.8063629512781</v>
      </c>
      <c r="F177">
        <f>Portfolio!B$5*'CurrentFact-N10,20,40Unchanged'!E177</f>
        <v>52143.895533915893</v>
      </c>
      <c r="G177">
        <f>Portfolio!B$6*'CurrentFact-N10,20,40Unchanged'!F177</f>
        <v>3696.2945087936532</v>
      </c>
      <c r="H177">
        <f>Portfolio!B$7*'CurrentFact-N10,20,40Unchanged'!J177</f>
        <v>2064.4550337304254</v>
      </c>
      <c r="I177">
        <f t="shared" si="4"/>
        <v>96509.244130880717</v>
      </c>
      <c r="J177">
        <f t="shared" si="5"/>
        <v>0.56468194432090968</v>
      </c>
    </row>
    <row r="178" spans="1:10">
      <c r="A178" s="1">
        <v>45719</v>
      </c>
      <c r="B178">
        <f>(3/(1+('CurrentFact-N10,20,40Unchanged'!C178)/100)+103/POWER(1+('CurrentFact-N10,20,40Unchanged'!D178)/100,2))*100</f>
        <v>9707.5857774288397</v>
      </c>
      <c r="C178">
        <f>(3/(1+('CurrentFact-N10,20,40Unchanged'!C178+'CurrentFact-N10,20,40Unchanged'!G178)/100)+103/POWER(1+('CurrentFact-N10,20,40Unchanged'!D178+'CurrentFact-N10,20,40Unchanged'!G178)/100,2))*100</f>
        <v>9614.9673582483465</v>
      </c>
      <c r="D178">
        <f>(3/(1+('CurrentFact-N10,20,40Unchanged'!C178+'CurrentFact-N10,20,40Unchanged'!H178)/100)+103/POWER(1+('CurrentFact-N10,20,40Unchanged'!D178+'CurrentFact-N10,20,40Unchanged'!H178)/100,2))*100</f>
        <v>9601.2395558122898</v>
      </c>
      <c r="E178">
        <f>(3/(1+('CurrentFact-N10,20,40Unchanged'!C178+'CurrentFact-N10,20,40Unchanged'!I178)/100)+103/POWER(1+('CurrentFact-N10,20,40Unchanged'!D178+'CurrentFact-N10,20,40Unchanged'!I178)/100,2))*100</f>
        <v>9680.788146177485</v>
      </c>
      <c r="F178">
        <f>Portfolio!B$5*'CurrentFact-N10,20,40Unchanged'!E178</f>
        <v>52143.895533915893</v>
      </c>
      <c r="G178">
        <f>Portfolio!B$6*'CurrentFact-N10,20,40Unchanged'!F178</f>
        <v>3696.2945087936532</v>
      </c>
      <c r="H178">
        <f>Portfolio!B$7*'CurrentFact-N10,20,40Unchanged'!J178</f>
        <v>2064.4550337304254</v>
      </c>
      <c r="I178">
        <f t="shared" si="4"/>
        <v>96509.225914106937</v>
      </c>
      <c r="J178">
        <f t="shared" si="5"/>
        <v>4.7890982112439815</v>
      </c>
    </row>
    <row r="179" spans="1:10">
      <c r="A179" s="1">
        <v>45720</v>
      </c>
      <c r="B179">
        <f>(3/(1+('CurrentFact-N10,20,40Unchanged'!C179)/100)+103/POWER(1+('CurrentFact-N10,20,40Unchanged'!D179)/100,2))*100</f>
        <v>9707.5857774288397</v>
      </c>
      <c r="C179">
        <f>(3/(1+('CurrentFact-N10,20,40Unchanged'!C179+'CurrentFact-N10,20,40Unchanged'!G179)/100)+103/POWER(1+('CurrentFact-N10,20,40Unchanged'!D179+'CurrentFact-N10,20,40Unchanged'!G179)/100,2))*100</f>
        <v>9614.9673582483465</v>
      </c>
      <c r="D179">
        <f>(3/(1+('CurrentFact-N10,20,40Unchanged'!C179+'CurrentFact-N10,20,40Unchanged'!H179)/100)+103/POWER(1+('CurrentFact-N10,20,40Unchanged'!D179+'CurrentFact-N10,20,40Unchanged'!H179)/100,2))*100</f>
        <v>9601.2395558122898</v>
      </c>
      <c r="E179">
        <f>(3/(1+('CurrentFact-N10,20,40Unchanged'!C179+'CurrentFact-N10,20,40Unchanged'!I179)/100)+103/POWER(1+('CurrentFact-N10,20,40Unchanged'!D179+'CurrentFact-N10,20,40Unchanged'!I179)/100,2))*100</f>
        <v>9682.9562582542785</v>
      </c>
      <c r="F179">
        <f>Portfolio!B$5*'CurrentFact-N10,20,40Unchanged'!E179</f>
        <v>52143.895533915893</v>
      </c>
      <c r="G179">
        <f>Portfolio!B$6*'CurrentFact-N10,20,40Unchanged'!F179</f>
        <v>3696.2945087936532</v>
      </c>
      <c r="H179">
        <f>Portfolio!B$7*'CurrentFact-N10,20,40Unchanged'!J179</f>
        <v>2064.4550337304254</v>
      </c>
      <c r="I179">
        <f t="shared" si="4"/>
        <v>96511.394026183727</v>
      </c>
      <c r="J179">
        <f t="shared" si="5"/>
        <v>10.451169208550709</v>
      </c>
    </row>
    <row r="180" spans="1:10">
      <c r="A180" s="1">
        <v>45721</v>
      </c>
      <c r="B180">
        <f>(3/(1+('CurrentFact-N10,20,40Unchanged'!C180)/100)+103/POWER(1+('CurrentFact-N10,20,40Unchanged'!D180)/100,2))*100</f>
        <v>9707.5857774288397</v>
      </c>
      <c r="C180">
        <f>(3/(1+('CurrentFact-N10,20,40Unchanged'!C180+'CurrentFact-N10,20,40Unchanged'!G180)/100)+103/POWER(1+('CurrentFact-N10,20,40Unchanged'!D180+'CurrentFact-N10,20,40Unchanged'!G180)/100,2))*100</f>
        <v>9614.9673582483465</v>
      </c>
      <c r="D180">
        <f>(3/(1+('CurrentFact-N10,20,40Unchanged'!C180+'CurrentFact-N10,20,40Unchanged'!H180)/100)+103/POWER(1+('CurrentFact-N10,20,40Unchanged'!D180+'CurrentFact-N10,20,40Unchanged'!H180)/100,2))*100</f>
        <v>9601.2395558122898</v>
      </c>
      <c r="E180">
        <f>(3/(1+('CurrentFact-N10,20,40Unchanged'!C180+'CurrentFact-N10,20,40Unchanged'!I180)/100)+103/POWER(1+('CurrentFact-N10,20,40Unchanged'!D180+'CurrentFact-N10,20,40Unchanged'!I180)/100,2))*100</f>
        <v>9682.9562582542785</v>
      </c>
      <c r="F180">
        <f>Portfolio!B$5*'CurrentFact-N10,20,40Unchanged'!E180</f>
        <v>52143.895533915893</v>
      </c>
      <c r="G180">
        <f>Portfolio!B$6*'CurrentFact-N10,20,40Unchanged'!F180</f>
        <v>3696.2945087936532</v>
      </c>
      <c r="H180">
        <f>Portfolio!B$7*'CurrentFact-N10,20,40Unchanged'!J180</f>
        <v>2064.4550337304254</v>
      </c>
      <c r="I180">
        <f t="shared" si="4"/>
        <v>96511.394026183727</v>
      </c>
      <c r="J180">
        <f t="shared" si="5"/>
        <v>8.9409946512896568</v>
      </c>
    </row>
    <row r="181" spans="1:10">
      <c r="A181" s="1">
        <v>45722</v>
      </c>
      <c r="B181">
        <f>(3/(1+('CurrentFact-N10,20,40Unchanged'!C181)/100)+103/POWER(1+('CurrentFact-N10,20,40Unchanged'!D181)/100,2))*100</f>
        <v>9707.5857774288397</v>
      </c>
      <c r="C181">
        <f>(3/(1+('CurrentFact-N10,20,40Unchanged'!C181+'CurrentFact-N10,20,40Unchanged'!G181)/100)+103/POWER(1+('CurrentFact-N10,20,40Unchanged'!D181+'CurrentFact-N10,20,40Unchanged'!G181)/100,2))*100</f>
        <v>9614.9673582483465</v>
      </c>
      <c r="D181">
        <f>(3/(1+('CurrentFact-N10,20,40Unchanged'!C181+'CurrentFact-N10,20,40Unchanged'!H181)/100)+103/POWER(1+('CurrentFact-N10,20,40Unchanged'!D181+'CurrentFact-N10,20,40Unchanged'!H181)/100,2))*100</f>
        <v>9601.2395558122898</v>
      </c>
      <c r="E181">
        <f>(3/(1+('CurrentFact-N10,20,40Unchanged'!C181+'CurrentFact-N10,20,40Unchanged'!I181)/100)+103/POWER(1+('CurrentFact-N10,20,40Unchanged'!D181+'CurrentFact-N10,20,40Unchanged'!I181)/100,2))*100</f>
        <v>9683.4300615345237</v>
      </c>
      <c r="F181">
        <f>Portfolio!B$5*'CurrentFact-N10,20,40Unchanged'!E181</f>
        <v>52143.895533915893</v>
      </c>
      <c r="G181">
        <f>Portfolio!B$6*'CurrentFact-N10,20,40Unchanged'!F181</f>
        <v>3696.2945087936532</v>
      </c>
      <c r="H181">
        <f>Portfolio!B$7*'CurrentFact-N10,20,40Unchanged'!J181</f>
        <v>2064.4550337304254</v>
      </c>
      <c r="I181">
        <f t="shared" si="4"/>
        <v>96511.867829463969</v>
      </c>
      <c r="J181">
        <f t="shared" si="5"/>
        <v>9.069044076022692</v>
      </c>
    </row>
    <row r="182" spans="1:10">
      <c r="A182" s="1">
        <v>45723</v>
      </c>
      <c r="B182">
        <f>(3/(1+('CurrentFact-N10,20,40Unchanged'!C182)/100)+103/POWER(1+('CurrentFact-N10,20,40Unchanged'!D182)/100,2))*100</f>
        <v>9707.5857774288397</v>
      </c>
      <c r="C182">
        <f>(3/(1+('CurrentFact-N10,20,40Unchanged'!C182+'CurrentFact-N10,20,40Unchanged'!G182)/100)+103/POWER(1+('CurrentFact-N10,20,40Unchanged'!D182+'CurrentFact-N10,20,40Unchanged'!G182)/100,2))*100</f>
        <v>9614.9673582483465</v>
      </c>
      <c r="D182">
        <f>(3/(1+('CurrentFact-N10,20,40Unchanged'!C182+'CurrentFact-N10,20,40Unchanged'!H182)/100)+103/POWER(1+('CurrentFact-N10,20,40Unchanged'!D182+'CurrentFact-N10,20,40Unchanged'!H182)/100,2))*100</f>
        <v>9601.2395558122898</v>
      </c>
      <c r="E182">
        <f>(3/(1+('CurrentFact-N10,20,40Unchanged'!C182+'CurrentFact-N10,20,40Unchanged'!I182)/100)+103/POWER(1+('CurrentFact-N10,20,40Unchanged'!D182+'CurrentFact-N10,20,40Unchanged'!I182)/100,2))*100</f>
        <v>9683.8492232794542</v>
      </c>
      <c r="F182">
        <f>Portfolio!B$5*'CurrentFact-N10,20,40Unchanged'!E182</f>
        <v>52143.895533915893</v>
      </c>
      <c r="G182">
        <f>Portfolio!B$6*'CurrentFact-N10,20,40Unchanged'!F182</f>
        <v>3696.2945087936532</v>
      </c>
      <c r="H182">
        <f>Portfolio!B$7*'CurrentFact-N10,20,40Unchanged'!J182</f>
        <v>2064.4550337304254</v>
      </c>
      <c r="I182">
        <f t="shared" si="4"/>
        <v>96512.286991208908</v>
      </c>
      <c r="J182">
        <f t="shared" si="5"/>
        <v>9.1060377828252967</v>
      </c>
    </row>
    <row r="183" spans="1:10">
      <c r="A183" s="1">
        <v>45726</v>
      </c>
      <c r="B183">
        <f>(3/(1+('CurrentFact-N10,20,40Unchanged'!C183)/100)+103/POWER(1+('CurrentFact-N10,20,40Unchanged'!D183)/100,2))*100</f>
        <v>9707.5857774288397</v>
      </c>
      <c r="C183">
        <f>(3/(1+('CurrentFact-N10,20,40Unchanged'!C183+'CurrentFact-N10,20,40Unchanged'!G183)/100)+103/POWER(1+('CurrentFact-N10,20,40Unchanged'!D183+'CurrentFact-N10,20,40Unchanged'!G183)/100,2))*100</f>
        <v>9614.9673582483465</v>
      </c>
      <c r="D183">
        <f>(3/(1+('CurrentFact-N10,20,40Unchanged'!C183+'CurrentFact-N10,20,40Unchanged'!H183)/100)+103/POWER(1+('CurrentFact-N10,20,40Unchanged'!D183+'CurrentFact-N10,20,40Unchanged'!H183)/100,2))*100</f>
        <v>9601.2395558122898</v>
      </c>
      <c r="E183">
        <f>(3/(1+('CurrentFact-N10,20,40Unchanged'!C183+'CurrentFact-N10,20,40Unchanged'!I183)/100)+103/POWER(1+('CurrentFact-N10,20,40Unchanged'!D183+'CurrentFact-N10,20,40Unchanged'!I183)/100,2))*100</f>
        <v>9682.755812656851</v>
      </c>
      <c r="F183">
        <f>Portfolio!B$5*'CurrentFact-N10,20,40Unchanged'!E183</f>
        <v>52143.895533915893</v>
      </c>
      <c r="G183">
        <f>Portfolio!B$6*'CurrentFact-N10,20,40Unchanged'!F183</f>
        <v>3696.2945087936532</v>
      </c>
      <c r="H183">
        <f>Portfolio!B$7*'CurrentFact-N10,20,40Unchanged'!J183</f>
        <v>2064.4550337304254</v>
      </c>
      <c r="I183">
        <f t="shared" si="4"/>
        <v>96511.193580586289</v>
      </c>
      <c r="J183">
        <f t="shared" si="5"/>
        <v>3.807249757257523</v>
      </c>
    </row>
    <row r="184" spans="1:10">
      <c r="A184" s="1">
        <v>45727</v>
      </c>
      <c r="B184">
        <f>(3/(1+('CurrentFact-N10,20,40Unchanged'!C184)/100)+103/POWER(1+('CurrentFact-N10,20,40Unchanged'!D184)/100,2))*100</f>
        <v>9707.5857774288397</v>
      </c>
      <c r="C184">
        <f>(3/(1+('CurrentFact-N10,20,40Unchanged'!C184+'CurrentFact-N10,20,40Unchanged'!G184)/100)+103/POWER(1+('CurrentFact-N10,20,40Unchanged'!D184+'CurrentFact-N10,20,40Unchanged'!G184)/100,2))*100</f>
        <v>9614.9673582483465</v>
      </c>
      <c r="D184">
        <f>(3/(1+('CurrentFact-N10,20,40Unchanged'!C184+'CurrentFact-N10,20,40Unchanged'!H184)/100)+103/POWER(1+('CurrentFact-N10,20,40Unchanged'!D184+'CurrentFact-N10,20,40Unchanged'!H184)/100,2))*100</f>
        <v>9601.2395558122898</v>
      </c>
      <c r="E184">
        <f>(3/(1+('CurrentFact-N10,20,40Unchanged'!C184+'CurrentFact-N10,20,40Unchanged'!I184)/100)+103/POWER(1+('CurrentFact-N10,20,40Unchanged'!D184+'CurrentFact-N10,20,40Unchanged'!I184)/100,2))*100</f>
        <v>9683.0838165525784</v>
      </c>
      <c r="F184">
        <f>Portfolio!B$5*'CurrentFact-N10,20,40Unchanged'!E184</f>
        <v>52143.895533915893</v>
      </c>
      <c r="G184">
        <f>Portfolio!B$6*'CurrentFact-N10,20,40Unchanged'!F184</f>
        <v>3696.2945087936532</v>
      </c>
      <c r="H184">
        <f>Portfolio!B$7*'CurrentFact-N10,20,40Unchanged'!J184</f>
        <v>2064.4550337304254</v>
      </c>
      <c r="I184">
        <f t="shared" si="4"/>
        <v>96511.52158448202</v>
      </c>
      <c r="J184">
        <f t="shared" si="5"/>
        <v>4.6451449987944216</v>
      </c>
    </row>
    <row r="185" spans="1:10">
      <c r="A185" s="1">
        <v>45728</v>
      </c>
      <c r="B185">
        <f>(3/(1+('CurrentFact-N10,20,40Unchanged'!C185)/100)+103/POWER(1+('CurrentFact-N10,20,40Unchanged'!D185)/100,2))*100</f>
        <v>9707.5857774288397</v>
      </c>
      <c r="C185">
        <f>(3/(1+('CurrentFact-N10,20,40Unchanged'!C185+'CurrentFact-N10,20,40Unchanged'!G185)/100)+103/POWER(1+('CurrentFact-N10,20,40Unchanged'!D185+'CurrentFact-N10,20,40Unchanged'!G185)/100,2))*100</f>
        <v>9614.9673582483465</v>
      </c>
      <c r="D185">
        <f>(3/(1+('CurrentFact-N10,20,40Unchanged'!C185+'CurrentFact-N10,20,40Unchanged'!H185)/100)+103/POWER(1+('CurrentFact-N10,20,40Unchanged'!D185+'CurrentFact-N10,20,40Unchanged'!H185)/100,2))*100</f>
        <v>9601.2395558122898</v>
      </c>
      <c r="E185">
        <f>(3/(1+('CurrentFact-N10,20,40Unchanged'!C185+'CurrentFact-N10,20,40Unchanged'!I185)/100)+103/POWER(1+('CurrentFact-N10,20,40Unchanged'!D185+'CurrentFact-N10,20,40Unchanged'!I185)/100,2))*100</f>
        <v>9684.8516803853108</v>
      </c>
      <c r="F185">
        <f>Portfolio!B$5*'CurrentFact-N10,20,40Unchanged'!E185</f>
        <v>52143.895533915893</v>
      </c>
      <c r="G185">
        <f>Portfolio!B$6*'CurrentFact-N10,20,40Unchanged'!F185</f>
        <v>3696.2945087936532</v>
      </c>
      <c r="H185">
        <f>Portfolio!B$7*'CurrentFact-N10,20,40Unchanged'!J185</f>
        <v>2064.4550337304254</v>
      </c>
      <c r="I185">
        <f t="shared" si="4"/>
        <v>96513.289448314754</v>
      </c>
      <c r="J185">
        <f t="shared" si="5"/>
        <v>5.3203366724774241</v>
      </c>
    </row>
    <row r="186" spans="1:10">
      <c r="A186" s="1">
        <v>45729</v>
      </c>
      <c r="B186">
        <f>(3/(1+('CurrentFact-N10,20,40Unchanged'!C186)/100)+103/POWER(1+('CurrentFact-N10,20,40Unchanged'!D186)/100,2))*100</f>
        <v>9707.5857774288397</v>
      </c>
      <c r="C186">
        <f>(3/(1+('CurrentFact-N10,20,40Unchanged'!C186+'CurrentFact-N10,20,40Unchanged'!G186)/100)+103/POWER(1+('CurrentFact-N10,20,40Unchanged'!D186+'CurrentFact-N10,20,40Unchanged'!G186)/100,2))*100</f>
        <v>9614.9673582483465</v>
      </c>
      <c r="D186">
        <f>(3/(1+('CurrentFact-N10,20,40Unchanged'!C186+'CurrentFact-N10,20,40Unchanged'!H186)/100)+103/POWER(1+('CurrentFact-N10,20,40Unchanged'!D186+'CurrentFact-N10,20,40Unchanged'!H186)/100,2))*100</f>
        <v>9601.2395558122898</v>
      </c>
      <c r="E186">
        <f>(3/(1+('CurrentFact-N10,20,40Unchanged'!C186+'CurrentFact-N10,20,40Unchanged'!I186)/100)+103/POWER(1+('CurrentFact-N10,20,40Unchanged'!D186+'CurrentFact-N10,20,40Unchanged'!I186)/100,2))*100</f>
        <v>9684.9063638793396</v>
      </c>
      <c r="F186">
        <f>Portfolio!B$5*'CurrentFact-N10,20,40Unchanged'!E186</f>
        <v>52143.895533915893</v>
      </c>
      <c r="G186">
        <f>Portfolio!B$6*'CurrentFact-N10,20,40Unchanged'!F186</f>
        <v>3696.2945087936532</v>
      </c>
      <c r="H186">
        <f>Portfolio!B$7*'CurrentFact-N10,20,40Unchanged'!J186</f>
        <v>2064.4550337304254</v>
      </c>
      <c r="I186">
        <f t="shared" si="4"/>
        <v>96513.344131808786</v>
      </c>
      <c r="J186">
        <f t="shared" si="5"/>
        <v>4.7557564365852159</v>
      </c>
    </row>
    <row r="187" spans="1:10">
      <c r="A187" s="1">
        <v>45730</v>
      </c>
      <c r="B187">
        <f>(3/(1+('CurrentFact-N10,20,40Unchanged'!C187)/100)+103/POWER(1+('CurrentFact-N10,20,40Unchanged'!D187)/100,2))*100</f>
        <v>9707.5857774288397</v>
      </c>
      <c r="C187">
        <f>(3/(1+('CurrentFact-N10,20,40Unchanged'!C187+'CurrentFact-N10,20,40Unchanged'!G187)/100)+103/POWER(1+('CurrentFact-N10,20,40Unchanged'!D187+'CurrentFact-N10,20,40Unchanged'!G187)/100,2))*100</f>
        <v>9614.9673582483465</v>
      </c>
      <c r="D187">
        <f>(3/(1+('CurrentFact-N10,20,40Unchanged'!C187+'CurrentFact-N10,20,40Unchanged'!H187)/100)+103/POWER(1+('CurrentFact-N10,20,40Unchanged'!D187+'CurrentFact-N10,20,40Unchanged'!H187)/100,2))*100</f>
        <v>9601.2395558122898</v>
      </c>
      <c r="E187">
        <f>(3/(1+('CurrentFact-N10,20,40Unchanged'!C187+'CurrentFact-N10,20,40Unchanged'!I187)/100)+103/POWER(1+('CurrentFact-N10,20,40Unchanged'!D187+'CurrentFact-N10,20,40Unchanged'!I187)/100,2))*100</f>
        <v>9685.6902195630955</v>
      </c>
      <c r="F187">
        <f>Portfolio!B$5*'CurrentFact-N10,20,40Unchanged'!E187</f>
        <v>52143.895533915893</v>
      </c>
      <c r="G187">
        <f>Portfolio!B$6*'CurrentFact-N10,20,40Unchanged'!F187</f>
        <v>3696.2945087936532</v>
      </c>
      <c r="H187">
        <f>Portfolio!B$7*'CurrentFact-N10,20,40Unchanged'!J187</f>
        <v>2064.4550337304254</v>
      </c>
      <c r="I187">
        <f t="shared" si="4"/>
        <v>96514.127987492539</v>
      </c>
      <c r="J187">
        <f t="shared" si="5"/>
        <v>4.883856611821102</v>
      </c>
    </row>
    <row r="188" spans="1:10">
      <c r="A188" s="14">
        <v>45733</v>
      </c>
      <c r="B188">
        <f>(3/(1+('CurrentFact-N10,20,40Unchanged'!C188)/100)+103/POWER(1+('CurrentFact-N10,20,40Unchanged'!D188)/100,2))*100</f>
        <v>9707.5857774288397</v>
      </c>
      <c r="C188">
        <f>(3/(1+('CurrentFact-N10,20,40Unchanged'!C188+'CurrentFact-N10,20,40Unchanged'!G188)/100)+103/POWER(1+('CurrentFact-N10,20,40Unchanged'!D188+'CurrentFact-N10,20,40Unchanged'!G188)/100,2))*100</f>
        <v>9614.9673582483465</v>
      </c>
      <c r="D188">
        <f>(3/(1+('CurrentFact-N10,20,40Unchanged'!C188+'CurrentFact-N10,20,40Unchanged'!H188)/100)+103/POWER(1+('CurrentFact-N10,20,40Unchanged'!D188+'CurrentFact-N10,20,40Unchanged'!H188)/100,2))*100</f>
        <v>9601.2395558122898</v>
      </c>
      <c r="E188">
        <f>(3/(1+('CurrentFact-N10,20,40Unchanged'!C188+'CurrentFact-N10,20,40Unchanged'!I188)/100)+103/POWER(1+('CurrentFact-N10,20,40Unchanged'!D188+'CurrentFact-N10,20,40Unchanged'!I188)/100,2))*100</f>
        <v>9580.6454985559321</v>
      </c>
      <c r="F188">
        <f>Portfolio!B$5*'CurrentFact-N10,20,40Unchanged'!E188</f>
        <v>52143.895533915893</v>
      </c>
      <c r="G188">
        <f>Portfolio!B$6*'CurrentFact-N10,20,40Unchanged'!F188</f>
        <v>3696.2945087936532</v>
      </c>
      <c r="H188">
        <f>Portfolio!B$7*'CurrentFact-N10,20,40Unchanged'!J188</f>
        <v>2064.4550337304254</v>
      </c>
      <c r="I188">
        <f t="shared" ref="I188:I251" si="6">SUM(B188:H188)</f>
        <v>96409.083266485381</v>
      </c>
      <c r="J188">
        <f t="shared" ref="J188:J251" si="7">I188-I178</f>
        <v>-100.14264762155653</v>
      </c>
    </row>
    <row r="189" spans="1:10">
      <c r="A189" s="1">
        <v>45734</v>
      </c>
      <c r="B189">
        <f>(3/(1+('CurrentFact-N10,20,40Unchanged'!C189)/100)+103/POWER(1+('CurrentFact-N10,20,40Unchanged'!D189)/100,2))*100</f>
        <v>9707.5857774288397</v>
      </c>
      <c r="C189">
        <f>(3/(1+('CurrentFact-N10,20,40Unchanged'!C189+'CurrentFact-N10,20,40Unchanged'!G189)/100)+103/POWER(1+('CurrentFact-N10,20,40Unchanged'!D189+'CurrentFact-N10,20,40Unchanged'!G189)/100,2))*100</f>
        <v>9614.9673582483465</v>
      </c>
      <c r="D189">
        <f>(3/(1+('CurrentFact-N10,20,40Unchanged'!C189+'CurrentFact-N10,20,40Unchanged'!H189)/100)+103/POWER(1+('CurrentFact-N10,20,40Unchanged'!D189+'CurrentFact-N10,20,40Unchanged'!H189)/100,2))*100</f>
        <v>9601.2395558122898</v>
      </c>
      <c r="E189">
        <f>(3/(1+('CurrentFact-N10,20,40Unchanged'!C189+'CurrentFact-N10,20,40Unchanged'!I189)/100)+103/POWER(1+('CurrentFact-N10,20,40Unchanged'!D189+'CurrentFact-N10,20,40Unchanged'!I189)/100,2))*100</f>
        <v>9580.3887991504871</v>
      </c>
      <c r="F189">
        <f>Portfolio!B$5*'CurrentFact-N10,20,40Unchanged'!E189</f>
        <v>52143.895533915893</v>
      </c>
      <c r="G189">
        <f>Portfolio!B$6*'CurrentFact-N10,20,40Unchanged'!F189</f>
        <v>3696.2945087936532</v>
      </c>
      <c r="H189">
        <f>Portfolio!B$7*'CurrentFact-N10,20,40Unchanged'!J189</f>
        <v>2064.4550337304254</v>
      </c>
      <c r="I189">
        <f t="shared" si="6"/>
        <v>96408.82656707993</v>
      </c>
      <c r="J189">
        <f t="shared" si="7"/>
        <v>-102.56745910379686</v>
      </c>
    </row>
    <row r="190" spans="1:10">
      <c r="A190" s="1">
        <v>45735</v>
      </c>
      <c r="B190">
        <f>(3/(1+('CurrentFact-N10,20,40Unchanged'!C190)/100)+103/POWER(1+('CurrentFact-N10,20,40Unchanged'!D190)/100,2))*100</f>
        <v>9707.5857774288397</v>
      </c>
      <c r="C190">
        <f>(3/(1+('CurrentFact-N10,20,40Unchanged'!C190+'CurrentFact-N10,20,40Unchanged'!G190)/100)+103/POWER(1+('CurrentFact-N10,20,40Unchanged'!D190+'CurrentFact-N10,20,40Unchanged'!G190)/100,2))*100</f>
        <v>9614.9673582483465</v>
      </c>
      <c r="D190">
        <f>(3/(1+('CurrentFact-N10,20,40Unchanged'!C190+'CurrentFact-N10,20,40Unchanged'!H190)/100)+103/POWER(1+('CurrentFact-N10,20,40Unchanged'!D190+'CurrentFact-N10,20,40Unchanged'!H190)/100,2))*100</f>
        <v>9601.2395558122898</v>
      </c>
      <c r="E190">
        <f>(3/(1+('CurrentFact-N10,20,40Unchanged'!C190+'CurrentFact-N10,20,40Unchanged'!I190)/100)+103/POWER(1+('CurrentFact-N10,20,40Unchanged'!D190+'CurrentFact-N10,20,40Unchanged'!I190)/100,2))*100</f>
        <v>9582.1119724264627</v>
      </c>
      <c r="F190">
        <f>Portfolio!B$5*'CurrentFact-N10,20,40Unchanged'!E190</f>
        <v>52143.895533915893</v>
      </c>
      <c r="G190">
        <f>Portfolio!B$6*'CurrentFact-N10,20,40Unchanged'!F190</f>
        <v>3696.2945087936532</v>
      </c>
      <c r="H190">
        <f>Portfolio!B$7*'CurrentFact-N10,20,40Unchanged'!J190</f>
        <v>2064.4550337304254</v>
      </c>
      <c r="I190">
        <f t="shared" si="6"/>
        <v>96410.549740355913</v>
      </c>
      <c r="J190">
        <f t="shared" si="7"/>
        <v>-100.84428582781402</v>
      </c>
    </row>
    <row r="191" spans="1:10">
      <c r="A191" s="1">
        <v>45736</v>
      </c>
      <c r="B191">
        <f>(3/(1+('CurrentFact-N10,20,40Unchanged'!C191)/100)+103/POWER(1+('CurrentFact-N10,20,40Unchanged'!D191)/100,2))*100</f>
        <v>9707.5857774288397</v>
      </c>
      <c r="C191">
        <f>(3/(1+('CurrentFact-N10,20,40Unchanged'!C191+'CurrentFact-N10,20,40Unchanged'!G191)/100)+103/POWER(1+('CurrentFact-N10,20,40Unchanged'!D191+'CurrentFact-N10,20,40Unchanged'!G191)/100,2))*100</f>
        <v>9614.9673582483465</v>
      </c>
      <c r="D191">
        <f>(3/(1+('CurrentFact-N10,20,40Unchanged'!C191+'CurrentFact-N10,20,40Unchanged'!H191)/100)+103/POWER(1+('CurrentFact-N10,20,40Unchanged'!D191+'CurrentFact-N10,20,40Unchanged'!H191)/100,2))*100</f>
        <v>9601.2395558122898</v>
      </c>
      <c r="E191">
        <f>(3/(1+('CurrentFact-N10,20,40Unchanged'!C191+'CurrentFact-N10,20,40Unchanged'!I191)/100)+103/POWER(1+('CurrentFact-N10,20,40Unchanged'!D191+'CurrentFact-N10,20,40Unchanged'!I191)/100,2))*100</f>
        <v>9581.5416821441668</v>
      </c>
      <c r="F191">
        <f>Portfolio!B$5*'CurrentFact-N10,20,40Unchanged'!E191</f>
        <v>52143.895533915893</v>
      </c>
      <c r="G191">
        <f>Portfolio!B$6*'CurrentFact-N10,20,40Unchanged'!F191</f>
        <v>3696.2945087936532</v>
      </c>
      <c r="H191">
        <f>Portfolio!B$7*'CurrentFact-N10,20,40Unchanged'!J191</f>
        <v>2064.4550337304254</v>
      </c>
      <c r="I191">
        <f t="shared" si="6"/>
        <v>96409.979450073617</v>
      </c>
      <c r="J191">
        <f t="shared" si="7"/>
        <v>-101.88837939035147</v>
      </c>
    </row>
    <row r="192" spans="1:10">
      <c r="A192" s="1">
        <v>45737</v>
      </c>
      <c r="B192">
        <f>(3/(1+('CurrentFact-N10,20,40Unchanged'!C192)/100)+103/POWER(1+('CurrentFact-N10,20,40Unchanged'!D192)/100,2))*100</f>
        <v>9707.5857774288397</v>
      </c>
      <c r="C192">
        <f>(3/(1+('CurrentFact-N10,20,40Unchanged'!C192+'CurrentFact-N10,20,40Unchanged'!G192)/100)+103/POWER(1+('CurrentFact-N10,20,40Unchanged'!D192+'CurrentFact-N10,20,40Unchanged'!G192)/100,2))*100</f>
        <v>9614.9673582483465</v>
      </c>
      <c r="D192">
        <f>(3/(1+('CurrentFact-N10,20,40Unchanged'!C192+'CurrentFact-N10,20,40Unchanged'!H192)/100)+103/POWER(1+('CurrentFact-N10,20,40Unchanged'!D192+'CurrentFact-N10,20,40Unchanged'!H192)/100,2))*100</f>
        <v>9601.2395558122898</v>
      </c>
      <c r="E192">
        <f>(3/(1+('CurrentFact-N10,20,40Unchanged'!C192+'CurrentFact-N10,20,40Unchanged'!I192)/100)+103/POWER(1+('CurrentFact-N10,20,40Unchanged'!D192+'CurrentFact-N10,20,40Unchanged'!I192)/100,2))*100</f>
        <v>9578.2999225113654</v>
      </c>
      <c r="F192">
        <f>Portfolio!B$5*'CurrentFact-N10,20,40Unchanged'!E192</f>
        <v>52143.895533915893</v>
      </c>
      <c r="G192">
        <f>Portfolio!B$6*'CurrentFact-N10,20,40Unchanged'!F192</f>
        <v>3696.2945087936532</v>
      </c>
      <c r="H192">
        <f>Portfolio!B$7*'CurrentFact-N10,20,40Unchanged'!J192</f>
        <v>2064.4550337304254</v>
      </c>
      <c r="I192">
        <f t="shared" si="6"/>
        <v>96406.737690440816</v>
      </c>
      <c r="J192">
        <f t="shared" si="7"/>
        <v>-105.54930076809251</v>
      </c>
    </row>
    <row r="193" spans="1:10">
      <c r="A193" s="1">
        <v>45740</v>
      </c>
      <c r="B193">
        <f>(3/(1+('CurrentFact-N10,20,40Unchanged'!C193)/100)+103/POWER(1+('CurrentFact-N10,20,40Unchanged'!D193)/100,2))*100</f>
        <v>9707.5857774288397</v>
      </c>
      <c r="C193">
        <f>(3/(1+('CurrentFact-N10,20,40Unchanged'!C193+'CurrentFact-N10,20,40Unchanged'!G193)/100)+103/POWER(1+('CurrentFact-N10,20,40Unchanged'!D193+'CurrentFact-N10,20,40Unchanged'!G193)/100,2))*100</f>
        <v>9614.9673582483465</v>
      </c>
      <c r="D193">
        <f>(3/(1+('CurrentFact-N10,20,40Unchanged'!C193+'CurrentFact-N10,20,40Unchanged'!H193)/100)+103/POWER(1+('CurrentFact-N10,20,40Unchanged'!D193+'CurrentFact-N10,20,40Unchanged'!H193)/100,2))*100</f>
        <v>9601.2395558122898</v>
      </c>
      <c r="E193">
        <f>(3/(1+('CurrentFact-N10,20,40Unchanged'!C193+'CurrentFact-N10,20,40Unchanged'!I193)/100)+103/POWER(1+('CurrentFact-N10,20,40Unchanged'!D193+'CurrentFact-N10,20,40Unchanged'!I193)/100,2))*100</f>
        <v>9581.0793804743462</v>
      </c>
      <c r="F193">
        <f>Portfolio!B$5*'CurrentFact-N10,20,40Unchanged'!E193</f>
        <v>52143.895533915893</v>
      </c>
      <c r="G193">
        <f>Portfolio!B$6*'CurrentFact-N10,20,40Unchanged'!F193</f>
        <v>3696.2945087936532</v>
      </c>
      <c r="H193">
        <f>Portfolio!B$7*'CurrentFact-N10,20,40Unchanged'!J193</f>
        <v>2064.4550337304254</v>
      </c>
      <c r="I193">
        <f t="shared" si="6"/>
        <v>96409.5171484038</v>
      </c>
      <c r="J193">
        <f t="shared" si="7"/>
        <v>-101.6764321824885</v>
      </c>
    </row>
    <row r="194" spans="1:10">
      <c r="A194" s="1">
        <v>45741</v>
      </c>
      <c r="B194">
        <f>(3/(1+('CurrentFact-N10,20,40Unchanged'!C194)/100)+103/POWER(1+('CurrentFact-N10,20,40Unchanged'!D194)/100,2))*100</f>
        <v>9707.5857774288397</v>
      </c>
      <c r="C194">
        <f>(3/(1+('CurrentFact-N10,20,40Unchanged'!C194+'CurrentFact-N10,20,40Unchanged'!G194)/100)+103/POWER(1+('CurrentFact-N10,20,40Unchanged'!D194+'CurrentFact-N10,20,40Unchanged'!G194)/100,2))*100</f>
        <v>9614.9673582483465</v>
      </c>
      <c r="D194">
        <f>(3/(1+('CurrentFact-N10,20,40Unchanged'!C194+'CurrentFact-N10,20,40Unchanged'!H194)/100)+103/POWER(1+('CurrentFact-N10,20,40Unchanged'!D194+'CurrentFact-N10,20,40Unchanged'!H194)/100,2))*100</f>
        <v>9601.2395558122898</v>
      </c>
      <c r="E194">
        <f>(3/(1+('CurrentFact-N10,20,40Unchanged'!C194+'CurrentFact-N10,20,40Unchanged'!I194)/100)+103/POWER(1+('CurrentFact-N10,20,40Unchanged'!D194+'CurrentFact-N10,20,40Unchanged'!I194)/100,2))*100</f>
        <v>9580.8460628314042</v>
      </c>
      <c r="F194">
        <f>Portfolio!B$5*'CurrentFact-N10,20,40Unchanged'!E194</f>
        <v>52143.895533915893</v>
      </c>
      <c r="G194">
        <f>Portfolio!B$6*'CurrentFact-N10,20,40Unchanged'!F194</f>
        <v>3696.2945087936532</v>
      </c>
      <c r="H194">
        <f>Portfolio!B$7*'CurrentFact-N10,20,40Unchanged'!J194</f>
        <v>2064.4550337304254</v>
      </c>
      <c r="I194">
        <f t="shared" si="6"/>
        <v>96409.283830760862</v>
      </c>
      <c r="J194">
        <f t="shared" si="7"/>
        <v>-102.23775372115779</v>
      </c>
    </row>
    <row r="195" spans="1:10">
      <c r="A195" s="1">
        <v>45742</v>
      </c>
      <c r="B195">
        <f>(3/(1+('CurrentFact-N10,20,40Unchanged'!C195)/100)+103/POWER(1+('CurrentFact-N10,20,40Unchanged'!D195)/100,2))*100</f>
        <v>9707.5857774288397</v>
      </c>
      <c r="C195">
        <f>(3/(1+('CurrentFact-N10,20,40Unchanged'!C195+'CurrentFact-N10,20,40Unchanged'!G195)/100)+103/POWER(1+('CurrentFact-N10,20,40Unchanged'!D195+'CurrentFact-N10,20,40Unchanged'!G195)/100,2))*100</f>
        <v>9614.9673582483465</v>
      </c>
      <c r="D195">
        <f>(3/(1+('CurrentFact-N10,20,40Unchanged'!C195+'CurrentFact-N10,20,40Unchanged'!H195)/100)+103/POWER(1+('CurrentFact-N10,20,40Unchanged'!D195+'CurrentFact-N10,20,40Unchanged'!H195)/100,2))*100</f>
        <v>9601.2395558122898</v>
      </c>
      <c r="E195">
        <f>(3/(1+('CurrentFact-N10,20,40Unchanged'!C195+'CurrentFact-N10,20,40Unchanged'!I195)/100)+103/POWER(1+('CurrentFact-N10,20,40Unchanged'!D195+'CurrentFact-N10,20,40Unchanged'!I195)/100,2))*100</f>
        <v>9578.3316448618443</v>
      </c>
      <c r="F195">
        <f>Portfolio!B$5*'CurrentFact-N10,20,40Unchanged'!E195</f>
        <v>52143.895533915893</v>
      </c>
      <c r="G195">
        <f>Portfolio!B$6*'CurrentFact-N10,20,40Unchanged'!F195</f>
        <v>3696.2945087936532</v>
      </c>
      <c r="H195">
        <f>Portfolio!B$7*'CurrentFact-N10,20,40Unchanged'!J195</f>
        <v>2064.4550337304254</v>
      </c>
      <c r="I195">
        <f t="shared" si="6"/>
        <v>96406.769412791298</v>
      </c>
      <c r="J195">
        <f t="shared" si="7"/>
        <v>-106.52003552345559</v>
      </c>
    </row>
    <row r="196" spans="1:10">
      <c r="A196" s="1">
        <v>45743</v>
      </c>
      <c r="B196">
        <f>(3/(1+('CurrentFact-N10,20,40Unchanged'!C196)/100)+103/POWER(1+('CurrentFact-N10,20,40Unchanged'!D196)/100,2))*100</f>
        <v>9707.5857774288397</v>
      </c>
      <c r="C196">
        <f>(3/(1+('CurrentFact-N10,20,40Unchanged'!C196+'CurrentFact-N10,20,40Unchanged'!G196)/100)+103/POWER(1+('CurrentFact-N10,20,40Unchanged'!D196+'CurrentFact-N10,20,40Unchanged'!G196)/100,2))*100</f>
        <v>9614.9673582483465</v>
      </c>
      <c r="D196">
        <f>(3/(1+('CurrentFact-N10,20,40Unchanged'!C196+'CurrentFact-N10,20,40Unchanged'!H196)/100)+103/POWER(1+('CurrentFact-N10,20,40Unchanged'!D196+'CurrentFact-N10,20,40Unchanged'!H196)/100,2))*100</f>
        <v>9601.2395558122898</v>
      </c>
      <c r="E196">
        <f>(3/(1+('CurrentFact-N10,20,40Unchanged'!C196+'CurrentFact-N10,20,40Unchanged'!I196)/100)+103/POWER(1+('CurrentFact-N10,20,40Unchanged'!D196+'CurrentFact-N10,20,40Unchanged'!I196)/100,2))*100</f>
        <v>9580.4631807122314</v>
      </c>
      <c r="F196">
        <f>Portfolio!B$5*'CurrentFact-N10,20,40Unchanged'!E196</f>
        <v>52143.895533915893</v>
      </c>
      <c r="G196">
        <f>Portfolio!B$6*'CurrentFact-N10,20,40Unchanged'!F196</f>
        <v>3696.2945087936532</v>
      </c>
      <c r="H196">
        <f>Portfolio!B$7*'CurrentFact-N10,20,40Unchanged'!J196</f>
        <v>2064.4550337304254</v>
      </c>
      <c r="I196">
        <f t="shared" si="6"/>
        <v>96408.900948641676</v>
      </c>
      <c r="J196">
        <f t="shared" si="7"/>
        <v>-104.44318316710996</v>
      </c>
    </row>
    <row r="197" spans="1:10">
      <c r="A197" s="1">
        <v>45744</v>
      </c>
      <c r="B197">
        <f>(3/(1+('CurrentFact-N10,20,40Unchanged'!C197)/100)+103/POWER(1+('CurrentFact-N10,20,40Unchanged'!D197)/100,2))*100</f>
        <v>9707.5857774288397</v>
      </c>
      <c r="C197">
        <f>(3/(1+('CurrentFact-N10,20,40Unchanged'!C197+'CurrentFact-N10,20,40Unchanged'!G197)/100)+103/POWER(1+('CurrentFact-N10,20,40Unchanged'!D197+'CurrentFact-N10,20,40Unchanged'!G197)/100,2))*100</f>
        <v>9614.9673582483465</v>
      </c>
      <c r="D197">
        <f>(3/(1+('CurrentFact-N10,20,40Unchanged'!C197+'CurrentFact-N10,20,40Unchanged'!H197)/100)+103/POWER(1+('CurrentFact-N10,20,40Unchanged'!D197+'CurrentFact-N10,20,40Unchanged'!H197)/100,2))*100</f>
        <v>9601.2395558122898</v>
      </c>
      <c r="E197">
        <f>(3/(1+('CurrentFact-N10,20,40Unchanged'!C197+'CurrentFact-N10,20,40Unchanged'!I197)/100)+103/POWER(1+('CurrentFact-N10,20,40Unchanged'!D197+'CurrentFact-N10,20,40Unchanged'!I197)/100,2))*100</f>
        <v>9579.9611182409244</v>
      </c>
      <c r="F197">
        <f>Portfolio!B$5*'CurrentFact-N10,20,40Unchanged'!E197</f>
        <v>52143.895533915893</v>
      </c>
      <c r="G197">
        <f>Portfolio!B$6*'CurrentFact-N10,20,40Unchanged'!F197</f>
        <v>3696.2945087936532</v>
      </c>
      <c r="H197">
        <f>Portfolio!B$7*'CurrentFact-N10,20,40Unchanged'!J197</f>
        <v>2064.4550337304254</v>
      </c>
      <c r="I197">
        <f t="shared" si="6"/>
        <v>96408.398886170384</v>
      </c>
      <c r="J197">
        <f t="shared" si="7"/>
        <v>-105.72910132215475</v>
      </c>
    </row>
    <row r="198" spans="1:10">
      <c r="A198" s="1">
        <v>45747</v>
      </c>
      <c r="B198">
        <f>(3/(1+('CurrentFact-N10,20,40Unchanged'!C198)/100)+103/POWER(1+('CurrentFact-N10,20,40Unchanged'!D198)/100,2))*100</f>
        <v>9707.5857774288397</v>
      </c>
      <c r="C198">
        <f>(3/(1+('CurrentFact-N10,20,40Unchanged'!C198+'CurrentFact-N10,20,40Unchanged'!G198)/100)+103/POWER(1+('CurrentFact-N10,20,40Unchanged'!D198+'CurrentFact-N10,20,40Unchanged'!G198)/100,2))*100</f>
        <v>9614.9673582483465</v>
      </c>
      <c r="D198">
        <f>(3/(1+('CurrentFact-N10,20,40Unchanged'!C198+'CurrentFact-N10,20,40Unchanged'!H198)/100)+103/POWER(1+('CurrentFact-N10,20,40Unchanged'!D198+'CurrentFact-N10,20,40Unchanged'!H198)/100,2))*100</f>
        <v>9601.2395558122898</v>
      </c>
      <c r="E198">
        <f>(3/(1+('CurrentFact-N10,20,40Unchanged'!C198+'CurrentFact-N10,20,40Unchanged'!I198)/100)+103/POWER(1+('CurrentFact-N10,20,40Unchanged'!D198+'CurrentFact-N10,20,40Unchanged'!I198)/100,2))*100</f>
        <v>9582.3862248828591</v>
      </c>
      <c r="F198">
        <f>Portfolio!B$5*'CurrentFact-N10,20,40Unchanged'!E198</f>
        <v>52143.895533915893</v>
      </c>
      <c r="G198">
        <f>Portfolio!B$6*'CurrentFact-N10,20,40Unchanged'!F198</f>
        <v>3696.2945087936532</v>
      </c>
      <c r="H198">
        <f>Portfolio!B$7*'CurrentFact-N10,20,40Unchanged'!J198</f>
        <v>2064.4550337304254</v>
      </c>
      <c r="I198">
        <f t="shared" si="6"/>
        <v>96410.823992812308</v>
      </c>
      <c r="J198">
        <f t="shared" si="7"/>
        <v>1.7407263269269606</v>
      </c>
    </row>
    <row r="199" spans="1:10">
      <c r="A199" s="1">
        <v>45748</v>
      </c>
      <c r="B199">
        <f>(3/(1+('CurrentFact-N10,20,40Unchanged'!C199)/100)+103/POWER(1+('CurrentFact-N10,20,40Unchanged'!D199)/100,2))*100</f>
        <v>9707.5857774288397</v>
      </c>
      <c r="C199">
        <f>(3/(1+('CurrentFact-N10,20,40Unchanged'!C199+'CurrentFact-N10,20,40Unchanged'!G199)/100)+103/POWER(1+('CurrentFact-N10,20,40Unchanged'!D199+'CurrentFact-N10,20,40Unchanged'!G199)/100,2))*100</f>
        <v>9614.9673582483465</v>
      </c>
      <c r="D199">
        <f>(3/(1+('CurrentFact-N10,20,40Unchanged'!C199+'CurrentFact-N10,20,40Unchanged'!H199)/100)+103/POWER(1+('CurrentFact-N10,20,40Unchanged'!D199+'CurrentFact-N10,20,40Unchanged'!H199)/100,2))*100</f>
        <v>9601.2395558122898</v>
      </c>
      <c r="E199">
        <f>(3/(1+('CurrentFact-N10,20,40Unchanged'!C199+'CurrentFact-N10,20,40Unchanged'!I199)/100)+103/POWER(1+('CurrentFact-N10,20,40Unchanged'!D199+'CurrentFact-N10,20,40Unchanged'!I199)/100,2))*100</f>
        <v>9579.8614289936904</v>
      </c>
      <c r="F199">
        <f>Portfolio!B$5*'CurrentFact-N10,20,40Unchanged'!E199</f>
        <v>52143.895533915893</v>
      </c>
      <c r="G199">
        <f>Portfolio!B$6*'CurrentFact-N10,20,40Unchanged'!F199</f>
        <v>3696.2945087936532</v>
      </c>
      <c r="H199">
        <f>Portfolio!B$7*'CurrentFact-N10,20,40Unchanged'!J199</f>
        <v>2064.4550337304254</v>
      </c>
      <c r="I199">
        <f t="shared" si="6"/>
        <v>96408.299196923137</v>
      </c>
      <c r="J199">
        <f t="shared" si="7"/>
        <v>-0.52737015679304022</v>
      </c>
    </row>
    <row r="200" spans="1:10">
      <c r="A200" s="1">
        <v>45749</v>
      </c>
      <c r="B200">
        <f>(3/(1+('CurrentFact-N10,20,40Unchanged'!C200)/100)+103/POWER(1+('CurrentFact-N10,20,40Unchanged'!D200)/100,2))*100</f>
        <v>9707.5857774288397</v>
      </c>
      <c r="C200">
        <f>(3/(1+('CurrentFact-N10,20,40Unchanged'!C200+'CurrentFact-N10,20,40Unchanged'!G200)/100)+103/POWER(1+('CurrentFact-N10,20,40Unchanged'!D200+'CurrentFact-N10,20,40Unchanged'!G200)/100,2))*100</f>
        <v>9614.9673582483465</v>
      </c>
      <c r="D200">
        <f>(3/(1+('CurrentFact-N10,20,40Unchanged'!C200+'CurrentFact-N10,20,40Unchanged'!H200)/100)+103/POWER(1+('CurrentFact-N10,20,40Unchanged'!D200+'CurrentFact-N10,20,40Unchanged'!H200)/100,2))*100</f>
        <v>9601.2395558122898</v>
      </c>
      <c r="E200">
        <f>(3/(1+('CurrentFact-N10,20,40Unchanged'!C200+'CurrentFact-N10,20,40Unchanged'!I200)/100)+103/POWER(1+('CurrentFact-N10,20,40Unchanged'!D200+'CurrentFact-N10,20,40Unchanged'!I200)/100,2))*100</f>
        <v>9578.9470947184327</v>
      </c>
      <c r="F200">
        <f>Portfolio!B$5*'CurrentFact-N10,20,40Unchanged'!E200</f>
        <v>52143.895533915893</v>
      </c>
      <c r="G200">
        <f>Portfolio!B$6*'CurrentFact-N10,20,40Unchanged'!F200</f>
        <v>3696.2945087936532</v>
      </c>
      <c r="H200">
        <f>Portfolio!B$7*'CurrentFact-N10,20,40Unchanged'!J200</f>
        <v>2064.4550337304254</v>
      </c>
      <c r="I200">
        <f t="shared" si="6"/>
        <v>96407.384862647887</v>
      </c>
      <c r="J200">
        <f t="shared" si="7"/>
        <v>-3.1648777080263244</v>
      </c>
    </row>
    <row r="201" spans="1:10">
      <c r="A201" s="1">
        <v>45750</v>
      </c>
      <c r="B201">
        <f>(3/(1+('CurrentFact-N10,20,40Unchanged'!C201)/100)+103/POWER(1+('CurrentFact-N10,20,40Unchanged'!D201)/100,2))*100</f>
        <v>9707.5857774288397</v>
      </c>
      <c r="C201">
        <f>(3/(1+('CurrentFact-N10,20,40Unchanged'!C201+'CurrentFact-N10,20,40Unchanged'!G201)/100)+103/POWER(1+('CurrentFact-N10,20,40Unchanged'!D201+'CurrentFact-N10,20,40Unchanged'!G201)/100,2))*100</f>
        <v>9614.9673582483465</v>
      </c>
      <c r="D201">
        <f>(3/(1+('CurrentFact-N10,20,40Unchanged'!C201+'CurrentFact-N10,20,40Unchanged'!H201)/100)+103/POWER(1+('CurrentFact-N10,20,40Unchanged'!D201+'CurrentFact-N10,20,40Unchanged'!H201)/100,2))*100</f>
        <v>9601.2395558122898</v>
      </c>
      <c r="E201">
        <f>(3/(1+('CurrentFact-N10,20,40Unchanged'!C201+'CurrentFact-N10,20,40Unchanged'!I201)/100)+103/POWER(1+('CurrentFact-N10,20,40Unchanged'!D201+'CurrentFact-N10,20,40Unchanged'!I201)/100,2))*100</f>
        <v>9580.5931539777375</v>
      </c>
      <c r="F201">
        <f>Portfolio!B$5*'CurrentFact-N10,20,40Unchanged'!E201</f>
        <v>52143.895533915893</v>
      </c>
      <c r="G201">
        <f>Portfolio!B$6*'CurrentFact-N10,20,40Unchanged'!F201</f>
        <v>3696.2945087936532</v>
      </c>
      <c r="H201">
        <f>Portfolio!B$7*'CurrentFact-N10,20,40Unchanged'!J201</f>
        <v>2064.4550337304254</v>
      </c>
      <c r="I201">
        <f t="shared" si="6"/>
        <v>96409.030921907193</v>
      </c>
      <c r="J201">
        <f t="shared" si="7"/>
        <v>-0.94852816642378457</v>
      </c>
    </row>
    <row r="202" spans="1:10">
      <c r="A202" s="1">
        <v>45751</v>
      </c>
      <c r="B202">
        <f>(3/(1+('CurrentFact-N10,20,40Unchanged'!C202)/100)+103/POWER(1+('CurrentFact-N10,20,40Unchanged'!D202)/100,2))*100</f>
        <v>9707.5857774288397</v>
      </c>
      <c r="C202">
        <f>(3/(1+('CurrentFact-N10,20,40Unchanged'!C202+'CurrentFact-N10,20,40Unchanged'!G202)/100)+103/POWER(1+('CurrentFact-N10,20,40Unchanged'!D202+'CurrentFact-N10,20,40Unchanged'!G202)/100,2))*100</f>
        <v>9614.9673582483465</v>
      </c>
      <c r="D202">
        <f>(3/(1+('CurrentFact-N10,20,40Unchanged'!C202+'CurrentFact-N10,20,40Unchanged'!H202)/100)+103/POWER(1+('CurrentFact-N10,20,40Unchanged'!D202+'CurrentFact-N10,20,40Unchanged'!H202)/100,2))*100</f>
        <v>9601.2395558122898</v>
      </c>
      <c r="E202">
        <f>(3/(1+('CurrentFact-N10,20,40Unchanged'!C202+'CurrentFact-N10,20,40Unchanged'!I202)/100)+103/POWER(1+('CurrentFact-N10,20,40Unchanged'!D202+'CurrentFact-N10,20,40Unchanged'!I202)/100,2))*100</f>
        <v>9579.580617643187</v>
      </c>
      <c r="F202">
        <f>Portfolio!B$5*'CurrentFact-N10,20,40Unchanged'!E202</f>
        <v>52143.895533915893</v>
      </c>
      <c r="G202">
        <f>Portfolio!B$6*'CurrentFact-N10,20,40Unchanged'!F202</f>
        <v>3696.2945087936532</v>
      </c>
      <c r="H202">
        <f>Portfolio!B$7*'CurrentFact-N10,20,40Unchanged'!J202</f>
        <v>2064.4550337304254</v>
      </c>
      <c r="I202">
        <f t="shared" si="6"/>
        <v>96408.018385572635</v>
      </c>
      <c r="J202">
        <f t="shared" si="7"/>
        <v>1.2806951318198116</v>
      </c>
    </row>
    <row r="203" spans="1:10">
      <c r="A203" s="1">
        <v>45754</v>
      </c>
      <c r="B203">
        <f>(3/(1+('CurrentFact-N10,20,40Unchanged'!C203)/100)+103/POWER(1+('CurrentFact-N10,20,40Unchanged'!D203)/100,2))*100</f>
        <v>9707.5857774288397</v>
      </c>
      <c r="C203">
        <f>(3/(1+('CurrentFact-N10,20,40Unchanged'!C203+'CurrentFact-N10,20,40Unchanged'!G203)/100)+103/POWER(1+('CurrentFact-N10,20,40Unchanged'!D203+'CurrentFact-N10,20,40Unchanged'!G203)/100,2))*100</f>
        <v>9614.9673582483465</v>
      </c>
      <c r="D203">
        <f>(3/(1+('CurrentFact-N10,20,40Unchanged'!C203+'CurrentFact-N10,20,40Unchanged'!H203)/100)+103/POWER(1+('CurrentFact-N10,20,40Unchanged'!D203+'CurrentFact-N10,20,40Unchanged'!H203)/100,2))*100</f>
        <v>9601.2395558122898</v>
      </c>
      <c r="E203">
        <f>(3/(1+('CurrentFact-N10,20,40Unchanged'!C203+'CurrentFact-N10,20,40Unchanged'!I203)/100)+103/POWER(1+('CurrentFact-N10,20,40Unchanged'!D203+'CurrentFact-N10,20,40Unchanged'!I203)/100,2))*100</f>
        <v>9580.0890355199026</v>
      </c>
      <c r="F203">
        <f>Portfolio!B$5*'CurrentFact-N10,20,40Unchanged'!E203</f>
        <v>52143.895533915893</v>
      </c>
      <c r="G203">
        <f>Portfolio!B$6*'CurrentFact-N10,20,40Unchanged'!F203</f>
        <v>3696.2945087936532</v>
      </c>
      <c r="H203">
        <f>Portfolio!B$7*'CurrentFact-N10,20,40Unchanged'!J203</f>
        <v>2064.4550337304254</v>
      </c>
      <c r="I203">
        <f t="shared" si="6"/>
        <v>96408.526803449349</v>
      </c>
      <c r="J203">
        <f t="shared" si="7"/>
        <v>-0.99034495445084758</v>
      </c>
    </row>
    <row r="204" spans="1:10">
      <c r="A204" s="1">
        <v>45755</v>
      </c>
      <c r="B204">
        <f>(3/(1+('CurrentFact-N10,20,40Unchanged'!C204)/100)+103/POWER(1+('CurrentFact-N10,20,40Unchanged'!D204)/100,2))*100</f>
        <v>9707.5857774288397</v>
      </c>
      <c r="C204">
        <f>(3/(1+('CurrentFact-N10,20,40Unchanged'!C204+'CurrentFact-N10,20,40Unchanged'!G204)/100)+103/POWER(1+('CurrentFact-N10,20,40Unchanged'!D204+'CurrentFact-N10,20,40Unchanged'!G204)/100,2))*100</f>
        <v>9614.9673582483465</v>
      </c>
      <c r="D204">
        <f>(3/(1+('CurrentFact-N10,20,40Unchanged'!C204+'CurrentFact-N10,20,40Unchanged'!H204)/100)+103/POWER(1+('CurrentFact-N10,20,40Unchanged'!D204+'CurrentFact-N10,20,40Unchanged'!H204)/100,2))*100</f>
        <v>9601.2395558122898</v>
      </c>
      <c r="E204">
        <f>(3/(1+('CurrentFact-N10,20,40Unchanged'!C204+'CurrentFact-N10,20,40Unchanged'!I204)/100)+103/POWER(1+('CurrentFact-N10,20,40Unchanged'!D204+'CurrentFact-N10,20,40Unchanged'!I204)/100,2))*100</f>
        <v>9577.4744915782867</v>
      </c>
      <c r="F204">
        <f>Portfolio!B$5*'CurrentFact-N10,20,40Unchanged'!E204</f>
        <v>52143.895533915893</v>
      </c>
      <c r="G204">
        <f>Portfolio!B$6*'CurrentFact-N10,20,40Unchanged'!F204</f>
        <v>3696.2945087936532</v>
      </c>
      <c r="H204">
        <f>Portfolio!B$7*'CurrentFact-N10,20,40Unchanged'!J204</f>
        <v>2064.4550337304254</v>
      </c>
      <c r="I204">
        <f t="shared" si="6"/>
        <v>96405.912259507735</v>
      </c>
      <c r="J204">
        <f t="shared" si="7"/>
        <v>-3.3715712531266036</v>
      </c>
    </row>
    <row r="205" spans="1:10">
      <c r="A205" s="1">
        <v>45756</v>
      </c>
      <c r="B205">
        <f>(3/(1+('CurrentFact-N10,20,40Unchanged'!C205)/100)+103/POWER(1+('CurrentFact-N10,20,40Unchanged'!D205)/100,2))*100</f>
        <v>9707.5857774288397</v>
      </c>
      <c r="C205">
        <f>(3/(1+('CurrentFact-N10,20,40Unchanged'!C205+'CurrentFact-N10,20,40Unchanged'!G205)/100)+103/POWER(1+('CurrentFact-N10,20,40Unchanged'!D205+'CurrentFact-N10,20,40Unchanged'!G205)/100,2))*100</f>
        <v>9614.9673582483465</v>
      </c>
      <c r="D205">
        <f>(3/(1+('CurrentFact-N10,20,40Unchanged'!C205+'CurrentFact-N10,20,40Unchanged'!H205)/100)+103/POWER(1+('CurrentFact-N10,20,40Unchanged'!D205+'CurrentFact-N10,20,40Unchanged'!H205)/100,2))*100</f>
        <v>9601.2395558122898</v>
      </c>
      <c r="E205">
        <f>(3/(1+('CurrentFact-N10,20,40Unchanged'!C205+'CurrentFact-N10,20,40Unchanged'!I205)/100)+103/POWER(1+('CurrentFact-N10,20,40Unchanged'!D205+'CurrentFact-N10,20,40Unchanged'!I205)/100,2))*100</f>
        <v>9579.3318572727694</v>
      </c>
      <c r="F205">
        <f>Portfolio!B$5*'CurrentFact-N10,20,40Unchanged'!E205</f>
        <v>52143.895533915893</v>
      </c>
      <c r="G205">
        <f>Portfolio!B$6*'CurrentFact-N10,20,40Unchanged'!F205</f>
        <v>3696.2945087936532</v>
      </c>
      <c r="H205">
        <f>Portfolio!B$7*'CurrentFact-N10,20,40Unchanged'!J205</f>
        <v>2064.4550337304254</v>
      </c>
      <c r="I205">
        <f t="shared" si="6"/>
        <v>96407.769625202229</v>
      </c>
      <c r="J205">
        <f t="shared" si="7"/>
        <v>1.0002124109305441</v>
      </c>
    </row>
    <row r="206" spans="1:10">
      <c r="A206" s="1">
        <v>45757</v>
      </c>
      <c r="B206">
        <f>(3/(1+('CurrentFact-N10,20,40Unchanged'!C206)/100)+103/POWER(1+('CurrentFact-N10,20,40Unchanged'!D206)/100,2))*100</f>
        <v>9707.5857774288397</v>
      </c>
      <c r="C206">
        <f>(3/(1+('CurrentFact-N10,20,40Unchanged'!C206+'CurrentFact-N10,20,40Unchanged'!G206)/100)+103/POWER(1+('CurrentFact-N10,20,40Unchanged'!D206+'CurrentFact-N10,20,40Unchanged'!G206)/100,2))*100</f>
        <v>9614.9673582483465</v>
      </c>
      <c r="D206">
        <f>(3/(1+('CurrentFact-N10,20,40Unchanged'!C206+'CurrentFact-N10,20,40Unchanged'!H206)/100)+103/POWER(1+('CurrentFact-N10,20,40Unchanged'!D206+'CurrentFact-N10,20,40Unchanged'!H206)/100,2))*100</f>
        <v>9601.2395558122898</v>
      </c>
      <c r="E206">
        <f>(3/(1+('CurrentFact-N10,20,40Unchanged'!C206+'CurrentFact-N10,20,40Unchanged'!I206)/100)+103/POWER(1+('CurrentFact-N10,20,40Unchanged'!D206+'CurrentFact-N10,20,40Unchanged'!I206)/100,2))*100</f>
        <v>9579.8326749195712</v>
      </c>
      <c r="F206">
        <f>Portfolio!B$5*'CurrentFact-N10,20,40Unchanged'!E206</f>
        <v>52143.895533915893</v>
      </c>
      <c r="G206">
        <f>Portfolio!B$6*'CurrentFact-N10,20,40Unchanged'!F206</f>
        <v>3696.2945087936532</v>
      </c>
      <c r="H206">
        <f>Portfolio!B$7*'CurrentFact-N10,20,40Unchanged'!J206</f>
        <v>2064.4550337304254</v>
      </c>
      <c r="I206">
        <f t="shared" si="6"/>
        <v>96408.270442849025</v>
      </c>
      <c r="J206">
        <f t="shared" si="7"/>
        <v>-0.63050579265109263</v>
      </c>
    </row>
    <row r="207" spans="1:10">
      <c r="A207" s="1">
        <v>45758</v>
      </c>
      <c r="B207">
        <f>(3/(1+('CurrentFact-N10,20,40Unchanged'!C207)/100)+103/POWER(1+('CurrentFact-N10,20,40Unchanged'!D207)/100,2))*100</f>
        <v>9707.5857774288397</v>
      </c>
      <c r="C207">
        <f>(3/(1+('CurrentFact-N10,20,40Unchanged'!C207+'CurrentFact-N10,20,40Unchanged'!G207)/100)+103/POWER(1+('CurrentFact-N10,20,40Unchanged'!D207+'CurrentFact-N10,20,40Unchanged'!G207)/100,2))*100</f>
        <v>9614.9673582483465</v>
      </c>
      <c r="D207">
        <f>(3/(1+('CurrentFact-N10,20,40Unchanged'!C207+'CurrentFact-N10,20,40Unchanged'!H207)/100)+103/POWER(1+('CurrentFact-N10,20,40Unchanged'!D207+'CurrentFact-N10,20,40Unchanged'!H207)/100,2))*100</f>
        <v>9601.2395558122898</v>
      </c>
      <c r="E207">
        <f>(3/(1+('CurrentFact-N10,20,40Unchanged'!C207+'CurrentFact-N10,20,40Unchanged'!I207)/100)+103/POWER(1+('CurrentFact-N10,20,40Unchanged'!D207+'CurrentFact-N10,20,40Unchanged'!I207)/100,2))*100</f>
        <v>9580.4885829514042</v>
      </c>
      <c r="F207">
        <f>Portfolio!B$5*'CurrentFact-N10,20,40Unchanged'!E207</f>
        <v>52143.895533915893</v>
      </c>
      <c r="G207">
        <f>Portfolio!B$6*'CurrentFact-N10,20,40Unchanged'!F207</f>
        <v>3696.2945087936532</v>
      </c>
      <c r="H207">
        <f>Portfolio!B$7*'CurrentFact-N10,20,40Unchanged'!J207</f>
        <v>2064.4550337304254</v>
      </c>
      <c r="I207">
        <f t="shared" si="6"/>
        <v>96408.926350880851</v>
      </c>
      <c r="J207">
        <f t="shared" si="7"/>
        <v>0.52746471046702936</v>
      </c>
    </row>
    <row r="208" spans="1:10">
      <c r="A208" s="1">
        <v>45761</v>
      </c>
      <c r="B208">
        <f>(3/(1+('CurrentFact-N10,20,40Unchanged'!C208)/100)+103/POWER(1+('CurrentFact-N10,20,40Unchanged'!D208)/100,2))*100</f>
        <v>9707.5857774288397</v>
      </c>
      <c r="C208">
        <f>(3/(1+('CurrentFact-N10,20,40Unchanged'!C208+'CurrentFact-N10,20,40Unchanged'!G208)/100)+103/POWER(1+('CurrentFact-N10,20,40Unchanged'!D208+'CurrentFact-N10,20,40Unchanged'!G208)/100,2))*100</f>
        <v>9614.9673582483465</v>
      </c>
      <c r="D208">
        <f>(3/(1+('CurrentFact-N10,20,40Unchanged'!C208+'CurrentFact-N10,20,40Unchanged'!H208)/100)+103/POWER(1+('CurrentFact-N10,20,40Unchanged'!D208+'CurrentFact-N10,20,40Unchanged'!H208)/100,2))*100</f>
        <v>9601.2395558122898</v>
      </c>
      <c r="E208">
        <f>(3/(1+('CurrentFact-N10,20,40Unchanged'!C208+'CurrentFact-N10,20,40Unchanged'!I208)/100)+103/POWER(1+('CurrentFact-N10,20,40Unchanged'!D208+'CurrentFact-N10,20,40Unchanged'!I208)/100,2))*100</f>
        <v>9582.2911040117997</v>
      </c>
      <c r="F208">
        <f>Portfolio!B$5*'CurrentFact-N10,20,40Unchanged'!E208</f>
        <v>52143.895533915893</v>
      </c>
      <c r="G208">
        <f>Portfolio!B$6*'CurrentFact-N10,20,40Unchanged'!F208</f>
        <v>3696.2945087936532</v>
      </c>
      <c r="H208">
        <f>Portfolio!B$7*'CurrentFact-N10,20,40Unchanged'!J208</f>
        <v>2064.4550337304254</v>
      </c>
      <c r="I208">
        <f t="shared" si="6"/>
        <v>96410.728871941246</v>
      </c>
      <c r="J208">
        <f t="shared" si="7"/>
        <v>-9.5120871061226353E-2</v>
      </c>
    </row>
    <row r="209" spans="1:10">
      <c r="A209" s="1">
        <v>45762</v>
      </c>
      <c r="B209">
        <f>(3/(1+('CurrentFact-N10,20,40Unchanged'!C209)/100)+103/POWER(1+('CurrentFact-N10,20,40Unchanged'!D209)/100,2))*100</f>
        <v>9707.5857774288397</v>
      </c>
      <c r="C209">
        <f>(3/(1+('CurrentFact-N10,20,40Unchanged'!C209+'CurrentFact-N10,20,40Unchanged'!G209)/100)+103/POWER(1+('CurrentFact-N10,20,40Unchanged'!D209+'CurrentFact-N10,20,40Unchanged'!G209)/100,2))*100</f>
        <v>9614.9673582483465</v>
      </c>
      <c r="D209">
        <f>(3/(1+('CurrentFact-N10,20,40Unchanged'!C209+'CurrentFact-N10,20,40Unchanged'!H209)/100)+103/POWER(1+('CurrentFact-N10,20,40Unchanged'!D209+'CurrentFact-N10,20,40Unchanged'!H209)/100,2))*100</f>
        <v>9601.2395558122898</v>
      </c>
      <c r="E209">
        <f>(3/(1+('CurrentFact-N10,20,40Unchanged'!C209+'CurrentFact-N10,20,40Unchanged'!I209)/100)+103/POWER(1+('CurrentFact-N10,20,40Unchanged'!D209+'CurrentFact-N10,20,40Unchanged'!I209)/100,2))*100</f>
        <v>9582.2866714527445</v>
      </c>
      <c r="F209">
        <f>Portfolio!B$5*'CurrentFact-N10,20,40Unchanged'!E209</f>
        <v>52143.895533915893</v>
      </c>
      <c r="G209">
        <f>Portfolio!B$6*'CurrentFact-N10,20,40Unchanged'!F209</f>
        <v>3696.2945087936532</v>
      </c>
      <c r="H209">
        <f>Portfolio!B$7*'CurrentFact-N10,20,40Unchanged'!J209</f>
        <v>2064.4550337304254</v>
      </c>
      <c r="I209">
        <f t="shared" si="6"/>
        <v>96410.724439382204</v>
      </c>
      <c r="J209">
        <f t="shared" si="7"/>
        <v>2.4252424590667943</v>
      </c>
    </row>
    <row r="210" spans="1:10">
      <c r="A210" s="1">
        <v>45763</v>
      </c>
      <c r="B210">
        <f>(3/(1+('CurrentFact-N10,20,40Unchanged'!C210)/100)+103/POWER(1+('CurrentFact-N10,20,40Unchanged'!D210)/100,2))*100</f>
        <v>9707.5857774288397</v>
      </c>
      <c r="C210">
        <f>(3/(1+('CurrentFact-N10,20,40Unchanged'!C210+'CurrentFact-N10,20,40Unchanged'!G210)/100)+103/POWER(1+('CurrentFact-N10,20,40Unchanged'!D210+'CurrentFact-N10,20,40Unchanged'!G210)/100,2))*100</f>
        <v>9614.9673582483465</v>
      </c>
      <c r="D210">
        <f>(3/(1+('CurrentFact-N10,20,40Unchanged'!C210+'CurrentFact-N10,20,40Unchanged'!H210)/100)+103/POWER(1+('CurrentFact-N10,20,40Unchanged'!D210+'CurrentFact-N10,20,40Unchanged'!H210)/100,2))*100</f>
        <v>9601.2395558122898</v>
      </c>
      <c r="E210">
        <f>(3/(1+('CurrentFact-N10,20,40Unchanged'!C210+'CurrentFact-N10,20,40Unchanged'!I210)/100)+103/POWER(1+('CurrentFact-N10,20,40Unchanged'!D210+'CurrentFact-N10,20,40Unchanged'!I210)/100,2))*100</f>
        <v>9580.4366410927123</v>
      </c>
      <c r="F210">
        <f>Portfolio!B$5*'CurrentFact-N10,20,40Unchanged'!E210</f>
        <v>52143.895533915893</v>
      </c>
      <c r="G210">
        <f>Portfolio!B$6*'CurrentFact-N10,20,40Unchanged'!F210</f>
        <v>3696.2945087936532</v>
      </c>
      <c r="H210">
        <f>Portfolio!B$7*'CurrentFact-N10,20,40Unchanged'!J210</f>
        <v>2064.4550337304254</v>
      </c>
      <c r="I210">
        <f t="shared" si="6"/>
        <v>96408.874409022159</v>
      </c>
      <c r="J210">
        <f t="shared" si="7"/>
        <v>1.4895463742723223</v>
      </c>
    </row>
    <row r="211" spans="1:10">
      <c r="A211" s="1">
        <v>45764</v>
      </c>
      <c r="B211">
        <f>(3/(1+('CurrentFact-N10,20,40Unchanged'!C211)/100)+103/POWER(1+('CurrentFact-N10,20,40Unchanged'!D211)/100,2))*100</f>
        <v>9707.5857774288397</v>
      </c>
      <c r="C211">
        <f>(3/(1+('CurrentFact-N10,20,40Unchanged'!C211+'CurrentFact-N10,20,40Unchanged'!G211)/100)+103/POWER(1+('CurrentFact-N10,20,40Unchanged'!D211+'CurrentFact-N10,20,40Unchanged'!G211)/100,2))*100</f>
        <v>9614.9673582483465</v>
      </c>
      <c r="D211">
        <f>(3/(1+('CurrentFact-N10,20,40Unchanged'!C211+'CurrentFact-N10,20,40Unchanged'!H211)/100)+103/POWER(1+('CurrentFact-N10,20,40Unchanged'!D211+'CurrentFact-N10,20,40Unchanged'!H211)/100,2))*100</f>
        <v>9601.2395558122898</v>
      </c>
      <c r="E211">
        <f>(3/(1+('CurrentFact-N10,20,40Unchanged'!C211+'CurrentFact-N10,20,40Unchanged'!I211)/100)+103/POWER(1+('CurrentFact-N10,20,40Unchanged'!D211+'CurrentFact-N10,20,40Unchanged'!I211)/100,2))*100</f>
        <v>9580.8447310471183</v>
      </c>
      <c r="F211">
        <f>Portfolio!B$5*'CurrentFact-N10,20,40Unchanged'!E211</f>
        <v>52143.895533915893</v>
      </c>
      <c r="G211">
        <f>Portfolio!B$6*'CurrentFact-N10,20,40Unchanged'!F211</f>
        <v>3696.2945087936532</v>
      </c>
      <c r="H211">
        <f>Portfolio!B$7*'CurrentFact-N10,20,40Unchanged'!J211</f>
        <v>2064.4550337304254</v>
      </c>
      <c r="I211">
        <f t="shared" si="6"/>
        <v>96409.282498976565</v>
      </c>
      <c r="J211">
        <f t="shared" si="7"/>
        <v>0.25157706937170587</v>
      </c>
    </row>
    <row r="212" spans="1:10">
      <c r="A212" s="1">
        <v>45765</v>
      </c>
      <c r="B212">
        <f>(3/(1+('CurrentFact-N10,20,40Unchanged'!C212)/100)+103/POWER(1+('CurrentFact-N10,20,40Unchanged'!D212)/100,2))*100</f>
        <v>9707.5857774288397</v>
      </c>
      <c r="C212">
        <f>(3/(1+('CurrentFact-N10,20,40Unchanged'!C212+'CurrentFact-N10,20,40Unchanged'!G212)/100)+103/POWER(1+('CurrentFact-N10,20,40Unchanged'!D212+'CurrentFact-N10,20,40Unchanged'!G212)/100,2))*100</f>
        <v>9614.9673582483465</v>
      </c>
      <c r="D212">
        <f>(3/(1+('CurrentFact-N10,20,40Unchanged'!C212+'CurrentFact-N10,20,40Unchanged'!H212)/100)+103/POWER(1+('CurrentFact-N10,20,40Unchanged'!D212+'CurrentFact-N10,20,40Unchanged'!H212)/100,2))*100</f>
        <v>9601.2395558122898</v>
      </c>
      <c r="E212">
        <f>(3/(1+('CurrentFact-N10,20,40Unchanged'!C212+'CurrentFact-N10,20,40Unchanged'!I212)/100)+103/POWER(1+('CurrentFact-N10,20,40Unchanged'!D212+'CurrentFact-N10,20,40Unchanged'!I212)/100,2))*100</f>
        <v>9579.5132129173362</v>
      </c>
      <c r="F212">
        <f>Portfolio!B$5*'CurrentFact-N10,20,40Unchanged'!E212</f>
        <v>52143.895533915893</v>
      </c>
      <c r="G212">
        <f>Portfolio!B$6*'CurrentFact-N10,20,40Unchanged'!F212</f>
        <v>3696.2945087936532</v>
      </c>
      <c r="H212">
        <f>Portfolio!B$7*'CurrentFact-N10,20,40Unchanged'!J212</f>
        <v>2064.4550337304254</v>
      </c>
      <c r="I212">
        <f t="shared" si="6"/>
        <v>96407.950980846785</v>
      </c>
      <c r="J212">
        <f t="shared" si="7"/>
        <v>-6.7404725850792602E-2</v>
      </c>
    </row>
    <row r="213" spans="1:10">
      <c r="A213" s="1">
        <v>45768</v>
      </c>
      <c r="B213">
        <f>(3/(1+('CurrentFact-N10,20,40Unchanged'!C213)/100)+103/POWER(1+('CurrentFact-N10,20,40Unchanged'!D213)/100,2))*100</f>
        <v>9707.5857774288397</v>
      </c>
      <c r="C213">
        <f>(3/(1+('CurrentFact-N10,20,40Unchanged'!C213+'CurrentFact-N10,20,40Unchanged'!G213)/100)+103/POWER(1+('CurrentFact-N10,20,40Unchanged'!D213+'CurrentFact-N10,20,40Unchanged'!G213)/100,2))*100</f>
        <v>9614.9673582483465</v>
      </c>
      <c r="D213">
        <f>(3/(1+('CurrentFact-N10,20,40Unchanged'!C213+'CurrentFact-N10,20,40Unchanged'!H213)/100)+103/POWER(1+('CurrentFact-N10,20,40Unchanged'!D213+'CurrentFact-N10,20,40Unchanged'!H213)/100,2))*100</f>
        <v>9601.2395558122898</v>
      </c>
      <c r="E213">
        <f>(3/(1+('CurrentFact-N10,20,40Unchanged'!C213+'CurrentFact-N10,20,40Unchanged'!I213)/100)+103/POWER(1+('CurrentFact-N10,20,40Unchanged'!D213+'CurrentFact-N10,20,40Unchanged'!I213)/100,2))*100</f>
        <v>9580.0160112982776</v>
      </c>
      <c r="F213">
        <f>Portfolio!B$5*'CurrentFact-N10,20,40Unchanged'!E213</f>
        <v>52143.895533915893</v>
      </c>
      <c r="G213">
        <f>Portfolio!B$6*'CurrentFact-N10,20,40Unchanged'!F213</f>
        <v>3696.2945087936532</v>
      </c>
      <c r="H213">
        <f>Portfolio!B$7*'CurrentFact-N10,20,40Unchanged'!J213</f>
        <v>2064.4550337304254</v>
      </c>
      <c r="I213">
        <f t="shared" si="6"/>
        <v>96408.453779227726</v>
      </c>
      <c r="J213">
        <f t="shared" si="7"/>
        <v>-7.3024221623199992E-2</v>
      </c>
    </row>
    <row r="214" spans="1:10">
      <c r="A214" s="1">
        <v>45769</v>
      </c>
      <c r="B214">
        <f>(3/(1+('CurrentFact-N10,20,40Unchanged'!C214)/100)+103/POWER(1+('CurrentFact-N10,20,40Unchanged'!D214)/100,2))*100</f>
        <v>9707.5857774288397</v>
      </c>
      <c r="C214">
        <f>(3/(1+('CurrentFact-N10,20,40Unchanged'!C214+'CurrentFact-N10,20,40Unchanged'!G214)/100)+103/POWER(1+('CurrentFact-N10,20,40Unchanged'!D214+'CurrentFact-N10,20,40Unchanged'!G214)/100,2))*100</f>
        <v>9614.9673582483465</v>
      </c>
      <c r="D214">
        <f>(3/(1+('CurrentFact-N10,20,40Unchanged'!C214+'CurrentFact-N10,20,40Unchanged'!H214)/100)+103/POWER(1+('CurrentFact-N10,20,40Unchanged'!D214+'CurrentFact-N10,20,40Unchanged'!H214)/100,2))*100</f>
        <v>9601.2395558122898</v>
      </c>
      <c r="E214">
        <f>(3/(1+('CurrentFact-N10,20,40Unchanged'!C214+'CurrentFact-N10,20,40Unchanged'!I214)/100)+103/POWER(1+('CurrentFact-N10,20,40Unchanged'!D214+'CurrentFact-N10,20,40Unchanged'!I214)/100,2))*100</f>
        <v>9580.6461702907818</v>
      </c>
      <c r="F214">
        <f>Portfolio!B$5*'CurrentFact-N10,20,40Unchanged'!E214</f>
        <v>52143.895533915893</v>
      </c>
      <c r="G214">
        <f>Portfolio!B$6*'CurrentFact-N10,20,40Unchanged'!F214</f>
        <v>3696.2945087936532</v>
      </c>
      <c r="H214">
        <f>Portfolio!B$7*'CurrentFact-N10,20,40Unchanged'!J214</f>
        <v>2064.4550337304254</v>
      </c>
      <c r="I214">
        <f t="shared" si="6"/>
        <v>96409.083938220225</v>
      </c>
      <c r="J214">
        <f t="shared" si="7"/>
        <v>3.1716787124896655</v>
      </c>
    </row>
    <row r="215" spans="1:10">
      <c r="A215" s="1">
        <v>45770</v>
      </c>
      <c r="B215">
        <f>(3/(1+('CurrentFact-N10,20,40Unchanged'!C215)/100)+103/POWER(1+('CurrentFact-N10,20,40Unchanged'!D215)/100,2))*100</f>
        <v>9707.5857774288397</v>
      </c>
      <c r="C215">
        <f>(3/(1+('CurrentFact-N10,20,40Unchanged'!C215+'CurrentFact-N10,20,40Unchanged'!G215)/100)+103/POWER(1+('CurrentFact-N10,20,40Unchanged'!D215+'CurrentFact-N10,20,40Unchanged'!G215)/100,2))*100</f>
        <v>9614.9673582483465</v>
      </c>
      <c r="D215">
        <f>(3/(1+('CurrentFact-N10,20,40Unchanged'!C215+'CurrentFact-N10,20,40Unchanged'!H215)/100)+103/POWER(1+('CurrentFact-N10,20,40Unchanged'!D215+'CurrentFact-N10,20,40Unchanged'!H215)/100,2))*100</f>
        <v>9601.2395558122898</v>
      </c>
      <c r="E215">
        <f>(3/(1+('CurrentFact-N10,20,40Unchanged'!C215+'CurrentFact-N10,20,40Unchanged'!I215)/100)+103/POWER(1+('CurrentFact-N10,20,40Unchanged'!D215+'CurrentFact-N10,20,40Unchanged'!I215)/100,2))*100</f>
        <v>9581.1060732120277</v>
      </c>
      <c r="F215">
        <f>Portfolio!B$5*'CurrentFact-N10,20,40Unchanged'!E215</f>
        <v>52143.895533915893</v>
      </c>
      <c r="G215">
        <f>Portfolio!B$6*'CurrentFact-N10,20,40Unchanged'!F215</f>
        <v>3696.2945087936532</v>
      </c>
      <c r="H215">
        <f>Portfolio!B$7*'CurrentFact-N10,20,40Unchanged'!J215</f>
        <v>2064.4550337304254</v>
      </c>
      <c r="I215">
        <f t="shared" si="6"/>
        <v>96409.54384114148</v>
      </c>
      <c r="J215">
        <f t="shared" si="7"/>
        <v>1.7742159392510075</v>
      </c>
    </row>
    <row r="216" spans="1:10">
      <c r="A216" s="1">
        <v>45771</v>
      </c>
      <c r="B216">
        <f>(3/(1+('CurrentFact-N10,20,40Unchanged'!C216)/100)+103/POWER(1+('CurrentFact-N10,20,40Unchanged'!D216)/100,2))*100</f>
        <v>9707.5857774288397</v>
      </c>
      <c r="C216">
        <f>(3/(1+('CurrentFact-N10,20,40Unchanged'!C216+'CurrentFact-N10,20,40Unchanged'!G216)/100)+103/POWER(1+('CurrentFact-N10,20,40Unchanged'!D216+'CurrentFact-N10,20,40Unchanged'!G216)/100,2))*100</f>
        <v>9614.9673582483465</v>
      </c>
      <c r="D216">
        <f>(3/(1+('CurrentFact-N10,20,40Unchanged'!C216+'CurrentFact-N10,20,40Unchanged'!H216)/100)+103/POWER(1+('CurrentFact-N10,20,40Unchanged'!D216+'CurrentFact-N10,20,40Unchanged'!H216)/100,2))*100</f>
        <v>9601.2395558122898</v>
      </c>
      <c r="E216">
        <f>(3/(1+('CurrentFact-N10,20,40Unchanged'!C216+'CurrentFact-N10,20,40Unchanged'!I216)/100)+103/POWER(1+('CurrentFact-N10,20,40Unchanged'!D216+'CurrentFact-N10,20,40Unchanged'!I216)/100,2))*100</f>
        <v>9579.9643646704317</v>
      </c>
      <c r="F216">
        <f>Portfolio!B$5*'CurrentFact-N10,20,40Unchanged'!E216</f>
        <v>52143.895533915893</v>
      </c>
      <c r="G216">
        <f>Portfolio!B$6*'CurrentFact-N10,20,40Unchanged'!F216</f>
        <v>3696.2945087936532</v>
      </c>
      <c r="H216">
        <f>Portfolio!B$7*'CurrentFact-N10,20,40Unchanged'!J216</f>
        <v>2064.4550337304254</v>
      </c>
      <c r="I216">
        <f t="shared" si="6"/>
        <v>96408.402132599876</v>
      </c>
      <c r="J216">
        <f t="shared" si="7"/>
        <v>0.13168975085136481</v>
      </c>
    </row>
    <row r="217" spans="1:10">
      <c r="A217" s="1">
        <v>45772</v>
      </c>
      <c r="B217">
        <f>(3/(1+('CurrentFact-N10,20,40Unchanged'!C217)/100)+103/POWER(1+('CurrentFact-N10,20,40Unchanged'!D217)/100,2))*100</f>
        <v>9707.5857774288397</v>
      </c>
      <c r="C217">
        <f>(3/(1+('CurrentFact-N10,20,40Unchanged'!C217+'CurrentFact-N10,20,40Unchanged'!G217)/100)+103/POWER(1+('CurrentFact-N10,20,40Unchanged'!D217+'CurrentFact-N10,20,40Unchanged'!G217)/100,2))*100</f>
        <v>9614.9673582483465</v>
      </c>
      <c r="D217">
        <f>(3/(1+('CurrentFact-N10,20,40Unchanged'!C217+'CurrentFact-N10,20,40Unchanged'!H217)/100)+103/POWER(1+('CurrentFact-N10,20,40Unchanged'!D217+'CurrentFact-N10,20,40Unchanged'!H217)/100,2))*100</f>
        <v>9601.2395558122898</v>
      </c>
      <c r="E217">
        <f>(3/(1+('CurrentFact-N10,20,40Unchanged'!C217+'CurrentFact-N10,20,40Unchanged'!I217)/100)+103/POWER(1+('CurrentFact-N10,20,40Unchanged'!D217+'CurrentFact-N10,20,40Unchanged'!I217)/100,2))*100</f>
        <v>9581.2738336585917</v>
      </c>
      <c r="F217">
        <f>Portfolio!B$5*'CurrentFact-N10,20,40Unchanged'!E217</f>
        <v>52143.895533915893</v>
      </c>
      <c r="G217">
        <f>Portfolio!B$6*'CurrentFact-N10,20,40Unchanged'!F217</f>
        <v>3696.2945087936532</v>
      </c>
      <c r="H217">
        <f>Portfolio!B$7*'CurrentFact-N10,20,40Unchanged'!J217</f>
        <v>2064.4550337304254</v>
      </c>
      <c r="I217">
        <f t="shared" si="6"/>
        <v>96409.711601588031</v>
      </c>
      <c r="J217">
        <f t="shared" si="7"/>
        <v>0.78525070718023926</v>
      </c>
    </row>
    <row r="218" spans="1:10">
      <c r="A218" s="1">
        <v>45775</v>
      </c>
      <c r="B218">
        <f>(3/(1+('CurrentFact-N10,20,40Unchanged'!C218)/100)+103/POWER(1+('CurrentFact-N10,20,40Unchanged'!D218)/100,2))*100</f>
        <v>9707.5857774288397</v>
      </c>
      <c r="C218">
        <f>(3/(1+('CurrentFact-N10,20,40Unchanged'!C218+'CurrentFact-N10,20,40Unchanged'!G218)/100)+103/POWER(1+('CurrentFact-N10,20,40Unchanged'!D218+'CurrentFact-N10,20,40Unchanged'!G218)/100,2))*100</f>
        <v>9614.9673582483465</v>
      </c>
      <c r="D218">
        <f>(3/(1+('CurrentFact-N10,20,40Unchanged'!C218+'CurrentFact-N10,20,40Unchanged'!H218)/100)+103/POWER(1+('CurrentFact-N10,20,40Unchanged'!D218+'CurrentFact-N10,20,40Unchanged'!H218)/100,2))*100</f>
        <v>9601.2395558122898</v>
      </c>
      <c r="E218">
        <f>(3/(1+('CurrentFact-N10,20,40Unchanged'!C218+'CurrentFact-N10,20,40Unchanged'!I218)/100)+103/POWER(1+('CurrentFact-N10,20,40Unchanged'!D218+'CurrentFact-N10,20,40Unchanged'!I218)/100,2))*100</f>
        <v>9581.7461701869233</v>
      </c>
      <c r="F218">
        <f>Portfolio!B$5*'CurrentFact-N10,20,40Unchanged'!E218</f>
        <v>52143.895533915893</v>
      </c>
      <c r="G218">
        <f>Portfolio!B$6*'CurrentFact-N10,20,40Unchanged'!F218</f>
        <v>3696.2945087936532</v>
      </c>
      <c r="H218">
        <f>Portfolio!B$7*'CurrentFact-N10,20,40Unchanged'!J218</f>
        <v>2064.4550337304254</v>
      </c>
      <c r="I218">
        <f t="shared" si="6"/>
        <v>96410.183938116374</v>
      </c>
      <c r="J218">
        <f t="shared" si="7"/>
        <v>-0.54493382487271447</v>
      </c>
    </row>
    <row r="219" spans="1:10">
      <c r="A219" s="1">
        <v>45776</v>
      </c>
      <c r="B219">
        <f>(3/(1+('CurrentFact-N10,20,40Unchanged'!C219)/100)+103/POWER(1+('CurrentFact-N10,20,40Unchanged'!D219)/100,2))*100</f>
        <v>9707.5857774288397</v>
      </c>
      <c r="C219">
        <f>(3/(1+('CurrentFact-N10,20,40Unchanged'!C219+'CurrentFact-N10,20,40Unchanged'!G219)/100)+103/POWER(1+('CurrentFact-N10,20,40Unchanged'!D219+'CurrentFact-N10,20,40Unchanged'!G219)/100,2))*100</f>
        <v>9614.9673582483465</v>
      </c>
      <c r="D219">
        <f>(3/(1+('CurrentFact-N10,20,40Unchanged'!C219+'CurrentFact-N10,20,40Unchanged'!H219)/100)+103/POWER(1+('CurrentFact-N10,20,40Unchanged'!D219+'CurrentFact-N10,20,40Unchanged'!H219)/100,2))*100</f>
        <v>9601.2395558122898</v>
      </c>
      <c r="E219">
        <f>(3/(1+('CurrentFact-N10,20,40Unchanged'!C219+'CurrentFact-N10,20,40Unchanged'!I219)/100)+103/POWER(1+('CurrentFact-N10,20,40Unchanged'!D219+'CurrentFact-N10,20,40Unchanged'!I219)/100,2))*100</f>
        <v>9580.1848347560372</v>
      </c>
      <c r="F219">
        <f>Portfolio!B$5*'CurrentFact-N10,20,40Unchanged'!E219</f>
        <v>52143.895533915893</v>
      </c>
      <c r="G219">
        <f>Portfolio!B$6*'CurrentFact-N10,20,40Unchanged'!F219</f>
        <v>3696.2945087936532</v>
      </c>
      <c r="H219">
        <f>Portfolio!B$7*'CurrentFact-N10,20,40Unchanged'!J219</f>
        <v>2064.4550337304254</v>
      </c>
      <c r="I219">
        <f t="shared" si="6"/>
        <v>96408.622602685486</v>
      </c>
      <c r="J219">
        <f t="shared" si="7"/>
        <v>-2.1018366967182374</v>
      </c>
    </row>
    <row r="220" spans="1:10">
      <c r="A220" s="1">
        <v>45777</v>
      </c>
      <c r="B220">
        <f>(3/(1+('CurrentFact-N10,20,40Unchanged'!C220)/100)+103/POWER(1+('CurrentFact-N10,20,40Unchanged'!D220)/100,2))*100</f>
        <v>9707.5857774288397</v>
      </c>
      <c r="C220">
        <f>(3/(1+('CurrentFact-N10,20,40Unchanged'!C220+'CurrentFact-N10,20,40Unchanged'!G220)/100)+103/POWER(1+('CurrentFact-N10,20,40Unchanged'!D220+'CurrentFact-N10,20,40Unchanged'!G220)/100,2))*100</f>
        <v>9614.9673582483465</v>
      </c>
      <c r="D220">
        <f>(3/(1+('CurrentFact-N10,20,40Unchanged'!C220+'CurrentFact-N10,20,40Unchanged'!H220)/100)+103/POWER(1+('CurrentFact-N10,20,40Unchanged'!D220+'CurrentFact-N10,20,40Unchanged'!H220)/100,2))*100</f>
        <v>9601.2395558122898</v>
      </c>
      <c r="E220">
        <f>(3/(1+('CurrentFact-N10,20,40Unchanged'!C220+'CurrentFact-N10,20,40Unchanged'!I220)/100)+103/POWER(1+('CurrentFact-N10,20,40Unchanged'!D220+'CurrentFact-N10,20,40Unchanged'!I220)/100,2))*100</f>
        <v>9579.8196664277166</v>
      </c>
      <c r="F220">
        <f>Portfolio!B$5*'CurrentFact-N10,20,40Unchanged'!E220</f>
        <v>52143.895533915893</v>
      </c>
      <c r="G220">
        <f>Portfolio!B$6*'CurrentFact-N10,20,40Unchanged'!F220</f>
        <v>3696.2945087936532</v>
      </c>
      <c r="H220">
        <f>Portfolio!B$7*'CurrentFact-N10,20,40Unchanged'!J220</f>
        <v>2064.4550337304254</v>
      </c>
      <c r="I220">
        <f t="shared" si="6"/>
        <v>96408.257434357161</v>
      </c>
      <c r="J220">
        <f t="shared" si="7"/>
        <v>-0.61697466499754228</v>
      </c>
    </row>
    <row r="221" spans="1:10">
      <c r="A221" s="1">
        <v>45778</v>
      </c>
      <c r="B221">
        <f>(3/(1+('CurrentFact-N10,20,40Unchanged'!C221)/100)+103/POWER(1+('CurrentFact-N10,20,40Unchanged'!D221)/100,2))*100</f>
        <v>9707.5857774288397</v>
      </c>
      <c r="C221">
        <f>(3/(1+('CurrentFact-N10,20,40Unchanged'!C221+'CurrentFact-N10,20,40Unchanged'!G221)/100)+103/POWER(1+('CurrentFact-N10,20,40Unchanged'!D221+'CurrentFact-N10,20,40Unchanged'!G221)/100,2))*100</f>
        <v>9614.9673582483465</v>
      </c>
      <c r="D221">
        <f>(3/(1+('CurrentFact-N10,20,40Unchanged'!C221+'CurrentFact-N10,20,40Unchanged'!H221)/100)+103/POWER(1+('CurrentFact-N10,20,40Unchanged'!D221+'CurrentFact-N10,20,40Unchanged'!H221)/100,2))*100</f>
        <v>9601.2395558122898</v>
      </c>
      <c r="E221">
        <f>(3/(1+('CurrentFact-N10,20,40Unchanged'!C221+'CurrentFact-N10,20,40Unchanged'!I221)/100)+103/POWER(1+('CurrentFact-N10,20,40Unchanged'!D221+'CurrentFact-N10,20,40Unchanged'!I221)/100,2))*100</f>
        <v>9582.0116488298263</v>
      </c>
      <c r="F221">
        <f>Portfolio!B$5*'CurrentFact-N10,20,40Unchanged'!E221</f>
        <v>52143.895533915893</v>
      </c>
      <c r="G221">
        <f>Portfolio!B$6*'CurrentFact-N10,20,40Unchanged'!F221</f>
        <v>3696.2945087936532</v>
      </c>
      <c r="H221">
        <f>Portfolio!B$7*'CurrentFact-N10,20,40Unchanged'!J221</f>
        <v>2064.4550337304254</v>
      </c>
      <c r="I221">
        <f t="shared" si="6"/>
        <v>96410.449416759278</v>
      </c>
      <c r="J221">
        <f t="shared" si="7"/>
        <v>1.1669177827134263</v>
      </c>
    </row>
    <row r="222" spans="1:10">
      <c r="A222" s="1">
        <v>45779</v>
      </c>
      <c r="B222">
        <f>(3/(1+('CurrentFact-N10,20,40Unchanged'!C222)/100)+103/POWER(1+('CurrentFact-N10,20,40Unchanged'!D222)/100,2))*100</f>
        <v>9707.5857774288397</v>
      </c>
      <c r="C222">
        <f>(3/(1+('CurrentFact-N10,20,40Unchanged'!C222+'CurrentFact-N10,20,40Unchanged'!G222)/100)+103/POWER(1+('CurrentFact-N10,20,40Unchanged'!D222+'CurrentFact-N10,20,40Unchanged'!G222)/100,2))*100</f>
        <v>9614.9673582483465</v>
      </c>
      <c r="D222">
        <f>(3/(1+('CurrentFact-N10,20,40Unchanged'!C222+'CurrentFact-N10,20,40Unchanged'!H222)/100)+103/POWER(1+('CurrentFact-N10,20,40Unchanged'!D222+'CurrentFact-N10,20,40Unchanged'!H222)/100,2))*100</f>
        <v>9601.2395558122898</v>
      </c>
      <c r="E222">
        <f>(3/(1+('CurrentFact-N10,20,40Unchanged'!C222+'CurrentFact-N10,20,40Unchanged'!I222)/100)+103/POWER(1+('CurrentFact-N10,20,40Unchanged'!D222+'CurrentFact-N10,20,40Unchanged'!I222)/100,2))*100</f>
        <v>9582.1326987173798</v>
      </c>
      <c r="F222">
        <f>Portfolio!B$5*'CurrentFact-N10,20,40Unchanged'!E222</f>
        <v>52143.895533915893</v>
      </c>
      <c r="G222">
        <f>Portfolio!B$6*'CurrentFact-N10,20,40Unchanged'!F222</f>
        <v>3696.2945087936532</v>
      </c>
      <c r="H222">
        <f>Portfolio!B$7*'CurrentFact-N10,20,40Unchanged'!J222</f>
        <v>2064.4550337304254</v>
      </c>
      <c r="I222">
        <f t="shared" si="6"/>
        <v>96410.570466646837</v>
      </c>
      <c r="J222">
        <f t="shared" si="7"/>
        <v>2.6194858000526438</v>
      </c>
    </row>
    <row r="223" spans="1:10">
      <c r="A223" s="1">
        <v>45782</v>
      </c>
      <c r="B223">
        <f>(3/(1+('CurrentFact-N10,20,40Unchanged'!C223)/100)+103/POWER(1+('CurrentFact-N10,20,40Unchanged'!D223)/100,2))*100</f>
        <v>9707.5857774288397</v>
      </c>
      <c r="C223">
        <f>(3/(1+('CurrentFact-N10,20,40Unchanged'!C223+'CurrentFact-N10,20,40Unchanged'!G223)/100)+103/POWER(1+('CurrentFact-N10,20,40Unchanged'!D223+'CurrentFact-N10,20,40Unchanged'!G223)/100,2))*100</f>
        <v>9614.9673582483465</v>
      </c>
      <c r="D223">
        <f>(3/(1+('CurrentFact-N10,20,40Unchanged'!C223+'CurrentFact-N10,20,40Unchanged'!H223)/100)+103/POWER(1+('CurrentFact-N10,20,40Unchanged'!D223+'CurrentFact-N10,20,40Unchanged'!H223)/100,2))*100</f>
        <v>9601.2395558122898</v>
      </c>
      <c r="E223">
        <f>(3/(1+('CurrentFact-N10,20,40Unchanged'!C223+'CurrentFact-N10,20,40Unchanged'!I223)/100)+103/POWER(1+('CurrentFact-N10,20,40Unchanged'!D223+'CurrentFact-N10,20,40Unchanged'!I223)/100,2))*100</f>
        <v>9581.3670498975716</v>
      </c>
      <c r="F223">
        <f>Portfolio!B$5*'CurrentFact-N10,20,40Unchanged'!E223</f>
        <v>52143.895533915893</v>
      </c>
      <c r="G223">
        <f>Portfolio!B$6*'CurrentFact-N10,20,40Unchanged'!F223</f>
        <v>3696.2945087936532</v>
      </c>
      <c r="H223">
        <f>Portfolio!B$7*'CurrentFact-N10,20,40Unchanged'!J223</f>
        <v>2064.4550337304254</v>
      </c>
      <c r="I223">
        <f t="shared" si="6"/>
        <v>96409.804817827011</v>
      </c>
      <c r="J223">
        <f t="shared" si="7"/>
        <v>1.3510385992849478</v>
      </c>
    </row>
    <row r="224" spans="1:10">
      <c r="A224" s="1">
        <v>45783</v>
      </c>
      <c r="B224">
        <f>(3/(1+('CurrentFact-N10,20,40Unchanged'!C224)/100)+103/POWER(1+('CurrentFact-N10,20,40Unchanged'!D224)/100,2))*100</f>
        <v>9707.5857774288397</v>
      </c>
      <c r="C224">
        <f>(3/(1+('CurrentFact-N10,20,40Unchanged'!C224+'CurrentFact-N10,20,40Unchanged'!G224)/100)+103/POWER(1+('CurrentFact-N10,20,40Unchanged'!D224+'CurrentFact-N10,20,40Unchanged'!G224)/100,2))*100</f>
        <v>9614.9673582483465</v>
      </c>
      <c r="D224">
        <f>(3/(1+('CurrentFact-N10,20,40Unchanged'!C224+'CurrentFact-N10,20,40Unchanged'!H224)/100)+103/POWER(1+('CurrentFact-N10,20,40Unchanged'!D224+'CurrentFact-N10,20,40Unchanged'!H224)/100,2))*100</f>
        <v>9601.2395558122898</v>
      </c>
      <c r="E224">
        <f>(3/(1+('CurrentFact-N10,20,40Unchanged'!C224+'CurrentFact-N10,20,40Unchanged'!I224)/100)+103/POWER(1+('CurrentFact-N10,20,40Unchanged'!D224+'CurrentFact-N10,20,40Unchanged'!I224)/100,2))*100</f>
        <v>9580.5783462320705</v>
      </c>
      <c r="F224">
        <f>Portfolio!B$5*'CurrentFact-N10,20,40Unchanged'!E224</f>
        <v>52143.895533915893</v>
      </c>
      <c r="G224">
        <f>Portfolio!B$6*'CurrentFact-N10,20,40Unchanged'!F224</f>
        <v>3696.2945087936532</v>
      </c>
      <c r="H224">
        <f>Portfolio!B$7*'CurrentFact-N10,20,40Unchanged'!J224</f>
        <v>2064.4550337304254</v>
      </c>
      <c r="I224">
        <f t="shared" si="6"/>
        <v>96409.016114161524</v>
      </c>
      <c r="J224">
        <f t="shared" si="7"/>
        <v>-6.7824058700352907E-2</v>
      </c>
    </row>
    <row r="225" spans="1:10">
      <c r="A225" s="1">
        <v>45784</v>
      </c>
      <c r="B225">
        <f>(3/(1+('CurrentFact-N10,20,40Unchanged'!C225)/100)+103/POWER(1+('CurrentFact-N10,20,40Unchanged'!D225)/100,2))*100</f>
        <v>9707.5857774288397</v>
      </c>
      <c r="C225">
        <f>(3/(1+('CurrentFact-N10,20,40Unchanged'!C225+'CurrentFact-N10,20,40Unchanged'!G225)/100)+103/POWER(1+('CurrentFact-N10,20,40Unchanged'!D225+'CurrentFact-N10,20,40Unchanged'!G225)/100,2))*100</f>
        <v>9614.9673582483465</v>
      </c>
      <c r="D225">
        <f>(3/(1+('CurrentFact-N10,20,40Unchanged'!C225+'CurrentFact-N10,20,40Unchanged'!H225)/100)+103/POWER(1+('CurrentFact-N10,20,40Unchanged'!D225+'CurrentFact-N10,20,40Unchanged'!H225)/100,2))*100</f>
        <v>9601.2395558122898</v>
      </c>
      <c r="E225">
        <f>(3/(1+('CurrentFact-N10,20,40Unchanged'!C225+'CurrentFact-N10,20,40Unchanged'!I225)/100)+103/POWER(1+('CurrentFact-N10,20,40Unchanged'!D225+'CurrentFact-N10,20,40Unchanged'!I225)/100,2))*100</f>
        <v>9579.4241231332035</v>
      </c>
      <c r="F225">
        <f>Portfolio!B$5*'CurrentFact-N10,20,40Unchanged'!E225</f>
        <v>52143.895533915893</v>
      </c>
      <c r="G225">
        <f>Portfolio!B$6*'CurrentFact-N10,20,40Unchanged'!F225</f>
        <v>3696.2945087936532</v>
      </c>
      <c r="H225">
        <f>Portfolio!B$7*'CurrentFact-N10,20,40Unchanged'!J225</f>
        <v>2064.4550337304254</v>
      </c>
      <c r="I225">
        <f t="shared" si="6"/>
        <v>96407.861891062654</v>
      </c>
      <c r="J225">
        <f t="shared" si="7"/>
        <v>-1.6819500788260484</v>
      </c>
    </row>
    <row r="226" spans="1:10">
      <c r="A226" s="1">
        <v>45785</v>
      </c>
      <c r="B226">
        <f>(3/(1+('CurrentFact-N10,20,40Unchanged'!C226)/100)+103/POWER(1+('CurrentFact-N10,20,40Unchanged'!D226)/100,2))*100</f>
        <v>9707.5857774288397</v>
      </c>
      <c r="C226">
        <f>(3/(1+('CurrentFact-N10,20,40Unchanged'!C226+'CurrentFact-N10,20,40Unchanged'!G226)/100)+103/POWER(1+('CurrentFact-N10,20,40Unchanged'!D226+'CurrentFact-N10,20,40Unchanged'!G226)/100,2))*100</f>
        <v>9614.9673582483465</v>
      </c>
      <c r="D226">
        <f>(3/(1+('CurrentFact-N10,20,40Unchanged'!C226+'CurrentFact-N10,20,40Unchanged'!H226)/100)+103/POWER(1+('CurrentFact-N10,20,40Unchanged'!D226+'CurrentFact-N10,20,40Unchanged'!H226)/100,2))*100</f>
        <v>9601.2395558122898</v>
      </c>
      <c r="E226">
        <f>(3/(1+('CurrentFact-N10,20,40Unchanged'!C226+'CurrentFact-N10,20,40Unchanged'!I226)/100)+103/POWER(1+('CurrentFact-N10,20,40Unchanged'!D226+'CurrentFact-N10,20,40Unchanged'!I226)/100,2))*100</f>
        <v>9579.3005286208645</v>
      </c>
      <c r="F226">
        <f>Portfolio!B$5*'CurrentFact-N10,20,40Unchanged'!E226</f>
        <v>52143.895533915893</v>
      </c>
      <c r="G226">
        <f>Portfolio!B$6*'CurrentFact-N10,20,40Unchanged'!F226</f>
        <v>3696.2945087936532</v>
      </c>
      <c r="H226">
        <f>Portfolio!B$7*'CurrentFact-N10,20,40Unchanged'!J226</f>
        <v>2064.4550337304254</v>
      </c>
      <c r="I226">
        <f t="shared" si="6"/>
        <v>96407.73829655032</v>
      </c>
      <c r="J226">
        <f t="shared" si="7"/>
        <v>-0.66383604955626652</v>
      </c>
    </row>
    <row r="227" spans="1:10">
      <c r="A227" s="1">
        <v>45786</v>
      </c>
      <c r="B227">
        <f>(3/(1+('CurrentFact-N10,20,40Unchanged'!C227)/100)+103/POWER(1+('CurrentFact-N10,20,40Unchanged'!D227)/100,2))*100</f>
        <v>9707.5857774288397</v>
      </c>
      <c r="C227">
        <f>(3/(1+('CurrentFact-N10,20,40Unchanged'!C227+'CurrentFact-N10,20,40Unchanged'!G227)/100)+103/POWER(1+('CurrentFact-N10,20,40Unchanged'!D227+'CurrentFact-N10,20,40Unchanged'!G227)/100,2))*100</f>
        <v>9614.9673582483465</v>
      </c>
      <c r="D227">
        <f>(3/(1+('CurrentFact-N10,20,40Unchanged'!C227+'CurrentFact-N10,20,40Unchanged'!H227)/100)+103/POWER(1+('CurrentFact-N10,20,40Unchanged'!D227+'CurrentFact-N10,20,40Unchanged'!H227)/100,2))*100</f>
        <v>9601.2395558122898</v>
      </c>
      <c r="E227">
        <f>(3/(1+('CurrentFact-N10,20,40Unchanged'!C227+'CurrentFact-N10,20,40Unchanged'!I227)/100)+103/POWER(1+('CurrentFact-N10,20,40Unchanged'!D227+'CurrentFact-N10,20,40Unchanged'!I227)/100,2))*100</f>
        <v>9580.996708806304</v>
      </c>
      <c r="F227">
        <f>Portfolio!B$5*'CurrentFact-N10,20,40Unchanged'!E227</f>
        <v>52143.895533915893</v>
      </c>
      <c r="G227">
        <f>Portfolio!B$6*'CurrentFact-N10,20,40Unchanged'!F227</f>
        <v>3696.2945087936532</v>
      </c>
      <c r="H227">
        <f>Portfolio!B$7*'CurrentFact-N10,20,40Unchanged'!J227</f>
        <v>2064.4550337304254</v>
      </c>
      <c r="I227">
        <f t="shared" si="6"/>
        <v>96409.434476735754</v>
      </c>
      <c r="J227">
        <f t="shared" si="7"/>
        <v>-0.27712485227675643</v>
      </c>
    </row>
    <row r="228" spans="1:10">
      <c r="A228" s="1">
        <v>45789</v>
      </c>
      <c r="B228">
        <f>(3/(1+('CurrentFact-N10,20,40Unchanged'!C228)/100)+103/POWER(1+('CurrentFact-N10,20,40Unchanged'!D228)/100,2))*100</f>
        <v>9707.5857774288397</v>
      </c>
      <c r="C228">
        <f>(3/(1+('CurrentFact-N10,20,40Unchanged'!C228+'CurrentFact-N10,20,40Unchanged'!G228)/100)+103/POWER(1+('CurrentFact-N10,20,40Unchanged'!D228+'CurrentFact-N10,20,40Unchanged'!G228)/100,2))*100</f>
        <v>9614.9673582483465</v>
      </c>
      <c r="D228">
        <f>(3/(1+('CurrentFact-N10,20,40Unchanged'!C228+'CurrentFact-N10,20,40Unchanged'!H228)/100)+103/POWER(1+('CurrentFact-N10,20,40Unchanged'!D228+'CurrentFact-N10,20,40Unchanged'!H228)/100,2))*100</f>
        <v>9601.2395558122898</v>
      </c>
      <c r="E228">
        <f>(3/(1+('CurrentFact-N10,20,40Unchanged'!C228+'CurrentFact-N10,20,40Unchanged'!I228)/100)+103/POWER(1+('CurrentFact-N10,20,40Unchanged'!D228+'CurrentFact-N10,20,40Unchanged'!I228)/100,2))*100</f>
        <v>9580.3650991372488</v>
      </c>
      <c r="F228">
        <f>Portfolio!B$5*'CurrentFact-N10,20,40Unchanged'!E228</f>
        <v>52143.895533915893</v>
      </c>
      <c r="G228">
        <f>Portfolio!B$6*'CurrentFact-N10,20,40Unchanged'!F228</f>
        <v>3696.2945087936532</v>
      </c>
      <c r="H228">
        <f>Portfolio!B$7*'CurrentFact-N10,20,40Unchanged'!J228</f>
        <v>2064.4550337304254</v>
      </c>
      <c r="I228">
        <f t="shared" si="6"/>
        <v>96408.802867066697</v>
      </c>
      <c r="J228">
        <f t="shared" si="7"/>
        <v>-1.3810710496763932</v>
      </c>
    </row>
    <row r="229" spans="1:10">
      <c r="A229" s="1">
        <v>45790</v>
      </c>
      <c r="B229">
        <f>(3/(1+('CurrentFact-N10,20,40Unchanged'!C229)/100)+103/POWER(1+('CurrentFact-N10,20,40Unchanged'!D229)/100,2))*100</f>
        <v>9707.5857774288397</v>
      </c>
      <c r="C229">
        <f>(3/(1+('CurrentFact-N10,20,40Unchanged'!C229+'CurrentFact-N10,20,40Unchanged'!G229)/100)+103/POWER(1+('CurrentFact-N10,20,40Unchanged'!D229+'CurrentFact-N10,20,40Unchanged'!G229)/100,2))*100</f>
        <v>9614.9673582483465</v>
      </c>
      <c r="D229">
        <f>(3/(1+('CurrentFact-N10,20,40Unchanged'!C229+'CurrentFact-N10,20,40Unchanged'!H229)/100)+103/POWER(1+('CurrentFact-N10,20,40Unchanged'!D229+'CurrentFact-N10,20,40Unchanged'!H229)/100,2))*100</f>
        <v>9601.2395558122898</v>
      </c>
      <c r="E229">
        <f>(3/(1+('CurrentFact-N10,20,40Unchanged'!C229+'CurrentFact-N10,20,40Unchanged'!I229)/100)+103/POWER(1+('CurrentFact-N10,20,40Unchanged'!D229+'CurrentFact-N10,20,40Unchanged'!I229)/100,2))*100</f>
        <v>9580.2798343728318</v>
      </c>
      <c r="F229">
        <f>Portfolio!B$5*'CurrentFact-N10,20,40Unchanged'!E229</f>
        <v>52143.895533915893</v>
      </c>
      <c r="G229">
        <f>Portfolio!B$6*'CurrentFact-N10,20,40Unchanged'!F229</f>
        <v>3696.2945087936532</v>
      </c>
      <c r="H229">
        <f>Portfolio!B$7*'CurrentFact-N10,20,40Unchanged'!J229</f>
        <v>2064.4550337304254</v>
      </c>
      <c r="I229">
        <f t="shared" si="6"/>
        <v>96408.717602302291</v>
      </c>
      <c r="J229">
        <f t="shared" si="7"/>
        <v>9.4999616805580445E-2</v>
      </c>
    </row>
    <row r="230" spans="1:10">
      <c r="A230" s="1">
        <v>45791</v>
      </c>
      <c r="B230">
        <f>(3/(1+('CurrentFact-N10,20,40Unchanged'!C230)/100)+103/POWER(1+('CurrentFact-N10,20,40Unchanged'!D230)/100,2))*100</f>
        <v>9707.5857774288397</v>
      </c>
      <c r="C230">
        <f>(3/(1+('CurrentFact-N10,20,40Unchanged'!C230+'CurrentFact-N10,20,40Unchanged'!G230)/100)+103/POWER(1+('CurrentFact-N10,20,40Unchanged'!D230+'CurrentFact-N10,20,40Unchanged'!G230)/100,2))*100</f>
        <v>9614.9673582483465</v>
      </c>
      <c r="D230">
        <f>(3/(1+('CurrentFact-N10,20,40Unchanged'!C230+'CurrentFact-N10,20,40Unchanged'!H230)/100)+103/POWER(1+('CurrentFact-N10,20,40Unchanged'!D230+'CurrentFact-N10,20,40Unchanged'!H230)/100,2))*100</f>
        <v>9601.2395558122898</v>
      </c>
      <c r="E230">
        <f>(3/(1+('CurrentFact-N10,20,40Unchanged'!C230+'CurrentFact-N10,20,40Unchanged'!I230)/100)+103/POWER(1+('CurrentFact-N10,20,40Unchanged'!D230+'CurrentFact-N10,20,40Unchanged'!I230)/100,2))*100</f>
        <v>9580.7792612115554</v>
      </c>
      <c r="F230">
        <f>Portfolio!B$5*'CurrentFact-N10,20,40Unchanged'!E230</f>
        <v>52143.895533915893</v>
      </c>
      <c r="G230">
        <f>Portfolio!B$6*'CurrentFact-N10,20,40Unchanged'!F230</f>
        <v>3696.2945087936532</v>
      </c>
      <c r="H230">
        <f>Portfolio!B$7*'CurrentFact-N10,20,40Unchanged'!J230</f>
        <v>2064.4550337304254</v>
      </c>
      <c r="I230">
        <f t="shared" si="6"/>
        <v>96409.217029141</v>
      </c>
      <c r="J230">
        <f t="shared" si="7"/>
        <v>0.95959478383883834</v>
      </c>
    </row>
    <row r="231" spans="1:10">
      <c r="A231" s="1">
        <v>45792</v>
      </c>
      <c r="B231">
        <f>(3/(1+('CurrentFact-N10,20,40Unchanged'!C231)/100)+103/POWER(1+('CurrentFact-N10,20,40Unchanged'!D231)/100,2))*100</f>
        <v>9707.5857774288397</v>
      </c>
      <c r="C231">
        <f>(3/(1+('CurrentFact-N10,20,40Unchanged'!C231+'CurrentFact-N10,20,40Unchanged'!G231)/100)+103/POWER(1+('CurrentFact-N10,20,40Unchanged'!D231+'CurrentFact-N10,20,40Unchanged'!G231)/100,2))*100</f>
        <v>9614.9673582483465</v>
      </c>
      <c r="D231">
        <f>(3/(1+('CurrentFact-N10,20,40Unchanged'!C231+'CurrentFact-N10,20,40Unchanged'!H231)/100)+103/POWER(1+('CurrentFact-N10,20,40Unchanged'!D231+'CurrentFact-N10,20,40Unchanged'!H231)/100,2))*100</f>
        <v>9601.2395558122898</v>
      </c>
      <c r="E231">
        <f>(3/(1+('CurrentFact-N10,20,40Unchanged'!C231+'CurrentFact-N10,20,40Unchanged'!I231)/100)+103/POWER(1+('CurrentFact-N10,20,40Unchanged'!D231+'CurrentFact-N10,20,40Unchanged'!I231)/100,2))*100</f>
        <v>9580.70713809466</v>
      </c>
      <c r="F231">
        <f>Portfolio!B$5*'CurrentFact-N10,20,40Unchanged'!E231</f>
        <v>52143.895533915893</v>
      </c>
      <c r="G231">
        <f>Portfolio!B$6*'CurrentFact-N10,20,40Unchanged'!F231</f>
        <v>3696.2945087936532</v>
      </c>
      <c r="H231">
        <f>Portfolio!B$7*'CurrentFact-N10,20,40Unchanged'!J231</f>
        <v>2064.4550337304254</v>
      </c>
      <c r="I231">
        <f t="shared" si="6"/>
        <v>96409.144906024099</v>
      </c>
      <c r="J231">
        <f t="shared" si="7"/>
        <v>-1.3045107351790648</v>
      </c>
    </row>
    <row r="232" spans="1:10">
      <c r="A232" s="1">
        <v>45793</v>
      </c>
      <c r="B232">
        <f>(3/(1+('CurrentFact-N10,20,40Unchanged'!C232)/100)+103/POWER(1+('CurrentFact-N10,20,40Unchanged'!D232)/100,2))*100</f>
        <v>9707.5857774288397</v>
      </c>
      <c r="C232">
        <f>(3/(1+('CurrentFact-N10,20,40Unchanged'!C232+'CurrentFact-N10,20,40Unchanged'!G232)/100)+103/POWER(1+('CurrentFact-N10,20,40Unchanged'!D232+'CurrentFact-N10,20,40Unchanged'!G232)/100,2))*100</f>
        <v>9614.9673582483465</v>
      </c>
      <c r="D232">
        <f>(3/(1+('CurrentFact-N10,20,40Unchanged'!C232+'CurrentFact-N10,20,40Unchanged'!H232)/100)+103/POWER(1+('CurrentFact-N10,20,40Unchanged'!D232+'CurrentFact-N10,20,40Unchanged'!H232)/100,2))*100</f>
        <v>9601.2395558122898</v>
      </c>
      <c r="E232">
        <f>(3/(1+('CurrentFact-N10,20,40Unchanged'!C232+'CurrentFact-N10,20,40Unchanged'!I232)/100)+103/POWER(1+('CurrentFact-N10,20,40Unchanged'!D232+'CurrentFact-N10,20,40Unchanged'!I232)/100,2))*100</f>
        <v>9580.6265560858756</v>
      </c>
      <c r="F232">
        <f>Portfolio!B$5*'CurrentFact-N10,20,40Unchanged'!E232</f>
        <v>52143.895533915893</v>
      </c>
      <c r="G232">
        <f>Portfolio!B$6*'CurrentFact-N10,20,40Unchanged'!F232</f>
        <v>3696.2945087936532</v>
      </c>
      <c r="H232">
        <f>Portfolio!B$7*'CurrentFact-N10,20,40Unchanged'!J232</f>
        <v>2064.4550337304254</v>
      </c>
      <c r="I232">
        <f t="shared" si="6"/>
        <v>96409.064324015315</v>
      </c>
      <c r="J232">
        <f t="shared" si="7"/>
        <v>-1.5061426315223798</v>
      </c>
    </row>
    <row r="233" spans="1:10">
      <c r="A233" s="1">
        <v>45796</v>
      </c>
      <c r="B233">
        <f>(3/(1+('CurrentFact-N10,20,40Unchanged'!C233)/100)+103/POWER(1+('CurrentFact-N10,20,40Unchanged'!D233)/100,2))*100</f>
        <v>9707.5857774288397</v>
      </c>
      <c r="C233">
        <f>(3/(1+('CurrentFact-N10,20,40Unchanged'!C233+'CurrentFact-N10,20,40Unchanged'!G233)/100)+103/POWER(1+('CurrentFact-N10,20,40Unchanged'!D233+'CurrentFact-N10,20,40Unchanged'!G233)/100,2))*100</f>
        <v>9614.9673582483465</v>
      </c>
      <c r="D233">
        <f>(3/(1+('CurrentFact-N10,20,40Unchanged'!C233+'CurrentFact-N10,20,40Unchanged'!H233)/100)+103/POWER(1+('CurrentFact-N10,20,40Unchanged'!D233+'CurrentFact-N10,20,40Unchanged'!H233)/100,2))*100</f>
        <v>9601.2395558122898</v>
      </c>
      <c r="E233">
        <f>(3/(1+('CurrentFact-N10,20,40Unchanged'!C233+'CurrentFact-N10,20,40Unchanged'!I233)/100)+103/POWER(1+('CurrentFact-N10,20,40Unchanged'!D233+'CurrentFact-N10,20,40Unchanged'!I233)/100,2))*100</f>
        <v>9579.7043812262018</v>
      </c>
      <c r="F233">
        <f>Portfolio!B$5*'CurrentFact-N10,20,40Unchanged'!E233</f>
        <v>52143.895533915893</v>
      </c>
      <c r="G233">
        <f>Portfolio!B$6*'CurrentFact-N10,20,40Unchanged'!F233</f>
        <v>3696.2945087936532</v>
      </c>
      <c r="H233">
        <f>Portfolio!B$7*'CurrentFact-N10,20,40Unchanged'!J233</f>
        <v>2064.4550337304254</v>
      </c>
      <c r="I233">
        <f t="shared" si="6"/>
        <v>96408.142149155639</v>
      </c>
      <c r="J233">
        <f t="shared" si="7"/>
        <v>-1.6626686713716481</v>
      </c>
    </row>
    <row r="234" spans="1:10">
      <c r="A234" s="1">
        <v>45797</v>
      </c>
      <c r="B234">
        <f>(3/(1+('CurrentFact-N10,20,40Unchanged'!C234)/100)+103/POWER(1+('CurrentFact-N10,20,40Unchanged'!D234)/100,2))*100</f>
        <v>9707.5857774288397</v>
      </c>
      <c r="C234">
        <f>(3/(1+('CurrentFact-N10,20,40Unchanged'!C234+'CurrentFact-N10,20,40Unchanged'!G234)/100)+103/POWER(1+('CurrentFact-N10,20,40Unchanged'!D234+'CurrentFact-N10,20,40Unchanged'!G234)/100,2))*100</f>
        <v>9614.9673582483465</v>
      </c>
      <c r="D234">
        <f>(3/(1+('CurrentFact-N10,20,40Unchanged'!C234+'CurrentFact-N10,20,40Unchanged'!H234)/100)+103/POWER(1+('CurrentFact-N10,20,40Unchanged'!D234+'CurrentFact-N10,20,40Unchanged'!H234)/100,2))*100</f>
        <v>9601.2395558122898</v>
      </c>
      <c r="E234">
        <f>(3/(1+('CurrentFact-N10,20,40Unchanged'!C234+'CurrentFact-N10,20,40Unchanged'!I234)/100)+103/POWER(1+('CurrentFact-N10,20,40Unchanged'!D234+'CurrentFact-N10,20,40Unchanged'!I234)/100,2))*100</f>
        <v>9581.090087865281</v>
      </c>
      <c r="F234">
        <f>Portfolio!B$5*'CurrentFact-N10,20,40Unchanged'!E234</f>
        <v>52143.895533915893</v>
      </c>
      <c r="G234">
        <f>Portfolio!B$6*'CurrentFact-N10,20,40Unchanged'!F234</f>
        <v>3696.2945087936532</v>
      </c>
      <c r="H234">
        <f>Portfolio!B$7*'CurrentFact-N10,20,40Unchanged'!J234</f>
        <v>2064.4550337304254</v>
      </c>
      <c r="I234">
        <f t="shared" si="6"/>
        <v>96409.527855794731</v>
      </c>
      <c r="J234">
        <f t="shared" si="7"/>
        <v>0.51174163320683874</v>
      </c>
    </row>
    <row r="235" spans="1:10">
      <c r="A235" s="1">
        <v>45798</v>
      </c>
      <c r="B235">
        <f>(3/(1+('CurrentFact-N10,20,40Unchanged'!C235)/100)+103/POWER(1+('CurrentFact-N10,20,40Unchanged'!D235)/100,2))*100</f>
        <v>9707.5857774288397</v>
      </c>
      <c r="C235">
        <f>(3/(1+('CurrentFact-N10,20,40Unchanged'!C235+'CurrentFact-N10,20,40Unchanged'!G235)/100)+103/POWER(1+('CurrentFact-N10,20,40Unchanged'!D235+'CurrentFact-N10,20,40Unchanged'!G235)/100,2))*100</f>
        <v>9614.9673582483465</v>
      </c>
      <c r="D235">
        <f>(3/(1+('CurrentFact-N10,20,40Unchanged'!C235+'CurrentFact-N10,20,40Unchanged'!H235)/100)+103/POWER(1+('CurrentFact-N10,20,40Unchanged'!D235+'CurrentFact-N10,20,40Unchanged'!H235)/100,2))*100</f>
        <v>9601.2395558122898</v>
      </c>
      <c r="E235">
        <f>(3/(1+('CurrentFact-N10,20,40Unchanged'!C235+'CurrentFact-N10,20,40Unchanged'!I235)/100)+103/POWER(1+('CurrentFact-N10,20,40Unchanged'!D235+'CurrentFact-N10,20,40Unchanged'!I235)/100,2))*100</f>
        <v>9579.147512612697</v>
      </c>
      <c r="F235">
        <f>Portfolio!B$5*'CurrentFact-N10,20,40Unchanged'!E235</f>
        <v>52143.895533915893</v>
      </c>
      <c r="G235">
        <f>Portfolio!B$6*'CurrentFact-N10,20,40Unchanged'!F235</f>
        <v>3696.2945087936532</v>
      </c>
      <c r="H235">
        <f>Portfolio!B$7*'CurrentFact-N10,20,40Unchanged'!J235</f>
        <v>2064.4550337304254</v>
      </c>
      <c r="I235">
        <f t="shared" si="6"/>
        <v>96407.585280542145</v>
      </c>
      <c r="J235">
        <f t="shared" si="7"/>
        <v>-0.27661052050825674</v>
      </c>
    </row>
    <row r="236" spans="1:10">
      <c r="A236" s="1">
        <v>45799</v>
      </c>
      <c r="B236">
        <f>(3/(1+('CurrentFact-N10,20,40Unchanged'!C236)/100)+103/POWER(1+('CurrentFact-N10,20,40Unchanged'!D236)/100,2))*100</f>
        <v>9707.5857774288397</v>
      </c>
      <c r="C236">
        <f>(3/(1+('CurrentFact-N10,20,40Unchanged'!C236+'CurrentFact-N10,20,40Unchanged'!G236)/100)+103/POWER(1+('CurrentFact-N10,20,40Unchanged'!D236+'CurrentFact-N10,20,40Unchanged'!G236)/100,2))*100</f>
        <v>9614.9673582483465</v>
      </c>
      <c r="D236">
        <f>(3/(1+('CurrentFact-N10,20,40Unchanged'!C236+'CurrentFact-N10,20,40Unchanged'!H236)/100)+103/POWER(1+('CurrentFact-N10,20,40Unchanged'!D236+'CurrentFact-N10,20,40Unchanged'!H236)/100,2))*100</f>
        <v>9601.2395558122898</v>
      </c>
      <c r="E236">
        <f>(3/(1+('CurrentFact-N10,20,40Unchanged'!C236+'CurrentFact-N10,20,40Unchanged'!I236)/100)+103/POWER(1+('CurrentFact-N10,20,40Unchanged'!D236+'CurrentFact-N10,20,40Unchanged'!I236)/100,2))*100</f>
        <v>9580.4976876146775</v>
      </c>
      <c r="F236">
        <f>Portfolio!B$5*'CurrentFact-N10,20,40Unchanged'!E236</f>
        <v>52143.895533915893</v>
      </c>
      <c r="G236">
        <f>Portfolio!B$6*'CurrentFact-N10,20,40Unchanged'!F236</f>
        <v>3696.2945087936532</v>
      </c>
      <c r="H236">
        <f>Portfolio!B$7*'CurrentFact-N10,20,40Unchanged'!J236</f>
        <v>2064.4550337304254</v>
      </c>
      <c r="I236">
        <f t="shared" si="6"/>
        <v>96408.935455544124</v>
      </c>
      <c r="J236">
        <f t="shared" si="7"/>
        <v>1.197158993803896</v>
      </c>
    </row>
    <row r="237" spans="1:10">
      <c r="A237" s="1">
        <v>45800</v>
      </c>
      <c r="B237">
        <f>(3/(1+('CurrentFact-N10,20,40Unchanged'!C237)/100)+103/POWER(1+('CurrentFact-N10,20,40Unchanged'!D237)/100,2))*100</f>
        <v>9707.5857774288397</v>
      </c>
      <c r="C237">
        <f>(3/(1+('CurrentFact-N10,20,40Unchanged'!C237+'CurrentFact-N10,20,40Unchanged'!G237)/100)+103/POWER(1+('CurrentFact-N10,20,40Unchanged'!D237+'CurrentFact-N10,20,40Unchanged'!G237)/100,2))*100</f>
        <v>9614.9673582483465</v>
      </c>
      <c r="D237">
        <f>(3/(1+('CurrentFact-N10,20,40Unchanged'!C237+'CurrentFact-N10,20,40Unchanged'!H237)/100)+103/POWER(1+('CurrentFact-N10,20,40Unchanged'!D237+'CurrentFact-N10,20,40Unchanged'!H237)/100,2))*100</f>
        <v>9601.2395558122898</v>
      </c>
      <c r="E237">
        <f>(3/(1+('CurrentFact-N10,20,40Unchanged'!C237+'CurrentFact-N10,20,40Unchanged'!I237)/100)+103/POWER(1+('CurrentFact-N10,20,40Unchanged'!D237+'CurrentFact-N10,20,40Unchanged'!I237)/100,2))*100</f>
        <v>9580.6341961793714</v>
      </c>
      <c r="F237">
        <f>Portfolio!B$5*'CurrentFact-N10,20,40Unchanged'!E237</f>
        <v>52143.895533915893</v>
      </c>
      <c r="G237">
        <f>Portfolio!B$6*'CurrentFact-N10,20,40Unchanged'!F237</f>
        <v>3696.2945087936532</v>
      </c>
      <c r="H237">
        <f>Portfolio!B$7*'CurrentFact-N10,20,40Unchanged'!J237</f>
        <v>2064.4550337304254</v>
      </c>
      <c r="I237">
        <f t="shared" si="6"/>
        <v>96409.071964108822</v>
      </c>
      <c r="J237">
        <f t="shared" si="7"/>
        <v>-0.36251262693258468</v>
      </c>
    </row>
    <row r="238" spans="1:10">
      <c r="A238" s="1">
        <v>45803</v>
      </c>
      <c r="B238">
        <f>(3/(1+('CurrentFact-N10,20,40Unchanged'!C238)/100)+103/POWER(1+('CurrentFact-N10,20,40Unchanged'!D238)/100,2))*100</f>
        <v>9707.5857774288397</v>
      </c>
      <c r="C238">
        <f>(3/(1+('CurrentFact-N10,20,40Unchanged'!C238+'CurrentFact-N10,20,40Unchanged'!G238)/100)+103/POWER(1+('CurrentFact-N10,20,40Unchanged'!D238+'CurrentFact-N10,20,40Unchanged'!G238)/100,2))*100</f>
        <v>9614.9673582483465</v>
      </c>
      <c r="D238">
        <f>(3/(1+('CurrentFact-N10,20,40Unchanged'!C238+'CurrentFact-N10,20,40Unchanged'!H238)/100)+103/POWER(1+('CurrentFact-N10,20,40Unchanged'!D238+'CurrentFact-N10,20,40Unchanged'!H238)/100,2))*100</f>
        <v>9601.2395558122898</v>
      </c>
      <c r="E238">
        <f>(3/(1+('CurrentFact-N10,20,40Unchanged'!C238+'CurrentFact-N10,20,40Unchanged'!I238)/100)+103/POWER(1+('CurrentFact-N10,20,40Unchanged'!D238+'CurrentFact-N10,20,40Unchanged'!I238)/100,2))*100</f>
        <v>9580.3464922530602</v>
      </c>
      <c r="F238">
        <f>Portfolio!B$5*'CurrentFact-N10,20,40Unchanged'!E238</f>
        <v>52143.895533915893</v>
      </c>
      <c r="G238">
        <f>Portfolio!B$6*'CurrentFact-N10,20,40Unchanged'!F238</f>
        <v>3696.2945087936532</v>
      </c>
      <c r="H238">
        <f>Portfolio!B$7*'CurrentFact-N10,20,40Unchanged'!J238</f>
        <v>2064.4550337304254</v>
      </c>
      <c r="I238">
        <f t="shared" si="6"/>
        <v>96408.78426018251</v>
      </c>
      <c r="J238">
        <f t="shared" si="7"/>
        <v>-1.8606884186738171E-2</v>
      </c>
    </row>
    <row r="239" spans="1:10">
      <c r="A239" s="1">
        <v>45804</v>
      </c>
      <c r="B239">
        <f>(3/(1+('CurrentFact-N10,20,40Unchanged'!C239)/100)+103/POWER(1+('CurrentFact-N10,20,40Unchanged'!D239)/100,2))*100</f>
        <v>9707.5857774288397</v>
      </c>
      <c r="C239">
        <f>(3/(1+('CurrentFact-N10,20,40Unchanged'!C239+'CurrentFact-N10,20,40Unchanged'!G239)/100)+103/POWER(1+('CurrentFact-N10,20,40Unchanged'!D239+'CurrentFact-N10,20,40Unchanged'!G239)/100,2))*100</f>
        <v>9614.9673582483465</v>
      </c>
      <c r="D239">
        <f>(3/(1+('CurrentFact-N10,20,40Unchanged'!C239+'CurrentFact-N10,20,40Unchanged'!H239)/100)+103/POWER(1+('CurrentFact-N10,20,40Unchanged'!D239+'CurrentFact-N10,20,40Unchanged'!H239)/100,2))*100</f>
        <v>9601.2395558122898</v>
      </c>
      <c r="E239">
        <f>(3/(1+('CurrentFact-N10,20,40Unchanged'!C239+'CurrentFact-N10,20,40Unchanged'!I239)/100)+103/POWER(1+('CurrentFact-N10,20,40Unchanged'!D239+'CurrentFact-N10,20,40Unchanged'!I239)/100,2))*100</f>
        <v>9578.4733380283378</v>
      </c>
      <c r="F239">
        <f>Portfolio!B$5*'CurrentFact-N10,20,40Unchanged'!E239</f>
        <v>52143.895533915893</v>
      </c>
      <c r="G239">
        <f>Portfolio!B$6*'CurrentFact-N10,20,40Unchanged'!F239</f>
        <v>3696.2945087936532</v>
      </c>
      <c r="H239">
        <f>Portfolio!B$7*'CurrentFact-N10,20,40Unchanged'!J239</f>
        <v>2064.4550337304254</v>
      </c>
      <c r="I239">
        <f t="shared" si="6"/>
        <v>96406.911105957784</v>
      </c>
      <c r="J239">
        <f t="shared" si="7"/>
        <v>-1.8064963445067406</v>
      </c>
    </row>
    <row r="240" spans="1:10">
      <c r="A240" s="1">
        <v>45805</v>
      </c>
      <c r="B240">
        <f>(3/(1+('CurrentFact-N10,20,40Unchanged'!C240)/100)+103/POWER(1+('CurrentFact-N10,20,40Unchanged'!D240)/100,2))*100</f>
        <v>9707.5857774288397</v>
      </c>
      <c r="C240">
        <f>(3/(1+('CurrentFact-N10,20,40Unchanged'!C240+'CurrentFact-N10,20,40Unchanged'!G240)/100)+103/POWER(1+('CurrentFact-N10,20,40Unchanged'!D240+'CurrentFact-N10,20,40Unchanged'!G240)/100,2))*100</f>
        <v>9614.9673582483465</v>
      </c>
      <c r="D240">
        <f>(3/(1+('CurrentFact-N10,20,40Unchanged'!C240+'CurrentFact-N10,20,40Unchanged'!H240)/100)+103/POWER(1+('CurrentFact-N10,20,40Unchanged'!D240+'CurrentFact-N10,20,40Unchanged'!H240)/100,2))*100</f>
        <v>9601.2395558122898</v>
      </c>
      <c r="E240">
        <f>(3/(1+('CurrentFact-N10,20,40Unchanged'!C240+'CurrentFact-N10,20,40Unchanged'!I240)/100)+103/POWER(1+('CurrentFact-N10,20,40Unchanged'!D240+'CurrentFact-N10,20,40Unchanged'!I240)/100,2))*100</f>
        <v>9580.0821636801211</v>
      </c>
      <c r="F240">
        <f>Portfolio!B$5*'CurrentFact-N10,20,40Unchanged'!E240</f>
        <v>52143.895533915893</v>
      </c>
      <c r="G240">
        <f>Portfolio!B$6*'CurrentFact-N10,20,40Unchanged'!F240</f>
        <v>3696.2945087936532</v>
      </c>
      <c r="H240">
        <f>Portfolio!B$7*'CurrentFact-N10,20,40Unchanged'!J240</f>
        <v>2064.4550337304254</v>
      </c>
      <c r="I240">
        <f t="shared" si="6"/>
        <v>96408.519931609568</v>
      </c>
      <c r="J240">
        <f t="shared" si="7"/>
        <v>-0.69709753143251874</v>
      </c>
    </row>
    <row r="241" spans="1:10">
      <c r="A241" s="1">
        <v>45806</v>
      </c>
      <c r="B241">
        <f>(3/(1+('CurrentFact-N10,20,40Unchanged'!C241)/100)+103/POWER(1+('CurrentFact-N10,20,40Unchanged'!D241)/100,2))*100</f>
        <v>9707.5857774288397</v>
      </c>
      <c r="C241">
        <f>(3/(1+('CurrentFact-N10,20,40Unchanged'!C241+'CurrentFact-N10,20,40Unchanged'!G241)/100)+103/POWER(1+('CurrentFact-N10,20,40Unchanged'!D241+'CurrentFact-N10,20,40Unchanged'!G241)/100,2))*100</f>
        <v>9614.9673582483465</v>
      </c>
      <c r="D241">
        <f>(3/(1+('CurrentFact-N10,20,40Unchanged'!C241+'CurrentFact-N10,20,40Unchanged'!H241)/100)+103/POWER(1+('CurrentFact-N10,20,40Unchanged'!D241+'CurrentFact-N10,20,40Unchanged'!H241)/100,2))*100</f>
        <v>9601.2395558122898</v>
      </c>
      <c r="E241">
        <f>(3/(1+('CurrentFact-N10,20,40Unchanged'!C241+'CurrentFact-N10,20,40Unchanged'!I241)/100)+103/POWER(1+('CurrentFact-N10,20,40Unchanged'!D241+'CurrentFact-N10,20,40Unchanged'!I241)/100,2))*100</f>
        <v>9578.6026130307127</v>
      </c>
      <c r="F241">
        <f>Portfolio!B$5*'CurrentFact-N10,20,40Unchanged'!E241</f>
        <v>52143.895533915893</v>
      </c>
      <c r="G241">
        <f>Portfolio!B$6*'CurrentFact-N10,20,40Unchanged'!F241</f>
        <v>3696.2945087936532</v>
      </c>
      <c r="H241">
        <f>Portfolio!B$7*'CurrentFact-N10,20,40Unchanged'!J241</f>
        <v>2064.4550337304254</v>
      </c>
      <c r="I241">
        <f t="shared" si="6"/>
        <v>96407.040380960156</v>
      </c>
      <c r="J241">
        <f t="shared" si="7"/>
        <v>-2.1045250639435835</v>
      </c>
    </row>
    <row r="242" spans="1:10">
      <c r="A242" s="1">
        <v>45807</v>
      </c>
      <c r="B242">
        <f>(3/(1+('CurrentFact-N10,20,40Unchanged'!C242)/100)+103/POWER(1+('CurrentFact-N10,20,40Unchanged'!D242)/100,2))*100</f>
        <v>9707.5857774288397</v>
      </c>
      <c r="C242">
        <f>(3/(1+('CurrentFact-N10,20,40Unchanged'!C242+'CurrentFact-N10,20,40Unchanged'!G242)/100)+103/POWER(1+('CurrentFact-N10,20,40Unchanged'!D242+'CurrentFact-N10,20,40Unchanged'!G242)/100,2))*100</f>
        <v>9614.9673582483465</v>
      </c>
      <c r="D242">
        <f>(3/(1+('CurrentFact-N10,20,40Unchanged'!C242+'CurrentFact-N10,20,40Unchanged'!H242)/100)+103/POWER(1+('CurrentFact-N10,20,40Unchanged'!D242+'CurrentFact-N10,20,40Unchanged'!H242)/100,2))*100</f>
        <v>9601.2395558122898</v>
      </c>
      <c r="E242">
        <f>(3/(1+('CurrentFact-N10,20,40Unchanged'!C242+'CurrentFact-N10,20,40Unchanged'!I242)/100)+103/POWER(1+('CurrentFact-N10,20,40Unchanged'!D242+'CurrentFact-N10,20,40Unchanged'!I242)/100,2))*100</f>
        <v>9582.1736022824825</v>
      </c>
      <c r="F242">
        <f>Portfolio!B$5*'CurrentFact-N10,20,40Unchanged'!E242</f>
        <v>52143.895533915893</v>
      </c>
      <c r="G242">
        <f>Portfolio!B$6*'CurrentFact-N10,20,40Unchanged'!F242</f>
        <v>3696.2945087936532</v>
      </c>
      <c r="H242">
        <f>Portfolio!B$7*'CurrentFact-N10,20,40Unchanged'!J242</f>
        <v>2064.4550337304254</v>
      </c>
      <c r="I242">
        <f t="shared" si="6"/>
        <v>96410.611370211933</v>
      </c>
      <c r="J242">
        <f t="shared" si="7"/>
        <v>1.5470461966178846</v>
      </c>
    </row>
    <row r="243" spans="1:10">
      <c r="A243" s="1">
        <v>45810</v>
      </c>
      <c r="B243">
        <f>(3/(1+('CurrentFact-N10,20,40Unchanged'!C243)/100)+103/POWER(1+('CurrentFact-N10,20,40Unchanged'!D243)/100,2))*100</f>
        <v>9707.5857774288397</v>
      </c>
      <c r="C243">
        <f>(3/(1+('CurrentFact-N10,20,40Unchanged'!C243+'CurrentFact-N10,20,40Unchanged'!G243)/100)+103/POWER(1+('CurrentFact-N10,20,40Unchanged'!D243+'CurrentFact-N10,20,40Unchanged'!G243)/100,2))*100</f>
        <v>9614.9673582483465</v>
      </c>
      <c r="D243">
        <f>(3/(1+('CurrentFact-N10,20,40Unchanged'!C243+'CurrentFact-N10,20,40Unchanged'!H243)/100)+103/POWER(1+('CurrentFact-N10,20,40Unchanged'!D243+'CurrentFact-N10,20,40Unchanged'!H243)/100,2))*100</f>
        <v>9601.2395558122898</v>
      </c>
      <c r="E243">
        <f>(3/(1+('CurrentFact-N10,20,40Unchanged'!C243+'CurrentFact-N10,20,40Unchanged'!I243)/100)+103/POWER(1+('CurrentFact-N10,20,40Unchanged'!D243+'CurrentFact-N10,20,40Unchanged'!I243)/100,2))*100</f>
        <v>9581.3238986982269</v>
      </c>
      <c r="F243">
        <f>Portfolio!B$5*'CurrentFact-N10,20,40Unchanged'!E243</f>
        <v>52143.895533915893</v>
      </c>
      <c r="G243">
        <f>Portfolio!B$6*'CurrentFact-N10,20,40Unchanged'!F243</f>
        <v>3696.2945087936532</v>
      </c>
      <c r="H243">
        <f>Portfolio!B$7*'CurrentFact-N10,20,40Unchanged'!J243</f>
        <v>2064.4550337304254</v>
      </c>
      <c r="I243">
        <f t="shared" si="6"/>
        <v>96409.761666627674</v>
      </c>
      <c r="J243">
        <f t="shared" si="7"/>
        <v>1.6195174720342038</v>
      </c>
    </row>
    <row r="244" spans="1:10">
      <c r="A244" s="1">
        <v>45811</v>
      </c>
      <c r="B244">
        <f>(3/(1+('CurrentFact-N10,20,40Unchanged'!C244)/100)+103/POWER(1+('CurrentFact-N10,20,40Unchanged'!D244)/100,2))*100</f>
        <v>9707.5857774288397</v>
      </c>
      <c r="C244">
        <f>(3/(1+('CurrentFact-N10,20,40Unchanged'!C244+'CurrentFact-N10,20,40Unchanged'!G244)/100)+103/POWER(1+('CurrentFact-N10,20,40Unchanged'!D244+'CurrentFact-N10,20,40Unchanged'!G244)/100,2))*100</f>
        <v>9614.9673582483465</v>
      </c>
      <c r="D244">
        <f>(3/(1+('CurrentFact-N10,20,40Unchanged'!C244+'CurrentFact-N10,20,40Unchanged'!H244)/100)+103/POWER(1+('CurrentFact-N10,20,40Unchanged'!D244+'CurrentFact-N10,20,40Unchanged'!H244)/100,2))*100</f>
        <v>9601.2395558122898</v>
      </c>
      <c r="E244">
        <f>(3/(1+('CurrentFact-N10,20,40Unchanged'!C244+'CurrentFact-N10,20,40Unchanged'!I244)/100)+103/POWER(1+('CurrentFact-N10,20,40Unchanged'!D244+'CurrentFact-N10,20,40Unchanged'!I244)/100,2))*100</f>
        <v>9582.0486269684279</v>
      </c>
      <c r="F244">
        <f>Portfolio!B$5*'CurrentFact-N10,20,40Unchanged'!E244</f>
        <v>52143.895533915893</v>
      </c>
      <c r="G244">
        <f>Portfolio!B$6*'CurrentFact-N10,20,40Unchanged'!F244</f>
        <v>3696.2945087936532</v>
      </c>
      <c r="H244">
        <f>Portfolio!B$7*'CurrentFact-N10,20,40Unchanged'!J244</f>
        <v>2064.4550337304254</v>
      </c>
      <c r="I244">
        <f t="shared" si="6"/>
        <v>96410.486394897875</v>
      </c>
      <c r="J244">
        <f t="shared" si="7"/>
        <v>0.9585391031432664</v>
      </c>
    </row>
    <row r="245" spans="1:10">
      <c r="A245" s="1">
        <v>45812</v>
      </c>
      <c r="B245">
        <f>(3/(1+('CurrentFact-N10,20,40Unchanged'!C245)/100)+103/POWER(1+('CurrentFact-N10,20,40Unchanged'!D245)/100,2))*100</f>
        <v>9707.5857774288397</v>
      </c>
      <c r="C245">
        <f>(3/(1+('CurrentFact-N10,20,40Unchanged'!C245+'CurrentFact-N10,20,40Unchanged'!G245)/100)+103/POWER(1+('CurrentFact-N10,20,40Unchanged'!D245+'CurrentFact-N10,20,40Unchanged'!G245)/100,2))*100</f>
        <v>9614.9673582483465</v>
      </c>
      <c r="D245">
        <f>(3/(1+('CurrentFact-N10,20,40Unchanged'!C245+'CurrentFact-N10,20,40Unchanged'!H245)/100)+103/POWER(1+('CurrentFact-N10,20,40Unchanged'!D245+'CurrentFact-N10,20,40Unchanged'!H245)/100,2))*100</f>
        <v>9601.2395558122898</v>
      </c>
      <c r="E245">
        <f>(3/(1+('CurrentFact-N10,20,40Unchanged'!C245+'CurrentFact-N10,20,40Unchanged'!I245)/100)+103/POWER(1+('CurrentFact-N10,20,40Unchanged'!D245+'CurrentFact-N10,20,40Unchanged'!I245)/100,2))*100</f>
        <v>9578.7316904421295</v>
      </c>
      <c r="F245">
        <f>Portfolio!B$5*'CurrentFact-N10,20,40Unchanged'!E245</f>
        <v>52143.895533915893</v>
      </c>
      <c r="G245">
        <f>Portfolio!B$6*'CurrentFact-N10,20,40Unchanged'!F245</f>
        <v>3696.2945087936532</v>
      </c>
      <c r="H245">
        <f>Portfolio!B$7*'CurrentFact-N10,20,40Unchanged'!J245</f>
        <v>2064.4550337304254</v>
      </c>
      <c r="I245">
        <f t="shared" si="6"/>
        <v>96407.169458371587</v>
      </c>
      <c r="J245">
        <f t="shared" si="7"/>
        <v>-0.41582217055838555</v>
      </c>
    </row>
    <row r="246" spans="1:10">
      <c r="A246" s="1">
        <v>45813</v>
      </c>
      <c r="B246">
        <f>(3/(1+('CurrentFact-N10,20,40Unchanged'!C246)/100)+103/POWER(1+('CurrentFact-N10,20,40Unchanged'!D246)/100,2))*100</f>
        <v>9707.5857774288397</v>
      </c>
      <c r="C246">
        <f>(3/(1+('CurrentFact-N10,20,40Unchanged'!C246+'CurrentFact-N10,20,40Unchanged'!G246)/100)+103/POWER(1+('CurrentFact-N10,20,40Unchanged'!D246+'CurrentFact-N10,20,40Unchanged'!G246)/100,2))*100</f>
        <v>9614.9673582483465</v>
      </c>
      <c r="D246">
        <f>(3/(1+('CurrentFact-N10,20,40Unchanged'!C246+'CurrentFact-N10,20,40Unchanged'!H246)/100)+103/POWER(1+('CurrentFact-N10,20,40Unchanged'!D246+'CurrentFact-N10,20,40Unchanged'!H246)/100,2))*100</f>
        <v>9601.2395558122898</v>
      </c>
      <c r="E246">
        <f>(3/(1+('CurrentFact-N10,20,40Unchanged'!C246+'CurrentFact-N10,20,40Unchanged'!I246)/100)+103/POWER(1+('CurrentFact-N10,20,40Unchanged'!D246+'CurrentFact-N10,20,40Unchanged'!I246)/100,2))*100</f>
        <v>9580.5509122102358</v>
      </c>
      <c r="F246">
        <f>Portfolio!B$5*'CurrentFact-N10,20,40Unchanged'!E246</f>
        <v>52143.895533915893</v>
      </c>
      <c r="G246">
        <f>Portfolio!B$6*'CurrentFact-N10,20,40Unchanged'!F246</f>
        <v>3696.2945087936532</v>
      </c>
      <c r="H246">
        <f>Portfolio!B$7*'CurrentFact-N10,20,40Unchanged'!J246</f>
        <v>2064.4550337304254</v>
      </c>
      <c r="I246">
        <f t="shared" si="6"/>
        <v>96408.988680139679</v>
      </c>
      <c r="J246">
        <f t="shared" si="7"/>
        <v>5.3224595554638654E-2</v>
      </c>
    </row>
    <row r="247" spans="1:10">
      <c r="A247" s="1">
        <v>45814</v>
      </c>
      <c r="B247">
        <f>(3/(1+('CurrentFact-N10,20,40Unchanged'!C247)/100)+103/POWER(1+('CurrentFact-N10,20,40Unchanged'!D247)/100,2))*100</f>
        <v>9707.5857774288397</v>
      </c>
      <c r="C247">
        <f>(3/(1+('CurrentFact-N10,20,40Unchanged'!C247+'CurrentFact-N10,20,40Unchanged'!G247)/100)+103/POWER(1+('CurrentFact-N10,20,40Unchanged'!D247+'CurrentFact-N10,20,40Unchanged'!G247)/100,2))*100</f>
        <v>9614.9673582483465</v>
      </c>
      <c r="D247">
        <f>(3/(1+('CurrentFact-N10,20,40Unchanged'!C247+'CurrentFact-N10,20,40Unchanged'!H247)/100)+103/POWER(1+('CurrentFact-N10,20,40Unchanged'!D247+'CurrentFact-N10,20,40Unchanged'!H247)/100,2))*100</f>
        <v>9601.2395558122898</v>
      </c>
      <c r="E247">
        <f>(3/(1+('CurrentFact-N10,20,40Unchanged'!C247+'CurrentFact-N10,20,40Unchanged'!I247)/100)+103/POWER(1+('CurrentFact-N10,20,40Unchanged'!D247+'CurrentFact-N10,20,40Unchanged'!I247)/100,2))*100</f>
        <v>9580.5703435403866</v>
      </c>
      <c r="F247">
        <f>Portfolio!B$5*'CurrentFact-N10,20,40Unchanged'!E247</f>
        <v>52143.895533915893</v>
      </c>
      <c r="G247">
        <f>Portfolio!B$6*'CurrentFact-N10,20,40Unchanged'!F247</f>
        <v>3696.2945087936532</v>
      </c>
      <c r="H247">
        <f>Portfolio!B$7*'CurrentFact-N10,20,40Unchanged'!J247</f>
        <v>2064.4550337304254</v>
      </c>
      <c r="I247">
        <f t="shared" si="6"/>
        <v>96409.008111469826</v>
      </c>
      <c r="J247">
        <f t="shared" si="7"/>
        <v>-6.3852638995740563E-2</v>
      </c>
    </row>
    <row r="248" spans="1:10">
      <c r="A248" s="1">
        <v>45817</v>
      </c>
      <c r="B248">
        <f>(3/(1+('CurrentFact-N10,20,40Unchanged'!C248)/100)+103/POWER(1+('CurrentFact-N10,20,40Unchanged'!D248)/100,2))*100</f>
        <v>9707.5857774288397</v>
      </c>
      <c r="C248">
        <f>(3/(1+('CurrentFact-N10,20,40Unchanged'!C248+'CurrentFact-N10,20,40Unchanged'!G248)/100)+103/POWER(1+('CurrentFact-N10,20,40Unchanged'!D248+'CurrentFact-N10,20,40Unchanged'!G248)/100,2))*100</f>
        <v>9614.9673582483465</v>
      </c>
      <c r="D248">
        <f>(3/(1+('CurrentFact-N10,20,40Unchanged'!C248+'CurrentFact-N10,20,40Unchanged'!H248)/100)+103/POWER(1+('CurrentFact-N10,20,40Unchanged'!D248+'CurrentFact-N10,20,40Unchanged'!H248)/100,2))*100</f>
        <v>9601.2395558122898</v>
      </c>
      <c r="E248">
        <f>(3/(1+('CurrentFact-N10,20,40Unchanged'!C248+'CurrentFact-N10,20,40Unchanged'!I248)/100)+103/POWER(1+('CurrentFact-N10,20,40Unchanged'!D248+'CurrentFact-N10,20,40Unchanged'!I248)/100,2))*100</f>
        <v>9578.8212801099562</v>
      </c>
      <c r="F248">
        <f>Portfolio!B$5*'CurrentFact-N10,20,40Unchanged'!E248</f>
        <v>52143.895533915893</v>
      </c>
      <c r="G248">
        <f>Portfolio!B$6*'CurrentFact-N10,20,40Unchanged'!F248</f>
        <v>3696.2945087936532</v>
      </c>
      <c r="H248">
        <f>Portfolio!B$7*'CurrentFact-N10,20,40Unchanged'!J248</f>
        <v>2064.4550337304254</v>
      </c>
      <c r="I248">
        <f t="shared" si="6"/>
        <v>96407.259048039414</v>
      </c>
      <c r="J248">
        <f t="shared" si="7"/>
        <v>-1.5252121430967236</v>
      </c>
    </row>
    <row r="249" spans="1:10">
      <c r="A249" s="1">
        <v>45818</v>
      </c>
      <c r="B249">
        <f>(3/(1+('CurrentFact-N10,20,40Unchanged'!C249)/100)+103/POWER(1+('CurrentFact-N10,20,40Unchanged'!D249)/100,2))*100</f>
        <v>9707.5857774288397</v>
      </c>
      <c r="C249">
        <f>(3/(1+('CurrentFact-N10,20,40Unchanged'!C249+'CurrentFact-N10,20,40Unchanged'!G249)/100)+103/POWER(1+('CurrentFact-N10,20,40Unchanged'!D249+'CurrentFact-N10,20,40Unchanged'!G249)/100,2))*100</f>
        <v>9614.9673582483465</v>
      </c>
      <c r="D249">
        <f>(3/(1+('CurrentFact-N10,20,40Unchanged'!C249+'CurrentFact-N10,20,40Unchanged'!H249)/100)+103/POWER(1+('CurrentFact-N10,20,40Unchanged'!D249+'CurrentFact-N10,20,40Unchanged'!H249)/100,2))*100</f>
        <v>9601.2395558122898</v>
      </c>
      <c r="E249">
        <f>(3/(1+('CurrentFact-N10,20,40Unchanged'!C249+'CurrentFact-N10,20,40Unchanged'!I249)/100)+103/POWER(1+('CurrentFact-N10,20,40Unchanged'!D249+'CurrentFact-N10,20,40Unchanged'!I249)/100,2))*100</f>
        <v>9580.40174148802</v>
      </c>
      <c r="F249">
        <f>Portfolio!B$5*'CurrentFact-N10,20,40Unchanged'!E249</f>
        <v>52143.895533915893</v>
      </c>
      <c r="G249">
        <f>Portfolio!B$6*'CurrentFact-N10,20,40Unchanged'!F249</f>
        <v>3696.2945087936532</v>
      </c>
      <c r="H249">
        <f>Portfolio!B$7*'CurrentFact-N10,20,40Unchanged'!J249</f>
        <v>2064.4550337304254</v>
      </c>
      <c r="I249">
        <f t="shared" si="6"/>
        <v>96408.839509417478</v>
      </c>
      <c r="J249">
        <f t="shared" si="7"/>
        <v>1.9284034596930724</v>
      </c>
    </row>
    <row r="250" spans="1:10">
      <c r="A250" s="1">
        <v>45819</v>
      </c>
      <c r="B250">
        <f>(3/(1+('CurrentFact-N10,20,40Unchanged'!C250)/100)+103/POWER(1+('CurrentFact-N10,20,40Unchanged'!D250)/100,2))*100</f>
        <v>9707.5857774288397</v>
      </c>
      <c r="C250">
        <f>(3/(1+('CurrentFact-N10,20,40Unchanged'!C250+'CurrentFact-N10,20,40Unchanged'!G250)/100)+103/POWER(1+('CurrentFact-N10,20,40Unchanged'!D250+'CurrentFact-N10,20,40Unchanged'!G250)/100,2))*100</f>
        <v>9614.9673582483465</v>
      </c>
      <c r="D250">
        <f>(3/(1+('CurrentFact-N10,20,40Unchanged'!C250+'CurrentFact-N10,20,40Unchanged'!H250)/100)+103/POWER(1+('CurrentFact-N10,20,40Unchanged'!D250+'CurrentFact-N10,20,40Unchanged'!H250)/100,2))*100</f>
        <v>9601.2395558122898</v>
      </c>
      <c r="E250">
        <f>(3/(1+('CurrentFact-N10,20,40Unchanged'!C250+'CurrentFact-N10,20,40Unchanged'!I250)/100)+103/POWER(1+('CurrentFact-N10,20,40Unchanged'!D250+'CurrentFact-N10,20,40Unchanged'!I250)/100,2))*100</f>
        <v>9582.3838735593145</v>
      </c>
      <c r="F250">
        <f>Portfolio!B$5*'CurrentFact-N10,20,40Unchanged'!E250</f>
        <v>52143.895533915893</v>
      </c>
      <c r="G250">
        <f>Portfolio!B$6*'CurrentFact-N10,20,40Unchanged'!F250</f>
        <v>3696.2945087936532</v>
      </c>
      <c r="H250">
        <f>Portfolio!B$7*'CurrentFact-N10,20,40Unchanged'!J250</f>
        <v>2064.4550337304254</v>
      </c>
      <c r="I250">
        <f t="shared" si="6"/>
        <v>96410.821641488757</v>
      </c>
      <c r="J250">
        <f t="shared" si="7"/>
        <v>2.3017098791897297</v>
      </c>
    </row>
    <row r="251" spans="1:10">
      <c r="A251" s="1">
        <v>45820</v>
      </c>
      <c r="B251">
        <f>(3/(1+('CurrentFact-N10,20,40Unchanged'!C251)/100)+103/POWER(1+('CurrentFact-N10,20,40Unchanged'!D251)/100,2))*100</f>
        <v>9707.5857774288397</v>
      </c>
      <c r="C251">
        <f>(3/(1+('CurrentFact-N10,20,40Unchanged'!C251+'CurrentFact-N10,20,40Unchanged'!G251)/100)+103/POWER(1+('CurrentFact-N10,20,40Unchanged'!D251+'CurrentFact-N10,20,40Unchanged'!G251)/100,2))*100</f>
        <v>9614.9673582483465</v>
      </c>
      <c r="D251">
        <f>(3/(1+('CurrentFact-N10,20,40Unchanged'!C251+'CurrentFact-N10,20,40Unchanged'!H251)/100)+103/POWER(1+('CurrentFact-N10,20,40Unchanged'!D251+'CurrentFact-N10,20,40Unchanged'!H251)/100,2))*100</f>
        <v>9601.2395558122898</v>
      </c>
      <c r="E251">
        <f>(3/(1+('CurrentFact-N10,20,40Unchanged'!C251+'CurrentFact-N10,20,40Unchanged'!I251)/100)+103/POWER(1+('CurrentFact-N10,20,40Unchanged'!D251+'CurrentFact-N10,20,40Unchanged'!I251)/100,2))*100</f>
        <v>9578.8778233571502</v>
      </c>
      <c r="F251">
        <f>Portfolio!B$5*'CurrentFact-N10,20,40Unchanged'!E251</f>
        <v>52143.895533915893</v>
      </c>
      <c r="G251">
        <f>Portfolio!B$6*'CurrentFact-N10,20,40Unchanged'!F251</f>
        <v>3696.2945087936532</v>
      </c>
      <c r="H251">
        <f>Portfolio!B$7*'CurrentFact-N10,20,40Unchanged'!J251</f>
        <v>2064.4550337304254</v>
      </c>
      <c r="I251">
        <f t="shared" si="6"/>
        <v>96407.315591286606</v>
      </c>
      <c r="J251">
        <f t="shared" si="7"/>
        <v>0.2752103264501784</v>
      </c>
    </row>
    <row r="252" spans="1:10">
      <c r="A252" s="1">
        <v>45821</v>
      </c>
      <c r="B252">
        <f>(3/(1+('CurrentFact-N10,20,40Unchanged'!C252)/100)+103/POWER(1+('CurrentFact-N10,20,40Unchanged'!D252)/100,2))*100</f>
        <v>9707.5857774288397</v>
      </c>
      <c r="C252">
        <f>(3/(1+('CurrentFact-N10,20,40Unchanged'!C252+'CurrentFact-N10,20,40Unchanged'!G252)/100)+103/POWER(1+('CurrentFact-N10,20,40Unchanged'!D252+'CurrentFact-N10,20,40Unchanged'!G252)/100,2))*100</f>
        <v>9614.9673582483465</v>
      </c>
      <c r="D252">
        <f>(3/(1+('CurrentFact-N10,20,40Unchanged'!C252+'CurrentFact-N10,20,40Unchanged'!H252)/100)+103/POWER(1+('CurrentFact-N10,20,40Unchanged'!D252+'CurrentFact-N10,20,40Unchanged'!H252)/100,2))*100</f>
        <v>9601.2395558122898</v>
      </c>
      <c r="E252">
        <f>(3/(1+('CurrentFact-N10,20,40Unchanged'!C252+'CurrentFact-N10,20,40Unchanged'!I252)/100)+103/POWER(1+('CurrentFact-N10,20,40Unchanged'!D252+'CurrentFact-N10,20,40Unchanged'!I252)/100,2))*100</f>
        <v>9580.31831520378</v>
      </c>
      <c r="F252">
        <f>Portfolio!B$5*'CurrentFact-N10,20,40Unchanged'!E252</f>
        <v>52143.895533915893</v>
      </c>
      <c r="G252">
        <f>Portfolio!B$6*'CurrentFact-N10,20,40Unchanged'!F252</f>
        <v>3696.2945087936532</v>
      </c>
      <c r="H252">
        <f>Portfolio!B$7*'CurrentFact-N10,20,40Unchanged'!J252</f>
        <v>2064.4550337304254</v>
      </c>
      <c r="I252">
        <f t="shared" ref="I252:I263" si="8">SUM(B252:H252)</f>
        <v>96408.756083133223</v>
      </c>
      <c r="J252">
        <f t="shared" ref="J252:J263" si="9">I252-I242</f>
        <v>-1.8552870787098072</v>
      </c>
    </row>
    <row r="253" spans="1:10">
      <c r="A253" s="1">
        <v>45824</v>
      </c>
      <c r="B253">
        <f>(3/(1+('CurrentFact-N10,20,40Unchanged'!C253)/100)+103/POWER(1+('CurrentFact-N10,20,40Unchanged'!D253)/100,2))*100</f>
        <v>9707.5857774288397</v>
      </c>
      <c r="C253">
        <f>(3/(1+('CurrentFact-N10,20,40Unchanged'!C253+'CurrentFact-N10,20,40Unchanged'!G253)/100)+103/POWER(1+('CurrentFact-N10,20,40Unchanged'!D253+'CurrentFact-N10,20,40Unchanged'!G253)/100,2))*100</f>
        <v>9614.9673582483465</v>
      </c>
      <c r="D253">
        <f>(3/(1+('CurrentFact-N10,20,40Unchanged'!C253+'CurrentFact-N10,20,40Unchanged'!H253)/100)+103/POWER(1+('CurrentFact-N10,20,40Unchanged'!D253+'CurrentFact-N10,20,40Unchanged'!H253)/100,2))*100</f>
        <v>9601.2395558122898</v>
      </c>
      <c r="E253">
        <f>(3/(1+('CurrentFact-N10,20,40Unchanged'!C253+'CurrentFact-N10,20,40Unchanged'!I253)/100)+103/POWER(1+('CurrentFact-N10,20,40Unchanged'!D253+'CurrentFact-N10,20,40Unchanged'!I253)/100,2))*100</f>
        <v>9580.1762428978691</v>
      </c>
      <c r="F253">
        <f>Portfolio!B$5*'CurrentFact-N10,20,40Unchanged'!E253</f>
        <v>52143.895533915893</v>
      </c>
      <c r="G253">
        <f>Portfolio!B$6*'CurrentFact-N10,20,40Unchanged'!F253</f>
        <v>3696.2945087936532</v>
      </c>
      <c r="H253">
        <f>Portfolio!B$7*'CurrentFact-N10,20,40Unchanged'!J253</f>
        <v>2064.4550337304254</v>
      </c>
      <c r="I253">
        <f t="shared" si="8"/>
        <v>96408.614010827325</v>
      </c>
      <c r="J253">
        <f t="shared" si="9"/>
        <v>-1.1476558003487298</v>
      </c>
    </row>
    <row r="254" spans="1:10">
      <c r="A254" s="1">
        <v>45825</v>
      </c>
      <c r="B254">
        <f>(3/(1+('CurrentFact-N10,20,40Unchanged'!C254)/100)+103/POWER(1+('CurrentFact-N10,20,40Unchanged'!D254)/100,2))*100</f>
        <v>9707.5857774288397</v>
      </c>
      <c r="C254">
        <f>(3/(1+('CurrentFact-N10,20,40Unchanged'!C254+'CurrentFact-N10,20,40Unchanged'!G254)/100)+103/POWER(1+('CurrentFact-N10,20,40Unchanged'!D254+'CurrentFact-N10,20,40Unchanged'!G254)/100,2))*100</f>
        <v>9614.9673582483465</v>
      </c>
      <c r="D254">
        <f>(3/(1+('CurrentFact-N10,20,40Unchanged'!C254+'CurrentFact-N10,20,40Unchanged'!H254)/100)+103/POWER(1+('CurrentFact-N10,20,40Unchanged'!D254+'CurrentFact-N10,20,40Unchanged'!H254)/100,2))*100</f>
        <v>9601.2395558122898</v>
      </c>
      <c r="E254">
        <f>(3/(1+('CurrentFact-N10,20,40Unchanged'!C254+'CurrentFact-N10,20,40Unchanged'!I254)/100)+103/POWER(1+('CurrentFact-N10,20,40Unchanged'!D254+'CurrentFact-N10,20,40Unchanged'!I254)/100,2))*100</f>
        <v>9582.7185105677108</v>
      </c>
      <c r="F254">
        <f>Portfolio!B$5*'CurrentFact-N10,20,40Unchanged'!E254</f>
        <v>52143.895533915893</v>
      </c>
      <c r="G254">
        <f>Portfolio!B$6*'CurrentFact-N10,20,40Unchanged'!F254</f>
        <v>3696.2945087936532</v>
      </c>
      <c r="H254">
        <f>Portfolio!B$7*'CurrentFact-N10,20,40Unchanged'!J254</f>
        <v>2064.4550337304254</v>
      </c>
      <c r="I254">
        <f t="shared" si="8"/>
        <v>96411.156278497161</v>
      </c>
      <c r="J254">
        <f t="shared" si="9"/>
        <v>0.66988359928654972</v>
      </c>
    </row>
    <row r="255" spans="1:10">
      <c r="A255" s="1">
        <v>45826</v>
      </c>
      <c r="B255">
        <f>(3/(1+('CurrentFact-N10,20,40Unchanged'!C255)/100)+103/POWER(1+('CurrentFact-N10,20,40Unchanged'!D255)/100,2))*100</f>
        <v>9707.5857774288397</v>
      </c>
      <c r="C255">
        <f>(3/(1+('CurrentFact-N10,20,40Unchanged'!C255+'CurrentFact-N10,20,40Unchanged'!G255)/100)+103/POWER(1+('CurrentFact-N10,20,40Unchanged'!D255+'CurrentFact-N10,20,40Unchanged'!G255)/100,2))*100</f>
        <v>9614.9673582483465</v>
      </c>
      <c r="D255">
        <f>(3/(1+('CurrentFact-N10,20,40Unchanged'!C255+'CurrentFact-N10,20,40Unchanged'!H255)/100)+103/POWER(1+('CurrentFact-N10,20,40Unchanged'!D255+'CurrentFact-N10,20,40Unchanged'!H255)/100,2))*100</f>
        <v>9601.2395558122898</v>
      </c>
      <c r="E255">
        <f>(3/(1+('CurrentFact-N10,20,40Unchanged'!C255+'CurrentFact-N10,20,40Unchanged'!I255)/100)+103/POWER(1+('CurrentFact-N10,20,40Unchanged'!D255+'CurrentFact-N10,20,40Unchanged'!I255)/100,2))*100</f>
        <v>9579.010759048615</v>
      </c>
      <c r="F255">
        <f>Portfolio!B$5*'CurrentFact-N10,20,40Unchanged'!E255</f>
        <v>52143.895533915893</v>
      </c>
      <c r="G255">
        <f>Portfolio!B$6*'CurrentFact-N10,20,40Unchanged'!F255</f>
        <v>3696.2945087936532</v>
      </c>
      <c r="H255">
        <f>Portfolio!B$7*'CurrentFact-N10,20,40Unchanged'!J255</f>
        <v>2064.4550337304254</v>
      </c>
      <c r="I255">
        <f t="shared" si="8"/>
        <v>96407.448526978056</v>
      </c>
      <c r="J255">
        <f t="shared" si="9"/>
        <v>0.27906860646908171</v>
      </c>
    </row>
    <row r="256" spans="1:10">
      <c r="A256" s="1">
        <v>45827</v>
      </c>
      <c r="B256">
        <f>(3/(1+('CurrentFact-N10,20,40Unchanged'!C256)/100)+103/POWER(1+('CurrentFact-N10,20,40Unchanged'!D256)/100,2))*100</f>
        <v>9707.5857774288397</v>
      </c>
      <c r="C256">
        <f>(3/(1+('CurrentFact-N10,20,40Unchanged'!C256+'CurrentFact-N10,20,40Unchanged'!G256)/100)+103/POWER(1+('CurrentFact-N10,20,40Unchanged'!D256+'CurrentFact-N10,20,40Unchanged'!G256)/100,2))*100</f>
        <v>9614.9673582483465</v>
      </c>
      <c r="D256">
        <f>(3/(1+('CurrentFact-N10,20,40Unchanged'!C256+'CurrentFact-N10,20,40Unchanged'!H256)/100)+103/POWER(1+('CurrentFact-N10,20,40Unchanged'!D256+'CurrentFact-N10,20,40Unchanged'!H256)/100,2))*100</f>
        <v>9601.2395558122898</v>
      </c>
      <c r="E256">
        <f>(3/(1+('CurrentFact-N10,20,40Unchanged'!C256+'CurrentFact-N10,20,40Unchanged'!I256)/100)+103/POWER(1+('CurrentFact-N10,20,40Unchanged'!D256+'CurrentFact-N10,20,40Unchanged'!I256)/100,2))*100</f>
        <v>9580.7188362021134</v>
      </c>
      <c r="F256">
        <f>Portfolio!B$5*'CurrentFact-N10,20,40Unchanged'!E256</f>
        <v>52143.895533915893</v>
      </c>
      <c r="G256">
        <f>Portfolio!B$6*'CurrentFact-N10,20,40Unchanged'!F256</f>
        <v>3696.2945087936532</v>
      </c>
      <c r="H256">
        <f>Portfolio!B$7*'CurrentFact-N10,20,40Unchanged'!J256</f>
        <v>2064.4550337304254</v>
      </c>
      <c r="I256">
        <f t="shared" si="8"/>
        <v>96409.156604131567</v>
      </c>
      <c r="J256">
        <f t="shared" si="9"/>
        <v>0.16792399188852869</v>
      </c>
    </row>
    <row r="257" spans="1:10">
      <c r="A257" s="1">
        <v>45828</v>
      </c>
      <c r="B257">
        <f>(3/(1+('CurrentFact-N10,20,40Unchanged'!C257)/100)+103/POWER(1+('CurrentFact-N10,20,40Unchanged'!D257)/100,2))*100</f>
        <v>9707.5857774288397</v>
      </c>
      <c r="C257">
        <f>(3/(1+('CurrentFact-N10,20,40Unchanged'!C257+'CurrentFact-N10,20,40Unchanged'!G257)/100)+103/POWER(1+('CurrentFact-N10,20,40Unchanged'!D257+'CurrentFact-N10,20,40Unchanged'!G257)/100,2))*100</f>
        <v>9614.9673582483465</v>
      </c>
      <c r="D257">
        <f>(3/(1+('CurrentFact-N10,20,40Unchanged'!C257+'CurrentFact-N10,20,40Unchanged'!H257)/100)+103/POWER(1+('CurrentFact-N10,20,40Unchanged'!D257+'CurrentFact-N10,20,40Unchanged'!H257)/100,2))*100</f>
        <v>9601.2395558122898</v>
      </c>
      <c r="E257">
        <f>(3/(1+('CurrentFact-N10,20,40Unchanged'!C257+'CurrentFact-N10,20,40Unchanged'!I257)/100)+103/POWER(1+('CurrentFact-N10,20,40Unchanged'!D257+'CurrentFact-N10,20,40Unchanged'!I257)/100,2))*100</f>
        <v>9579.0823356422243</v>
      </c>
      <c r="F257">
        <f>Portfolio!B$5*'CurrentFact-N10,20,40Unchanged'!E257</f>
        <v>52143.895533915893</v>
      </c>
      <c r="G257">
        <f>Portfolio!B$6*'CurrentFact-N10,20,40Unchanged'!F257</f>
        <v>3696.2945087936532</v>
      </c>
      <c r="H257">
        <f>Portfolio!B$7*'CurrentFact-N10,20,40Unchanged'!J257</f>
        <v>2064.4550337304254</v>
      </c>
      <c r="I257">
        <f t="shared" si="8"/>
        <v>96407.520103571675</v>
      </c>
      <c r="J257">
        <f t="shared" si="9"/>
        <v>-1.4880078981514089</v>
      </c>
    </row>
    <row r="258" spans="1:10">
      <c r="A258" s="1">
        <v>45831</v>
      </c>
      <c r="B258">
        <f>(3/(1+('CurrentFact-N10,20,40Unchanged'!C258)/100)+103/POWER(1+('CurrentFact-N10,20,40Unchanged'!D258)/100,2))*100</f>
        <v>9707.5857774288397</v>
      </c>
      <c r="C258">
        <f>(3/(1+('CurrentFact-N10,20,40Unchanged'!C258+'CurrentFact-N10,20,40Unchanged'!G258)/100)+103/POWER(1+('CurrentFact-N10,20,40Unchanged'!D258+'CurrentFact-N10,20,40Unchanged'!G258)/100,2))*100</f>
        <v>9614.9673582483465</v>
      </c>
      <c r="D258">
        <f>(3/(1+('CurrentFact-N10,20,40Unchanged'!C258+'CurrentFact-N10,20,40Unchanged'!H258)/100)+103/POWER(1+('CurrentFact-N10,20,40Unchanged'!D258+'CurrentFact-N10,20,40Unchanged'!H258)/100,2))*100</f>
        <v>9601.2395558122898</v>
      </c>
      <c r="E258">
        <f>(3/(1+('CurrentFact-N10,20,40Unchanged'!C258+'CurrentFact-N10,20,40Unchanged'!I258)/100)+103/POWER(1+('CurrentFact-N10,20,40Unchanged'!D258+'CurrentFact-N10,20,40Unchanged'!I258)/100,2))*100</f>
        <v>9579.6288351442217</v>
      </c>
      <c r="F258">
        <f>Portfolio!B$5*'CurrentFact-N10,20,40Unchanged'!E258</f>
        <v>52143.895533915893</v>
      </c>
      <c r="G258">
        <f>Portfolio!B$6*'CurrentFact-N10,20,40Unchanged'!F258</f>
        <v>3696.2945087936532</v>
      </c>
      <c r="H258">
        <f>Portfolio!B$7*'CurrentFact-N10,20,40Unchanged'!J258</f>
        <v>2064.4550337304254</v>
      </c>
      <c r="I258">
        <f t="shared" si="8"/>
        <v>96408.066603073676</v>
      </c>
      <c r="J258">
        <f t="shared" si="9"/>
        <v>0.80755503426189534</v>
      </c>
    </row>
    <row r="259" spans="1:10">
      <c r="A259" s="1">
        <v>45832</v>
      </c>
      <c r="B259">
        <f>(3/(1+('CurrentFact-N10,20,40Unchanged'!C259)/100)+103/POWER(1+('CurrentFact-N10,20,40Unchanged'!D259)/100,2))*100</f>
        <v>9707.5857774288397</v>
      </c>
      <c r="C259">
        <f>(3/(1+('CurrentFact-N10,20,40Unchanged'!C259+'CurrentFact-N10,20,40Unchanged'!G259)/100)+103/POWER(1+('CurrentFact-N10,20,40Unchanged'!D259+'CurrentFact-N10,20,40Unchanged'!G259)/100,2))*100</f>
        <v>9614.9673582483465</v>
      </c>
      <c r="D259">
        <f>(3/(1+('CurrentFact-N10,20,40Unchanged'!C259+'CurrentFact-N10,20,40Unchanged'!H259)/100)+103/POWER(1+('CurrentFact-N10,20,40Unchanged'!D259+'CurrentFact-N10,20,40Unchanged'!H259)/100,2))*100</f>
        <v>9601.2395558122898</v>
      </c>
      <c r="E259">
        <f>(3/(1+('CurrentFact-N10,20,40Unchanged'!C259+'CurrentFact-N10,20,40Unchanged'!I259)/100)+103/POWER(1+('CurrentFact-N10,20,40Unchanged'!D259+'CurrentFact-N10,20,40Unchanged'!I259)/100,2))*100</f>
        <v>9580.8706323447968</v>
      </c>
      <c r="F259">
        <f>Portfolio!B$5*'CurrentFact-N10,20,40Unchanged'!E259</f>
        <v>52143.895533915893</v>
      </c>
      <c r="G259">
        <f>Portfolio!B$6*'CurrentFact-N10,20,40Unchanged'!F259</f>
        <v>3696.2945087936532</v>
      </c>
      <c r="H259">
        <f>Portfolio!B$7*'CurrentFact-N10,20,40Unchanged'!J259</f>
        <v>2064.4550337304254</v>
      </c>
      <c r="I259">
        <f t="shared" si="8"/>
        <v>96409.308400274254</v>
      </c>
      <c r="J259">
        <f t="shared" si="9"/>
        <v>0.46889085677685216</v>
      </c>
    </row>
    <row r="260" spans="1:10">
      <c r="A260" s="1">
        <v>45833</v>
      </c>
      <c r="B260">
        <f>(3/(1+('CurrentFact-N10,20,40Unchanged'!C260)/100)+103/POWER(1+('CurrentFact-N10,20,40Unchanged'!D260)/100,2))*100</f>
        <v>9707.5857774288397</v>
      </c>
      <c r="C260">
        <f>(3/(1+('CurrentFact-N10,20,40Unchanged'!C260+'CurrentFact-N10,20,40Unchanged'!G260)/100)+103/POWER(1+('CurrentFact-N10,20,40Unchanged'!D260+'CurrentFact-N10,20,40Unchanged'!G260)/100,2))*100</f>
        <v>9614.9673582483465</v>
      </c>
      <c r="D260">
        <f>(3/(1+('CurrentFact-N10,20,40Unchanged'!C260+'CurrentFact-N10,20,40Unchanged'!H260)/100)+103/POWER(1+('CurrentFact-N10,20,40Unchanged'!D260+'CurrentFact-N10,20,40Unchanged'!H260)/100,2))*100</f>
        <v>9601.2395558122898</v>
      </c>
      <c r="E260">
        <f>(3/(1+('CurrentFact-N10,20,40Unchanged'!C260+'CurrentFact-N10,20,40Unchanged'!I260)/100)+103/POWER(1+('CurrentFact-N10,20,40Unchanged'!D260+'CurrentFact-N10,20,40Unchanged'!I260)/100,2))*100</f>
        <v>9581.5270132168862</v>
      </c>
      <c r="F260">
        <f>Portfolio!B$5*'CurrentFact-N10,20,40Unchanged'!E260</f>
        <v>52143.895533915893</v>
      </c>
      <c r="G260">
        <f>Portfolio!B$6*'CurrentFact-N10,20,40Unchanged'!F260</f>
        <v>3696.2945087936532</v>
      </c>
      <c r="H260">
        <f>Portfolio!B$7*'CurrentFact-N10,20,40Unchanged'!J260</f>
        <v>2064.4550337304254</v>
      </c>
      <c r="I260">
        <f t="shared" si="8"/>
        <v>96409.964781146336</v>
      </c>
      <c r="J260">
        <f t="shared" si="9"/>
        <v>-0.85686034242098685</v>
      </c>
    </row>
    <row r="261" spans="1:10">
      <c r="A261" s="1">
        <v>45834</v>
      </c>
      <c r="B261">
        <f>(3/(1+('CurrentFact-N10,20,40Unchanged'!C261)/100)+103/POWER(1+('CurrentFact-N10,20,40Unchanged'!D261)/100,2))*100</f>
        <v>9707.5857774288397</v>
      </c>
      <c r="C261">
        <f>(3/(1+('CurrentFact-N10,20,40Unchanged'!C261+'CurrentFact-N10,20,40Unchanged'!G261)/100)+103/POWER(1+('CurrentFact-N10,20,40Unchanged'!D261+'CurrentFact-N10,20,40Unchanged'!G261)/100,2))*100</f>
        <v>9614.9673582483465</v>
      </c>
      <c r="D261">
        <f>(3/(1+('CurrentFact-N10,20,40Unchanged'!C261+'CurrentFact-N10,20,40Unchanged'!H261)/100)+103/POWER(1+('CurrentFact-N10,20,40Unchanged'!D261+'CurrentFact-N10,20,40Unchanged'!H261)/100,2))*100</f>
        <v>9601.2395558122898</v>
      </c>
      <c r="E261">
        <f>(3/(1+('CurrentFact-N10,20,40Unchanged'!C261+'CurrentFact-N10,20,40Unchanged'!I261)/100)+103/POWER(1+('CurrentFact-N10,20,40Unchanged'!D261+'CurrentFact-N10,20,40Unchanged'!I261)/100,2))*100</f>
        <v>9579.9577290909056</v>
      </c>
      <c r="F261">
        <f>Portfolio!B$5*'CurrentFact-N10,20,40Unchanged'!E261</f>
        <v>52143.895533915893</v>
      </c>
      <c r="G261">
        <f>Portfolio!B$6*'CurrentFact-N10,20,40Unchanged'!F261</f>
        <v>3696.2945087936532</v>
      </c>
      <c r="H261">
        <f>Portfolio!B$7*'CurrentFact-N10,20,40Unchanged'!J261</f>
        <v>2064.4550337304254</v>
      </c>
      <c r="I261">
        <f t="shared" si="8"/>
        <v>96408.395497020363</v>
      </c>
      <c r="J261">
        <f t="shared" si="9"/>
        <v>1.0799057337571867</v>
      </c>
    </row>
    <row r="262" spans="1:10">
      <c r="A262" s="1">
        <v>45835</v>
      </c>
      <c r="B262">
        <f>(3/(1+('CurrentFact-N10,20,40Unchanged'!C262)/100)+103/POWER(1+('CurrentFact-N10,20,40Unchanged'!D262)/100,2))*100</f>
        <v>9707.5857774288397</v>
      </c>
      <c r="C262">
        <f>(3/(1+('CurrentFact-N10,20,40Unchanged'!C262+'CurrentFact-N10,20,40Unchanged'!G262)/100)+103/POWER(1+('CurrentFact-N10,20,40Unchanged'!D262+'CurrentFact-N10,20,40Unchanged'!G262)/100,2))*100</f>
        <v>9614.9673582483465</v>
      </c>
      <c r="D262">
        <f>(3/(1+('CurrentFact-N10,20,40Unchanged'!C262+'CurrentFact-N10,20,40Unchanged'!H262)/100)+103/POWER(1+('CurrentFact-N10,20,40Unchanged'!D262+'CurrentFact-N10,20,40Unchanged'!H262)/100,2))*100</f>
        <v>9601.2395558122898</v>
      </c>
      <c r="E262">
        <f>(3/(1+('CurrentFact-N10,20,40Unchanged'!C262+'CurrentFact-N10,20,40Unchanged'!I262)/100)+103/POWER(1+('CurrentFact-N10,20,40Unchanged'!D262+'CurrentFact-N10,20,40Unchanged'!I262)/100,2))*100</f>
        <v>9582.0954414573189</v>
      </c>
      <c r="F262">
        <f>Portfolio!B$5*'CurrentFact-N10,20,40Unchanged'!E262</f>
        <v>52143.895533915893</v>
      </c>
      <c r="G262">
        <f>Portfolio!B$6*'CurrentFact-N10,20,40Unchanged'!F262</f>
        <v>3696.2945087936532</v>
      </c>
      <c r="H262">
        <f>Portfolio!B$7*'CurrentFact-N10,20,40Unchanged'!J262</f>
        <v>2064.4550337304254</v>
      </c>
      <c r="I262">
        <f t="shared" si="8"/>
        <v>96410.533209386776</v>
      </c>
      <c r="J262">
        <f t="shared" si="9"/>
        <v>1.7771262535534333</v>
      </c>
    </row>
    <row r="263" spans="1:10">
      <c r="A263" s="1">
        <v>45838</v>
      </c>
      <c r="B263">
        <f>(3/(1+('CurrentFact-N10,20,40Unchanged'!C263)/100)+103/POWER(1+('CurrentFact-N10,20,40Unchanged'!D263)/100,2))*100</f>
        <v>9707.5857774288397</v>
      </c>
      <c r="C263">
        <f>(3/(1+('CurrentFact-N10,20,40Unchanged'!C263+'CurrentFact-N10,20,40Unchanged'!G263)/100)+103/POWER(1+('CurrentFact-N10,20,40Unchanged'!D263+'CurrentFact-N10,20,40Unchanged'!G263)/100,2))*100</f>
        <v>9614.9673582483465</v>
      </c>
      <c r="D263">
        <f>(3/(1+('CurrentFact-N10,20,40Unchanged'!C263+'CurrentFact-N10,20,40Unchanged'!H263)/100)+103/POWER(1+('CurrentFact-N10,20,40Unchanged'!D263+'CurrentFact-N10,20,40Unchanged'!H263)/100,2))*100</f>
        <v>9601.2395558122898</v>
      </c>
      <c r="E263">
        <f>(3/(1+('CurrentFact-N10,20,40Unchanged'!C263+'CurrentFact-N10,20,40Unchanged'!I263)/100)+103/POWER(1+('CurrentFact-N10,20,40Unchanged'!D263+'CurrentFact-N10,20,40Unchanged'!I263)/100,2))*100</f>
        <v>9579.331729350537</v>
      </c>
      <c r="F263">
        <f>Portfolio!B$5*'CurrentFact-N10,20,40Unchanged'!E263</f>
        <v>52143.895533915893</v>
      </c>
      <c r="G263">
        <f>Portfolio!B$6*'CurrentFact-N10,20,40Unchanged'!F263</f>
        <v>3696.2945087936532</v>
      </c>
      <c r="H263">
        <f>Portfolio!B$7*'CurrentFact-N10,20,40Unchanged'!J263</f>
        <v>2064.4550337304254</v>
      </c>
      <c r="I263">
        <f t="shared" si="8"/>
        <v>96407.76949727998</v>
      </c>
      <c r="J263">
        <f t="shared" si="9"/>
        <v>-0.84451354734483175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9C584-948C-493A-B622-BB9E5B483960}">
  <dimension ref="A1:L263"/>
  <sheetViews>
    <sheetView topLeftCell="A33" workbookViewId="0">
      <selection activeCell="J19" sqref="J19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74</v>
      </c>
      <c r="C1" t="s">
        <v>75</v>
      </c>
      <c r="D1" t="s">
        <v>76</v>
      </c>
      <c r="E1" t="s">
        <v>77</v>
      </c>
      <c r="F1" t="s">
        <v>74</v>
      </c>
      <c r="G1" t="s">
        <v>74</v>
      </c>
      <c r="H1" t="s">
        <v>78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56</v>
      </c>
    </row>
    <row r="3" spans="1:12">
      <c r="A3" s="1">
        <v>45474</v>
      </c>
      <c r="B3">
        <f>(3/(1+('CurrentFact-N10,20,40,60Unchan'!C3)/100)+103/POWER(1+('CurrentFact-N10,20,40,60Unchan'!D3)/100,2))*100</f>
        <v>9707.5857774288397</v>
      </c>
      <c r="C3">
        <f>(3/(1+('CurrentFact-N10,20,40,60Unchan'!C3+'CurrentFact-N10,20,40,60Unchan'!G3)/100)+103/POWER(1+('CurrentFact-N10,20,40,60Unchan'!D3+'CurrentFact-N10,20,40,60Unchan'!G3)/100,2))*100</f>
        <v>9614.9673582483465</v>
      </c>
      <c r="D3">
        <f>(3/(1+('CurrentFact-N10,20,40,60Unchan'!C3+'CurrentFact-N10,20,40,60Unchan'!H3)/100)+103/POWER(1+('CurrentFact-N10,20,40,60Unchan'!D3+'CurrentFact-N10,20,40,60Unchan'!H3)/100,2))*100</f>
        <v>9601.2395558122898</v>
      </c>
      <c r="E3">
        <f>(3/(1+('CurrentFact-N10,20,40,60Unchan'!C3+'CurrentFact-N10,20,40,60Unchan'!I3)/100)+103/POWER(1+('CurrentFact-N10,20,40,60Unchan'!D3+'CurrentFact-N10,20,40,60Unchan'!I3)/100,2))*100</f>
        <v>9676.6907857653259</v>
      </c>
      <c r="F3">
        <f>Portfolio!B$5*'CurrentFact-N10,20,40,60Unchan'!E3</f>
        <v>52143.895533915893</v>
      </c>
      <c r="G3">
        <f>Portfolio!B$6*'CurrentFact-N10,20,40,60Unchan'!F3</f>
        <v>3696.2945087936532</v>
      </c>
      <c r="H3">
        <f>Portfolio!B$7*'CurrentFact-N10,20,40,60Unchan'!J3</f>
        <v>2064.4550337304254</v>
      </c>
      <c r="I3">
        <f>SUM(B3:H3)</f>
        <v>96505.128553694783</v>
      </c>
      <c r="K3" s="8">
        <f>_xlfn.PERCENTILE.INC(J13:J263, 0.025)</f>
        <v>0</v>
      </c>
      <c r="L3">
        <f>AVERAGEIF(J13:J263, "&lt;="&amp;K3,J13:J263)</f>
        <v>0</v>
      </c>
    </row>
    <row r="4" spans="1:12">
      <c r="A4" s="1">
        <v>45475</v>
      </c>
      <c r="B4">
        <f>(3/(1+('CurrentFact-N10,20,40,60Unchan'!C4)/100)+103/POWER(1+('CurrentFact-N10,20,40,60Unchan'!D4)/100,2))*100</f>
        <v>9707.5857774288397</v>
      </c>
      <c r="C4">
        <f>(3/(1+('CurrentFact-N10,20,40,60Unchan'!C4+'CurrentFact-N10,20,40,60Unchan'!G4)/100)+103/POWER(1+('CurrentFact-N10,20,40,60Unchan'!D4+'CurrentFact-N10,20,40,60Unchan'!G4)/100,2))*100</f>
        <v>9614.9673582483465</v>
      </c>
      <c r="D4">
        <f>(3/(1+('CurrentFact-N10,20,40,60Unchan'!C4+'CurrentFact-N10,20,40,60Unchan'!H4)/100)+103/POWER(1+('CurrentFact-N10,20,40,60Unchan'!D4+'CurrentFact-N10,20,40,60Unchan'!H4)/100,2))*100</f>
        <v>9601.2395558122898</v>
      </c>
      <c r="E4">
        <f>(3/(1+('CurrentFact-N10,20,40,60Unchan'!C4+'CurrentFact-N10,20,40,60Unchan'!I4)/100)+103/POWER(1+('CurrentFact-N10,20,40,60Unchan'!D4+'CurrentFact-N10,20,40,60Unchan'!I4)/100,2))*100</f>
        <v>9676.6907857653259</v>
      </c>
      <c r="F4">
        <f>Portfolio!B$5*'CurrentFact-N10,20,40,60Unchan'!E4</f>
        <v>52143.895533915893</v>
      </c>
      <c r="G4">
        <f>Portfolio!B$6*'CurrentFact-N10,20,40,60Unchan'!F4</f>
        <v>3696.2945087936532</v>
      </c>
      <c r="H4">
        <f>Portfolio!B$7*'CurrentFact-N10,20,40,60Unchan'!J4</f>
        <v>2064.4550337304254</v>
      </c>
      <c r="I4">
        <f t="shared" ref="I4:I67" si="0">SUM(B4:H4)</f>
        <v>96505.128553694783</v>
      </c>
    </row>
    <row r="5" spans="1:12">
      <c r="A5" s="1">
        <v>45476</v>
      </c>
      <c r="B5">
        <f>(3/(1+('CurrentFact-N10,20,40,60Unchan'!C5)/100)+103/POWER(1+('CurrentFact-N10,20,40,60Unchan'!D5)/100,2))*100</f>
        <v>9707.5857774288397</v>
      </c>
      <c r="C5">
        <f>(3/(1+('CurrentFact-N10,20,40,60Unchan'!C5+'CurrentFact-N10,20,40,60Unchan'!G5)/100)+103/POWER(1+('CurrentFact-N10,20,40,60Unchan'!D5+'CurrentFact-N10,20,40,60Unchan'!G5)/100,2))*100</f>
        <v>9614.9673582483465</v>
      </c>
      <c r="D5">
        <f>(3/(1+('CurrentFact-N10,20,40,60Unchan'!C5+'CurrentFact-N10,20,40,60Unchan'!H5)/100)+103/POWER(1+('CurrentFact-N10,20,40,60Unchan'!D5+'CurrentFact-N10,20,40,60Unchan'!H5)/100,2))*100</f>
        <v>9601.2395558122898</v>
      </c>
      <c r="E5">
        <f>(3/(1+('CurrentFact-N10,20,40,60Unchan'!C5+'CurrentFact-N10,20,40,60Unchan'!I5)/100)+103/POWER(1+('CurrentFact-N10,20,40,60Unchan'!D5+'CurrentFact-N10,20,40,60Unchan'!I5)/100,2))*100</f>
        <v>9676.6907857653259</v>
      </c>
      <c r="F5">
        <f>Portfolio!B$5*'CurrentFact-N10,20,40,60Unchan'!E5</f>
        <v>52143.895533915893</v>
      </c>
      <c r="G5">
        <f>Portfolio!B$6*'CurrentFact-N10,20,40,60Unchan'!F5</f>
        <v>3696.2945087936532</v>
      </c>
      <c r="H5">
        <f>Portfolio!B$7*'CurrentFact-N10,20,40,60Unchan'!J5</f>
        <v>2064.4550337304254</v>
      </c>
      <c r="I5">
        <f t="shared" si="0"/>
        <v>96505.128553694783</v>
      </c>
    </row>
    <row r="6" spans="1:12">
      <c r="A6" s="1">
        <v>45477</v>
      </c>
      <c r="B6">
        <f>(3/(1+('CurrentFact-N10,20,40,60Unchan'!C6)/100)+103/POWER(1+('CurrentFact-N10,20,40,60Unchan'!D6)/100,2))*100</f>
        <v>9707.5857774288397</v>
      </c>
      <c r="C6">
        <f>(3/(1+('CurrentFact-N10,20,40,60Unchan'!C6+'CurrentFact-N10,20,40,60Unchan'!G6)/100)+103/POWER(1+('CurrentFact-N10,20,40,60Unchan'!D6+'CurrentFact-N10,20,40,60Unchan'!G6)/100,2))*100</f>
        <v>9614.9673582483465</v>
      </c>
      <c r="D6">
        <f>(3/(1+('CurrentFact-N10,20,40,60Unchan'!C6+'CurrentFact-N10,20,40,60Unchan'!H6)/100)+103/POWER(1+('CurrentFact-N10,20,40,60Unchan'!D6+'CurrentFact-N10,20,40,60Unchan'!H6)/100,2))*100</f>
        <v>9601.2395558122898</v>
      </c>
      <c r="E6">
        <f>(3/(1+('CurrentFact-N10,20,40,60Unchan'!C6+'CurrentFact-N10,20,40,60Unchan'!I6)/100)+103/POWER(1+('CurrentFact-N10,20,40,60Unchan'!D6+'CurrentFact-N10,20,40,60Unchan'!I6)/100,2))*100</f>
        <v>9676.6907857653259</v>
      </c>
      <c r="F6">
        <f>Portfolio!B$5*'CurrentFact-N10,20,40,60Unchan'!E6</f>
        <v>52143.895533915893</v>
      </c>
      <c r="G6">
        <f>Portfolio!B$6*'CurrentFact-N10,20,40,60Unchan'!F6</f>
        <v>3696.2945087936532</v>
      </c>
      <c r="H6">
        <f>Portfolio!B$7*'CurrentFact-N10,20,40,60Unchan'!J6</f>
        <v>2064.4550337304254</v>
      </c>
      <c r="I6">
        <f t="shared" si="0"/>
        <v>96505.128553694783</v>
      </c>
    </row>
    <row r="7" spans="1:12">
      <c r="A7" s="1">
        <v>45478</v>
      </c>
      <c r="B7">
        <f>(3/(1+('CurrentFact-N10,20,40,60Unchan'!C7)/100)+103/POWER(1+('CurrentFact-N10,20,40,60Unchan'!D7)/100,2))*100</f>
        <v>9707.5857774288397</v>
      </c>
      <c r="C7">
        <f>(3/(1+('CurrentFact-N10,20,40,60Unchan'!C7+'CurrentFact-N10,20,40,60Unchan'!G7)/100)+103/POWER(1+('CurrentFact-N10,20,40,60Unchan'!D7+'CurrentFact-N10,20,40,60Unchan'!G7)/100,2))*100</f>
        <v>9614.9673582483465</v>
      </c>
      <c r="D7">
        <f>(3/(1+('CurrentFact-N10,20,40,60Unchan'!C7+'CurrentFact-N10,20,40,60Unchan'!H7)/100)+103/POWER(1+('CurrentFact-N10,20,40,60Unchan'!D7+'CurrentFact-N10,20,40,60Unchan'!H7)/100,2))*100</f>
        <v>9601.2395558122898</v>
      </c>
      <c r="E7">
        <f>(3/(1+('CurrentFact-N10,20,40,60Unchan'!C7+'CurrentFact-N10,20,40,60Unchan'!I7)/100)+103/POWER(1+('CurrentFact-N10,20,40,60Unchan'!D7+'CurrentFact-N10,20,40,60Unchan'!I7)/100,2))*100</f>
        <v>9676.6907857653259</v>
      </c>
      <c r="F7">
        <f>Portfolio!B$5*'CurrentFact-N10,20,40,60Unchan'!E7</f>
        <v>52143.895533915893</v>
      </c>
      <c r="G7">
        <f>Portfolio!B$6*'CurrentFact-N10,20,40,60Unchan'!F7</f>
        <v>3696.2945087936532</v>
      </c>
      <c r="H7">
        <f>Portfolio!B$7*'CurrentFact-N10,20,40,60Unchan'!J7</f>
        <v>2064.4550337304254</v>
      </c>
      <c r="I7">
        <f t="shared" si="0"/>
        <v>96505.128553694783</v>
      </c>
    </row>
    <row r="8" spans="1:12">
      <c r="A8" s="1">
        <v>45481</v>
      </c>
      <c r="B8">
        <f>(3/(1+('CurrentFact-N10,20,40,60Unchan'!C8)/100)+103/POWER(1+('CurrentFact-N10,20,40,60Unchan'!D8)/100,2))*100</f>
        <v>9707.5857774288397</v>
      </c>
      <c r="C8">
        <f>(3/(1+('CurrentFact-N10,20,40,60Unchan'!C8+'CurrentFact-N10,20,40,60Unchan'!G8)/100)+103/POWER(1+('CurrentFact-N10,20,40,60Unchan'!D8+'CurrentFact-N10,20,40,60Unchan'!G8)/100,2))*100</f>
        <v>9614.9673582483465</v>
      </c>
      <c r="D8">
        <f>(3/(1+('CurrentFact-N10,20,40,60Unchan'!C8+'CurrentFact-N10,20,40,60Unchan'!H8)/100)+103/POWER(1+('CurrentFact-N10,20,40,60Unchan'!D8+'CurrentFact-N10,20,40,60Unchan'!H8)/100,2))*100</f>
        <v>9601.2395558122898</v>
      </c>
      <c r="E8">
        <f>(3/(1+('CurrentFact-N10,20,40,60Unchan'!C8+'CurrentFact-N10,20,40,60Unchan'!I8)/100)+103/POWER(1+('CurrentFact-N10,20,40,60Unchan'!D8+'CurrentFact-N10,20,40,60Unchan'!I8)/100,2))*100</f>
        <v>9676.6907857653259</v>
      </c>
      <c r="F8">
        <f>Portfolio!B$5*'CurrentFact-N10,20,40,60Unchan'!E8</f>
        <v>52143.895533915893</v>
      </c>
      <c r="G8">
        <f>Portfolio!B$6*'CurrentFact-N10,20,40,60Unchan'!F8</f>
        <v>3696.2945087936532</v>
      </c>
      <c r="H8">
        <f>Portfolio!B$7*'CurrentFact-N10,20,40,60Unchan'!J8</f>
        <v>2064.4550337304254</v>
      </c>
      <c r="I8">
        <f t="shared" si="0"/>
        <v>96505.128553694783</v>
      </c>
    </row>
    <row r="9" spans="1:12">
      <c r="A9" s="1">
        <v>45482</v>
      </c>
      <c r="B9">
        <f>(3/(1+('CurrentFact-N10,20,40,60Unchan'!C9)/100)+103/POWER(1+('CurrentFact-N10,20,40,60Unchan'!D9)/100,2))*100</f>
        <v>9707.5857774288397</v>
      </c>
      <c r="C9">
        <f>(3/(1+('CurrentFact-N10,20,40,60Unchan'!C9+'CurrentFact-N10,20,40,60Unchan'!G9)/100)+103/POWER(1+('CurrentFact-N10,20,40,60Unchan'!D9+'CurrentFact-N10,20,40,60Unchan'!G9)/100,2))*100</f>
        <v>9614.9673582483465</v>
      </c>
      <c r="D9">
        <f>(3/(1+('CurrentFact-N10,20,40,60Unchan'!C9+'CurrentFact-N10,20,40,60Unchan'!H9)/100)+103/POWER(1+('CurrentFact-N10,20,40,60Unchan'!D9+'CurrentFact-N10,20,40,60Unchan'!H9)/100,2))*100</f>
        <v>9601.2395558122898</v>
      </c>
      <c r="E9">
        <f>(3/(1+('CurrentFact-N10,20,40,60Unchan'!C9+'CurrentFact-N10,20,40,60Unchan'!I9)/100)+103/POWER(1+('CurrentFact-N10,20,40,60Unchan'!D9+'CurrentFact-N10,20,40,60Unchan'!I9)/100,2))*100</f>
        <v>9676.6907857653259</v>
      </c>
      <c r="F9">
        <f>Portfolio!B$5*'CurrentFact-N10,20,40,60Unchan'!E9</f>
        <v>52143.895533915893</v>
      </c>
      <c r="G9">
        <f>Portfolio!B$6*'CurrentFact-N10,20,40,60Unchan'!F9</f>
        <v>3696.2945087936532</v>
      </c>
      <c r="H9">
        <f>Portfolio!B$7*'CurrentFact-N10,20,40,60Unchan'!J9</f>
        <v>2064.4550337304254</v>
      </c>
      <c r="I9">
        <f t="shared" si="0"/>
        <v>96505.128553694783</v>
      </c>
    </row>
    <row r="10" spans="1:12">
      <c r="A10" s="1">
        <v>45483</v>
      </c>
      <c r="B10">
        <f>(3/(1+('CurrentFact-N10,20,40,60Unchan'!C10)/100)+103/POWER(1+('CurrentFact-N10,20,40,60Unchan'!D10)/100,2))*100</f>
        <v>9707.5857774288397</v>
      </c>
      <c r="C10">
        <f>(3/(1+('CurrentFact-N10,20,40,60Unchan'!C10+'CurrentFact-N10,20,40,60Unchan'!G10)/100)+103/POWER(1+('CurrentFact-N10,20,40,60Unchan'!D10+'CurrentFact-N10,20,40,60Unchan'!G10)/100,2))*100</f>
        <v>9614.9673582483465</v>
      </c>
      <c r="D10">
        <f>(3/(1+('CurrentFact-N10,20,40,60Unchan'!C10+'CurrentFact-N10,20,40,60Unchan'!H10)/100)+103/POWER(1+('CurrentFact-N10,20,40,60Unchan'!D10+'CurrentFact-N10,20,40,60Unchan'!H10)/100,2))*100</f>
        <v>9601.2395558122898</v>
      </c>
      <c r="E10">
        <f>(3/(1+('CurrentFact-N10,20,40,60Unchan'!C10+'CurrentFact-N10,20,40,60Unchan'!I10)/100)+103/POWER(1+('CurrentFact-N10,20,40,60Unchan'!D10+'CurrentFact-N10,20,40,60Unchan'!I10)/100,2))*100</f>
        <v>9676.6907857653259</v>
      </c>
      <c r="F10">
        <f>Portfolio!B$5*'CurrentFact-N10,20,40,60Unchan'!E10</f>
        <v>52143.895533915893</v>
      </c>
      <c r="G10">
        <f>Portfolio!B$6*'CurrentFact-N10,20,40,60Unchan'!F10</f>
        <v>3696.2945087936532</v>
      </c>
      <c r="H10">
        <f>Portfolio!B$7*'CurrentFact-N10,20,40,60Unchan'!J10</f>
        <v>2064.4550337304254</v>
      </c>
      <c r="I10">
        <f t="shared" si="0"/>
        <v>96505.128553694783</v>
      </c>
    </row>
    <row r="11" spans="1:12">
      <c r="A11" s="1">
        <v>45484</v>
      </c>
      <c r="B11">
        <f>(3/(1+('CurrentFact-N10,20,40,60Unchan'!C11)/100)+103/POWER(1+('CurrentFact-N10,20,40,60Unchan'!D11)/100,2))*100</f>
        <v>9707.5857774288397</v>
      </c>
      <c r="C11">
        <f>(3/(1+('CurrentFact-N10,20,40,60Unchan'!C11+'CurrentFact-N10,20,40,60Unchan'!G11)/100)+103/POWER(1+('CurrentFact-N10,20,40,60Unchan'!D11+'CurrentFact-N10,20,40,60Unchan'!G11)/100,2))*100</f>
        <v>9614.9673582483465</v>
      </c>
      <c r="D11">
        <f>(3/(1+('CurrentFact-N10,20,40,60Unchan'!C11+'CurrentFact-N10,20,40,60Unchan'!H11)/100)+103/POWER(1+('CurrentFact-N10,20,40,60Unchan'!D11+'CurrentFact-N10,20,40,60Unchan'!H11)/100,2))*100</f>
        <v>9601.2395558122898</v>
      </c>
      <c r="E11">
        <f>(3/(1+('CurrentFact-N10,20,40,60Unchan'!C11+'CurrentFact-N10,20,40,60Unchan'!I11)/100)+103/POWER(1+('CurrentFact-N10,20,40,60Unchan'!D11+'CurrentFact-N10,20,40,60Unchan'!I11)/100,2))*100</f>
        <v>9676.6907857653259</v>
      </c>
      <c r="F11">
        <f>Portfolio!B$5*'CurrentFact-N10,20,40,60Unchan'!E11</f>
        <v>52143.895533915893</v>
      </c>
      <c r="G11">
        <f>Portfolio!B$6*'CurrentFact-N10,20,40,60Unchan'!F11</f>
        <v>3696.2945087936532</v>
      </c>
      <c r="H11">
        <f>Portfolio!B$7*'CurrentFact-N10,20,40,60Unchan'!J11</f>
        <v>2064.4550337304254</v>
      </c>
      <c r="I11">
        <f t="shared" si="0"/>
        <v>96505.128553694783</v>
      </c>
    </row>
    <row r="12" spans="1:12">
      <c r="A12" s="1">
        <v>45485</v>
      </c>
      <c r="B12">
        <f>(3/(1+('CurrentFact-N10,20,40,60Unchan'!C12)/100)+103/POWER(1+('CurrentFact-N10,20,40,60Unchan'!D12)/100,2))*100</f>
        <v>9707.5857774288397</v>
      </c>
      <c r="C12">
        <f>(3/(1+('CurrentFact-N10,20,40,60Unchan'!C12+'CurrentFact-N10,20,40,60Unchan'!G12)/100)+103/POWER(1+('CurrentFact-N10,20,40,60Unchan'!D12+'CurrentFact-N10,20,40,60Unchan'!G12)/100,2))*100</f>
        <v>9614.9673582483465</v>
      </c>
      <c r="D12">
        <f>(3/(1+('CurrentFact-N10,20,40,60Unchan'!C12+'CurrentFact-N10,20,40,60Unchan'!H12)/100)+103/POWER(1+('CurrentFact-N10,20,40,60Unchan'!D12+'CurrentFact-N10,20,40,60Unchan'!H12)/100,2))*100</f>
        <v>9601.2395558122898</v>
      </c>
      <c r="E12">
        <f>(3/(1+('CurrentFact-N10,20,40,60Unchan'!C12+'CurrentFact-N10,20,40,60Unchan'!I12)/100)+103/POWER(1+('CurrentFact-N10,20,40,60Unchan'!D12+'CurrentFact-N10,20,40,60Unchan'!I12)/100,2))*100</f>
        <v>9676.6907857653259</v>
      </c>
      <c r="F12">
        <f>Portfolio!B$5*'CurrentFact-N10,20,40,60Unchan'!E12</f>
        <v>52143.895533915893</v>
      </c>
      <c r="G12">
        <f>Portfolio!B$6*'CurrentFact-N10,20,40,60Unchan'!F12</f>
        <v>3696.2945087936532</v>
      </c>
      <c r="H12">
        <f>Portfolio!B$7*'CurrentFact-N10,20,40,60Unchan'!J12</f>
        <v>2064.4550337304254</v>
      </c>
      <c r="I12">
        <f t="shared" si="0"/>
        <v>96505.128553694783</v>
      </c>
    </row>
    <row r="13" spans="1:12">
      <c r="A13" s="1">
        <v>45488</v>
      </c>
      <c r="B13">
        <f>(3/(1+('CurrentFact-N10,20,40,60Unchan'!C13)/100)+103/POWER(1+('CurrentFact-N10,20,40,60Unchan'!D13)/100,2))*100</f>
        <v>9707.5857774288397</v>
      </c>
      <c r="C13">
        <f>(3/(1+('CurrentFact-N10,20,40,60Unchan'!C13+'CurrentFact-N10,20,40,60Unchan'!G13)/100)+103/POWER(1+('CurrentFact-N10,20,40,60Unchan'!D13+'CurrentFact-N10,20,40,60Unchan'!G13)/100,2))*100</f>
        <v>9614.9673582483465</v>
      </c>
      <c r="D13">
        <f>(3/(1+('CurrentFact-N10,20,40,60Unchan'!C13+'CurrentFact-N10,20,40,60Unchan'!H13)/100)+103/POWER(1+('CurrentFact-N10,20,40,60Unchan'!D13+'CurrentFact-N10,20,40,60Unchan'!H13)/100,2))*100</f>
        <v>9601.2395558122898</v>
      </c>
      <c r="E13">
        <f>(3/(1+('CurrentFact-N10,20,40,60Unchan'!C13+'CurrentFact-N10,20,40,60Unchan'!I13)/100)+103/POWER(1+('CurrentFact-N10,20,40,60Unchan'!D13+'CurrentFact-N10,20,40,60Unchan'!I13)/100,2))*100</f>
        <v>9676.6907857653259</v>
      </c>
      <c r="F13">
        <f>Portfolio!B$5*'CurrentFact-N10,20,40,60Unchan'!E13</f>
        <v>52143.895533915893</v>
      </c>
      <c r="G13">
        <f>Portfolio!B$6*'CurrentFact-N10,20,40,60Unchan'!F13</f>
        <v>3696.2945087936532</v>
      </c>
      <c r="H13">
        <f>Portfolio!B$7*'CurrentFact-N10,20,40,60Unchan'!J13</f>
        <v>2064.4550337304254</v>
      </c>
      <c r="I13">
        <f t="shared" si="0"/>
        <v>96505.128553694783</v>
      </c>
      <c r="J13">
        <f>I13-I3</f>
        <v>0</v>
      </c>
    </row>
    <row r="14" spans="1:12">
      <c r="A14" s="1">
        <v>45489</v>
      </c>
      <c r="B14">
        <f>(3/(1+('CurrentFact-N10,20,40,60Unchan'!C14)/100)+103/POWER(1+('CurrentFact-N10,20,40,60Unchan'!D14)/100,2))*100</f>
        <v>9707.5857774288397</v>
      </c>
      <c r="C14">
        <f>(3/(1+('CurrentFact-N10,20,40,60Unchan'!C14+'CurrentFact-N10,20,40,60Unchan'!G14)/100)+103/POWER(1+('CurrentFact-N10,20,40,60Unchan'!D14+'CurrentFact-N10,20,40,60Unchan'!G14)/100,2))*100</f>
        <v>9614.9673582483465</v>
      </c>
      <c r="D14">
        <f>(3/(1+('CurrentFact-N10,20,40,60Unchan'!C14+'CurrentFact-N10,20,40,60Unchan'!H14)/100)+103/POWER(1+('CurrentFact-N10,20,40,60Unchan'!D14+'CurrentFact-N10,20,40,60Unchan'!H14)/100,2))*100</f>
        <v>9601.2395558122898</v>
      </c>
      <c r="E14">
        <f>(3/(1+('CurrentFact-N10,20,40,60Unchan'!C14+'CurrentFact-N10,20,40,60Unchan'!I14)/100)+103/POWER(1+('CurrentFact-N10,20,40,60Unchan'!D14+'CurrentFact-N10,20,40,60Unchan'!I14)/100,2))*100</f>
        <v>9676.6907857653259</v>
      </c>
      <c r="F14">
        <f>Portfolio!B$5*'CurrentFact-N10,20,40,60Unchan'!E14</f>
        <v>52143.895533915893</v>
      </c>
      <c r="G14">
        <f>Portfolio!B$6*'CurrentFact-N10,20,40,60Unchan'!F14</f>
        <v>3696.2945087936532</v>
      </c>
      <c r="H14">
        <f>Portfolio!B$7*'CurrentFact-N10,20,40,60Unchan'!J14</f>
        <v>2064.4550337304254</v>
      </c>
      <c r="I14">
        <f t="shared" si="0"/>
        <v>96505.128553694783</v>
      </c>
      <c r="J14">
        <f t="shared" ref="J14:J77" si="1">I14-I4</f>
        <v>0</v>
      </c>
    </row>
    <row r="15" spans="1:12">
      <c r="A15" s="1">
        <v>45490</v>
      </c>
      <c r="B15">
        <f>(3/(1+('CurrentFact-N10,20,40,60Unchan'!C15)/100)+103/POWER(1+('CurrentFact-N10,20,40,60Unchan'!D15)/100,2))*100</f>
        <v>9707.5857774288397</v>
      </c>
      <c r="C15">
        <f>(3/(1+('CurrentFact-N10,20,40,60Unchan'!C15+'CurrentFact-N10,20,40,60Unchan'!G15)/100)+103/POWER(1+('CurrentFact-N10,20,40,60Unchan'!D15+'CurrentFact-N10,20,40,60Unchan'!G15)/100,2))*100</f>
        <v>9614.9673582483465</v>
      </c>
      <c r="D15">
        <f>(3/(1+('CurrentFact-N10,20,40,60Unchan'!C15+'CurrentFact-N10,20,40,60Unchan'!H15)/100)+103/POWER(1+('CurrentFact-N10,20,40,60Unchan'!D15+'CurrentFact-N10,20,40,60Unchan'!H15)/100,2))*100</f>
        <v>9601.2395558122898</v>
      </c>
      <c r="E15">
        <f>(3/(1+('CurrentFact-N10,20,40,60Unchan'!C15+'CurrentFact-N10,20,40,60Unchan'!I15)/100)+103/POWER(1+('CurrentFact-N10,20,40,60Unchan'!D15+'CurrentFact-N10,20,40,60Unchan'!I15)/100,2))*100</f>
        <v>9676.6907857653259</v>
      </c>
      <c r="F15">
        <f>Portfolio!B$5*'CurrentFact-N10,20,40,60Unchan'!E15</f>
        <v>52143.895533915893</v>
      </c>
      <c r="G15">
        <f>Portfolio!B$6*'CurrentFact-N10,20,40,60Unchan'!F15</f>
        <v>3696.2945087936532</v>
      </c>
      <c r="H15">
        <f>Portfolio!B$7*'CurrentFact-N10,20,40,60Unchan'!J15</f>
        <v>2064.4550337304254</v>
      </c>
      <c r="I15">
        <f t="shared" si="0"/>
        <v>96505.128553694783</v>
      </c>
      <c r="J15">
        <f t="shared" si="1"/>
        <v>0</v>
      </c>
    </row>
    <row r="16" spans="1:12">
      <c r="A16" s="1">
        <v>45491</v>
      </c>
      <c r="B16">
        <f>(3/(1+('CurrentFact-N10,20,40,60Unchan'!C16)/100)+103/POWER(1+('CurrentFact-N10,20,40,60Unchan'!D16)/100,2))*100</f>
        <v>9707.5857774288397</v>
      </c>
      <c r="C16">
        <f>(3/(1+('CurrentFact-N10,20,40,60Unchan'!C16+'CurrentFact-N10,20,40,60Unchan'!G16)/100)+103/POWER(1+('CurrentFact-N10,20,40,60Unchan'!D16+'CurrentFact-N10,20,40,60Unchan'!G16)/100,2))*100</f>
        <v>9614.9673582483465</v>
      </c>
      <c r="D16">
        <f>(3/(1+('CurrentFact-N10,20,40,60Unchan'!C16+'CurrentFact-N10,20,40,60Unchan'!H16)/100)+103/POWER(1+('CurrentFact-N10,20,40,60Unchan'!D16+'CurrentFact-N10,20,40,60Unchan'!H16)/100,2))*100</f>
        <v>9601.2395558122898</v>
      </c>
      <c r="E16">
        <f>(3/(1+('CurrentFact-N10,20,40,60Unchan'!C16+'CurrentFact-N10,20,40,60Unchan'!I16)/100)+103/POWER(1+('CurrentFact-N10,20,40,60Unchan'!D16+'CurrentFact-N10,20,40,60Unchan'!I16)/100,2))*100</f>
        <v>9676.6907857653259</v>
      </c>
      <c r="F16">
        <f>Portfolio!B$5*'CurrentFact-N10,20,40,60Unchan'!E16</f>
        <v>52143.895533915893</v>
      </c>
      <c r="G16">
        <f>Portfolio!B$6*'CurrentFact-N10,20,40,60Unchan'!F16</f>
        <v>3696.2945087936532</v>
      </c>
      <c r="H16">
        <f>Portfolio!B$7*'CurrentFact-N10,20,40,60Unchan'!J16</f>
        <v>2064.4550337304254</v>
      </c>
      <c r="I16">
        <f t="shared" si="0"/>
        <v>96505.128553694783</v>
      </c>
      <c r="J16">
        <f t="shared" si="1"/>
        <v>0</v>
      </c>
    </row>
    <row r="17" spans="1:10">
      <c r="A17" s="1">
        <v>45492</v>
      </c>
      <c r="B17">
        <f>(3/(1+('CurrentFact-N10,20,40,60Unchan'!C17)/100)+103/POWER(1+('CurrentFact-N10,20,40,60Unchan'!D17)/100,2))*100</f>
        <v>9707.5857774288397</v>
      </c>
      <c r="C17">
        <f>(3/(1+('CurrentFact-N10,20,40,60Unchan'!C17+'CurrentFact-N10,20,40,60Unchan'!G17)/100)+103/POWER(1+('CurrentFact-N10,20,40,60Unchan'!D17+'CurrentFact-N10,20,40,60Unchan'!G17)/100,2))*100</f>
        <v>9614.9673582483465</v>
      </c>
      <c r="D17">
        <f>(3/(1+('CurrentFact-N10,20,40,60Unchan'!C17+'CurrentFact-N10,20,40,60Unchan'!H17)/100)+103/POWER(1+('CurrentFact-N10,20,40,60Unchan'!D17+'CurrentFact-N10,20,40,60Unchan'!H17)/100,2))*100</f>
        <v>9601.2395558122898</v>
      </c>
      <c r="E17">
        <f>(3/(1+('CurrentFact-N10,20,40,60Unchan'!C17+'CurrentFact-N10,20,40,60Unchan'!I17)/100)+103/POWER(1+('CurrentFact-N10,20,40,60Unchan'!D17+'CurrentFact-N10,20,40,60Unchan'!I17)/100,2))*100</f>
        <v>9676.6907857653259</v>
      </c>
      <c r="F17">
        <f>Portfolio!B$5*'CurrentFact-N10,20,40,60Unchan'!E17</f>
        <v>52143.895533915893</v>
      </c>
      <c r="G17">
        <f>Portfolio!B$6*'CurrentFact-N10,20,40,60Unchan'!F17</f>
        <v>3696.2945087936532</v>
      </c>
      <c r="H17">
        <f>Portfolio!B$7*'CurrentFact-N10,20,40,60Unchan'!J17</f>
        <v>2064.4550337304254</v>
      </c>
      <c r="I17">
        <f t="shared" si="0"/>
        <v>96505.128553694783</v>
      </c>
      <c r="J17">
        <f t="shared" si="1"/>
        <v>0</v>
      </c>
    </row>
    <row r="18" spans="1:10">
      <c r="A18" s="1">
        <v>45495</v>
      </c>
      <c r="B18">
        <f>(3/(1+('CurrentFact-N10,20,40,60Unchan'!C18)/100)+103/POWER(1+('CurrentFact-N10,20,40,60Unchan'!D18)/100,2))*100</f>
        <v>9707.5857774288397</v>
      </c>
      <c r="C18">
        <f>(3/(1+('CurrentFact-N10,20,40,60Unchan'!C18+'CurrentFact-N10,20,40,60Unchan'!G18)/100)+103/POWER(1+('CurrentFact-N10,20,40,60Unchan'!D18+'CurrentFact-N10,20,40,60Unchan'!G18)/100,2))*100</f>
        <v>9614.9673582483465</v>
      </c>
      <c r="D18">
        <f>(3/(1+('CurrentFact-N10,20,40,60Unchan'!C18+'CurrentFact-N10,20,40,60Unchan'!H18)/100)+103/POWER(1+('CurrentFact-N10,20,40,60Unchan'!D18+'CurrentFact-N10,20,40,60Unchan'!H18)/100,2))*100</f>
        <v>9601.2395558122898</v>
      </c>
      <c r="E18">
        <f>(3/(1+('CurrentFact-N10,20,40,60Unchan'!C18+'CurrentFact-N10,20,40,60Unchan'!I18)/100)+103/POWER(1+('CurrentFact-N10,20,40,60Unchan'!D18+'CurrentFact-N10,20,40,60Unchan'!I18)/100,2))*100</f>
        <v>9676.6907857653259</v>
      </c>
      <c r="F18">
        <f>Portfolio!B$5*'CurrentFact-N10,20,40,60Unchan'!E18</f>
        <v>52143.895533915893</v>
      </c>
      <c r="G18">
        <f>Portfolio!B$6*'CurrentFact-N10,20,40,60Unchan'!F18</f>
        <v>3696.2945087936532</v>
      </c>
      <c r="H18">
        <f>Portfolio!B$7*'CurrentFact-N10,20,40,60Unchan'!J18</f>
        <v>2064.4550337304254</v>
      </c>
      <c r="I18">
        <f t="shared" si="0"/>
        <v>96505.128553694783</v>
      </c>
      <c r="J18">
        <f t="shared" si="1"/>
        <v>0</v>
      </c>
    </row>
    <row r="19" spans="1:10">
      <c r="A19" s="1">
        <v>45496</v>
      </c>
      <c r="B19">
        <f>(3/(1+('CurrentFact-N10,20,40,60Unchan'!C19)/100)+103/POWER(1+('CurrentFact-N10,20,40,60Unchan'!D19)/100,2))*100</f>
        <v>9707.5857774288397</v>
      </c>
      <c r="C19">
        <f>(3/(1+('CurrentFact-N10,20,40,60Unchan'!C19+'CurrentFact-N10,20,40,60Unchan'!G19)/100)+103/POWER(1+('CurrentFact-N10,20,40,60Unchan'!D19+'CurrentFact-N10,20,40,60Unchan'!G19)/100,2))*100</f>
        <v>9614.9673582483465</v>
      </c>
      <c r="D19">
        <f>(3/(1+('CurrentFact-N10,20,40,60Unchan'!C19+'CurrentFact-N10,20,40,60Unchan'!H19)/100)+103/POWER(1+('CurrentFact-N10,20,40,60Unchan'!D19+'CurrentFact-N10,20,40,60Unchan'!H19)/100,2))*100</f>
        <v>9601.2395558122898</v>
      </c>
      <c r="E19">
        <f>(3/(1+('CurrentFact-N10,20,40,60Unchan'!C19+'CurrentFact-N10,20,40,60Unchan'!I19)/100)+103/POWER(1+('CurrentFact-N10,20,40,60Unchan'!D19+'CurrentFact-N10,20,40,60Unchan'!I19)/100,2))*100</f>
        <v>9676.6907857653259</v>
      </c>
      <c r="F19">
        <f>Portfolio!B$5*'CurrentFact-N10,20,40,60Unchan'!E19</f>
        <v>52143.895533915893</v>
      </c>
      <c r="G19">
        <f>Portfolio!B$6*'CurrentFact-N10,20,40,60Unchan'!F19</f>
        <v>3696.2945087936532</v>
      </c>
      <c r="H19">
        <f>Portfolio!B$7*'CurrentFact-N10,20,40,60Unchan'!J19</f>
        <v>2064.4550337304254</v>
      </c>
      <c r="I19">
        <f t="shared" si="0"/>
        <v>96505.128553694783</v>
      </c>
      <c r="J19">
        <f t="shared" si="1"/>
        <v>0</v>
      </c>
    </row>
    <row r="20" spans="1:10">
      <c r="A20" s="1">
        <v>45497</v>
      </c>
      <c r="B20">
        <f>(3/(1+('CurrentFact-N10,20,40,60Unchan'!C20)/100)+103/POWER(1+('CurrentFact-N10,20,40,60Unchan'!D20)/100,2))*100</f>
        <v>9707.5857774288397</v>
      </c>
      <c r="C20">
        <f>(3/(1+('CurrentFact-N10,20,40,60Unchan'!C20+'CurrentFact-N10,20,40,60Unchan'!G20)/100)+103/POWER(1+('CurrentFact-N10,20,40,60Unchan'!D20+'CurrentFact-N10,20,40,60Unchan'!G20)/100,2))*100</f>
        <v>9614.9673582483465</v>
      </c>
      <c r="D20">
        <f>(3/(1+('CurrentFact-N10,20,40,60Unchan'!C20+'CurrentFact-N10,20,40,60Unchan'!H20)/100)+103/POWER(1+('CurrentFact-N10,20,40,60Unchan'!D20+'CurrentFact-N10,20,40,60Unchan'!H20)/100,2))*100</f>
        <v>9601.2395558122898</v>
      </c>
      <c r="E20">
        <f>(3/(1+('CurrentFact-N10,20,40,60Unchan'!C20+'CurrentFact-N10,20,40,60Unchan'!I20)/100)+103/POWER(1+('CurrentFact-N10,20,40,60Unchan'!D20+'CurrentFact-N10,20,40,60Unchan'!I20)/100,2))*100</f>
        <v>9676.6907857653259</v>
      </c>
      <c r="F20">
        <f>Portfolio!B$5*'CurrentFact-N10,20,40,60Unchan'!E20</f>
        <v>52143.895533915893</v>
      </c>
      <c r="G20">
        <f>Portfolio!B$6*'CurrentFact-N10,20,40,60Unchan'!F20</f>
        <v>3696.2945087936532</v>
      </c>
      <c r="H20">
        <f>Portfolio!B$7*'CurrentFact-N10,20,40,60Unchan'!J20</f>
        <v>2064.4550337304254</v>
      </c>
      <c r="I20">
        <f t="shared" si="0"/>
        <v>96505.128553694783</v>
      </c>
      <c r="J20">
        <f t="shared" si="1"/>
        <v>0</v>
      </c>
    </row>
    <row r="21" spans="1:10">
      <c r="A21" s="1">
        <v>45498</v>
      </c>
      <c r="B21">
        <f>(3/(1+('CurrentFact-N10,20,40,60Unchan'!C21)/100)+103/POWER(1+('CurrentFact-N10,20,40,60Unchan'!D21)/100,2))*100</f>
        <v>9707.5857774288397</v>
      </c>
      <c r="C21">
        <f>(3/(1+('CurrentFact-N10,20,40,60Unchan'!C21+'CurrentFact-N10,20,40,60Unchan'!G21)/100)+103/POWER(1+('CurrentFact-N10,20,40,60Unchan'!D21+'CurrentFact-N10,20,40,60Unchan'!G21)/100,2))*100</f>
        <v>9614.9673582483465</v>
      </c>
      <c r="D21">
        <f>(3/(1+('CurrentFact-N10,20,40,60Unchan'!C21+'CurrentFact-N10,20,40,60Unchan'!H21)/100)+103/POWER(1+('CurrentFact-N10,20,40,60Unchan'!D21+'CurrentFact-N10,20,40,60Unchan'!H21)/100,2))*100</f>
        <v>9601.2395558122898</v>
      </c>
      <c r="E21">
        <f>(3/(1+('CurrentFact-N10,20,40,60Unchan'!C21+'CurrentFact-N10,20,40,60Unchan'!I21)/100)+103/POWER(1+('CurrentFact-N10,20,40,60Unchan'!D21+'CurrentFact-N10,20,40,60Unchan'!I21)/100,2))*100</f>
        <v>9676.6907857653259</v>
      </c>
      <c r="F21">
        <f>Portfolio!B$5*'CurrentFact-N10,20,40,60Unchan'!E21</f>
        <v>52143.895533915893</v>
      </c>
      <c r="G21">
        <f>Portfolio!B$6*'CurrentFact-N10,20,40,60Unchan'!F21</f>
        <v>3696.2945087936532</v>
      </c>
      <c r="H21">
        <f>Portfolio!B$7*'CurrentFact-N10,20,40,60Unchan'!J21</f>
        <v>2064.4550337304254</v>
      </c>
      <c r="I21">
        <f t="shared" si="0"/>
        <v>96505.128553694783</v>
      </c>
      <c r="J21">
        <f t="shared" si="1"/>
        <v>0</v>
      </c>
    </row>
    <row r="22" spans="1:10">
      <c r="A22" s="1">
        <v>45499</v>
      </c>
      <c r="B22">
        <f>(3/(1+('CurrentFact-N10,20,40,60Unchan'!C22)/100)+103/POWER(1+('CurrentFact-N10,20,40,60Unchan'!D22)/100,2))*100</f>
        <v>9707.5857774288397</v>
      </c>
      <c r="C22">
        <f>(3/(1+('CurrentFact-N10,20,40,60Unchan'!C22+'CurrentFact-N10,20,40,60Unchan'!G22)/100)+103/POWER(1+('CurrentFact-N10,20,40,60Unchan'!D22+'CurrentFact-N10,20,40,60Unchan'!G22)/100,2))*100</f>
        <v>9614.9673582483465</v>
      </c>
      <c r="D22">
        <f>(3/(1+('CurrentFact-N10,20,40,60Unchan'!C22+'CurrentFact-N10,20,40,60Unchan'!H22)/100)+103/POWER(1+('CurrentFact-N10,20,40,60Unchan'!D22+'CurrentFact-N10,20,40,60Unchan'!H22)/100,2))*100</f>
        <v>9601.2395558122898</v>
      </c>
      <c r="E22">
        <f>(3/(1+('CurrentFact-N10,20,40,60Unchan'!C22+'CurrentFact-N10,20,40,60Unchan'!I22)/100)+103/POWER(1+('CurrentFact-N10,20,40,60Unchan'!D22+'CurrentFact-N10,20,40,60Unchan'!I22)/100,2))*100</f>
        <v>9676.6907857653259</v>
      </c>
      <c r="F22">
        <f>Portfolio!B$5*'CurrentFact-N10,20,40,60Unchan'!E22</f>
        <v>52143.895533915893</v>
      </c>
      <c r="G22">
        <f>Portfolio!B$6*'CurrentFact-N10,20,40,60Unchan'!F22</f>
        <v>3696.2945087936532</v>
      </c>
      <c r="H22">
        <f>Portfolio!B$7*'CurrentFact-N10,20,40,60Unchan'!J22</f>
        <v>2064.4550337304254</v>
      </c>
      <c r="I22">
        <f t="shared" si="0"/>
        <v>96505.128553694783</v>
      </c>
      <c r="J22">
        <f t="shared" si="1"/>
        <v>0</v>
      </c>
    </row>
    <row r="23" spans="1:10">
      <c r="A23" s="1">
        <v>45502</v>
      </c>
      <c r="B23">
        <f>(3/(1+('CurrentFact-N10,20,40,60Unchan'!C23)/100)+103/POWER(1+('CurrentFact-N10,20,40,60Unchan'!D23)/100,2))*100</f>
        <v>9707.5857774288397</v>
      </c>
      <c r="C23">
        <f>(3/(1+('CurrentFact-N10,20,40,60Unchan'!C23+'CurrentFact-N10,20,40,60Unchan'!G23)/100)+103/POWER(1+('CurrentFact-N10,20,40,60Unchan'!D23+'CurrentFact-N10,20,40,60Unchan'!G23)/100,2))*100</f>
        <v>9614.9673582483465</v>
      </c>
      <c r="D23">
        <f>(3/(1+('CurrentFact-N10,20,40,60Unchan'!C23+'CurrentFact-N10,20,40,60Unchan'!H23)/100)+103/POWER(1+('CurrentFact-N10,20,40,60Unchan'!D23+'CurrentFact-N10,20,40,60Unchan'!H23)/100,2))*100</f>
        <v>9601.2395558122898</v>
      </c>
      <c r="E23">
        <f>(3/(1+('CurrentFact-N10,20,40,60Unchan'!C23+'CurrentFact-N10,20,40,60Unchan'!I23)/100)+103/POWER(1+('CurrentFact-N10,20,40,60Unchan'!D23+'CurrentFact-N10,20,40,60Unchan'!I23)/100,2))*100</f>
        <v>9676.6907857653259</v>
      </c>
      <c r="F23">
        <f>Portfolio!B$5*'CurrentFact-N10,20,40,60Unchan'!E23</f>
        <v>52143.895533915893</v>
      </c>
      <c r="G23">
        <f>Portfolio!B$6*'CurrentFact-N10,20,40,60Unchan'!F23</f>
        <v>3696.2945087936532</v>
      </c>
      <c r="H23">
        <f>Portfolio!B$7*'CurrentFact-N10,20,40,60Unchan'!J23</f>
        <v>2064.4550337304254</v>
      </c>
      <c r="I23">
        <f t="shared" si="0"/>
        <v>96505.128553694783</v>
      </c>
      <c r="J23">
        <f t="shared" si="1"/>
        <v>0</v>
      </c>
    </row>
    <row r="24" spans="1:10">
      <c r="A24" s="1">
        <v>45503</v>
      </c>
      <c r="B24">
        <f>(3/(1+('CurrentFact-N10,20,40,60Unchan'!C24)/100)+103/POWER(1+('CurrentFact-N10,20,40,60Unchan'!D24)/100,2))*100</f>
        <v>9707.5857774288397</v>
      </c>
      <c r="C24">
        <f>(3/(1+('CurrentFact-N10,20,40,60Unchan'!C24+'CurrentFact-N10,20,40,60Unchan'!G24)/100)+103/POWER(1+('CurrentFact-N10,20,40,60Unchan'!D24+'CurrentFact-N10,20,40,60Unchan'!G24)/100,2))*100</f>
        <v>9614.9673582483465</v>
      </c>
      <c r="D24">
        <f>(3/(1+('CurrentFact-N10,20,40,60Unchan'!C24+'CurrentFact-N10,20,40,60Unchan'!H24)/100)+103/POWER(1+('CurrentFact-N10,20,40,60Unchan'!D24+'CurrentFact-N10,20,40,60Unchan'!H24)/100,2))*100</f>
        <v>9601.2395558122898</v>
      </c>
      <c r="E24">
        <f>(3/(1+('CurrentFact-N10,20,40,60Unchan'!C24+'CurrentFact-N10,20,40,60Unchan'!I24)/100)+103/POWER(1+('CurrentFact-N10,20,40,60Unchan'!D24+'CurrentFact-N10,20,40,60Unchan'!I24)/100,2))*100</f>
        <v>9676.6907857653259</v>
      </c>
      <c r="F24">
        <f>Portfolio!B$5*'CurrentFact-N10,20,40,60Unchan'!E24</f>
        <v>52143.895533915893</v>
      </c>
      <c r="G24">
        <f>Portfolio!B$6*'CurrentFact-N10,20,40,60Unchan'!F24</f>
        <v>3696.2945087936532</v>
      </c>
      <c r="H24">
        <f>Portfolio!B$7*'CurrentFact-N10,20,40,60Unchan'!J24</f>
        <v>2064.4550337304254</v>
      </c>
      <c r="I24">
        <f t="shared" si="0"/>
        <v>96505.128553694783</v>
      </c>
      <c r="J24">
        <f t="shared" si="1"/>
        <v>0</v>
      </c>
    </row>
    <row r="25" spans="1:10">
      <c r="A25" s="1">
        <v>45504</v>
      </c>
      <c r="B25">
        <f>(3/(1+('CurrentFact-N10,20,40,60Unchan'!C25)/100)+103/POWER(1+('CurrentFact-N10,20,40,60Unchan'!D25)/100,2))*100</f>
        <v>9707.5857774288397</v>
      </c>
      <c r="C25">
        <f>(3/(1+('CurrentFact-N10,20,40,60Unchan'!C25+'CurrentFact-N10,20,40,60Unchan'!G25)/100)+103/POWER(1+('CurrentFact-N10,20,40,60Unchan'!D25+'CurrentFact-N10,20,40,60Unchan'!G25)/100,2))*100</f>
        <v>9614.9673582483465</v>
      </c>
      <c r="D25">
        <f>(3/(1+('CurrentFact-N10,20,40,60Unchan'!C25+'CurrentFact-N10,20,40,60Unchan'!H25)/100)+103/POWER(1+('CurrentFact-N10,20,40,60Unchan'!D25+'CurrentFact-N10,20,40,60Unchan'!H25)/100,2))*100</f>
        <v>9601.2395558122898</v>
      </c>
      <c r="E25">
        <f>(3/(1+('CurrentFact-N10,20,40,60Unchan'!C25+'CurrentFact-N10,20,40,60Unchan'!I25)/100)+103/POWER(1+('CurrentFact-N10,20,40,60Unchan'!D25+'CurrentFact-N10,20,40,60Unchan'!I25)/100,2))*100</f>
        <v>9676.6907857653259</v>
      </c>
      <c r="F25">
        <f>Portfolio!B$5*'CurrentFact-N10,20,40,60Unchan'!E25</f>
        <v>52143.895533915893</v>
      </c>
      <c r="G25">
        <f>Portfolio!B$6*'CurrentFact-N10,20,40,60Unchan'!F25</f>
        <v>3696.2945087936532</v>
      </c>
      <c r="H25">
        <f>Portfolio!B$7*'CurrentFact-N10,20,40,60Unchan'!J25</f>
        <v>2064.4550337304254</v>
      </c>
      <c r="I25">
        <f t="shared" si="0"/>
        <v>96505.128553694783</v>
      </c>
      <c r="J25">
        <f t="shared" si="1"/>
        <v>0</v>
      </c>
    </row>
    <row r="26" spans="1:10">
      <c r="A26" s="1">
        <v>45505</v>
      </c>
      <c r="B26">
        <f>(3/(1+('CurrentFact-N10,20,40,60Unchan'!C26)/100)+103/POWER(1+('CurrentFact-N10,20,40,60Unchan'!D26)/100,2))*100</f>
        <v>9707.5857774288397</v>
      </c>
      <c r="C26">
        <f>(3/(1+('CurrentFact-N10,20,40,60Unchan'!C26+'CurrentFact-N10,20,40,60Unchan'!G26)/100)+103/POWER(1+('CurrentFact-N10,20,40,60Unchan'!D26+'CurrentFact-N10,20,40,60Unchan'!G26)/100,2))*100</f>
        <v>9614.9673582483465</v>
      </c>
      <c r="D26">
        <f>(3/(1+('CurrentFact-N10,20,40,60Unchan'!C26+'CurrentFact-N10,20,40,60Unchan'!H26)/100)+103/POWER(1+('CurrentFact-N10,20,40,60Unchan'!D26+'CurrentFact-N10,20,40,60Unchan'!H26)/100,2))*100</f>
        <v>9601.2395558122898</v>
      </c>
      <c r="E26">
        <f>(3/(1+('CurrentFact-N10,20,40,60Unchan'!C26+'CurrentFact-N10,20,40,60Unchan'!I26)/100)+103/POWER(1+('CurrentFact-N10,20,40,60Unchan'!D26+'CurrentFact-N10,20,40,60Unchan'!I26)/100,2))*100</f>
        <v>9676.6907857653259</v>
      </c>
      <c r="F26">
        <f>Portfolio!B$5*'CurrentFact-N10,20,40,60Unchan'!E26</f>
        <v>52143.895533915893</v>
      </c>
      <c r="G26">
        <f>Portfolio!B$6*'CurrentFact-N10,20,40,60Unchan'!F26</f>
        <v>3696.2945087936532</v>
      </c>
      <c r="H26">
        <f>Portfolio!B$7*'CurrentFact-N10,20,40,60Unchan'!J26</f>
        <v>2064.4550337304254</v>
      </c>
      <c r="I26">
        <f t="shared" si="0"/>
        <v>96505.128553694783</v>
      </c>
      <c r="J26">
        <f t="shared" si="1"/>
        <v>0</v>
      </c>
    </row>
    <row r="27" spans="1:10">
      <c r="A27" s="1">
        <v>45506</v>
      </c>
      <c r="B27">
        <f>(3/(1+('CurrentFact-N10,20,40,60Unchan'!C27)/100)+103/POWER(1+('CurrentFact-N10,20,40,60Unchan'!D27)/100,2))*100</f>
        <v>9707.5857774288397</v>
      </c>
      <c r="C27">
        <f>(3/(1+('CurrentFact-N10,20,40,60Unchan'!C27+'CurrentFact-N10,20,40,60Unchan'!G27)/100)+103/POWER(1+('CurrentFact-N10,20,40,60Unchan'!D27+'CurrentFact-N10,20,40,60Unchan'!G27)/100,2))*100</f>
        <v>9614.9673582483465</v>
      </c>
      <c r="D27">
        <f>(3/(1+('CurrentFact-N10,20,40,60Unchan'!C27+'CurrentFact-N10,20,40,60Unchan'!H27)/100)+103/POWER(1+('CurrentFact-N10,20,40,60Unchan'!D27+'CurrentFact-N10,20,40,60Unchan'!H27)/100,2))*100</f>
        <v>9601.2395558122898</v>
      </c>
      <c r="E27">
        <f>(3/(1+('CurrentFact-N10,20,40,60Unchan'!C27+'CurrentFact-N10,20,40,60Unchan'!I27)/100)+103/POWER(1+('CurrentFact-N10,20,40,60Unchan'!D27+'CurrentFact-N10,20,40,60Unchan'!I27)/100,2))*100</f>
        <v>9676.6907857653259</v>
      </c>
      <c r="F27">
        <f>Portfolio!B$5*'CurrentFact-N10,20,40,60Unchan'!E27</f>
        <v>52143.895533915893</v>
      </c>
      <c r="G27">
        <f>Portfolio!B$6*'CurrentFact-N10,20,40,60Unchan'!F27</f>
        <v>3696.2945087936532</v>
      </c>
      <c r="H27">
        <f>Portfolio!B$7*'CurrentFact-N10,20,40,60Unchan'!J27</f>
        <v>2064.4550337304254</v>
      </c>
      <c r="I27">
        <f t="shared" si="0"/>
        <v>96505.128553694783</v>
      </c>
      <c r="J27">
        <f t="shared" si="1"/>
        <v>0</v>
      </c>
    </row>
    <row r="28" spans="1:10">
      <c r="A28" s="1">
        <v>45509</v>
      </c>
      <c r="B28">
        <f>(3/(1+('CurrentFact-N10,20,40,60Unchan'!C28)/100)+103/POWER(1+('CurrentFact-N10,20,40,60Unchan'!D28)/100,2))*100</f>
        <v>9707.5857774288397</v>
      </c>
      <c r="C28">
        <f>(3/(1+('CurrentFact-N10,20,40,60Unchan'!C28+'CurrentFact-N10,20,40,60Unchan'!G28)/100)+103/POWER(1+('CurrentFact-N10,20,40,60Unchan'!D28+'CurrentFact-N10,20,40,60Unchan'!G28)/100,2))*100</f>
        <v>9614.9673582483465</v>
      </c>
      <c r="D28">
        <f>(3/(1+('CurrentFact-N10,20,40,60Unchan'!C28+'CurrentFact-N10,20,40,60Unchan'!H28)/100)+103/POWER(1+('CurrentFact-N10,20,40,60Unchan'!D28+'CurrentFact-N10,20,40,60Unchan'!H28)/100,2))*100</f>
        <v>9601.2395558122898</v>
      </c>
      <c r="E28">
        <f>(3/(1+('CurrentFact-N10,20,40,60Unchan'!C28+'CurrentFact-N10,20,40,60Unchan'!I28)/100)+103/POWER(1+('CurrentFact-N10,20,40,60Unchan'!D28+'CurrentFact-N10,20,40,60Unchan'!I28)/100,2))*100</f>
        <v>9676.6907857653259</v>
      </c>
      <c r="F28">
        <f>Portfolio!B$5*'CurrentFact-N10,20,40,60Unchan'!E28</f>
        <v>52143.895533915893</v>
      </c>
      <c r="G28">
        <f>Portfolio!B$6*'CurrentFact-N10,20,40,60Unchan'!F28</f>
        <v>3696.2945087936532</v>
      </c>
      <c r="H28">
        <f>Portfolio!B$7*'CurrentFact-N10,20,40,60Unchan'!J28</f>
        <v>2064.4550337304254</v>
      </c>
      <c r="I28">
        <f t="shared" si="0"/>
        <v>96505.128553694783</v>
      </c>
      <c r="J28">
        <f t="shared" si="1"/>
        <v>0</v>
      </c>
    </row>
    <row r="29" spans="1:10">
      <c r="A29" s="1">
        <v>45510</v>
      </c>
      <c r="B29">
        <f>(3/(1+('CurrentFact-N10,20,40,60Unchan'!C29)/100)+103/POWER(1+('CurrentFact-N10,20,40,60Unchan'!D29)/100,2))*100</f>
        <v>9707.5857774288397</v>
      </c>
      <c r="C29">
        <f>(3/(1+('CurrentFact-N10,20,40,60Unchan'!C29+'CurrentFact-N10,20,40,60Unchan'!G29)/100)+103/POWER(1+('CurrentFact-N10,20,40,60Unchan'!D29+'CurrentFact-N10,20,40,60Unchan'!G29)/100,2))*100</f>
        <v>9614.9673582483465</v>
      </c>
      <c r="D29">
        <f>(3/(1+('CurrentFact-N10,20,40,60Unchan'!C29+'CurrentFact-N10,20,40,60Unchan'!H29)/100)+103/POWER(1+('CurrentFact-N10,20,40,60Unchan'!D29+'CurrentFact-N10,20,40,60Unchan'!H29)/100,2))*100</f>
        <v>9601.2395558122898</v>
      </c>
      <c r="E29">
        <f>(3/(1+('CurrentFact-N10,20,40,60Unchan'!C29+'CurrentFact-N10,20,40,60Unchan'!I29)/100)+103/POWER(1+('CurrentFact-N10,20,40,60Unchan'!D29+'CurrentFact-N10,20,40,60Unchan'!I29)/100,2))*100</f>
        <v>9676.6907857653259</v>
      </c>
      <c r="F29">
        <f>Portfolio!B$5*'CurrentFact-N10,20,40,60Unchan'!E29</f>
        <v>52143.895533915893</v>
      </c>
      <c r="G29">
        <f>Portfolio!B$6*'CurrentFact-N10,20,40,60Unchan'!F29</f>
        <v>3696.2945087936532</v>
      </c>
      <c r="H29">
        <f>Portfolio!B$7*'CurrentFact-N10,20,40,60Unchan'!J29</f>
        <v>2064.4550337304254</v>
      </c>
      <c r="I29">
        <f t="shared" si="0"/>
        <v>96505.128553694783</v>
      </c>
      <c r="J29">
        <f t="shared" si="1"/>
        <v>0</v>
      </c>
    </row>
    <row r="30" spans="1:10">
      <c r="A30" s="1">
        <v>45511</v>
      </c>
      <c r="B30">
        <f>(3/(1+('CurrentFact-N10,20,40,60Unchan'!C30)/100)+103/POWER(1+('CurrentFact-N10,20,40,60Unchan'!D30)/100,2))*100</f>
        <v>9707.5857774288397</v>
      </c>
      <c r="C30">
        <f>(3/(1+('CurrentFact-N10,20,40,60Unchan'!C30+'CurrentFact-N10,20,40,60Unchan'!G30)/100)+103/POWER(1+('CurrentFact-N10,20,40,60Unchan'!D30+'CurrentFact-N10,20,40,60Unchan'!G30)/100,2))*100</f>
        <v>9614.9673582483465</v>
      </c>
      <c r="D30">
        <f>(3/(1+('CurrentFact-N10,20,40,60Unchan'!C30+'CurrentFact-N10,20,40,60Unchan'!H30)/100)+103/POWER(1+('CurrentFact-N10,20,40,60Unchan'!D30+'CurrentFact-N10,20,40,60Unchan'!H30)/100,2))*100</f>
        <v>9601.2395558122898</v>
      </c>
      <c r="E30">
        <f>(3/(1+('CurrentFact-N10,20,40,60Unchan'!C30+'CurrentFact-N10,20,40,60Unchan'!I30)/100)+103/POWER(1+('CurrentFact-N10,20,40,60Unchan'!D30+'CurrentFact-N10,20,40,60Unchan'!I30)/100,2))*100</f>
        <v>9676.6907857653259</v>
      </c>
      <c r="F30">
        <f>Portfolio!B$5*'CurrentFact-N10,20,40,60Unchan'!E30</f>
        <v>52143.895533915893</v>
      </c>
      <c r="G30">
        <f>Portfolio!B$6*'CurrentFact-N10,20,40,60Unchan'!F30</f>
        <v>3696.2945087936532</v>
      </c>
      <c r="H30">
        <f>Portfolio!B$7*'CurrentFact-N10,20,40,60Unchan'!J30</f>
        <v>2064.4550337304254</v>
      </c>
      <c r="I30">
        <f t="shared" si="0"/>
        <v>96505.128553694783</v>
      </c>
      <c r="J30">
        <f t="shared" si="1"/>
        <v>0</v>
      </c>
    </row>
    <row r="31" spans="1:10">
      <c r="A31" s="1">
        <v>45512</v>
      </c>
      <c r="B31">
        <f>(3/(1+('CurrentFact-N10,20,40,60Unchan'!C31)/100)+103/POWER(1+('CurrentFact-N10,20,40,60Unchan'!D31)/100,2))*100</f>
        <v>9707.5857774288397</v>
      </c>
      <c r="C31">
        <f>(3/(1+('CurrentFact-N10,20,40,60Unchan'!C31+'CurrentFact-N10,20,40,60Unchan'!G31)/100)+103/POWER(1+('CurrentFact-N10,20,40,60Unchan'!D31+'CurrentFact-N10,20,40,60Unchan'!G31)/100,2))*100</f>
        <v>9614.9673582483465</v>
      </c>
      <c r="D31">
        <f>(3/(1+('CurrentFact-N10,20,40,60Unchan'!C31+'CurrentFact-N10,20,40,60Unchan'!H31)/100)+103/POWER(1+('CurrentFact-N10,20,40,60Unchan'!D31+'CurrentFact-N10,20,40,60Unchan'!H31)/100,2))*100</f>
        <v>9601.2395558122898</v>
      </c>
      <c r="E31">
        <f>(3/(1+('CurrentFact-N10,20,40,60Unchan'!C31+'CurrentFact-N10,20,40,60Unchan'!I31)/100)+103/POWER(1+('CurrentFact-N10,20,40,60Unchan'!D31+'CurrentFact-N10,20,40,60Unchan'!I31)/100,2))*100</f>
        <v>9676.6907857653259</v>
      </c>
      <c r="F31">
        <f>Portfolio!B$5*'CurrentFact-N10,20,40,60Unchan'!E31</f>
        <v>52143.895533915893</v>
      </c>
      <c r="G31">
        <f>Portfolio!B$6*'CurrentFact-N10,20,40,60Unchan'!F31</f>
        <v>3696.2945087936532</v>
      </c>
      <c r="H31">
        <f>Portfolio!B$7*'CurrentFact-N10,20,40,60Unchan'!J31</f>
        <v>2064.4550337304254</v>
      </c>
      <c r="I31">
        <f t="shared" si="0"/>
        <v>96505.128553694783</v>
      </c>
      <c r="J31">
        <f t="shared" si="1"/>
        <v>0</v>
      </c>
    </row>
    <row r="32" spans="1:10">
      <c r="A32" s="1">
        <v>45513</v>
      </c>
      <c r="B32">
        <f>(3/(1+('CurrentFact-N10,20,40,60Unchan'!C32)/100)+103/POWER(1+('CurrentFact-N10,20,40,60Unchan'!D32)/100,2))*100</f>
        <v>9707.5857774288397</v>
      </c>
      <c r="C32">
        <f>(3/(1+('CurrentFact-N10,20,40,60Unchan'!C32+'CurrentFact-N10,20,40,60Unchan'!G32)/100)+103/POWER(1+('CurrentFact-N10,20,40,60Unchan'!D32+'CurrentFact-N10,20,40,60Unchan'!G32)/100,2))*100</f>
        <v>9614.9673582483465</v>
      </c>
      <c r="D32">
        <f>(3/(1+('CurrentFact-N10,20,40,60Unchan'!C32+'CurrentFact-N10,20,40,60Unchan'!H32)/100)+103/POWER(1+('CurrentFact-N10,20,40,60Unchan'!D32+'CurrentFact-N10,20,40,60Unchan'!H32)/100,2))*100</f>
        <v>9601.2395558122898</v>
      </c>
      <c r="E32">
        <f>(3/(1+('CurrentFact-N10,20,40,60Unchan'!C32+'CurrentFact-N10,20,40,60Unchan'!I32)/100)+103/POWER(1+('CurrentFact-N10,20,40,60Unchan'!D32+'CurrentFact-N10,20,40,60Unchan'!I32)/100,2))*100</f>
        <v>9676.6907857653259</v>
      </c>
      <c r="F32">
        <f>Portfolio!B$5*'CurrentFact-N10,20,40,60Unchan'!E32</f>
        <v>52143.895533915893</v>
      </c>
      <c r="G32">
        <f>Portfolio!B$6*'CurrentFact-N10,20,40,60Unchan'!F32</f>
        <v>3696.2945087936532</v>
      </c>
      <c r="H32">
        <f>Portfolio!B$7*'CurrentFact-N10,20,40,60Unchan'!J32</f>
        <v>2064.4550337304254</v>
      </c>
      <c r="I32">
        <f t="shared" si="0"/>
        <v>96505.128553694783</v>
      </c>
      <c r="J32">
        <f t="shared" si="1"/>
        <v>0</v>
      </c>
    </row>
    <row r="33" spans="1:10">
      <c r="A33" s="1">
        <v>45516</v>
      </c>
      <c r="B33">
        <f>(3/(1+('CurrentFact-N10,20,40,60Unchan'!C33)/100)+103/POWER(1+('CurrentFact-N10,20,40,60Unchan'!D33)/100,2))*100</f>
        <v>9707.5857774288397</v>
      </c>
      <c r="C33">
        <f>(3/(1+('CurrentFact-N10,20,40,60Unchan'!C33+'CurrentFact-N10,20,40,60Unchan'!G33)/100)+103/POWER(1+('CurrentFact-N10,20,40,60Unchan'!D33+'CurrentFact-N10,20,40,60Unchan'!G33)/100,2))*100</f>
        <v>9614.9673582483465</v>
      </c>
      <c r="D33">
        <f>(3/(1+('CurrentFact-N10,20,40,60Unchan'!C33+'CurrentFact-N10,20,40,60Unchan'!H33)/100)+103/POWER(1+('CurrentFact-N10,20,40,60Unchan'!D33+'CurrentFact-N10,20,40,60Unchan'!H33)/100,2))*100</f>
        <v>9601.2395558122898</v>
      </c>
      <c r="E33">
        <f>(3/(1+('CurrentFact-N10,20,40,60Unchan'!C33+'CurrentFact-N10,20,40,60Unchan'!I33)/100)+103/POWER(1+('CurrentFact-N10,20,40,60Unchan'!D33+'CurrentFact-N10,20,40,60Unchan'!I33)/100,2))*100</f>
        <v>9676.6907857653259</v>
      </c>
      <c r="F33">
        <f>Portfolio!B$5*'CurrentFact-N10,20,40,60Unchan'!E33</f>
        <v>52143.895533915893</v>
      </c>
      <c r="G33">
        <f>Portfolio!B$6*'CurrentFact-N10,20,40,60Unchan'!F33</f>
        <v>3696.2945087936532</v>
      </c>
      <c r="H33">
        <f>Portfolio!B$7*'CurrentFact-N10,20,40,60Unchan'!J33</f>
        <v>2064.4550337304254</v>
      </c>
      <c r="I33">
        <f t="shared" si="0"/>
        <v>96505.128553694783</v>
      </c>
      <c r="J33">
        <f t="shared" si="1"/>
        <v>0</v>
      </c>
    </row>
    <row r="34" spans="1:10">
      <c r="A34" s="1">
        <v>45517</v>
      </c>
      <c r="B34">
        <f>(3/(1+('CurrentFact-N10,20,40,60Unchan'!C34)/100)+103/POWER(1+('CurrentFact-N10,20,40,60Unchan'!D34)/100,2))*100</f>
        <v>9707.5857774288397</v>
      </c>
      <c r="C34">
        <f>(3/(1+('CurrentFact-N10,20,40,60Unchan'!C34+'CurrentFact-N10,20,40,60Unchan'!G34)/100)+103/POWER(1+('CurrentFact-N10,20,40,60Unchan'!D34+'CurrentFact-N10,20,40,60Unchan'!G34)/100,2))*100</f>
        <v>9614.9673582483465</v>
      </c>
      <c r="D34">
        <f>(3/(1+('CurrentFact-N10,20,40,60Unchan'!C34+'CurrentFact-N10,20,40,60Unchan'!H34)/100)+103/POWER(1+('CurrentFact-N10,20,40,60Unchan'!D34+'CurrentFact-N10,20,40,60Unchan'!H34)/100,2))*100</f>
        <v>9601.2395558122898</v>
      </c>
      <c r="E34">
        <f>(3/(1+('CurrentFact-N10,20,40,60Unchan'!C34+'CurrentFact-N10,20,40,60Unchan'!I34)/100)+103/POWER(1+('CurrentFact-N10,20,40,60Unchan'!D34+'CurrentFact-N10,20,40,60Unchan'!I34)/100,2))*100</f>
        <v>9676.6907857653259</v>
      </c>
      <c r="F34">
        <f>Portfolio!B$5*'CurrentFact-N10,20,40,60Unchan'!E34</f>
        <v>52143.895533915893</v>
      </c>
      <c r="G34">
        <f>Portfolio!B$6*'CurrentFact-N10,20,40,60Unchan'!F34</f>
        <v>3696.2945087936532</v>
      </c>
      <c r="H34">
        <f>Portfolio!B$7*'CurrentFact-N10,20,40,60Unchan'!J34</f>
        <v>2064.4550337304254</v>
      </c>
      <c r="I34">
        <f t="shared" si="0"/>
        <v>96505.128553694783</v>
      </c>
      <c r="J34">
        <f t="shared" si="1"/>
        <v>0</v>
      </c>
    </row>
    <row r="35" spans="1:10">
      <c r="A35" s="1">
        <v>45518</v>
      </c>
      <c r="B35">
        <f>(3/(1+('CurrentFact-N10,20,40,60Unchan'!C35)/100)+103/POWER(1+('CurrentFact-N10,20,40,60Unchan'!D35)/100,2))*100</f>
        <v>9707.5857774288397</v>
      </c>
      <c r="C35">
        <f>(3/(1+('CurrentFact-N10,20,40,60Unchan'!C35+'CurrentFact-N10,20,40,60Unchan'!G35)/100)+103/POWER(1+('CurrentFact-N10,20,40,60Unchan'!D35+'CurrentFact-N10,20,40,60Unchan'!G35)/100,2))*100</f>
        <v>9614.9673582483465</v>
      </c>
      <c r="D35">
        <f>(3/(1+('CurrentFact-N10,20,40,60Unchan'!C35+'CurrentFact-N10,20,40,60Unchan'!H35)/100)+103/POWER(1+('CurrentFact-N10,20,40,60Unchan'!D35+'CurrentFact-N10,20,40,60Unchan'!H35)/100,2))*100</f>
        <v>9601.2395558122898</v>
      </c>
      <c r="E35">
        <f>(3/(1+('CurrentFact-N10,20,40,60Unchan'!C35+'CurrentFact-N10,20,40,60Unchan'!I35)/100)+103/POWER(1+('CurrentFact-N10,20,40,60Unchan'!D35+'CurrentFact-N10,20,40,60Unchan'!I35)/100,2))*100</f>
        <v>9676.6907857653259</v>
      </c>
      <c r="F35">
        <f>Portfolio!B$5*'CurrentFact-N10,20,40,60Unchan'!E35</f>
        <v>52143.895533915893</v>
      </c>
      <c r="G35">
        <f>Portfolio!B$6*'CurrentFact-N10,20,40,60Unchan'!F35</f>
        <v>3696.2945087936532</v>
      </c>
      <c r="H35">
        <f>Portfolio!B$7*'CurrentFact-N10,20,40,60Unchan'!J35</f>
        <v>2064.4550337304254</v>
      </c>
      <c r="I35">
        <f t="shared" si="0"/>
        <v>96505.128553694783</v>
      </c>
      <c r="J35">
        <f t="shared" si="1"/>
        <v>0</v>
      </c>
    </row>
    <row r="36" spans="1:10">
      <c r="A36" s="1">
        <v>45519</v>
      </c>
      <c r="B36">
        <f>(3/(1+('CurrentFact-N10,20,40,60Unchan'!C36)/100)+103/POWER(1+('CurrentFact-N10,20,40,60Unchan'!D36)/100,2))*100</f>
        <v>9707.5857774288397</v>
      </c>
      <c r="C36">
        <f>(3/(1+('CurrentFact-N10,20,40,60Unchan'!C36+'CurrentFact-N10,20,40,60Unchan'!G36)/100)+103/POWER(1+('CurrentFact-N10,20,40,60Unchan'!D36+'CurrentFact-N10,20,40,60Unchan'!G36)/100,2))*100</f>
        <v>9614.9673582483465</v>
      </c>
      <c r="D36">
        <f>(3/(1+('CurrentFact-N10,20,40,60Unchan'!C36+'CurrentFact-N10,20,40,60Unchan'!H36)/100)+103/POWER(1+('CurrentFact-N10,20,40,60Unchan'!D36+'CurrentFact-N10,20,40,60Unchan'!H36)/100,2))*100</f>
        <v>9601.2395558122898</v>
      </c>
      <c r="E36">
        <f>(3/(1+('CurrentFact-N10,20,40,60Unchan'!C36+'CurrentFact-N10,20,40,60Unchan'!I36)/100)+103/POWER(1+('CurrentFact-N10,20,40,60Unchan'!D36+'CurrentFact-N10,20,40,60Unchan'!I36)/100,2))*100</f>
        <v>9676.6907857653259</v>
      </c>
      <c r="F36">
        <f>Portfolio!B$5*'CurrentFact-N10,20,40,60Unchan'!E36</f>
        <v>52143.895533915893</v>
      </c>
      <c r="G36">
        <f>Portfolio!B$6*'CurrentFact-N10,20,40,60Unchan'!F36</f>
        <v>3696.2945087936532</v>
      </c>
      <c r="H36">
        <f>Portfolio!B$7*'CurrentFact-N10,20,40,60Unchan'!J36</f>
        <v>2064.4550337304254</v>
      </c>
      <c r="I36">
        <f t="shared" si="0"/>
        <v>96505.128553694783</v>
      </c>
      <c r="J36">
        <f t="shared" si="1"/>
        <v>0</v>
      </c>
    </row>
    <row r="37" spans="1:10">
      <c r="A37" s="1">
        <v>45520</v>
      </c>
      <c r="B37">
        <f>(3/(1+('CurrentFact-N10,20,40,60Unchan'!C37)/100)+103/POWER(1+('CurrentFact-N10,20,40,60Unchan'!D37)/100,2))*100</f>
        <v>9707.5857774288397</v>
      </c>
      <c r="C37">
        <f>(3/(1+('CurrentFact-N10,20,40,60Unchan'!C37+'CurrentFact-N10,20,40,60Unchan'!G37)/100)+103/POWER(1+('CurrentFact-N10,20,40,60Unchan'!D37+'CurrentFact-N10,20,40,60Unchan'!G37)/100,2))*100</f>
        <v>9614.9673582483465</v>
      </c>
      <c r="D37">
        <f>(3/(1+('CurrentFact-N10,20,40,60Unchan'!C37+'CurrentFact-N10,20,40,60Unchan'!H37)/100)+103/POWER(1+('CurrentFact-N10,20,40,60Unchan'!D37+'CurrentFact-N10,20,40,60Unchan'!H37)/100,2))*100</f>
        <v>9601.2395558122898</v>
      </c>
      <c r="E37">
        <f>(3/(1+('CurrentFact-N10,20,40,60Unchan'!C37+'CurrentFact-N10,20,40,60Unchan'!I37)/100)+103/POWER(1+('CurrentFact-N10,20,40,60Unchan'!D37+'CurrentFact-N10,20,40,60Unchan'!I37)/100,2))*100</f>
        <v>9676.6907857653259</v>
      </c>
      <c r="F37">
        <f>Portfolio!B$5*'CurrentFact-N10,20,40,60Unchan'!E37</f>
        <v>52143.895533915893</v>
      </c>
      <c r="G37">
        <f>Portfolio!B$6*'CurrentFact-N10,20,40,60Unchan'!F37</f>
        <v>3696.2945087936532</v>
      </c>
      <c r="H37">
        <f>Portfolio!B$7*'CurrentFact-N10,20,40,60Unchan'!J37</f>
        <v>2064.4550337304254</v>
      </c>
      <c r="I37">
        <f t="shared" si="0"/>
        <v>96505.128553694783</v>
      </c>
      <c r="J37">
        <f t="shared" si="1"/>
        <v>0</v>
      </c>
    </row>
    <row r="38" spans="1:10">
      <c r="A38" s="1">
        <v>45523</v>
      </c>
      <c r="B38">
        <f>(3/(1+('CurrentFact-N10,20,40,60Unchan'!C38)/100)+103/POWER(1+('CurrentFact-N10,20,40,60Unchan'!D38)/100,2))*100</f>
        <v>9707.5857774288397</v>
      </c>
      <c r="C38">
        <f>(3/(1+('CurrentFact-N10,20,40,60Unchan'!C38+'CurrentFact-N10,20,40,60Unchan'!G38)/100)+103/POWER(1+('CurrentFact-N10,20,40,60Unchan'!D38+'CurrentFact-N10,20,40,60Unchan'!G38)/100,2))*100</f>
        <v>9614.9673582483465</v>
      </c>
      <c r="D38">
        <f>(3/(1+('CurrentFact-N10,20,40,60Unchan'!C38+'CurrentFact-N10,20,40,60Unchan'!H38)/100)+103/POWER(1+('CurrentFact-N10,20,40,60Unchan'!D38+'CurrentFact-N10,20,40,60Unchan'!H38)/100,2))*100</f>
        <v>9601.2395558122898</v>
      </c>
      <c r="E38">
        <f>(3/(1+('CurrentFact-N10,20,40,60Unchan'!C38+'CurrentFact-N10,20,40,60Unchan'!I38)/100)+103/POWER(1+('CurrentFact-N10,20,40,60Unchan'!D38+'CurrentFact-N10,20,40,60Unchan'!I38)/100,2))*100</f>
        <v>9676.6907857653259</v>
      </c>
      <c r="F38">
        <f>Portfolio!B$5*'CurrentFact-N10,20,40,60Unchan'!E38</f>
        <v>52143.895533915893</v>
      </c>
      <c r="G38">
        <f>Portfolio!B$6*'CurrentFact-N10,20,40,60Unchan'!F38</f>
        <v>3696.2945087936532</v>
      </c>
      <c r="H38">
        <f>Portfolio!B$7*'CurrentFact-N10,20,40,60Unchan'!J38</f>
        <v>2064.4550337304254</v>
      </c>
      <c r="I38">
        <f t="shared" si="0"/>
        <v>96505.128553694783</v>
      </c>
      <c r="J38">
        <f t="shared" si="1"/>
        <v>0</v>
      </c>
    </row>
    <row r="39" spans="1:10">
      <c r="A39" s="1">
        <v>45524</v>
      </c>
      <c r="B39">
        <f>(3/(1+('CurrentFact-N10,20,40,60Unchan'!C39)/100)+103/POWER(1+('CurrentFact-N10,20,40,60Unchan'!D39)/100,2))*100</f>
        <v>9707.5857774288397</v>
      </c>
      <c r="C39">
        <f>(3/(1+('CurrentFact-N10,20,40,60Unchan'!C39+'CurrentFact-N10,20,40,60Unchan'!G39)/100)+103/POWER(1+('CurrentFact-N10,20,40,60Unchan'!D39+'CurrentFact-N10,20,40,60Unchan'!G39)/100,2))*100</f>
        <v>9614.9673582483465</v>
      </c>
      <c r="D39">
        <f>(3/(1+('CurrentFact-N10,20,40,60Unchan'!C39+'CurrentFact-N10,20,40,60Unchan'!H39)/100)+103/POWER(1+('CurrentFact-N10,20,40,60Unchan'!D39+'CurrentFact-N10,20,40,60Unchan'!H39)/100,2))*100</f>
        <v>9601.2395558122898</v>
      </c>
      <c r="E39">
        <f>(3/(1+('CurrentFact-N10,20,40,60Unchan'!C39+'CurrentFact-N10,20,40,60Unchan'!I39)/100)+103/POWER(1+('CurrentFact-N10,20,40,60Unchan'!D39+'CurrentFact-N10,20,40,60Unchan'!I39)/100,2))*100</f>
        <v>9676.6907857653259</v>
      </c>
      <c r="F39">
        <f>Portfolio!B$5*'CurrentFact-N10,20,40,60Unchan'!E39</f>
        <v>52143.895533915893</v>
      </c>
      <c r="G39">
        <f>Portfolio!B$6*'CurrentFact-N10,20,40,60Unchan'!F39</f>
        <v>3696.2945087936532</v>
      </c>
      <c r="H39">
        <f>Portfolio!B$7*'CurrentFact-N10,20,40,60Unchan'!J39</f>
        <v>2064.4550337304254</v>
      </c>
      <c r="I39">
        <f t="shared" si="0"/>
        <v>96505.128553694783</v>
      </c>
      <c r="J39">
        <f t="shared" si="1"/>
        <v>0</v>
      </c>
    </row>
    <row r="40" spans="1:10">
      <c r="A40" s="1">
        <v>45525</v>
      </c>
      <c r="B40">
        <f>(3/(1+('CurrentFact-N10,20,40,60Unchan'!C40)/100)+103/POWER(1+('CurrentFact-N10,20,40,60Unchan'!D40)/100,2))*100</f>
        <v>9707.5857774288397</v>
      </c>
      <c r="C40">
        <f>(3/(1+('CurrentFact-N10,20,40,60Unchan'!C40+'CurrentFact-N10,20,40,60Unchan'!G40)/100)+103/POWER(1+('CurrentFact-N10,20,40,60Unchan'!D40+'CurrentFact-N10,20,40,60Unchan'!G40)/100,2))*100</f>
        <v>9614.9673582483465</v>
      </c>
      <c r="D40">
        <f>(3/(1+('CurrentFact-N10,20,40,60Unchan'!C40+'CurrentFact-N10,20,40,60Unchan'!H40)/100)+103/POWER(1+('CurrentFact-N10,20,40,60Unchan'!D40+'CurrentFact-N10,20,40,60Unchan'!H40)/100,2))*100</f>
        <v>9601.2395558122898</v>
      </c>
      <c r="E40">
        <f>(3/(1+('CurrentFact-N10,20,40,60Unchan'!C40+'CurrentFact-N10,20,40,60Unchan'!I40)/100)+103/POWER(1+('CurrentFact-N10,20,40,60Unchan'!D40+'CurrentFact-N10,20,40,60Unchan'!I40)/100,2))*100</f>
        <v>9676.6907857653259</v>
      </c>
      <c r="F40">
        <f>Portfolio!B$5*'CurrentFact-N10,20,40,60Unchan'!E40</f>
        <v>52143.895533915893</v>
      </c>
      <c r="G40">
        <f>Portfolio!B$6*'CurrentFact-N10,20,40,60Unchan'!F40</f>
        <v>3696.2945087936532</v>
      </c>
      <c r="H40">
        <f>Portfolio!B$7*'CurrentFact-N10,20,40,60Unchan'!J40</f>
        <v>2064.4550337304254</v>
      </c>
      <c r="I40">
        <f t="shared" si="0"/>
        <v>96505.128553694783</v>
      </c>
      <c r="J40">
        <f t="shared" si="1"/>
        <v>0</v>
      </c>
    </row>
    <row r="41" spans="1:10">
      <c r="A41" s="1">
        <v>45526</v>
      </c>
      <c r="B41">
        <f>(3/(1+('CurrentFact-N10,20,40,60Unchan'!C41)/100)+103/POWER(1+('CurrentFact-N10,20,40,60Unchan'!D41)/100,2))*100</f>
        <v>9707.5857774288397</v>
      </c>
      <c r="C41">
        <f>(3/(1+('CurrentFact-N10,20,40,60Unchan'!C41+'CurrentFact-N10,20,40,60Unchan'!G41)/100)+103/POWER(1+('CurrentFact-N10,20,40,60Unchan'!D41+'CurrentFact-N10,20,40,60Unchan'!G41)/100,2))*100</f>
        <v>9614.9673582483465</v>
      </c>
      <c r="D41">
        <f>(3/(1+('CurrentFact-N10,20,40,60Unchan'!C41+'CurrentFact-N10,20,40,60Unchan'!H41)/100)+103/POWER(1+('CurrentFact-N10,20,40,60Unchan'!D41+'CurrentFact-N10,20,40,60Unchan'!H41)/100,2))*100</f>
        <v>9601.2395558122898</v>
      </c>
      <c r="E41">
        <f>(3/(1+('CurrentFact-N10,20,40,60Unchan'!C41+'CurrentFact-N10,20,40,60Unchan'!I41)/100)+103/POWER(1+('CurrentFact-N10,20,40,60Unchan'!D41+'CurrentFact-N10,20,40,60Unchan'!I41)/100,2))*100</f>
        <v>9676.6907857653259</v>
      </c>
      <c r="F41">
        <f>Portfolio!B$5*'CurrentFact-N10,20,40,60Unchan'!E41</f>
        <v>52143.895533915893</v>
      </c>
      <c r="G41">
        <f>Portfolio!B$6*'CurrentFact-N10,20,40,60Unchan'!F41</f>
        <v>3696.2945087936532</v>
      </c>
      <c r="H41">
        <f>Portfolio!B$7*'CurrentFact-N10,20,40,60Unchan'!J41</f>
        <v>2064.4550337304254</v>
      </c>
      <c r="I41">
        <f t="shared" si="0"/>
        <v>96505.128553694783</v>
      </c>
      <c r="J41">
        <f t="shared" si="1"/>
        <v>0</v>
      </c>
    </row>
    <row r="42" spans="1:10">
      <c r="A42" s="1">
        <v>45527</v>
      </c>
      <c r="B42">
        <f>(3/(1+('CurrentFact-N10,20,40,60Unchan'!C42)/100)+103/POWER(1+('CurrentFact-N10,20,40,60Unchan'!D42)/100,2))*100</f>
        <v>9707.5857774288397</v>
      </c>
      <c r="C42">
        <f>(3/(1+('CurrentFact-N10,20,40,60Unchan'!C42+'CurrentFact-N10,20,40,60Unchan'!G42)/100)+103/POWER(1+('CurrentFact-N10,20,40,60Unchan'!D42+'CurrentFact-N10,20,40,60Unchan'!G42)/100,2))*100</f>
        <v>9614.9673582483465</v>
      </c>
      <c r="D42">
        <f>(3/(1+('CurrentFact-N10,20,40,60Unchan'!C42+'CurrentFact-N10,20,40,60Unchan'!H42)/100)+103/POWER(1+('CurrentFact-N10,20,40,60Unchan'!D42+'CurrentFact-N10,20,40,60Unchan'!H42)/100,2))*100</f>
        <v>9601.2395558122898</v>
      </c>
      <c r="E42">
        <f>(3/(1+('CurrentFact-N10,20,40,60Unchan'!C42+'CurrentFact-N10,20,40,60Unchan'!I42)/100)+103/POWER(1+('CurrentFact-N10,20,40,60Unchan'!D42+'CurrentFact-N10,20,40,60Unchan'!I42)/100,2))*100</f>
        <v>9676.6907857653259</v>
      </c>
      <c r="F42">
        <f>Portfolio!B$5*'CurrentFact-N10,20,40,60Unchan'!E42</f>
        <v>52143.895533915893</v>
      </c>
      <c r="G42">
        <f>Portfolio!B$6*'CurrentFact-N10,20,40,60Unchan'!F42</f>
        <v>3696.2945087936532</v>
      </c>
      <c r="H42">
        <f>Portfolio!B$7*'CurrentFact-N10,20,40,60Unchan'!J42</f>
        <v>2064.4550337304254</v>
      </c>
      <c r="I42">
        <f t="shared" si="0"/>
        <v>96505.128553694783</v>
      </c>
      <c r="J42">
        <f t="shared" si="1"/>
        <v>0</v>
      </c>
    </row>
    <row r="43" spans="1:10">
      <c r="A43" s="1">
        <v>45530</v>
      </c>
      <c r="B43">
        <f>(3/(1+('CurrentFact-N10,20,40,60Unchan'!C43)/100)+103/POWER(1+('CurrentFact-N10,20,40,60Unchan'!D43)/100,2))*100</f>
        <v>9707.5857774288397</v>
      </c>
      <c r="C43">
        <f>(3/(1+('CurrentFact-N10,20,40,60Unchan'!C43+'CurrentFact-N10,20,40,60Unchan'!G43)/100)+103/POWER(1+('CurrentFact-N10,20,40,60Unchan'!D43+'CurrentFact-N10,20,40,60Unchan'!G43)/100,2))*100</f>
        <v>9614.9673582483465</v>
      </c>
      <c r="D43">
        <f>(3/(1+('CurrentFact-N10,20,40,60Unchan'!C43+'CurrentFact-N10,20,40,60Unchan'!H43)/100)+103/POWER(1+('CurrentFact-N10,20,40,60Unchan'!D43+'CurrentFact-N10,20,40,60Unchan'!H43)/100,2))*100</f>
        <v>9601.2395558122898</v>
      </c>
      <c r="E43">
        <f>(3/(1+('CurrentFact-N10,20,40,60Unchan'!C43+'CurrentFact-N10,20,40,60Unchan'!I43)/100)+103/POWER(1+('CurrentFact-N10,20,40,60Unchan'!D43+'CurrentFact-N10,20,40,60Unchan'!I43)/100,2))*100</f>
        <v>9676.6907857653259</v>
      </c>
      <c r="F43">
        <f>Portfolio!B$5*'CurrentFact-N10,20,40,60Unchan'!E43</f>
        <v>52143.895533915893</v>
      </c>
      <c r="G43">
        <f>Portfolio!B$6*'CurrentFact-N10,20,40,60Unchan'!F43</f>
        <v>3696.2945087936532</v>
      </c>
      <c r="H43">
        <f>Portfolio!B$7*'CurrentFact-N10,20,40,60Unchan'!J43</f>
        <v>2064.4550337304254</v>
      </c>
      <c r="I43">
        <f t="shared" si="0"/>
        <v>96505.128553694783</v>
      </c>
      <c r="J43">
        <f t="shared" si="1"/>
        <v>0</v>
      </c>
    </row>
    <row r="44" spans="1:10">
      <c r="A44" s="1">
        <v>45531</v>
      </c>
      <c r="B44">
        <f>(3/(1+('CurrentFact-N10,20,40,60Unchan'!C44)/100)+103/POWER(1+('CurrentFact-N10,20,40,60Unchan'!D44)/100,2))*100</f>
        <v>9707.5857774288397</v>
      </c>
      <c r="C44">
        <f>(3/(1+('CurrentFact-N10,20,40,60Unchan'!C44+'CurrentFact-N10,20,40,60Unchan'!G44)/100)+103/POWER(1+('CurrentFact-N10,20,40,60Unchan'!D44+'CurrentFact-N10,20,40,60Unchan'!G44)/100,2))*100</f>
        <v>9614.9673582483465</v>
      </c>
      <c r="D44">
        <f>(3/(1+('CurrentFact-N10,20,40,60Unchan'!C44+'CurrentFact-N10,20,40,60Unchan'!H44)/100)+103/POWER(1+('CurrentFact-N10,20,40,60Unchan'!D44+'CurrentFact-N10,20,40,60Unchan'!H44)/100,2))*100</f>
        <v>9601.2395558122898</v>
      </c>
      <c r="E44">
        <f>(3/(1+('CurrentFact-N10,20,40,60Unchan'!C44+'CurrentFact-N10,20,40,60Unchan'!I44)/100)+103/POWER(1+('CurrentFact-N10,20,40,60Unchan'!D44+'CurrentFact-N10,20,40,60Unchan'!I44)/100,2))*100</f>
        <v>9676.6907857653259</v>
      </c>
      <c r="F44">
        <f>Portfolio!B$5*'CurrentFact-N10,20,40,60Unchan'!E44</f>
        <v>52143.895533915893</v>
      </c>
      <c r="G44">
        <f>Portfolio!B$6*'CurrentFact-N10,20,40,60Unchan'!F44</f>
        <v>3696.2945087936532</v>
      </c>
      <c r="H44">
        <f>Portfolio!B$7*'CurrentFact-N10,20,40,60Unchan'!J44</f>
        <v>2064.4550337304254</v>
      </c>
      <c r="I44">
        <f t="shared" si="0"/>
        <v>96505.128553694783</v>
      </c>
      <c r="J44">
        <f t="shared" si="1"/>
        <v>0</v>
      </c>
    </row>
    <row r="45" spans="1:10">
      <c r="A45" s="1">
        <v>45532</v>
      </c>
      <c r="B45">
        <f>(3/(1+('CurrentFact-N10,20,40,60Unchan'!C45)/100)+103/POWER(1+('CurrentFact-N10,20,40,60Unchan'!D45)/100,2))*100</f>
        <v>9707.5857774288397</v>
      </c>
      <c r="C45">
        <f>(3/(1+('CurrentFact-N10,20,40,60Unchan'!C45+'CurrentFact-N10,20,40,60Unchan'!G45)/100)+103/POWER(1+('CurrentFact-N10,20,40,60Unchan'!D45+'CurrentFact-N10,20,40,60Unchan'!G45)/100,2))*100</f>
        <v>9614.9673582483465</v>
      </c>
      <c r="D45">
        <f>(3/(1+('CurrentFact-N10,20,40,60Unchan'!C45+'CurrentFact-N10,20,40,60Unchan'!H45)/100)+103/POWER(1+('CurrentFact-N10,20,40,60Unchan'!D45+'CurrentFact-N10,20,40,60Unchan'!H45)/100,2))*100</f>
        <v>9601.2395558122898</v>
      </c>
      <c r="E45">
        <f>(3/(1+('CurrentFact-N10,20,40,60Unchan'!C45+'CurrentFact-N10,20,40,60Unchan'!I45)/100)+103/POWER(1+('CurrentFact-N10,20,40,60Unchan'!D45+'CurrentFact-N10,20,40,60Unchan'!I45)/100,2))*100</f>
        <v>9676.6907857653259</v>
      </c>
      <c r="F45">
        <f>Portfolio!B$5*'CurrentFact-N10,20,40,60Unchan'!E45</f>
        <v>52143.895533915893</v>
      </c>
      <c r="G45">
        <f>Portfolio!B$6*'CurrentFact-N10,20,40,60Unchan'!F45</f>
        <v>3696.2945087936532</v>
      </c>
      <c r="H45">
        <f>Portfolio!B$7*'CurrentFact-N10,20,40,60Unchan'!J45</f>
        <v>2064.4550337304254</v>
      </c>
      <c r="I45">
        <f t="shared" si="0"/>
        <v>96505.128553694783</v>
      </c>
      <c r="J45">
        <f t="shared" si="1"/>
        <v>0</v>
      </c>
    </row>
    <row r="46" spans="1:10">
      <c r="A46" s="1">
        <v>45533</v>
      </c>
      <c r="B46">
        <f>(3/(1+('CurrentFact-N10,20,40,60Unchan'!C46)/100)+103/POWER(1+('CurrentFact-N10,20,40,60Unchan'!D46)/100,2))*100</f>
        <v>9707.5857774288397</v>
      </c>
      <c r="C46">
        <f>(3/(1+('CurrentFact-N10,20,40,60Unchan'!C46+'CurrentFact-N10,20,40,60Unchan'!G46)/100)+103/POWER(1+('CurrentFact-N10,20,40,60Unchan'!D46+'CurrentFact-N10,20,40,60Unchan'!G46)/100,2))*100</f>
        <v>9614.9673582483465</v>
      </c>
      <c r="D46">
        <f>(3/(1+('CurrentFact-N10,20,40,60Unchan'!C46+'CurrentFact-N10,20,40,60Unchan'!H46)/100)+103/POWER(1+('CurrentFact-N10,20,40,60Unchan'!D46+'CurrentFact-N10,20,40,60Unchan'!H46)/100,2))*100</f>
        <v>9601.2395558122898</v>
      </c>
      <c r="E46">
        <f>(3/(1+('CurrentFact-N10,20,40,60Unchan'!C46+'CurrentFact-N10,20,40,60Unchan'!I46)/100)+103/POWER(1+('CurrentFact-N10,20,40,60Unchan'!D46+'CurrentFact-N10,20,40,60Unchan'!I46)/100,2))*100</f>
        <v>9676.6907857653259</v>
      </c>
      <c r="F46">
        <f>Portfolio!B$5*'CurrentFact-N10,20,40,60Unchan'!E46</f>
        <v>52143.895533915893</v>
      </c>
      <c r="G46">
        <f>Portfolio!B$6*'CurrentFact-N10,20,40,60Unchan'!F46</f>
        <v>3696.2945087936532</v>
      </c>
      <c r="H46">
        <f>Portfolio!B$7*'CurrentFact-N10,20,40,60Unchan'!J46</f>
        <v>2064.4550337304254</v>
      </c>
      <c r="I46">
        <f t="shared" si="0"/>
        <v>96505.128553694783</v>
      </c>
      <c r="J46">
        <f t="shared" si="1"/>
        <v>0</v>
      </c>
    </row>
    <row r="47" spans="1:10">
      <c r="A47" s="1">
        <v>45534</v>
      </c>
      <c r="B47">
        <f>(3/(1+('CurrentFact-N10,20,40,60Unchan'!C47)/100)+103/POWER(1+('CurrentFact-N10,20,40,60Unchan'!D47)/100,2))*100</f>
        <v>9707.5857774288397</v>
      </c>
      <c r="C47">
        <f>(3/(1+('CurrentFact-N10,20,40,60Unchan'!C47+'CurrentFact-N10,20,40,60Unchan'!G47)/100)+103/POWER(1+('CurrentFact-N10,20,40,60Unchan'!D47+'CurrentFact-N10,20,40,60Unchan'!G47)/100,2))*100</f>
        <v>9614.9673582483465</v>
      </c>
      <c r="D47">
        <f>(3/(1+('CurrentFact-N10,20,40,60Unchan'!C47+'CurrentFact-N10,20,40,60Unchan'!H47)/100)+103/POWER(1+('CurrentFact-N10,20,40,60Unchan'!D47+'CurrentFact-N10,20,40,60Unchan'!H47)/100,2))*100</f>
        <v>9601.2395558122898</v>
      </c>
      <c r="E47">
        <f>(3/(1+('CurrentFact-N10,20,40,60Unchan'!C47+'CurrentFact-N10,20,40,60Unchan'!I47)/100)+103/POWER(1+('CurrentFact-N10,20,40,60Unchan'!D47+'CurrentFact-N10,20,40,60Unchan'!I47)/100,2))*100</f>
        <v>9676.6907857653259</v>
      </c>
      <c r="F47">
        <f>Portfolio!B$5*'CurrentFact-N10,20,40,60Unchan'!E47</f>
        <v>52143.895533915893</v>
      </c>
      <c r="G47">
        <f>Portfolio!B$6*'CurrentFact-N10,20,40,60Unchan'!F47</f>
        <v>3696.2945087936532</v>
      </c>
      <c r="H47">
        <f>Portfolio!B$7*'CurrentFact-N10,20,40,60Unchan'!J47</f>
        <v>2064.4550337304254</v>
      </c>
      <c r="I47">
        <f t="shared" si="0"/>
        <v>96505.128553694783</v>
      </c>
      <c r="J47">
        <f t="shared" si="1"/>
        <v>0</v>
      </c>
    </row>
    <row r="48" spans="1:10">
      <c r="A48" s="1">
        <v>45537</v>
      </c>
      <c r="B48">
        <f>(3/(1+('CurrentFact-N10,20,40,60Unchan'!C48)/100)+103/POWER(1+('CurrentFact-N10,20,40,60Unchan'!D48)/100,2))*100</f>
        <v>9707.5857774288397</v>
      </c>
      <c r="C48">
        <f>(3/(1+('CurrentFact-N10,20,40,60Unchan'!C48+'CurrentFact-N10,20,40,60Unchan'!G48)/100)+103/POWER(1+('CurrentFact-N10,20,40,60Unchan'!D48+'CurrentFact-N10,20,40,60Unchan'!G48)/100,2))*100</f>
        <v>9614.9673582483465</v>
      </c>
      <c r="D48">
        <f>(3/(1+('CurrentFact-N10,20,40,60Unchan'!C48+'CurrentFact-N10,20,40,60Unchan'!H48)/100)+103/POWER(1+('CurrentFact-N10,20,40,60Unchan'!D48+'CurrentFact-N10,20,40,60Unchan'!H48)/100,2))*100</f>
        <v>9601.2395558122898</v>
      </c>
      <c r="E48">
        <f>(3/(1+('CurrentFact-N10,20,40,60Unchan'!C48+'CurrentFact-N10,20,40,60Unchan'!I48)/100)+103/POWER(1+('CurrentFact-N10,20,40,60Unchan'!D48+'CurrentFact-N10,20,40,60Unchan'!I48)/100,2))*100</f>
        <v>9676.6907857653259</v>
      </c>
      <c r="F48">
        <f>Portfolio!B$5*'CurrentFact-N10,20,40,60Unchan'!E48</f>
        <v>52143.895533915893</v>
      </c>
      <c r="G48">
        <f>Portfolio!B$6*'CurrentFact-N10,20,40,60Unchan'!F48</f>
        <v>3696.2945087936532</v>
      </c>
      <c r="H48">
        <f>Portfolio!B$7*'CurrentFact-N10,20,40,60Unchan'!J48</f>
        <v>2064.4550337304254</v>
      </c>
      <c r="I48">
        <f t="shared" si="0"/>
        <v>96505.128553694783</v>
      </c>
      <c r="J48">
        <f t="shared" si="1"/>
        <v>0</v>
      </c>
    </row>
    <row r="49" spans="1:10">
      <c r="A49" s="1">
        <v>45538</v>
      </c>
      <c r="B49">
        <f>(3/(1+('CurrentFact-N10,20,40,60Unchan'!C49)/100)+103/POWER(1+('CurrentFact-N10,20,40,60Unchan'!D49)/100,2))*100</f>
        <v>9707.5857774288397</v>
      </c>
      <c r="C49">
        <f>(3/(1+('CurrentFact-N10,20,40,60Unchan'!C49+'CurrentFact-N10,20,40,60Unchan'!G49)/100)+103/POWER(1+('CurrentFact-N10,20,40,60Unchan'!D49+'CurrentFact-N10,20,40,60Unchan'!G49)/100,2))*100</f>
        <v>9614.9673582483465</v>
      </c>
      <c r="D49">
        <f>(3/(1+('CurrentFact-N10,20,40,60Unchan'!C49+'CurrentFact-N10,20,40,60Unchan'!H49)/100)+103/POWER(1+('CurrentFact-N10,20,40,60Unchan'!D49+'CurrentFact-N10,20,40,60Unchan'!H49)/100,2))*100</f>
        <v>9601.2395558122898</v>
      </c>
      <c r="E49">
        <f>(3/(1+('CurrentFact-N10,20,40,60Unchan'!C49+'CurrentFact-N10,20,40,60Unchan'!I49)/100)+103/POWER(1+('CurrentFact-N10,20,40,60Unchan'!D49+'CurrentFact-N10,20,40,60Unchan'!I49)/100,2))*100</f>
        <v>9676.6907857653259</v>
      </c>
      <c r="F49">
        <f>Portfolio!B$5*'CurrentFact-N10,20,40,60Unchan'!E49</f>
        <v>52143.895533915893</v>
      </c>
      <c r="G49">
        <f>Portfolio!B$6*'CurrentFact-N10,20,40,60Unchan'!F49</f>
        <v>3696.2945087936532</v>
      </c>
      <c r="H49">
        <f>Portfolio!B$7*'CurrentFact-N10,20,40,60Unchan'!J49</f>
        <v>2064.4550337304254</v>
      </c>
      <c r="I49">
        <f t="shared" si="0"/>
        <v>96505.128553694783</v>
      </c>
      <c r="J49">
        <f t="shared" si="1"/>
        <v>0</v>
      </c>
    </row>
    <row r="50" spans="1:10">
      <c r="A50" s="1">
        <v>45539</v>
      </c>
      <c r="B50">
        <f>(3/(1+('CurrentFact-N10,20,40,60Unchan'!C50)/100)+103/POWER(1+('CurrentFact-N10,20,40,60Unchan'!D50)/100,2))*100</f>
        <v>9707.5857774288397</v>
      </c>
      <c r="C50">
        <f>(3/(1+('CurrentFact-N10,20,40,60Unchan'!C50+'CurrentFact-N10,20,40,60Unchan'!G50)/100)+103/POWER(1+('CurrentFact-N10,20,40,60Unchan'!D50+'CurrentFact-N10,20,40,60Unchan'!G50)/100,2))*100</f>
        <v>9614.9673582483465</v>
      </c>
      <c r="D50">
        <f>(3/(1+('CurrentFact-N10,20,40,60Unchan'!C50+'CurrentFact-N10,20,40,60Unchan'!H50)/100)+103/POWER(1+('CurrentFact-N10,20,40,60Unchan'!D50+'CurrentFact-N10,20,40,60Unchan'!H50)/100,2))*100</f>
        <v>9601.2395558122898</v>
      </c>
      <c r="E50">
        <f>(3/(1+('CurrentFact-N10,20,40,60Unchan'!C50+'CurrentFact-N10,20,40,60Unchan'!I50)/100)+103/POWER(1+('CurrentFact-N10,20,40,60Unchan'!D50+'CurrentFact-N10,20,40,60Unchan'!I50)/100,2))*100</f>
        <v>9676.6907857653259</v>
      </c>
      <c r="F50">
        <f>Portfolio!B$5*'CurrentFact-N10,20,40,60Unchan'!E50</f>
        <v>52143.895533915893</v>
      </c>
      <c r="G50">
        <f>Portfolio!B$6*'CurrentFact-N10,20,40,60Unchan'!F50</f>
        <v>3696.2945087936532</v>
      </c>
      <c r="H50">
        <f>Portfolio!B$7*'CurrentFact-N10,20,40,60Unchan'!J50</f>
        <v>2064.4550337304254</v>
      </c>
      <c r="I50">
        <f t="shared" si="0"/>
        <v>96505.128553694783</v>
      </c>
      <c r="J50">
        <f t="shared" si="1"/>
        <v>0</v>
      </c>
    </row>
    <row r="51" spans="1:10">
      <c r="A51" s="1">
        <v>45540</v>
      </c>
      <c r="B51">
        <f>(3/(1+('CurrentFact-N10,20,40,60Unchan'!C51)/100)+103/POWER(1+('CurrentFact-N10,20,40,60Unchan'!D51)/100,2))*100</f>
        <v>9707.5857774288397</v>
      </c>
      <c r="C51">
        <f>(3/(1+('CurrentFact-N10,20,40,60Unchan'!C51+'CurrentFact-N10,20,40,60Unchan'!G51)/100)+103/POWER(1+('CurrentFact-N10,20,40,60Unchan'!D51+'CurrentFact-N10,20,40,60Unchan'!G51)/100,2))*100</f>
        <v>9614.9673582483465</v>
      </c>
      <c r="D51">
        <f>(3/(1+('CurrentFact-N10,20,40,60Unchan'!C51+'CurrentFact-N10,20,40,60Unchan'!H51)/100)+103/POWER(1+('CurrentFact-N10,20,40,60Unchan'!D51+'CurrentFact-N10,20,40,60Unchan'!H51)/100,2))*100</f>
        <v>9601.2395558122898</v>
      </c>
      <c r="E51">
        <f>(3/(1+('CurrentFact-N10,20,40,60Unchan'!C51+'CurrentFact-N10,20,40,60Unchan'!I51)/100)+103/POWER(1+('CurrentFact-N10,20,40,60Unchan'!D51+'CurrentFact-N10,20,40,60Unchan'!I51)/100,2))*100</f>
        <v>9676.6907857653259</v>
      </c>
      <c r="F51">
        <f>Portfolio!B$5*'CurrentFact-N10,20,40,60Unchan'!E51</f>
        <v>52143.895533915893</v>
      </c>
      <c r="G51">
        <f>Portfolio!B$6*'CurrentFact-N10,20,40,60Unchan'!F51</f>
        <v>3696.2945087936532</v>
      </c>
      <c r="H51">
        <f>Portfolio!B$7*'CurrentFact-N10,20,40,60Unchan'!J51</f>
        <v>2064.4550337304254</v>
      </c>
      <c r="I51">
        <f t="shared" si="0"/>
        <v>96505.128553694783</v>
      </c>
      <c r="J51">
        <f t="shared" si="1"/>
        <v>0</v>
      </c>
    </row>
    <row r="52" spans="1:10">
      <c r="A52" s="1">
        <v>45541</v>
      </c>
      <c r="B52">
        <f>(3/(1+('CurrentFact-N10,20,40,60Unchan'!C52)/100)+103/POWER(1+('CurrentFact-N10,20,40,60Unchan'!D52)/100,2))*100</f>
        <v>9707.5857774288397</v>
      </c>
      <c r="C52">
        <f>(3/(1+('CurrentFact-N10,20,40,60Unchan'!C52+'CurrentFact-N10,20,40,60Unchan'!G52)/100)+103/POWER(1+('CurrentFact-N10,20,40,60Unchan'!D52+'CurrentFact-N10,20,40,60Unchan'!G52)/100,2))*100</f>
        <v>9614.9673582483465</v>
      </c>
      <c r="D52">
        <f>(3/(1+('CurrentFact-N10,20,40,60Unchan'!C52+'CurrentFact-N10,20,40,60Unchan'!H52)/100)+103/POWER(1+('CurrentFact-N10,20,40,60Unchan'!D52+'CurrentFact-N10,20,40,60Unchan'!H52)/100,2))*100</f>
        <v>9601.2395558122898</v>
      </c>
      <c r="E52">
        <f>(3/(1+('CurrentFact-N10,20,40,60Unchan'!C52+'CurrentFact-N10,20,40,60Unchan'!I52)/100)+103/POWER(1+('CurrentFact-N10,20,40,60Unchan'!D52+'CurrentFact-N10,20,40,60Unchan'!I52)/100,2))*100</f>
        <v>9676.6907857653259</v>
      </c>
      <c r="F52">
        <f>Portfolio!B$5*'CurrentFact-N10,20,40,60Unchan'!E52</f>
        <v>52143.895533915893</v>
      </c>
      <c r="G52">
        <f>Portfolio!B$6*'CurrentFact-N10,20,40,60Unchan'!F52</f>
        <v>3696.2945087936532</v>
      </c>
      <c r="H52">
        <f>Portfolio!B$7*'CurrentFact-N10,20,40,60Unchan'!J52</f>
        <v>2064.4550337304254</v>
      </c>
      <c r="I52">
        <f t="shared" si="0"/>
        <v>96505.128553694783</v>
      </c>
      <c r="J52">
        <f t="shared" si="1"/>
        <v>0</v>
      </c>
    </row>
    <row r="53" spans="1:10">
      <c r="A53" s="1">
        <v>45544</v>
      </c>
      <c r="B53">
        <f>(3/(1+('CurrentFact-N10,20,40,60Unchan'!C53)/100)+103/POWER(1+('CurrentFact-N10,20,40,60Unchan'!D53)/100,2))*100</f>
        <v>9707.5857774288397</v>
      </c>
      <c r="C53">
        <f>(3/(1+('CurrentFact-N10,20,40,60Unchan'!C53+'CurrentFact-N10,20,40,60Unchan'!G53)/100)+103/POWER(1+('CurrentFact-N10,20,40,60Unchan'!D53+'CurrentFact-N10,20,40,60Unchan'!G53)/100,2))*100</f>
        <v>9614.9673582483465</v>
      </c>
      <c r="D53">
        <f>(3/(1+('CurrentFact-N10,20,40,60Unchan'!C53+'CurrentFact-N10,20,40,60Unchan'!H53)/100)+103/POWER(1+('CurrentFact-N10,20,40,60Unchan'!D53+'CurrentFact-N10,20,40,60Unchan'!H53)/100,2))*100</f>
        <v>9601.2395558122898</v>
      </c>
      <c r="E53">
        <f>(3/(1+('CurrentFact-N10,20,40,60Unchan'!C53+'CurrentFact-N10,20,40,60Unchan'!I53)/100)+103/POWER(1+('CurrentFact-N10,20,40,60Unchan'!D53+'CurrentFact-N10,20,40,60Unchan'!I53)/100,2))*100</f>
        <v>9676.6907857653259</v>
      </c>
      <c r="F53">
        <f>Portfolio!B$5*'CurrentFact-N10,20,40,60Unchan'!E53</f>
        <v>52143.895533915893</v>
      </c>
      <c r="G53">
        <f>Portfolio!B$6*'CurrentFact-N10,20,40,60Unchan'!F53</f>
        <v>3696.2945087936532</v>
      </c>
      <c r="H53">
        <f>Portfolio!B$7*'CurrentFact-N10,20,40,60Unchan'!J53</f>
        <v>2064.4550337304254</v>
      </c>
      <c r="I53">
        <f t="shared" si="0"/>
        <v>96505.128553694783</v>
      </c>
      <c r="J53">
        <f t="shared" si="1"/>
        <v>0</v>
      </c>
    </row>
    <row r="54" spans="1:10">
      <c r="A54" s="1">
        <v>45545</v>
      </c>
      <c r="B54">
        <f>(3/(1+('CurrentFact-N10,20,40,60Unchan'!C54)/100)+103/POWER(1+('CurrentFact-N10,20,40,60Unchan'!D54)/100,2))*100</f>
        <v>9707.5857774288397</v>
      </c>
      <c r="C54">
        <f>(3/(1+('CurrentFact-N10,20,40,60Unchan'!C54+'CurrentFact-N10,20,40,60Unchan'!G54)/100)+103/POWER(1+('CurrentFact-N10,20,40,60Unchan'!D54+'CurrentFact-N10,20,40,60Unchan'!G54)/100,2))*100</f>
        <v>9614.9673582483465</v>
      </c>
      <c r="D54">
        <f>(3/(1+('CurrentFact-N10,20,40,60Unchan'!C54+'CurrentFact-N10,20,40,60Unchan'!H54)/100)+103/POWER(1+('CurrentFact-N10,20,40,60Unchan'!D54+'CurrentFact-N10,20,40,60Unchan'!H54)/100,2))*100</f>
        <v>9601.2395558122898</v>
      </c>
      <c r="E54">
        <f>(3/(1+('CurrentFact-N10,20,40,60Unchan'!C54+'CurrentFact-N10,20,40,60Unchan'!I54)/100)+103/POWER(1+('CurrentFact-N10,20,40,60Unchan'!D54+'CurrentFact-N10,20,40,60Unchan'!I54)/100,2))*100</f>
        <v>9676.6907857653259</v>
      </c>
      <c r="F54">
        <f>Portfolio!B$5*'CurrentFact-N10,20,40,60Unchan'!E54</f>
        <v>52143.895533915893</v>
      </c>
      <c r="G54">
        <f>Portfolio!B$6*'CurrentFact-N10,20,40,60Unchan'!F54</f>
        <v>3696.2945087936532</v>
      </c>
      <c r="H54">
        <f>Portfolio!B$7*'CurrentFact-N10,20,40,60Unchan'!J54</f>
        <v>2064.4550337304254</v>
      </c>
      <c r="I54">
        <f t="shared" si="0"/>
        <v>96505.128553694783</v>
      </c>
      <c r="J54">
        <f t="shared" si="1"/>
        <v>0</v>
      </c>
    </row>
    <row r="55" spans="1:10">
      <c r="A55" s="1">
        <v>45546</v>
      </c>
      <c r="B55">
        <f>(3/(1+('CurrentFact-N10,20,40,60Unchan'!C55)/100)+103/POWER(1+('CurrentFact-N10,20,40,60Unchan'!D55)/100,2))*100</f>
        <v>9707.5857774288397</v>
      </c>
      <c r="C55">
        <f>(3/(1+('CurrentFact-N10,20,40,60Unchan'!C55+'CurrentFact-N10,20,40,60Unchan'!G55)/100)+103/POWER(1+('CurrentFact-N10,20,40,60Unchan'!D55+'CurrentFact-N10,20,40,60Unchan'!G55)/100,2))*100</f>
        <v>9614.9673582483465</v>
      </c>
      <c r="D55">
        <f>(3/(1+('CurrentFact-N10,20,40,60Unchan'!C55+'CurrentFact-N10,20,40,60Unchan'!H55)/100)+103/POWER(1+('CurrentFact-N10,20,40,60Unchan'!D55+'CurrentFact-N10,20,40,60Unchan'!H55)/100,2))*100</f>
        <v>9601.2395558122898</v>
      </c>
      <c r="E55">
        <f>(3/(1+('CurrentFact-N10,20,40,60Unchan'!C55+'CurrentFact-N10,20,40,60Unchan'!I55)/100)+103/POWER(1+('CurrentFact-N10,20,40,60Unchan'!D55+'CurrentFact-N10,20,40,60Unchan'!I55)/100,2))*100</f>
        <v>9676.6907857653259</v>
      </c>
      <c r="F55">
        <f>Portfolio!B$5*'CurrentFact-N10,20,40,60Unchan'!E55</f>
        <v>52143.895533915893</v>
      </c>
      <c r="G55">
        <f>Portfolio!B$6*'CurrentFact-N10,20,40,60Unchan'!F55</f>
        <v>3696.2945087936532</v>
      </c>
      <c r="H55">
        <f>Portfolio!B$7*'CurrentFact-N10,20,40,60Unchan'!J55</f>
        <v>2064.4550337304254</v>
      </c>
      <c r="I55">
        <f t="shared" si="0"/>
        <v>96505.128553694783</v>
      </c>
      <c r="J55">
        <f t="shared" si="1"/>
        <v>0</v>
      </c>
    </row>
    <row r="56" spans="1:10">
      <c r="A56" s="1">
        <v>45547</v>
      </c>
      <c r="B56">
        <f>(3/(1+('CurrentFact-N10,20,40,60Unchan'!C56)/100)+103/POWER(1+('CurrentFact-N10,20,40,60Unchan'!D56)/100,2))*100</f>
        <v>9707.5857774288397</v>
      </c>
      <c r="C56">
        <f>(3/(1+('CurrentFact-N10,20,40,60Unchan'!C56+'CurrentFact-N10,20,40,60Unchan'!G56)/100)+103/POWER(1+('CurrentFact-N10,20,40,60Unchan'!D56+'CurrentFact-N10,20,40,60Unchan'!G56)/100,2))*100</f>
        <v>9614.9673582483465</v>
      </c>
      <c r="D56">
        <f>(3/(1+('CurrentFact-N10,20,40,60Unchan'!C56+'CurrentFact-N10,20,40,60Unchan'!H56)/100)+103/POWER(1+('CurrentFact-N10,20,40,60Unchan'!D56+'CurrentFact-N10,20,40,60Unchan'!H56)/100,2))*100</f>
        <v>9601.2395558122898</v>
      </c>
      <c r="E56">
        <f>(3/(1+('CurrentFact-N10,20,40,60Unchan'!C56+'CurrentFact-N10,20,40,60Unchan'!I56)/100)+103/POWER(1+('CurrentFact-N10,20,40,60Unchan'!D56+'CurrentFact-N10,20,40,60Unchan'!I56)/100,2))*100</f>
        <v>9676.6907857653259</v>
      </c>
      <c r="F56">
        <f>Portfolio!B$5*'CurrentFact-N10,20,40,60Unchan'!E56</f>
        <v>52143.895533915893</v>
      </c>
      <c r="G56">
        <f>Portfolio!B$6*'CurrentFact-N10,20,40,60Unchan'!F56</f>
        <v>3696.2945087936532</v>
      </c>
      <c r="H56">
        <f>Portfolio!B$7*'CurrentFact-N10,20,40,60Unchan'!J56</f>
        <v>2064.4550337304254</v>
      </c>
      <c r="I56">
        <f t="shared" si="0"/>
        <v>96505.128553694783</v>
      </c>
      <c r="J56">
        <f t="shared" si="1"/>
        <v>0</v>
      </c>
    </row>
    <row r="57" spans="1:10">
      <c r="A57" s="1">
        <v>45548</v>
      </c>
      <c r="B57">
        <f>(3/(1+('CurrentFact-N10,20,40,60Unchan'!C57)/100)+103/POWER(1+('CurrentFact-N10,20,40,60Unchan'!D57)/100,2))*100</f>
        <v>9707.5857774288397</v>
      </c>
      <c r="C57">
        <f>(3/(1+('CurrentFact-N10,20,40,60Unchan'!C57+'CurrentFact-N10,20,40,60Unchan'!G57)/100)+103/POWER(1+('CurrentFact-N10,20,40,60Unchan'!D57+'CurrentFact-N10,20,40,60Unchan'!G57)/100,2))*100</f>
        <v>9614.9673582483465</v>
      </c>
      <c r="D57">
        <f>(3/(1+('CurrentFact-N10,20,40,60Unchan'!C57+'CurrentFact-N10,20,40,60Unchan'!H57)/100)+103/POWER(1+('CurrentFact-N10,20,40,60Unchan'!D57+'CurrentFact-N10,20,40,60Unchan'!H57)/100,2))*100</f>
        <v>9601.2395558122898</v>
      </c>
      <c r="E57">
        <f>(3/(1+('CurrentFact-N10,20,40,60Unchan'!C57+'CurrentFact-N10,20,40,60Unchan'!I57)/100)+103/POWER(1+('CurrentFact-N10,20,40,60Unchan'!D57+'CurrentFact-N10,20,40,60Unchan'!I57)/100,2))*100</f>
        <v>9676.6907857653259</v>
      </c>
      <c r="F57">
        <f>Portfolio!B$5*'CurrentFact-N10,20,40,60Unchan'!E57</f>
        <v>52143.895533915893</v>
      </c>
      <c r="G57">
        <f>Portfolio!B$6*'CurrentFact-N10,20,40,60Unchan'!F57</f>
        <v>3696.2945087936532</v>
      </c>
      <c r="H57">
        <f>Portfolio!B$7*'CurrentFact-N10,20,40,60Unchan'!J57</f>
        <v>2064.4550337304254</v>
      </c>
      <c r="I57">
        <f t="shared" si="0"/>
        <v>96505.128553694783</v>
      </c>
      <c r="J57">
        <f t="shared" si="1"/>
        <v>0</v>
      </c>
    </row>
    <row r="58" spans="1:10">
      <c r="A58" s="1">
        <v>45551</v>
      </c>
      <c r="B58">
        <f>(3/(1+('CurrentFact-N10,20,40,60Unchan'!C58)/100)+103/POWER(1+('CurrentFact-N10,20,40,60Unchan'!D58)/100,2))*100</f>
        <v>9707.5857774288397</v>
      </c>
      <c r="C58">
        <f>(3/(1+('CurrentFact-N10,20,40,60Unchan'!C58+'CurrentFact-N10,20,40,60Unchan'!G58)/100)+103/POWER(1+('CurrentFact-N10,20,40,60Unchan'!D58+'CurrentFact-N10,20,40,60Unchan'!G58)/100,2))*100</f>
        <v>9614.9673582483465</v>
      </c>
      <c r="D58">
        <f>(3/(1+('CurrentFact-N10,20,40,60Unchan'!C58+'CurrentFact-N10,20,40,60Unchan'!H58)/100)+103/POWER(1+('CurrentFact-N10,20,40,60Unchan'!D58+'CurrentFact-N10,20,40,60Unchan'!H58)/100,2))*100</f>
        <v>9601.2395558122898</v>
      </c>
      <c r="E58">
        <f>(3/(1+('CurrentFact-N10,20,40,60Unchan'!C58+'CurrentFact-N10,20,40,60Unchan'!I58)/100)+103/POWER(1+('CurrentFact-N10,20,40,60Unchan'!D58+'CurrentFact-N10,20,40,60Unchan'!I58)/100,2))*100</f>
        <v>9676.6907857653259</v>
      </c>
      <c r="F58">
        <f>Portfolio!B$5*'CurrentFact-N10,20,40,60Unchan'!E58</f>
        <v>52143.895533915893</v>
      </c>
      <c r="G58">
        <f>Portfolio!B$6*'CurrentFact-N10,20,40,60Unchan'!F58</f>
        <v>3696.2945087936532</v>
      </c>
      <c r="H58">
        <f>Portfolio!B$7*'CurrentFact-N10,20,40,60Unchan'!J58</f>
        <v>2064.4550337304254</v>
      </c>
      <c r="I58">
        <f t="shared" si="0"/>
        <v>96505.128553694783</v>
      </c>
      <c r="J58">
        <f t="shared" si="1"/>
        <v>0</v>
      </c>
    </row>
    <row r="59" spans="1:10">
      <c r="A59" s="1">
        <v>45552</v>
      </c>
      <c r="B59">
        <f>(3/(1+('CurrentFact-N10,20,40,60Unchan'!C59)/100)+103/POWER(1+('CurrentFact-N10,20,40,60Unchan'!D59)/100,2))*100</f>
        <v>9707.5857774288397</v>
      </c>
      <c r="C59">
        <f>(3/(1+('CurrentFact-N10,20,40,60Unchan'!C59+'CurrentFact-N10,20,40,60Unchan'!G59)/100)+103/POWER(1+('CurrentFact-N10,20,40,60Unchan'!D59+'CurrentFact-N10,20,40,60Unchan'!G59)/100,2))*100</f>
        <v>9614.9673582483465</v>
      </c>
      <c r="D59">
        <f>(3/(1+('CurrentFact-N10,20,40,60Unchan'!C59+'CurrentFact-N10,20,40,60Unchan'!H59)/100)+103/POWER(1+('CurrentFact-N10,20,40,60Unchan'!D59+'CurrentFact-N10,20,40,60Unchan'!H59)/100,2))*100</f>
        <v>9601.2395558122898</v>
      </c>
      <c r="E59">
        <f>(3/(1+('CurrentFact-N10,20,40,60Unchan'!C59+'CurrentFact-N10,20,40,60Unchan'!I59)/100)+103/POWER(1+('CurrentFact-N10,20,40,60Unchan'!D59+'CurrentFact-N10,20,40,60Unchan'!I59)/100,2))*100</f>
        <v>9676.6907857653259</v>
      </c>
      <c r="F59">
        <f>Portfolio!B$5*'CurrentFact-N10,20,40,60Unchan'!E59</f>
        <v>52143.895533915893</v>
      </c>
      <c r="G59">
        <f>Portfolio!B$6*'CurrentFact-N10,20,40,60Unchan'!F59</f>
        <v>3696.2945087936532</v>
      </c>
      <c r="H59">
        <f>Portfolio!B$7*'CurrentFact-N10,20,40,60Unchan'!J59</f>
        <v>2064.4550337304254</v>
      </c>
      <c r="I59">
        <f t="shared" si="0"/>
        <v>96505.128553694783</v>
      </c>
      <c r="J59">
        <f t="shared" si="1"/>
        <v>0</v>
      </c>
    </row>
    <row r="60" spans="1:10">
      <c r="A60" s="1">
        <v>45553</v>
      </c>
      <c r="B60">
        <f>(3/(1+('CurrentFact-N10,20,40,60Unchan'!C60)/100)+103/POWER(1+('CurrentFact-N10,20,40,60Unchan'!D60)/100,2))*100</f>
        <v>9707.5857774288397</v>
      </c>
      <c r="C60">
        <f>(3/(1+('CurrentFact-N10,20,40,60Unchan'!C60+'CurrentFact-N10,20,40,60Unchan'!G60)/100)+103/POWER(1+('CurrentFact-N10,20,40,60Unchan'!D60+'CurrentFact-N10,20,40,60Unchan'!G60)/100,2))*100</f>
        <v>9614.9673582483465</v>
      </c>
      <c r="D60">
        <f>(3/(1+('CurrentFact-N10,20,40,60Unchan'!C60+'CurrentFact-N10,20,40,60Unchan'!H60)/100)+103/POWER(1+('CurrentFact-N10,20,40,60Unchan'!D60+'CurrentFact-N10,20,40,60Unchan'!H60)/100,2))*100</f>
        <v>9601.2395558122898</v>
      </c>
      <c r="E60">
        <f>(3/(1+('CurrentFact-N10,20,40,60Unchan'!C60+'CurrentFact-N10,20,40,60Unchan'!I60)/100)+103/POWER(1+('CurrentFact-N10,20,40,60Unchan'!D60+'CurrentFact-N10,20,40,60Unchan'!I60)/100,2))*100</f>
        <v>9676.6907857653259</v>
      </c>
      <c r="F60">
        <f>Portfolio!B$5*'CurrentFact-N10,20,40,60Unchan'!E60</f>
        <v>52143.895533915893</v>
      </c>
      <c r="G60">
        <f>Portfolio!B$6*'CurrentFact-N10,20,40,60Unchan'!F60</f>
        <v>3696.2945087936532</v>
      </c>
      <c r="H60">
        <f>Portfolio!B$7*'CurrentFact-N10,20,40,60Unchan'!J60</f>
        <v>2064.4550337304254</v>
      </c>
      <c r="I60">
        <f t="shared" si="0"/>
        <v>96505.128553694783</v>
      </c>
      <c r="J60">
        <f t="shared" si="1"/>
        <v>0</v>
      </c>
    </row>
    <row r="61" spans="1:10">
      <c r="A61" s="1">
        <v>45554</v>
      </c>
      <c r="B61">
        <f>(3/(1+('CurrentFact-N10,20,40,60Unchan'!C61)/100)+103/POWER(1+('CurrentFact-N10,20,40,60Unchan'!D61)/100,2))*100</f>
        <v>9707.5857774288397</v>
      </c>
      <c r="C61">
        <f>(3/(1+('CurrentFact-N10,20,40,60Unchan'!C61+'CurrentFact-N10,20,40,60Unchan'!G61)/100)+103/POWER(1+('CurrentFact-N10,20,40,60Unchan'!D61+'CurrentFact-N10,20,40,60Unchan'!G61)/100,2))*100</f>
        <v>9614.9673582483465</v>
      </c>
      <c r="D61">
        <f>(3/(1+('CurrentFact-N10,20,40,60Unchan'!C61+'CurrentFact-N10,20,40,60Unchan'!H61)/100)+103/POWER(1+('CurrentFact-N10,20,40,60Unchan'!D61+'CurrentFact-N10,20,40,60Unchan'!H61)/100,2))*100</f>
        <v>9601.2395558122898</v>
      </c>
      <c r="E61">
        <f>(3/(1+('CurrentFact-N10,20,40,60Unchan'!C61+'CurrentFact-N10,20,40,60Unchan'!I61)/100)+103/POWER(1+('CurrentFact-N10,20,40,60Unchan'!D61+'CurrentFact-N10,20,40,60Unchan'!I61)/100,2))*100</f>
        <v>9676.6907857653259</v>
      </c>
      <c r="F61">
        <f>Portfolio!B$5*'CurrentFact-N10,20,40,60Unchan'!E61</f>
        <v>52143.895533915893</v>
      </c>
      <c r="G61">
        <f>Portfolio!B$6*'CurrentFact-N10,20,40,60Unchan'!F61</f>
        <v>3696.2945087936532</v>
      </c>
      <c r="H61">
        <f>Portfolio!B$7*'CurrentFact-N10,20,40,60Unchan'!J61</f>
        <v>2064.4550337304254</v>
      </c>
      <c r="I61">
        <f t="shared" si="0"/>
        <v>96505.128553694783</v>
      </c>
      <c r="J61">
        <f t="shared" si="1"/>
        <v>0</v>
      </c>
    </row>
    <row r="62" spans="1:10">
      <c r="A62" s="1">
        <v>45555</v>
      </c>
      <c r="B62">
        <f>(3/(1+('CurrentFact-N10,20,40,60Unchan'!C62)/100)+103/POWER(1+('CurrentFact-N10,20,40,60Unchan'!D62)/100,2))*100</f>
        <v>9707.5857774288397</v>
      </c>
      <c r="C62">
        <f>(3/(1+('CurrentFact-N10,20,40,60Unchan'!C62+'CurrentFact-N10,20,40,60Unchan'!G62)/100)+103/POWER(1+('CurrentFact-N10,20,40,60Unchan'!D62+'CurrentFact-N10,20,40,60Unchan'!G62)/100,2))*100</f>
        <v>9614.9673582483465</v>
      </c>
      <c r="D62">
        <f>(3/(1+('CurrentFact-N10,20,40,60Unchan'!C62+'CurrentFact-N10,20,40,60Unchan'!H62)/100)+103/POWER(1+('CurrentFact-N10,20,40,60Unchan'!D62+'CurrentFact-N10,20,40,60Unchan'!H62)/100,2))*100</f>
        <v>9601.2395558122898</v>
      </c>
      <c r="E62">
        <f>(3/(1+('CurrentFact-N10,20,40,60Unchan'!C62+'CurrentFact-N10,20,40,60Unchan'!I62)/100)+103/POWER(1+('CurrentFact-N10,20,40,60Unchan'!D62+'CurrentFact-N10,20,40,60Unchan'!I62)/100,2))*100</f>
        <v>9676.6907857653259</v>
      </c>
      <c r="F62">
        <f>Portfolio!B$5*'CurrentFact-N10,20,40,60Unchan'!E62</f>
        <v>52143.895533915893</v>
      </c>
      <c r="G62">
        <f>Portfolio!B$6*'CurrentFact-N10,20,40,60Unchan'!F62</f>
        <v>3696.2945087936532</v>
      </c>
      <c r="H62">
        <f>Portfolio!B$7*'CurrentFact-N10,20,40,60Unchan'!J62</f>
        <v>2064.4550337304254</v>
      </c>
      <c r="I62">
        <f t="shared" si="0"/>
        <v>96505.128553694783</v>
      </c>
      <c r="J62">
        <f t="shared" si="1"/>
        <v>0</v>
      </c>
    </row>
    <row r="63" spans="1:10">
      <c r="A63" s="1">
        <v>45558</v>
      </c>
      <c r="B63">
        <f>(3/(1+('CurrentFact-N10,20,40,60Unchan'!C63)/100)+103/POWER(1+('CurrentFact-N10,20,40,60Unchan'!D63)/100,2))*100</f>
        <v>9707.5857774288397</v>
      </c>
      <c r="C63">
        <f>(3/(1+('CurrentFact-N10,20,40,60Unchan'!C63+'CurrentFact-N10,20,40,60Unchan'!G63)/100)+103/POWER(1+('CurrentFact-N10,20,40,60Unchan'!D63+'CurrentFact-N10,20,40,60Unchan'!G63)/100,2))*100</f>
        <v>9614.9673582483465</v>
      </c>
      <c r="D63">
        <f>(3/(1+('CurrentFact-N10,20,40,60Unchan'!C63+'CurrentFact-N10,20,40,60Unchan'!H63)/100)+103/POWER(1+('CurrentFact-N10,20,40,60Unchan'!D63+'CurrentFact-N10,20,40,60Unchan'!H63)/100,2))*100</f>
        <v>9601.2395558122898</v>
      </c>
      <c r="E63">
        <f>(3/(1+('CurrentFact-N10,20,40,60Unchan'!C63+'CurrentFact-N10,20,40,60Unchan'!I63)/100)+103/POWER(1+('CurrentFact-N10,20,40,60Unchan'!D63+'CurrentFact-N10,20,40,60Unchan'!I63)/100,2))*100</f>
        <v>9676.6907857653259</v>
      </c>
      <c r="F63">
        <f>Portfolio!B$5*'CurrentFact-N10,20,40,60Unchan'!E63</f>
        <v>52143.895533915893</v>
      </c>
      <c r="G63">
        <f>Portfolio!B$6*'CurrentFact-N10,20,40,60Unchan'!F63</f>
        <v>3696.2945087936532</v>
      </c>
      <c r="H63">
        <f>Portfolio!B$7*'CurrentFact-N10,20,40,60Unchan'!J63</f>
        <v>2064.4550337304254</v>
      </c>
      <c r="I63">
        <f t="shared" si="0"/>
        <v>96505.128553694783</v>
      </c>
      <c r="J63">
        <f t="shared" si="1"/>
        <v>0</v>
      </c>
    </row>
    <row r="64" spans="1:10">
      <c r="A64" s="1">
        <v>45559</v>
      </c>
      <c r="B64">
        <f>(3/(1+('CurrentFact-N10,20,40,60Unchan'!C64)/100)+103/POWER(1+('CurrentFact-N10,20,40,60Unchan'!D64)/100,2))*100</f>
        <v>9707.5857774288397</v>
      </c>
      <c r="C64">
        <f>(3/(1+('CurrentFact-N10,20,40,60Unchan'!C64+'CurrentFact-N10,20,40,60Unchan'!G64)/100)+103/POWER(1+('CurrentFact-N10,20,40,60Unchan'!D64+'CurrentFact-N10,20,40,60Unchan'!G64)/100,2))*100</f>
        <v>9614.9673582483465</v>
      </c>
      <c r="D64">
        <f>(3/(1+('CurrentFact-N10,20,40,60Unchan'!C64+'CurrentFact-N10,20,40,60Unchan'!H64)/100)+103/POWER(1+('CurrentFact-N10,20,40,60Unchan'!D64+'CurrentFact-N10,20,40,60Unchan'!H64)/100,2))*100</f>
        <v>9601.2395558122898</v>
      </c>
      <c r="E64">
        <f>(3/(1+('CurrentFact-N10,20,40,60Unchan'!C64+'CurrentFact-N10,20,40,60Unchan'!I64)/100)+103/POWER(1+('CurrentFact-N10,20,40,60Unchan'!D64+'CurrentFact-N10,20,40,60Unchan'!I64)/100,2))*100</f>
        <v>9676.6907857653259</v>
      </c>
      <c r="F64">
        <f>Portfolio!B$5*'CurrentFact-N10,20,40,60Unchan'!E64</f>
        <v>52143.895533915893</v>
      </c>
      <c r="G64">
        <f>Portfolio!B$6*'CurrentFact-N10,20,40,60Unchan'!F64</f>
        <v>3696.2945087936532</v>
      </c>
      <c r="H64">
        <f>Portfolio!B$7*'CurrentFact-N10,20,40,60Unchan'!J64</f>
        <v>2064.4550337304254</v>
      </c>
      <c r="I64">
        <f t="shared" si="0"/>
        <v>96505.128553694783</v>
      </c>
      <c r="J64">
        <f t="shared" si="1"/>
        <v>0</v>
      </c>
    </row>
    <row r="65" spans="1:10">
      <c r="A65" s="1">
        <v>45560</v>
      </c>
      <c r="B65">
        <f>(3/(1+('CurrentFact-N10,20,40,60Unchan'!C65)/100)+103/POWER(1+('CurrentFact-N10,20,40,60Unchan'!D65)/100,2))*100</f>
        <v>9707.5857774288397</v>
      </c>
      <c r="C65">
        <f>(3/(1+('CurrentFact-N10,20,40,60Unchan'!C65+'CurrentFact-N10,20,40,60Unchan'!G65)/100)+103/POWER(1+('CurrentFact-N10,20,40,60Unchan'!D65+'CurrentFact-N10,20,40,60Unchan'!G65)/100,2))*100</f>
        <v>9614.9673582483465</v>
      </c>
      <c r="D65">
        <f>(3/(1+('CurrentFact-N10,20,40,60Unchan'!C65+'CurrentFact-N10,20,40,60Unchan'!H65)/100)+103/POWER(1+('CurrentFact-N10,20,40,60Unchan'!D65+'CurrentFact-N10,20,40,60Unchan'!H65)/100,2))*100</f>
        <v>9601.2395558122898</v>
      </c>
      <c r="E65">
        <f>(3/(1+('CurrentFact-N10,20,40,60Unchan'!C65+'CurrentFact-N10,20,40,60Unchan'!I65)/100)+103/POWER(1+('CurrentFact-N10,20,40,60Unchan'!D65+'CurrentFact-N10,20,40,60Unchan'!I65)/100,2))*100</f>
        <v>9676.6907857653259</v>
      </c>
      <c r="F65">
        <f>Portfolio!B$5*'CurrentFact-N10,20,40,60Unchan'!E65</f>
        <v>52143.895533915893</v>
      </c>
      <c r="G65">
        <f>Portfolio!B$6*'CurrentFact-N10,20,40,60Unchan'!F65</f>
        <v>3696.2945087936532</v>
      </c>
      <c r="H65">
        <f>Portfolio!B$7*'CurrentFact-N10,20,40,60Unchan'!J65</f>
        <v>2064.4550337304254</v>
      </c>
      <c r="I65">
        <f t="shared" si="0"/>
        <v>96505.128553694783</v>
      </c>
      <c r="J65">
        <f t="shared" si="1"/>
        <v>0</v>
      </c>
    </row>
    <row r="66" spans="1:10">
      <c r="A66" s="1">
        <v>45561</v>
      </c>
      <c r="B66">
        <f>(3/(1+('CurrentFact-N10,20,40,60Unchan'!C66)/100)+103/POWER(1+('CurrentFact-N10,20,40,60Unchan'!D66)/100,2))*100</f>
        <v>9707.5857774288397</v>
      </c>
      <c r="C66">
        <f>(3/(1+('CurrentFact-N10,20,40,60Unchan'!C66+'CurrentFact-N10,20,40,60Unchan'!G66)/100)+103/POWER(1+('CurrentFact-N10,20,40,60Unchan'!D66+'CurrentFact-N10,20,40,60Unchan'!G66)/100,2))*100</f>
        <v>9614.9673582483465</v>
      </c>
      <c r="D66">
        <f>(3/(1+('CurrentFact-N10,20,40,60Unchan'!C66+'CurrentFact-N10,20,40,60Unchan'!H66)/100)+103/POWER(1+('CurrentFact-N10,20,40,60Unchan'!D66+'CurrentFact-N10,20,40,60Unchan'!H66)/100,2))*100</f>
        <v>9601.2395558122898</v>
      </c>
      <c r="E66">
        <f>(3/(1+('CurrentFact-N10,20,40,60Unchan'!C66+'CurrentFact-N10,20,40,60Unchan'!I66)/100)+103/POWER(1+('CurrentFact-N10,20,40,60Unchan'!D66+'CurrentFact-N10,20,40,60Unchan'!I66)/100,2))*100</f>
        <v>9676.6907857653259</v>
      </c>
      <c r="F66">
        <f>Portfolio!B$5*'CurrentFact-N10,20,40,60Unchan'!E66</f>
        <v>52143.895533915893</v>
      </c>
      <c r="G66">
        <f>Portfolio!B$6*'CurrentFact-N10,20,40,60Unchan'!F66</f>
        <v>3696.2945087936532</v>
      </c>
      <c r="H66">
        <f>Portfolio!B$7*'CurrentFact-N10,20,40,60Unchan'!J66</f>
        <v>2064.4550337304254</v>
      </c>
      <c r="I66">
        <f t="shared" si="0"/>
        <v>96505.128553694783</v>
      </c>
      <c r="J66">
        <f t="shared" si="1"/>
        <v>0</v>
      </c>
    </row>
    <row r="67" spans="1:10">
      <c r="A67" s="1">
        <v>45562</v>
      </c>
      <c r="B67">
        <f>(3/(1+('CurrentFact-N10,20,40,60Unchan'!C67)/100)+103/POWER(1+('CurrentFact-N10,20,40,60Unchan'!D67)/100,2))*100</f>
        <v>9707.5857774288397</v>
      </c>
      <c r="C67">
        <f>(3/(1+('CurrentFact-N10,20,40,60Unchan'!C67+'CurrentFact-N10,20,40,60Unchan'!G67)/100)+103/POWER(1+('CurrentFact-N10,20,40,60Unchan'!D67+'CurrentFact-N10,20,40,60Unchan'!G67)/100,2))*100</f>
        <v>9614.9673582483465</v>
      </c>
      <c r="D67">
        <f>(3/(1+('CurrentFact-N10,20,40,60Unchan'!C67+'CurrentFact-N10,20,40,60Unchan'!H67)/100)+103/POWER(1+('CurrentFact-N10,20,40,60Unchan'!D67+'CurrentFact-N10,20,40,60Unchan'!H67)/100,2))*100</f>
        <v>9601.2395558122898</v>
      </c>
      <c r="E67">
        <f>(3/(1+('CurrentFact-N10,20,40,60Unchan'!C67+'CurrentFact-N10,20,40,60Unchan'!I67)/100)+103/POWER(1+('CurrentFact-N10,20,40,60Unchan'!D67+'CurrentFact-N10,20,40,60Unchan'!I67)/100,2))*100</f>
        <v>9676.6907857653259</v>
      </c>
      <c r="F67">
        <f>Portfolio!B$5*'CurrentFact-N10,20,40,60Unchan'!E67</f>
        <v>52143.895533915893</v>
      </c>
      <c r="G67">
        <f>Portfolio!B$6*'CurrentFact-N10,20,40,60Unchan'!F67</f>
        <v>3696.2945087936532</v>
      </c>
      <c r="H67">
        <f>Portfolio!B$7*'CurrentFact-N10,20,40,60Unchan'!J67</f>
        <v>2064.4550337304254</v>
      </c>
      <c r="I67">
        <f t="shared" si="0"/>
        <v>96505.128553694783</v>
      </c>
      <c r="J67">
        <f t="shared" si="1"/>
        <v>0</v>
      </c>
    </row>
    <row r="68" spans="1:10">
      <c r="A68" s="1">
        <v>45565</v>
      </c>
      <c r="B68">
        <f>(3/(1+('CurrentFact-N10,20,40,60Unchan'!C68)/100)+103/POWER(1+('CurrentFact-N10,20,40,60Unchan'!D68)/100,2))*100</f>
        <v>9707.5857774288397</v>
      </c>
      <c r="C68">
        <f>(3/(1+('CurrentFact-N10,20,40,60Unchan'!C68+'CurrentFact-N10,20,40,60Unchan'!G68)/100)+103/POWER(1+('CurrentFact-N10,20,40,60Unchan'!D68+'CurrentFact-N10,20,40,60Unchan'!G68)/100,2))*100</f>
        <v>9614.9673582483465</v>
      </c>
      <c r="D68">
        <f>(3/(1+('CurrentFact-N10,20,40,60Unchan'!C68+'CurrentFact-N10,20,40,60Unchan'!H68)/100)+103/POWER(1+('CurrentFact-N10,20,40,60Unchan'!D68+'CurrentFact-N10,20,40,60Unchan'!H68)/100,2))*100</f>
        <v>9601.2395558122898</v>
      </c>
      <c r="E68">
        <f>(3/(1+('CurrentFact-N10,20,40,60Unchan'!C68+'CurrentFact-N10,20,40,60Unchan'!I68)/100)+103/POWER(1+('CurrentFact-N10,20,40,60Unchan'!D68+'CurrentFact-N10,20,40,60Unchan'!I68)/100,2))*100</f>
        <v>9676.6907857653259</v>
      </c>
      <c r="F68">
        <f>Portfolio!B$5*'CurrentFact-N10,20,40,60Unchan'!E68</f>
        <v>52143.895533915893</v>
      </c>
      <c r="G68">
        <f>Portfolio!B$6*'CurrentFact-N10,20,40,60Unchan'!F68</f>
        <v>3696.2945087936532</v>
      </c>
      <c r="H68">
        <f>Portfolio!B$7*'CurrentFact-N10,20,40,60Unchan'!J68</f>
        <v>2064.4550337304254</v>
      </c>
      <c r="I68">
        <f t="shared" ref="I68:I131" si="2">SUM(B68:H68)</f>
        <v>96505.128553694783</v>
      </c>
      <c r="J68">
        <f t="shared" si="1"/>
        <v>0</v>
      </c>
    </row>
    <row r="69" spans="1:10">
      <c r="A69" s="1">
        <v>45566</v>
      </c>
      <c r="B69">
        <f>(3/(1+('CurrentFact-N10,20,40,60Unchan'!C69)/100)+103/POWER(1+('CurrentFact-N10,20,40,60Unchan'!D69)/100,2))*100</f>
        <v>9707.5857774288397</v>
      </c>
      <c r="C69">
        <f>(3/(1+('CurrentFact-N10,20,40,60Unchan'!C69+'CurrentFact-N10,20,40,60Unchan'!G69)/100)+103/POWER(1+('CurrentFact-N10,20,40,60Unchan'!D69+'CurrentFact-N10,20,40,60Unchan'!G69)/100,2))*100</f>
        <v>9614.9673582483465</v>
      </c>
      <c r="D69">
        <f>(3/(1+('CurrentFact-N10,20,40,60Unchan'!C69+'CurrentFact-N10,20,40,60Unchan'!H69)/100)+103/POWER(1+('CurrentFact-N10,20,40,60Unchan'!D69+'CurrentFact-N10,20,40,60Unchan'!H69)/100,2))*100</f>
        <v>9601.2395558122898</v>
      </c>
      <c r="E69">
        <f>(3/(1+('CurrentFact-N10,20,40,60Unchan'!C69+'CurrentFact-N10,20,40,60Unchan'!I69)/100)+103/POWER(1+('CurrentFact-N10,20,40,60Unchan'!D69+'CurrentFact-N10,20,40,60Unchan'!I69)/100,2))*100</f>
        <v>9676.6907857653259</v>
      </c>
      <c r="F69">
        <f>Portfolio!B$5*'CurrentFact-N10,20,40,60Unchan'!E69</f>
        <v>52143.895533915893</v>
      </c>
      <c r="G69">
        <f>Portfolio!B$6*'CurrentFact-N10,20,40,60Unchan'!F69</f>
        <v>3696.2945087936532</v>
      </c>
      <c r="H69">
        <f>Portfolio!B$7*'CurrentFact-N10,20,40,60Unchan'!J69</f>
        <v>2064.4550337304254</v>
      </c>
      <c r="I69">
        <f t="shared" si="2"/>
        <v>96505.128553694783</v>
      </c>
      <c r="J69">
        <f t="shared" si="1"/>
        <v>0</v>
      </c>
    </row>
    <row r="70" spans="1:10">
      <c r="A70" s="1">
        <v>45567</v>
      </c>
      <c r="B70">
        <f>(3/(1+('CurrentFact-N10,20,40,60Unchan'!C70)/100)+103/POWER(1+('CurrentFact-N10,20,40,60Unchan'!D70)/100,2))*100</f>
        <v>9707.5857774288397</v>
      </c>
      <c r="C70">
        <f>(3/(1+('CurrentFact-N10,20,40,60Unchan'!C70+'CurrentFact-N10,20,40,60Unchan'!G70)/100)+103/POWER(1+('CurrentFact-N10,20,40,60Unchan'!D70+'CurrentFact-N10,20,40,60Unchan'!G70)/100,2))*100</f>
        <v>9614.9673582483465</v>
      </c>
      <c r="D70">
        <f>(3/(1+('CurrentFact-N10,20,40,60Unchan'!C70+'CurrentFact-N10,20,40,60Unchan'!H70)/100)+103/POWER(1+('CurrentFact-N10,20,40,60Unchan'!D70+'CurrentFact-N10,20,40,60Unchan'!H70)/100,2))*100</f>
        <v>9601.2395558122898</v>
      </c>
      <c r="E70">
        <f>(3/(1+('CurrentFact-N10,20,40,60Unchan'!C70+'CurrentFact-N10,20,40,60Unchan'!I70)/100)+103/POWER(1+('CurrentFact-N10,20,40,60Unchan'!D70+'CurrentFact-N10,20,40,60Unchan'!I70)/100,2))*100</f>
        <v>9676.6907857653259</v>
      </c>
      <c r="F70">
        <f>Portfolio!B$5*'CurrentFact-N10,20,40,60Unchan'!E70</f>
        <v>52143.895533915893</v>
      </c>
      <c r="G70">
        <f>Portfolio!B$6*'CurrentFact-N10,20,40,60Unchan'!F70</f>
        <v>3696.2945087936532</v>
      </c>
      <c r="H70">
        <f>Portfolio!B$7*'CurrentFact-N10,20,40,60Unchan'!J70</f>
        <v>2064.4550337304254</v>
      </c>
      <c r="I70">
        <f t="shared" si="2"/>
        <v>96505.128553694783</v>
      </c>
      <c r="J70">
        <f t="shared" si="1"/>
        <v>0</v>
      </c>
    </row>
    <row r="71" spans="1:10">
      <c r="A71" s="1">
        <v>45568</v>
      </c>
      <c r="B71">
        <f>(3/(1+('CurrentFact-N10,20,40,60Unchan'!C71)/100)+103/POWER(1+('CurrentFact-N10,20,40,60Unchan'!D71)/100,2))*100</f>
        <v>9707.5857774288397</v>
      </c>
      <c r="C71">
        <f>(3/(1+('CurrentFact-N10,20,40,60Unchan'!C71+'CurrentFact-N10,20,40,60Unchan'!G71)/100)+103/POWER(1+('CurrentFact-N10,20,40,60Unchan'!D71+'CurrentFact-N10,20,40,60Unchan'!G71)/100,2))*100</f>
        <v>9614.9673582483465</v>
      </c>
      <c r="D71">
        <f>(3/(1+('CurrentFact-N10,20,40,60Unchan'!C71+'CurrentFact-N10,20,40,60Unchan'!H71)/100)+103/POWER(1+('CurrentFact-N10,20,40,60Unchan'!D71+'CurrentFact-N10,20,40,60Unchan'!H71)/100,2))*100</f>
        <v>9601.2395558122898</v>
      </c>
      <c r="E71">
        <f>(3/(1+('CurrentFact-N10,20,40,60Unchan'!C71+'CurrentFact-N10,20,40,60Unchan'!I71)/100)+103/POWER(1+('CurrentFact-N10,20,40,60Unchan'!D71+'CurrentFact-N10,20,40,60Unchan'!I71)/100,2))*100</f>
        <v>9676.6907857653259</v>
      </c>
      <c r="F71">
        <f>Portfolio!B$5*'CurrentFact-N10,20,40,60Unchan'!E71</f>
        <v>52143.895533915893</v>
      </c>
      <c r="G71">
        <f>Portfolio!B$6*'CurrentFact-N10,20,40,60Unchan'!F71</f>
        <v>3696.2945087936532</v>
      </c>
      <c r="H71">
        <f>Portfolio!B$7*'CurrentFact-N10,20,40,60Unchan'!J71</f>
        <v>2064.4550337304254</v>
      </c>
      <c r="I71">
        <f t="shared" si="2"/>
        <v>96505.128553694783</v>
      </c>
      <c r="J71">
        <f t="shared" si="1"/>
        <v>0</v>
      </c>
    </row>
    <row r="72" spans="1:10">
      <c r="A72" s="1">
        <v>45569</v>
      </c>
      <c r="B72">
        <f>(3/(1+('CurrentFact-N10,20,40,60Unchan'!C72)/100)+103/POWER(1+('CurrentFact-N10,20,40,60Unchan'!D72)/100,2))*100</f>
        <v>9707.5857774288397</v>
      </c>
      <c r="C72">
        <f>(3/(1+('CurrentFact-N10,20,40,60Unchan'!C72+'CurrentFact-N10,20,40,60Unchan'!G72)/100)+103/POWER(1+('CurrentFact-N10,20,40,60Unchan'!D72+'CurrentFact-N10,20,40,60Unchan'!G72)/100,2))*100</f>
        <v>9614.9673582483465</v>
      </c>
      <c r="D72">
        <f>(3/(1+('CurrentFact-N10,20,40,60Unchan'!C72+'CurrentFact-N10,20,40,60Unchan'!H72)/100)+103/POWER(1+('CurrentFact-N10,20,40,60Unchan'!D72+'CurrentFact-N10,20,40,60Unchan'!H72)/100,2))*100</f>
        <v>9601.2395558122898</v>
      </c>
      <c r="E72">
        <f>(3/(1+('CurrentFact-N10,20,40,60Unchan'!C72+'CurrentFact-N10,20,40,60Unchan'!I72)/100)+103/POWER(1+('CurrentFact-N10,20,40,60Unchan'!D72+'CurrentFact-N10,20,40,60Unchan'!I72)/100,2))*100</f>
        <v>9676.6907857653259</v>
      </c>
      <c r="F72">
        <f>Portfolio!B$5*'CurrentFact-N10,20,40,60Unchan'!E72</f>
        <v>52143.895533915893</v>
      </c>
      <c r="G72">
        <f>Portfolio!B$6*'CurrentFact-N10,20,40,60Unchan'!F72</f>
        <v>3696.2945087936532</v>
      </c>
      <c r="H72">
        <f>Portfolio!B$7*'CurrentFact-N10,20,40,60Unchan'!J72</f>
        <v>2064.4550337304254</v>
      </c>
      <c r="I72">
        <f t="shared" si="2"/>
        <v>96505.128553694783</v>
      </c>
      <c r="J72">
        <f t="shared" si="1"/>
        <v>0</v>
      </c>
    </row>
    <row r="73" spans="1:10">
      <c r="A73" s="1">
        <v>45572</v>
      </c>
      <c r="B73">
        <f>(3/(1+('CurrentFact-N10,20,40,60Unchan'!C73)/100)+103/POWER(1+('CurrentFact-N10,20,40,60Unchan'!D73)/100,2))*100</f>
        <v>9707.5857774288397</v>
      </c>
      <c r="C73">
        <f>(3/(1+('CurrentFact-N10,20,40,60Unchan'!C73+'CurrentFact-N10,20,40,60Unchan'!G73)/100)+103/POWER(1+('CurrentFact-N10,20,40,60Unchan'!D73+'CurrentFact-N10,20,40,60Unchan'!G73)/100,2))*100</f>
        <v>9614.9673582483465</v>
      </c>
      <c r="D73">
        <f>(3/(1+('CurrentFact-N10,20,40,60Unchan'!C73+'CurrentFact-N10,20,40,60Unchan'!H73)/100)+103/POWER(1+('CurrentFact-N10,20,40,60Unchan'!D73+'CurrentFact-N10,20,40,60Unchan'!H73)/100,2))*100</f>
        <v>9601.2395558122898</v>
      </c>
      <c r="E73">
        <f>(3/(1+('CurrentFact-N10,20,40,60Unchan'!C73+'CurrentFact-N10,20,40,60Unchan'!I73)/100)+103/POWER(1+('CurrentFact-N10,20,40,60Unchan'!D73+'CurrentFact-N10,20,40,60Unchan'!I73)/100,2))*100</f>
        <v>9676.6907857653259</v>
      </c>
      <c r="F73">
        <f>Portfolio!B$5*'CurrentFact-N10,20,40,60Unchan'!E73</f>
        <v>52143.895533915893</v>
      </c>
      <c r="G73">
        <f>Portfolio!B$6*'CurrentFact-N10,20,40,60Unchan'!F73</f>
        <v>3696.2945087936532</v>
      </c>
      <c r="H73">
        <f>Portfolio!B$7*'CurrentFact-N10,20,40,60Unchan'!J73</f>
        <v>2064.4550337304254</v>
      </c>
      <c r="I73">
        <f t="shared" si="2"/>
        <v>96505.128553694783</v>
      </c>
      <c r="J73">
        <f t="shared" si="1"/>
        <v>0</v>
      </c>
    </row>
    <row r="74" spans="1:10">
      <c r="A74" s="1">
        <v>45573</v>
      </c>
      <c r="B74">
        <f>(3/(1+('CurrentFact-N10,20,40,60Unchan'!C74)/100)+103/POWER(1+('CurrentFact-N10,20,40,60Unchan'!D74)/100,2))*100</f>
        <v>9707.5857774288397</v>
      </c>
      <c r="C74">
        <f>(3/(1+('CurrentFact-N10,20,40,60Unchan'!C74+'CurrentFact-N10,20,40,60Unchan'!G74)/100)+103/POWER(1+('CurrentFact-N10,20,40,60Unchan'!D74+'CurrentFact-N10,20,40,60Unchan'!G74)/100,2))*100</f>
        <v>9614.9673582483465</v>
      </c>
      <c r="D74">
        <f>(3/(1+('CurrentFact-N10,20,40,60Unchan'!C74+'CurrentFact-N10,20,40,60Unchan'!H74)/100)+103/POWER(1+('CurrentFact-N10,20,40,60Unchan'!D74+'CurrentFact-N10,20,40,60Unchan'!H74)/100,2))*100</f>
        <v>9601.2395558122898</v>
      </c>
      <c r="E74">
        <f>(3/(1+('CurrentFact-N10,20,40,60Unchan'!C74+'CurrentFact-N10,20,40,60Unchan'!I74)/100)+103/POWER(1+('CurrentFact-N10,20,40,60Unchan'!D74+'CurrentFact-N10,20,40,60Unchan'!I74)/100,2))*100</f>
        <v>9676.6907857653259</v>
      </c>
      <c r="F74">
        <f>Portfolio!B$5*'CurrentFact-N10,20,40,60Unchan'!E74</f>
        <v>52143.895533915893</v>
      </c>
      <c r="G74">
        <f>Portfolio!B$6*'CurrentFact-N10,20,40,60Unchan'!F74</f>
        <v>3696.2945087936532</v>
      </c>
      <c r="H74">
        <f>Portfolio!B$7*'CurrentFact-N10,20,40,60Unchan'!J74</f>
        <v>2064.4550337304254</v>
      </c>
      <c r="I74">
        <f t="shared" si="2"/>
        <v>96505.128553694783</v>
      </c>
      <c r="J74">
        <f t="shared" si="1"/>
        <v>0</v>
      </c>
    </row>
    <row r="75" spans="1:10">
      <c r="A75" s="1">
        <v>45574</v>
      </c>
      <c r="B75">
        <f>(3/(1+('CurrentFact-N10,20,40,60Unchan'!C75)/100)+103/POWER(1+('CurrentFact-N10,20,40,60Unchan'!D75)/100,2))*100</f>
        <v>9707.5857774288397</v>
      </c>
      <c r="C75">
        <f>(3/(1+('CurrentFact-N10,20,40,60Unchan'!C75+'CurrentFact-N10,20,40,60Unchan'!G75)/100)+103/POWER(1+('CurrentFact-N10,20,40,60Unchan'!D75+'CurrentFact-N10,20,40,60Unchan'!G75)/100,2))*100</f>
        <v>9614.9673582483465</v>
      </c>
      <c r="D75">
        <f>(3/(1+('CurrentFact-N10,20,40,60Unchan'!C75+'CurrentFact-N10,20,40,60Unchan'!H75)/100)+103/POWER(1+('CurrentFact-N10,20,40,60Unchan'!D75+'CurrentFact-N10,20,40,60Unchan'!H75)/100,2))*100</f>
        <v>9601.2395558122898</v>
      </c>
      <c r="E75">
        <f>(3/(1+('CurrentFact-N10,20,40,60Unchan'!C75+'CurrentFact-N10,20,40,60Unchan'!I75)/100)+103/POWER(1+('CurrentFact-N10,20,40,60Unchan'!D75+'CurrentFact-N10,20,40,60Unchan'!I75)/100,2))*100</f>
        <v>9676.6907857653259</v>
      </c>
      <c r="F75">
        <f>Portfolio!B$5*'CurrentFact-N10,20,40,60Unchan'!E75</f>
        <v>52143.895533915893</v>
      </c>
      <c r="G75">
        <f>Portfolio!B$6*'CurrentFact-N10,20,40,60Unchan'!F75</f>
        <v>3696.2945087936532</v>
      </c>
      <c r="H75">
        <f>Portfolio!B$7*'CurrentFact-N10,20,40,60Unchan'!J75</f>
        <v>2064.4550337304254</v>
      </c>
      <c r="I75">
        <f t="shared" si="2"/>
        <v>96505.128553694783</v>
      </c>
      <c r="J75">
        <f t="shared" si="1"/>
        <v>0</v>
      </c>
    </row>
    <row r="76" spans="1:10">
      <c r="A76" s="1">
        <v>45575</v>
      </c>
      <c r="B76">
        <f>(3/(1+('CurrentFact-N10,20,40,60Unchan'!C76)/100)+103/POWER(1+('CurrentFact-N10,20,40,60Unchan'!D76)/100,2))*100</f>
        <v>9707.5857774288397</v>
      </c>
      <c r="C76">
        <f>(3/(1+('CurrentFact-N10,20,40,60Unchan'!C76+'CurrentFact-N10,20,40,60Unchan'!G76)/100)+103/POWER(1+('CurrentFact-N10,20,40,60Unchan'!D76+'CurrentFact-N10,20,40,60Unchan'!G76)/100,2))*100</f>
        <v>9614.9673582483465</v>
      </c>
      <c r="D76">
        <f>(3/(1+('CurrentFact-N10,20,40,60Unchan'!C76+'CurrentFact-N10,20,40,60Unchan'!H76)/100)+103/POWER(1+('CurrentFact-N10,20,40,60Unchan'!D76+'CurrentFact-N10,20,40,60Unchan'!H76)/100,2))*100</f>
        <v>9601.2395558122898</v>
      </c>
      <c r="E76">
        <f>(3/(1+('CurrentFact-N10,20,40,60Unchan'!C76+'CurrentFact-N10,20,40,60Unchan'!I76)/100)+103/POWER(1+('CurrentFact-N10,20,40,60Unchan'!D76+'CurrentFact-N10,20,40,60Unchan'!I76)/100,2))*100</f>
        <v>9676.6907857653259</v>
      </c>
      <c r="F76">
        <f>Portfolio!B$5*'CurrentFact-N10,20,40,60Unchan'!E76</f>
        <v>52143.895533915893</v>
      </c>
      <c r="G76">
        <f>Portfolio!B$6*'CurrentFact-N10,20,40,60Unchan'!F76</f>
        <v>3696.2945087936532</v>
      </c>
      <c r="H76">
        <f>Portfolio!B$7*'CurrentFact-N10,20,40,60Unchan'!J76</f>
        <v>2064.4550337304254</v>
      </c>
      <c r="I76">
        <f t="shared" si="2"/>
        <v>96505.128553694783</v>
      </c>
      <c r="J76">
        <f t="shared" si="1"/>
        <v>0</v>
      </c>
    </row>
    <row r="77" spans="1:10">
      <c r="A77" s="1">
        <v>45576</v>
      </c>
      <c r="B77">
        <f>(3/(1+('CurrentFact-N10,20,40,60Unchan'!C77)/100)+103/POWER(1+('CurrentFact-N10,20,40,60Unchan'!D77)/100,2))*100</f>
        <v>9707.5857774288397</v>
      </c>
      <c r="C77">
        <f>(3/(1+('CurrentFact-N10,20,40,60Unchan'!C77+'CurrentFact-N10,20,40,60Unchan'!G77)/100)+103/POWER(1+('CurrentFact-N10,20,40,60Unchan'!D77+'CurrentFact-N10,20,40,60Unchan'!G77)/100,2))*100</f>
        <v>9614.9673582483465</v>
      </c>
      <c r="D77">
        <f>(3/(1+('CurrentFact-N10,20,40,60Unchan'!C77+'CurrentFact-N10,20,40,60Unchan'!H77)/100)+103/POWER(1+('CurrentFact-N10,20,40,60Unchan'!D77+'CurrentFact-N10,20,40,60Unchan'!H77)/100,2))*100</f>
        <v>9601.2395558122898</v>
      </c>
      <c r="E77">
        <f>(3/(1+('CurrentFact-N10,20,40,60Unchan'!C77+'CurrentFact-N10,20,40,60Unchan'!I77)/100)+103/POWER(1+('CurrentFact-N10,20,40,60Unchan'!D77+'CurrentFact-N10,20,40,60Unchan'!I77)/100,2))*100</f>
        <v>9676.6907857653259</v>
      </c>
      <c r="F77">
        <f>Portfolio!B$5*'CurrentFact-N10,20,40,60Unchan'!E77</f>
        <v>52143.895533915893</v>
      </c>
      <c r="G77">
        <f>Portfolio!B$6*'CurrentFact-N10,20,40,60Unchan'!F77</f>
        <v>3696.2945087936532</v>
      </c>
      <c r="H77">
        <f>Portfolio!B$7*'CurrentFact-N10,20,40,60Unchan'!J77</f>
        <v>2064.4550337304254</v>
      </c>
      <c r="I77">
        <f t="shared" si="2"/>
        <v>96505.128553694783</v>
      </c>
      <c r="J77">
        <f t="shared" si="1"/>
        <v>0</v>
      </c>
    </row>
    <row r="78" spans="1:10">
      <c r="A78" s="1">
        <v>45579</v>
      </c>
      <c r="B78">
        <f>(3/(1+('CurrentFact-N10,20,40,60Unchan'!C78)/100)+103/POWER(1+('CurrentFact-N10,20,40,60Unchan'!D78)/100,2))*100</f>
        <v>9707.5857774288397</v>
      </c>
      <c r="C78">
        <f>(3/(1+('CurrentFact-N10,20,40,60Unchan'!C78+'CurrentFact-N10,20,40,60Unchan'!G78)/100)+103/POWER(1+('CurrentFact-N10,20,40,60Unchan'!D78+'CurrentFact-N10,20,40,60Unchan'!G78)/100,2))*100</f>
        <v>9614.9673582483465</v>
      </c>
      <c r="D78">
        <f>(3/(1+('CurrentFact-N10,20,40,60Unchan'!C78+'CurrentFact-N10,20,40,60Unchan'!H78)/100)+103/POWER(1+('CurrentFact-N10,20,40,60Unchan'!D78+'CurrentFact-N10,20,40,60Unchan'!H78)/100,2))*100</f>
        <v>9601.2395558122898</v>
      </c>
      <c r="E78">
        <f>(3/(1+('CurrentFact-N10,20,40,60Unchan'!C78+'CurrentFact-N10,20,40,60Unchan'!I78)/100)+103/POWER(1+('CurrentFact-N10,20,40,60Unchan'!D78+'CurrentFact-N10,20,40,60Unchan'!I78)/100,2))*100</f>
        <v>9676.6907857653259</v>
      </c>
      <c r="F78">
        <f>Portfolio!B$5*'CurrentFact-N10,20,40,60Unchan'!E78</f>
        <v>52143.895533915893</v>
      </c>
      <c r="G78">
        <f>Portfolio!B$6*'CurrentFact-N10,20,40,60Unchan'!F78</f>
        <v>3696.2945087936532</v>
      </c>
      <c r="H78">
        <f>Portfolio!B$7*'CurrentFact-N10,20,40,60Unchan'!J78</f>
        <v>2064.4550337304254</v>
      </c>
      <c r="I78">
        <f t="shared" si="2"/>
        <v>96505.128553694783</v>
      </c>
      <c r="J78">
        <f t="shared" ref="J78:J141" si="3">I78-I68</f>
        <v>0</v>
      </c>
    </row>
    <row r="79" spans="1:10">
      <c r="A79" s="1">
        <v>45580</v>
      </c>
      <c r="B79">
        <f>(3/(1+('CurrentFact-N10,20,40,60Unchan'!C79)/100)+103/POWER(1+('CurrentFact-N10,20,40,60Unchan'!D79)/100,2))*100</f>
        <v>9707.5857774288397</v>
      </c>
      <c r="C79">
        <f>(3/(1+('CurrentFact-N10,20,40,60Unchan'!C79+'CurrentFact-N10,20,40,60Unchan'!G79)/100)+103/POWER(1+('CurrentFact-N10,20,40,60Unchan'!D79+'CurrentFact-N10,20,40,60Unchan'!G79)/100,2))*100</f>
        <v>9614.9673582483465</v>
      </c>
      <c r="D79">
        <f>(3/(1+('CurrentFact-N10,20,40,60Unchan'!C79+'CurrentFact-N10,20,40,60Unchan'!H79)/100)+103/POWER(1+('CurrentFact-N10,20,40,60Unchan'!D79+'CurrentFact-N10,20,40,60Unchan'!H79)/100,2))*100</f>
        <v>9601.2395558122898</v>
      </c>
      <c r="E79">
        <f>(3/(1+('CurrentFact-N10,20,40,60Unchan'!C79+'CurrentFact-N10,20,40,60Unchan'!I79)/100)+103/POWER(1+('CurrentFact-N10,20,40,60Unchan'!D79+'CurrentFact-N10,20,40,60Unchan'!I79)/100,2))*100</f>
        <v>9676.6907857653259</v>
      </c>
      <c r="F79">
        <f>Portfolio!B$5*'CurrentFact-N10,20,40,60Unchan'!E79</f>
        <v>52143.895533915893</v>
      </c>
      <c r="G79">
        <f>Portfolio!B$6*'CurrentFact-N10,20,40,60Unchan'!F79</f>
        <v>3696.2945087936532</v>
      </c>
      <c r="H79">
        <f>Portfolio!B$7*'CurrentFact-N10,20,40,60Unchan'!J79</f>
        <v>2064.4550337304254</v>
      </c>
      <c r="I79">
        <f t="shared" si="2"/>
        <v>96505.128553694783</v>
      </c>
      <c r="J79">
        <f t="shared" si="3"/>
        <v>0</v>
      </c>
    </row>
    <row r="80" spans="1:10">
      <c r="A80" s="1">
        <v>45581</v>
      </c>
      <c r="B80">
        <f>(3/(1+('CurrentFact-N10,20,40,60Unchan'!C80)/100)+103/POWER(1+('CurrentFact-N10,20,40,60Unchan'!D80)/100,2))*100</f>
        <v>9707.5857774288397</v>
      </c>
      <c r="C80">
        <f>(3/(1+('CurrentFact-N10,20,40,60Unchan'!C80+'CurrentFact-N10,20,40,60Unchan'!G80)/100)+103/POWER(1+('CurrentFact-N10,20,40,60Unchan'!D80+'CurrentFact-N10,20,40,60Unchan'!G80)/100,2))*100</f>
        <v>9614.9673582483465</v>
      </c>
      <c r="D80">
        <f>(3/(1+('CurrentFact-N10,20,40,60Unchan'!C80+'CurrentFact-N10,20,40,60Unchan'!H80)/100)+103/POWER(1+('CurrentFact-N10,20,40,60Unchan'!D80+'CurrentFact-N10,20,40,60Unchan'!H80)/100,2))*100</f>
        <v>9601.2395558122898</v>
      </c>
      <c r="E80">
        <f>(3/(1+('CurrentFact-N10,20,40,60Unchan'!C80+'CurrentFact-N10,20,40,60Unchan'!I80)/100)+103/POWER(1+('CurrentFact-N10,20,40,60Unchan'!D80+'CurrentFact-N10,20,40,60Unchan'!I80)/100,2))*100</f>
        <v>9676.6907857653259</v>
      </c>
      <c r="F80">
        <f>Portfolio!B$5*'CurrentFact-N10,20,40,60Unchan'!E80</f>
        <v>52143.895533915893</v>
      </c>
      <c r="G80">
        <f>Portfolio!B$6*'CurrentFact-N10,20,40,60Unchan'!F80</f>
        <v>3696.2945087936532</v>
      </c>
      <c r="H80">
        <f>Portfolio!B$7*'CurrentFact-N10,20,40,60Unchan'!J80</f>
        <v>2064.4550337304254</v>
      </c>
      <c r="I80">
        <f t="shared" si="2"/>
        <v>96505.128553694783</v>
      </c>
      <c r="J80">
        <f t="shared" si="3"/>
        <v>0</v>
      </c>
    </row>
    <row r="81" spans="1:10">
      <c r="A81" s="1">
        <v>45582</v>
      </c>
      <c r="B81">
        <f>(3/(1+('CurrentFact-N10,20,40,60Unchan'!C81)/100)+103/POWER(1+('CurrentFact-N10,20,40,60Unchan'!D81)/100,2))*100</f>
        <v>9707.5857774288397</v>
      </c>
      <c r="C81">
        <f>(3/(1+('CurrentFact-N10,20,40,60Unchan'!C81+'CurrentFact-N10,20,40,60Unchan'!G81)/100)+103/POWER(1+('CurrentFact-N10,20,40,60Unchan'!D81+'CurrentFact-N10,20,40,60Unchan'!G81)/100,2))*100</f>
        <v>9614.9673582483465</v>
      </c>
      <c r="D81">
        <f>(3/(1+('CurrentFact-N10,20,40,60Unchan'!C81+'CurrentFact-N10,20,40,60Unchan'!H81)/100)+103/POWER(1+('CurrentFact-N10,20,40,60Unchan'!D81+'CurrentFact-N10,20,40,60Unchan'!H81)/100,2))*100</f>
        <v>9601.2395558122898</v>
      </c>
      <c r="E81">
        <f>(3/(1+('CurrentFact-N10,20,40,60Unchan'!C81+'CurrentFact-N10,20,40,60Unchan'!I81)/100)+103/POWER(1+('CurrentFact-N10,20,40,60Unchan'!D81+'CurrentFact-N10,20,40,60Unchan'!I81)/100,2))*100</f>
        <v>9676.6907857653259</v>
      </c>
      <c r="F81">
        <f>Portfolio!B$5*'CurrentFact-N10,20,40,60Unchan'!E81</f>
        <v>52143.895533915893</v>
      </c>
      <c r="G81">
        <f>Portfolio!B$6*'CurrentFact-N10,20,40,60Unchan'!F81</f>
        <v>3696.2945087936532</v>
      </c>
      <c r="H81">
        <f>Portfolio!B$7*'CurrentFact-N10,20,40,60Unchan'!J81</f>
        <v>2064.4550337304254</v>
      </c>
      <c r="I81">
        <f t="shared" si="2"/>
        <v>96505.128553694783</v>
      </c>
      <c r="J81">
        <f t="shared" si="3"/>
        <v>0</v>
      </c>
    </row>
    <row r="82" spans="1:10">
      <c r="A82" s="1">
        <v>45583</v>
      </c>
      <c r="B82">
        <f>(3/(1+('CurrentFact-N10,20,40,60Unchan'!C82)/100)+103/POWER(1+('CurrentFact-N10,20,40,60Unchan'!D82)/100,2))*100</f>
        <v>9707.5857774288397</v>
      </c>
      <c r="C82">
        <f>(3/(1+('CurrentFact-N10,20,40,60Unchan'!C82+'CurrentFact-N10,20,40,60Unchan'!G82)/100)+103/POWER(1+('CurrentFact-N10,20,40,60Unchan'!D82+'CurrentFact-N10,20,40,60Unchan'!G82)/100,2))*100</f>
        <v>9614.9673582483465</v>
      </c>
      <c r="D82">
        <f>(3/(1+('CurrentFact-N10,20,40,60Unchan'!C82+'CurrentFact-N10,20,40,60Unchan'!H82)/100)+103/POWER(1+('CurrentFact-N10,20,40,60Unchan'!D82+'CurrentFact-N10,20,40,60Unchan'!H82)/100,2))*100</f>
        <v>9601.2395558122898</v>
      </c>
      <c r="E82">
        <f>(3/(1+('CurrentFact-N10,20,40,60Unchan'!C82+'CurrentFact-N10,20,40,60Unchan'!I82)/100)+103/POWER(1+('CurrentFact-N10,20,40,60Unchan'!D82+'CurrentFact-N10,20,40,60Unchan'!I82)/100,2))*100</f>
        <v>9676.6907857653259</v>
      </c>
      <c r="F82">
        <f>Portfolio!B$5*'CurrentFact-N10,20,40,60Unchan'!E82</f>
        <v>52143.895533915893</v>
      </c>
      <c r="G82">
        <f>Portfolio!B$6*'CurrentFact-N10,20,40,60Unchan'!F82</f>
        <v>3696.2945087936532</v>
      </c>
      <c r="H82">
        <f>Portfolio!B$7*'CurrentFact-N10,20,40,60Unchan'!J82</f>
        <v>2064.4550337304254</v>
      </c>
      <c r="I82">
        <f t="shared" si="2"/>
        <v>96505.128553694783</v>
      </c>
      <c r="J82">
        <f t="shared" si="3"/>
        <v>0</v>
      </c>
    </row>
    <row r="83" spans="1:10">
      <c r="A83" s="1">
        <v>45586</v>
      </c>
      <c r="B83">
        <f>(3/(1+('CurrentFact-N10,20,40,60Unchan'!C83)/100)+103/POWER(1+('CurrentFact-N10,20,40,60Unchan'!D83)/100,2))*100</f>
        <v>9707.5857774288397</v>
      </c>
      <c r="C83">
        <f>(3/(1+('CurrentFact-N10,20,40,60Unchan'!C83+'CurrentFact-N10,20,40,60Unchan'!G83)/100)+103/POWER(1+('CurrentFact-N10,20,40,60Unchan'!D83+'CurrentFact-N10,20,40,60Unchan'!G83)/100,2))*100</f>
        <v>9614.9673582483465</v>
      </c>
      <c r="D83">
        <f>(3/(1+('CurrentFact-N10,20,40,60Unchan'!C83+'CurrentFact-N10,20,40,60Unchan'!H83)/100)+103/POWER(1+('CurrentFact-N10,20,40,60Unchan'!D83+'CurrentFact-N10,20,40,60Unchan'!H83)/100,2))*100</f>
        <v>9601.2395558122898</v>
      </c>
      <c r="E83">
        <f>(3/(1+('CurrentFact-N10,20,40,60Unchan'!C83+'CurrentFact-N10,20,40,60Unchan'!I83)/100)+103/POWER(1+('CurrentFact-N10,20,40,60Unchan'!D83+'CurrentFact-N10,20,40,60Unchan'!I83)/100,2))*100</f>
        <v>9676.6907857653259</v>
      </c>
      <c r="F83">
        <f>Portfolio!B$5*'CurrentFact-N10,20,40,60Unchan'!E83</f>
        <v>52143.895533915893</v>
      </c>
      <c r="G83">
        <f>Portfolio!B$6*'CurrentFact-N10,20,40,60Unchan'!F83</f>
        <v>3696.2945087936532</v>
      </c>
      <c r="H83">
        <f>Portfolio!B$7*'CurrentFact-N10,20,40,60Unchan'!J83</f>
        <v>2064.4550337304254</v>
      </c>
      <c r="I83">
        <f t="shared" si="2"/>
        <v>96505.128553694783</v>
      </c>
      <c r="J83">
        <f t="shared" si="3"/>
        <v>0</v>
      </c>
    </row>
    <row r="84" spans="1:10">
      <c r="A84" s="1">
        <v>45587</v>
      </c>
      <c r="B84">
        <f>(3/(1+('CurrentFact-N10,20,40,60Unchan'!C84)/100)+103/POWER(1+('CurrentFact-N10,20,40,60Unchan'!D84)/100,2))*100</f>
        <v>9707.5857774288397</v>
      </c>
      <c r="C84">
        <f>(3/(1+('CurrentFact-N10,20,40,60Unchan'!C84+'CurrentFact-N10,20,40,60Unchan'!G84)/100)+103/POWER(1+('CurrentFact-N10,20,40,60Unchan'!D84+'CurrentFact-N10,20,40,60Unchan'!G84)/100,2))*100</f>
        <v>9614.9673582483465</v>
      </c>
      <c r="D84">
        <f>(3/(1+('CurrentFact-N10,20,40,60Unchan'!C84+'CurrentFact-N10,20,40,60Unchan'!H84)/100)+103/POWER(1+('CurrentFact-N10,20,40,60Unchan'!D84+'CurrentFact-N10,20,40,60Unchan'!H84)/100,2))*100</f>
        <v>9601.2395558122898</v>
      </c>
      <c r="E84">
        <f>(3/(1+('CurrentFact-N10,20,40,60Unchan'!C84+'CurrentFact-N10,20,40,60Unchan'!I84)/100)+103/POWER(1+('CurrentFact-N10,20,40,60Unchan'!D84+'CurrentFact-N10,20,40,60Unchan'!I84)/100,2))*100</f>
        <v>9676.6907857653259</v>
      </c>
      <c r="F84">
        <f>Portfolio!B$5*'CurrentFact-N10,20,40,60Unchan'!E84</f>
        <v>52143.895533915893</v>
      </c>
      <c r="G84">
        <f>Portfolio!B$6*'CurrentFact-N10,20,40,60Unchan'!F84</f>
        <v>3696.2945087936532</v>
      </c>
      <c r="H84">
        <f>Portfolio!B$7*'CurrentFact-N10,20,40,60Unchan'!J84</f>
        <v>2064.4550337304254</v>
      </c>
      <c r="I84">
        <f t="shared" si="2"/>
        <v>96505.128553694783</v>
      </c>
      <c r="J84">
        <f t="shared" si="3"/>
        <v>0</v>
      </c>
    </row>
    <row r="85" spans="1:10">
      <c r="A85" s="1">
        <v>45588</v>
      </c>
      <c r="B85">
        <f>(3/(1+('CurrentFact-N10,20,40,60Unchan'!C85)/100)+103/POWER(1+('CurrentFact-N10,20,40,60Unchan'!D85)/100,2))*100</f>
        <v>9707.5857774288397</v>
      </c>
      <c r="C85">
        <f>(3/(1+('CurrentFact-N10,20,40,60Unchan'!C85+'CurrentFact-N10,20,40,60Unchan'!G85)/100)+103/POWER(1+('CurrentFact-N10,20,40,60Unchan'!D85+'CurrentFact-N10,20,40,60Unchan'!G85)/100,2))*100</f>
        <v>9614.9673582483465</v>
      </c>
      <c r="D85">
        <f>(3/(1+('CurrentFact-N10,20,40,60Unchan'!C85+'CurrentFact-N10,20,40,60Unchan'!H85)/100)+103/POWER(1+('CurrentFact-N10,20,40,60Unchan'!D85+'CurrentFact-N10,20,40,60Unchan'!H85)/100,2))*100</f>
        <v>9601.2395558122898</v>
      </c>
      <c r="E85">
        <f>(3/(1+('CurrentFact-N10,20,40,60Unchan'!C85+'CurrentFact-N10,20,40,60Unchan'!I85)/100)+103/POWER(1+('CurrentFact-N10,20,40,60Unchan'!D85+'CurrentFact-N10,20,40,60Unchan'!I85)/100,2))*100</f>
        <v>9676.6907857653259</v>
      </c>
      <c r="F85">
        <f>Portfolio!B$5*'CurrentFact-N10,20,40,60Unchan'!E85</f>
        <v>52143.895533915893</v>
      </c>
      <c r="G85">
        <f>Portfolio!B$6*'CurrentFact-N10,20,40,60Unchan'!F85</f>
        <v>3696.2945087936532</v>
      </c>
      <c r="H85">
        <f>Portfolio!B$7*'CurrentFact-N10,20,40,60Unchan'!J85</f>
        <v>2064.4550337304254</v>
      </c>
      <c r="I85">
        <f t="shared" si="2"/>
        <v>96505.128553694783</v>
      </c>
      <c r="J85">
        <f t="shared" si="3"/>
        <v>0</v>
      </c>
    </row>
    <row r="86" spans="1:10">
      <c r="A86" s="1">
        <v>45589</v>
      </c>
      <c r="B86">
        <f>(3/(1+('CurrentFact-N10,20,40,60Unchan'!C86)/100)+103/POWER(1+('CurrentFact-N10,20,40,60Unchan'!D86)/100,2))*100</f>
        <v>9707.5857774288397</v>
      </c>
      <c r="C86">
        <f>(3/(1+('CurrentFact-N10,20,40,60Unchan'!C86+'CurrentFact-N10,20,40,60Unchan'!G86)/100)+103/POWER(1+('CurrentFact-N10,20,40,60Unchan'!D86+'CurrentFact-N10,20,40,60Unchan'!G86)/100,2))*100</f>
        <v>9614.9673582483465</v>
      </c>
      <c r="D86">
        <f>(3/(1+('CurrentFact-N10,20,40,60Unchan'!C86+'CurrentFact-N10,20,40,60Unchan'!H86)/100)+103/POWER(1+('CurrentFact-N10,20,40,60Unchan'!D86+'CurrentFact-N10,20,40,60Unchan'!H86)/100,2))*100</f>
        <v>9601.2395558122898</v>
      </c>
      <c r="E86">
        <f>(3/(1+('CurrentFact-N10,20,40,60Unchan'!C86+'CurrentFact-N10,20,40,60Unchan'!I86)/100)+103/POWER(1+('CurrentFact-N10,20,40,60Unchan'!D86+'CurrentFact-N10,20,40,60Unchan'!I86)/100,2))*100</f>
        <v>9676.6907857653259</v>
      </c>
      <c r="F86">
        <f>Portfolio!B$5*'CurrentFact-N10,20,40,60Unchan'!E86</f>
        <v>52143.895533915893</v>
      </c>
      <c r="G86">
        <f>Portfolio!B$6*'CurrentFact-N10,20,40,60Unchan'!F86</f>
        <v>3696.2945087936532</v>
      </c>
      <c r="H86">
        <f>Portfolio!B$7*'CurrentFact-N10,20,40,60Unchan'!J86</f>
        <v>2064.4550337304254</v>
      </c>
      <c r="I86">
        <f t="shared" si="2"/>
        <v>96505.128553694783</v>
      </c>
      <c r="J86">
        <f t="shared" si="3"/>
        <v>0</v>
      </c>
    </row>
    <row r="87" spans="1:10">
      <c r="A87" s="1">
        <v>45590</v>
      </c>
      <c r="B87">
        <f>(3/(1+('CurrentFact-N10,20,40,60Unchan'!C87)/100)+103/POWER(1+('CurrentFact-N10,20,40,60Unchan'!D87)/100,2))*100</f>
        <v>9707.5857774288397</v>
      </c>
      <c r="C87">
        <f>(3/(1+('CurrentFact-N10,20,40,60Unchan'!C87+'CurrentFact-N10,20,40,60Unchan'!G87)/100)+103/POWER(1+('CurrentFact-N10,20,40,60Unchan'!D87+'CurrentFact-N10,20,40,60Unchan'!G87)/100,2))*100</f>
        <v>9614.9673582483465</v>
      </c>
      <c r="D87">
        <f>(3/(1+('CurrentFact-N10,20,40,60Unchan'!C87+'CurrentFact-N10,20,40,60Unchan'!H87)/100)+103/POWER(1+('CurrentFact-N10,20,40,60Unchan'!D87+'CurrentFact-N10,20,40,60Unchan'!H87)/100,2))*100</f>
        <v>9601.2395558122898</v>
      </c>
      <c r="E87">
        <f>(3/(1+('CurrentFact-N10,20,40,60Unchan'!C87+'CurrentFact-N10,20,40,60Unchan'!I87)/100)+103/POWER(1+('CurrentFact-N10,20,40,60Unchan'!D87+'CurrentFact-N10,20,40,60Unchan'!I87)/100,2))*100</f>
        <v>9676.6907857653259</v>
      </c>
      <c r="F87">
        <f>Portfolio!B$5*'CurrentFact-N10,20,40,60Unchan'!E87</f>
        <v>52143.895533915893</v>
      </c>
      <c r="G87">
        <f>Portfolio!B$6*'CurrentFact-N10,20,40,60Unchan'!F87</f>
        <v>3696.2945087936532</v>
      </c>
      <c r="H87">
        <f>Portfolio!B$7*'CurrentFact-N10,20,40,60Unchan'!J87</f>
        <v>2064.4550337304254</v>
      </c>
      <c r="I87">
        <f t="shared" si="2"/>
        <v>96505.128553694783</v>
      </c>
      <c r="J87">
        <f t="shared" si="3"/>
        <v>0</v>
      </c>
    </row>
    <row r="88" spans="1:10">
      <c r="A88" s="1">
        <v>45593</v>
      </c>
      <c r="B88">
        <f>(3/(1+('CurrentFact-N10,20,40,60Unchan'!C88)/100)+103/POWER(1+('CurrentFact-N10,20,40,60Unchan'!D88)/100,2))*100</f>
        <v>9707.5857774288397</v>
      </c>
      <c r="C88">
        <f>(3/(1+('CurrentFact-N10,20,40,60Unchan'!C88+'CurrentFact-N10,20,40,60Unchan'!G88)/100)+103/POWER(1+('CurrentFact-N10,20,40,60Unchan'!D88+'CurrentFact-N10,20,40,60Unchan'!G88)/100,2))*100</f>
        <v>9614.9673582483465</v>
      </c>
      <c r="D88">
        <f>(3/(1+('CurrentFact-N10,20,40,60Unchan'!C88+'CurrentFact-N10,20,40,60Unchan'!H88)/100)+103/POWER(1+('CurrentFact-N10,20,40,60Unchan'!D88+'CurrentFact-N10,20,40,60Unchan'!H88)/100,2))*100</f>
        <v>9601.2395558122898</v>
      </c>
      <c r="E88">
        <f>(3/(1+('CurrentFact-N10,20,40,60Unchan'!C88+'CurrentFact-N10,20,40,60Unchan'!I88)/100)+103/POWER(1+('CurrentFact-N10,20,40,60Unchan'!D88+'CurrentFact-N10,20,40,60Unchan'!I88)/100,2))*100</f>
        <v>9676.6907857653259</v>
      </c>
      <c r="F88">
        <f>Portfolio!B$5*'CurrentFact-N10,20,40,60Unchan'!E88</f>
        <v>52143.895533915893</v>
      </c>
      <c r="G88">
        <f>Portfolio!B$6*'CurrentFact-N10,20,40,60Unchan'!F88</f>
        <v>3696.2945087936532</v>
      </c>
      <c r="H88">
        <f>Portfolio!B$7*'CurrentFact-N10,20,40,60Unchan'!J88</f>
        <v>2064.4550337304254</v>
      </c>
      <c r="I88">
        <f t="shared" si="2"/>
        <v>96505.128553694783</v>
      </c>
      <c r="J88">
        <f t="shared" si="3"/>
        <v>0</v>
      </c>
    </row>
    <row r="89" spans="1:10">
      <c r="A89" s="1">
        <v>45594</v>
      </c>
      <c r="B89">
        <f>(3/(1+('CurrentFact-N10,20,40,60Unchan'!C89)/100)+103/POWER(1+('CurrentFact-N10,20,40,60Unchan'!D89)/100,2))*100</f>
        <v>9707.5857774288397</v>
      </c>
      <c r="C89">
        <f>(3/(1+('CurrentFact-N10,20,40,60Unchan'!C89+'CurrentFact-N10,20,40,60Unchan'!G89)/100)+103/POWER(1+('CurrentFact-N10,20,40,60Unchan'!D89+'CurrentFact-N10,20,40,60Unchan'!G89)/100,2))*100</f>
        <v>9614.9673582483465</v>
      </c>
      <c r="D89">
        <f>(3/(1+('CurrentFact-N10,20,40,60Unchan'!C89+'CurrentFact-N10,20,40,60Unchan'!H89)/100)+103/POWER(1+('CurrentFact-N10,20,40,60Unchan'!D89+'CurrentFact-N10,20,40,60Unchan'!H89)/100,2))*100</f>
        <v>9601.2395558122898</v>
      </c>
      <c r="E89">
        <f>(3/(1+('CurrentFact-N10,20,40,60Unchan'!C89+'CurrentFact-N10,20,40,60Unchan'!I89)/100)+103/POWER(1+('CurrentFact-N10,20,40,60Unchan'!D89+'CurrentFact-N10,20,40,60Unchan'!I89)/100,2))*100</f>
        <v>9676.6907857653259</v>
      </c>
      <c r="F89">
        <f>Portfolio!B$5*'CurrentFact-N10,20,40,60Unchan'!E89</f>
        <v>52143.895533915893</v>
      </c>
      <c r="G89">
        <f>Portfolio!B$6*'CurrentFact-N10,20,40,60Unchan'!F89</f>
        <v>3696.2945087936532</v>
      </c>
      <c r="H89">
        <f>Portfolio!B$7*'CurrentFact-N10,20,40,60Unchan'!J89</f>
        <v>2064.4550337304254</v>
      </c>
      <c r="I89">
        <f t="shared" si="2"/>
        <v>96505.128553694783</v>
      </c>
      <c r="J89">
        <f t="shared" si="3"/>
        <v>0</v>
      </c>
    </row>
    <row r="90" spans="1:10">
      <c r="A90" s="1">
        <v>45595</v>
      </c>
      <c r="B90">
        <f>(3/(1+('CurrentFact-N10,20,40,60Unchan'!C90)/100)+103/POWER(1+('CurrentFact-N10,20,40,60Unchan'!D90)/100,2))*100</f>
        <v>9707.5857774288397</v>
      </c>
      <c r="C90">
        <f>(3/(1+('CurrentFact-N10,20,40,60Unchan'!C90+'CurrentFact-N10,20,40,60Unchan'!G90)/100)+103/POWER(1+('CurrentFact-N10,20,40,60Unchan'!D90+'CurrentFact-N10,20,40,60Unchan'!G90)/100,2))*100</f>
        <v>9614.9673582483465</v>
      </c>
      <c r="D90">
        <f>(3/(1+('CurrentFact-N10,20,40,60Unchan'!C90+'CurrentFact-N10,20,40,60Unchan'!H90)/100)+103/POWER(1+('CurrentFact-N10,20,40,60Unchan'!D90+'CurrentFact-N10,20,40,60Unchan'!H90)/100,2))*100</f>
        <v>9601.2395558122898</v>
      </c>
      <c r="E90">
        <f>(3/(1+('CurrentFact-N10,20,40,60Unchan'!C90+'CurrentFact-N10,20,40,60Unchan'!I90)/100)+103/POWER(1+('CurrentFact-N10,20,40,60Unchan'!D90+'CurrentFact-N10,20,40,60Unchan'!I90)/100,2))*100</f>
        <v>9676.6907857653259</v>
      </c>
      <c r="F90">
        <f>Portfolio!B$5*'CurrentFact-N10,20,40,60Unchan'!E90</f>
        <v>52143.895533915893</v>
      </c>
      <c r="G90">
        <f>Portfolio!B$6*'CurrentFact-N10,20,40,60Unchan'!F90</f>
        <v>3696.2945087936532</v>
      </c>
      <c r="H90">
        <f>Portfolio!B$7*'CurrentFact-N10,20,40,60Unchan'!J90</f>
        <v>2064.4550337304254</v>
      </c>
      <c r="I90">
        <f t="shared" si="2"/>
        <v>96505.128553694783</v>
      </c>
      <c r="J90">
        <f t="shared" si="3"/>
        <v>0</v>
      </c>
    </row>
    <row r="91" spans="1:10">
      <c r="A91" s="1">
        <v>45596</v>
      </c>
      <c r="B91">
        <f>(3/(1+('CurrentFact-N10,20,40,60Unchan'!C91)/100)+103/POWER(1+('CurrentFact-N10,20,40,60Unchan'!D91)/100,2))*100</f>
        <v>9707.5857774288397</v>
      </c>
      <c r="C91">
        <f>(3/(1+('CurrentFact-N10,20,40,60Unchan'!C91+'CurrentFact-N10,20,40,60Unchan'!G91)/100)+103/POWER(1+('CurrentFact-N10,20,40,60Unchan'!D91+'CurrentFact-N10,20,40,60Unchan'!G91)/100,2))*100</f>
        <v>9614.9673582483465</v>
      </c>
      <c r="D91">
        <f>(3/(1+('CurrentFact-N10,20,40,60Unchan'!C91+'CurrentFact-N10,20,40,60Unchan'!H91)/100)+103/POWER(1+('CurrentFact-N10,20,40,60Unchan'!D91+'CurrentFact-N10,20,40,60Unchan'!H91)/100,2))*100</f>
        <v>9601.2395558122898</v>
      </c>
      <c r="E91">
        <f>(3/(1+('CurrentFact-N10,20,40,60Unchan'!C91+'CurrentFact-N10,20,40,60Unchan'!I91)/100)+103/POWER(1+('CurrentFact-N10,20,40,60Unchan'!D91+'CurrentFact-N10,20,40,60Unchan'!I91)/100,2))*100</f>
        <v>9676.6907857653259</v>
      </c>
      <c r="F91">
        <f>Portfolio!B$5*'CurrentFact-N10,20,40,60Unchan'!E91</f>
        <v>52143.895533915893</v>
      </c>
      <c r="G91">
        <f>Portfolio!B$6*'CurrentFact-N10,20,40,60Unchan'!F91</f>
        <v>3696.2945087936532</v>
      </c>
      <c r="H91">
        <f>Portfolio!B$7*'CurrentFact-N10,20,40,60Unchan'!J91</f>
        <v>2064.4550337304254</v>
      </c>
      <c r="I91">
        <f t="shared" si="2"/>
        <v>96505.128553694783</v>
      </c>
      <c r="J91">
        <f t="shared" si="3"/>
        <v>0</v>
      </c>
    </row>
    <row r="92" spans="1:10">
      <c r="A92" s="1">
        <v>45597</v>
      </c>
      <c r="B92">
        <f>(3/(1+('CurrentFact-N10,20,40,60Unchan'!C92)/100)+103/POWER(1+('CurrentFact-N10,20,40,60Unchan'!D92)/100,2))*100</f>
        <v>9707.5857774288397</v>
      </c>
      <c r="C92">
        <f>(3/(1+('CurrentFact-N10,20,40,60Unchan'!C92+'CurrentFact-N10,20,40,60Unchan'!G92)/100)+103/POWER(1+('CurrentFact-N10,20,40,60Unchan'!D92+'CurrentFact-N10,20,40,60Unchan'!G92)/100,2))*100</f>
        <v>9614.9673582483465</v>
      </c>
      <c r="D92">
        <f>(3/(1+('CurrentFact-N10,20,40,60Unchan'!C92+'CurrentFact-N10,20,40,60Unchan'!H92)/100)+103/POWER(1+('CurrentFact-N10,20,40,60Unchan'!D92+'CurrentFact-N10,20,40,60Unchan'!H92)/100,2))*100</f>
        <v>9601.2395558122898</v>
      </c>
      <c r="E92">
        <f>(3/(1+('CurrentFact-N10,20,40,60Unchan'!C92+'CurrentFact-N10,20,40,60Unchan'!I92)/100)+103/POWER(1+('CurrentFact-N10,20,40,60Unchan'!D92+'CurrentFact-N10,20,40,60Unchan'!I92)/100,2))*100</f>
        <v>9676.6907857653259</v>
      </c>
      <c r="F92">
        <f>Portfolio!B$5*'CurrentFact-N10,20,40,60Unchan'!E92</f>
        <v>52143.895533915893</v>
      </c>
      <c r="G92">
        <f>Portfolio!B$6*'CurrentFact-N10,20,40,60Unchan'!F92</f>
        <v>3696.2945087936532</v>
      </c>
      <c r="H92">
        <f>Portfolio!B$7*'CurrentFact-N10,20,40,60Unchan'!J92</f>
        <v>2064.4550337304254</v>
      </c>
      <c r="I92">
        <f t="shared" si="2"/>
        <v>96505.128553694783</v>
      </c>
      <c r="J92">
        <f t="shared" si="3"/>
        <v>0</v>
      </c>
    </row>
    <row r="93" spans="1:10">
      <c r="A93" s="1">
        <v>45600</v>
      </c>
      <c r="B93">
        <f>(3/(1+('CurrentFact-N10,20,40,60Unchan'!C93)/100)+103/POWER(1+('CurrentFact-N10,20,40,60Unchan'!D93)/100,2))*100</f>
        <v>9707.5857774288397</v>
      </c>
      <c r="C93">
        <f>(3/(1+('CurrentFact-N10,20,40,60Unchan'!C93+'CurrentFact-N10,20,40,60Unchan'!G93)/100)+103/POWER(1+('CurrentFact-N10,20,40,60Unchan'!D93+'CurrentFact-N10,20,40,60Unchan'!G93)/100,2))*100</f>
        <v>9614.9673582483465</v>
      </c>
      <c r="D93">
        <f>(3/(1+('CurrentFact-N10,20,40,60Unchan'!C93+'CurrentFact-N10,20,40,60Unchan'!H93)/100)+103/POWER(1+('CurrentFact-N10,20,40,60Unchan'!D93+'CurrentFact-N10,20,40,60Unchan'!H93)/100,2))*100</f>
        <v>9601.2395558122898</v>
      </c>
      <c r="E93">
        <f>(3/(1+('CurrentFact-N10,20,40,60Unchan'!C93+'CurrentFact-N10,20,40,60Unchan'!I93)/100)+103/POWER(1+('CurrentFact-N10,20,40,60Unchan'!D93+'CurrentFact-N10,20,40,60Unchan'!I93)/100,2))*100</f>
        <v>9676.6907857653259</v>
      </c>
      <c r="F93">
        <f>Portfolio!B$5*'CurrentFact-N10,20,40,60Unchan'!E93</f>
        <v>52143.895533915893</v>
      </c>
      <c r="G93">
        <f>Portfolio!B$6*'CurrentFact-N10,20,40,60Unchan'!F93</f>
        <v>3696.2945087936532</v>
      </c>
      <c r="H93">
        <f>Portfolio!B$7*'CurrentFact-N10,20,40,60Unchan'!J93</f>
        <v>2064.4550337304254</v>
      </c>
      <c r="I93">
        <f t="shared" si="2"/>
        <v>96505.128553694783</v>
      </c>
      <c r="J93">
        <f t="shared" si="3"/>
        <v>0</v>
      </c>
    </row>
    <row r="94" spans="1:10">
      <c r="A94" s="1">
        <v>45601</v>
      </c>
      <c r="B94">
        <f>(3/(1+('CurrentFact-N10,20,40,60Unchan'!C94)/100)+103/POWER(1+('CurrentFact-N10,20,40,60Unchan'!D94)/100,2))*100</f>
        <v>9707.5857774288397</v>
      </c>
      <c r="C94">
        <f>(3/(1+('CurrentFact-N10,20,40,60Unchan'!C94+'CurrentFact-N10,20,40,60Unchan'!G94)/100)+103/POWER(1+('CurrentFact-N10,20,40,60Unchan'!D94+'CurrentFact-N10,20,40,60Unchan'!G94)/100,2))*100</f>
        <v>9614.9673582483465</v>
      </c>
      <c r="D94">
        <f>(3/(1+('CurrentFact-N10,20,40,60Unchan'!C94+'CurrentFact-N10,20,40,60Unchan'!H94)/100)+103/POWER(1+('CurrentFact-N10,20,40,60Unchan'!D94+'CurrentFact-N10,20,40,60Unchan'!H94)/100,2))*100</f>
        <v>9601.2395558122898</v>
      </c>
      <c r="E94">
        <f>(3/(1+('CurrentFact-N10,20,40,60Unchan'!C94+'CurrentFact-N10,20,40,60Unchan'!I94)/100)+103/POWER(1+('CurrentFact-N10,20,40,60Unchan'!D94+'CurrentFact-N10,20,40,60Unchan'!I94)/100,2))*100</f>
        <v>9676.6907857653259</v>
      </c>
      <c r="F94">
        <f>Portfolio!B$5*'CurrentFact-N10,20,40,60Unchan'!E94</f>
        <v>52143.895533915893</v>
      </c>
      <c r="G94">
        <f>Portfolio!B$6*'CurrentFact-N10,20,40,60Unchan'!F94</f>
        <v>3696.2945087936532</v>
      </c>
      <c r="H94">
        <f>Portfolio!B$7*'CurrentFact-N10,20,40,60Unchan'!J94</f>
        <v>2064.4550337304254</v>
      </c>
      <c r="I94">
        <f t="shared" si="2"/>
        <v>96505.128553694783</v>
      </c>
      <c r="J94">
        <f t="shared" si="3"/>
        <v>0</v>
      </c>
    </row>
    <row r="95" spans="1:10">
      <c r="A95" s="1">
        <v>45602</v>
      </c>
      <c r="B95">
        <f>(3/(1+('CurrentFact-N10,20,40,60Unchan'!C95)/100)+103/POWER(1+('CurrentFact-N10,20,40,60Unchan'!D95)/100,2))*100</f>
        <v>9707.5857774288397</v>
      </c>
      <c r="C95">
        <f>(3/(1+('CurrentFact-N10,20,40,60Unchan'!C95+'CurrentFact-N10,20,40,60Unchan'!G95)/100)+103/POWER(1+('CurrentFact-N10,20,40,60Unchan'!D95+'CurrentFact-N10,20,40,60Unchan'!G95)/100,2))*100</f>
        <v>9614.9673582483465</v>
      </c>
      <c r="D95">
        <f>(3/(1+('CurrentFact-N10,20,40,60Unchan'!C95+'CurrentFact-N10,20,40,60Unchan'!H95)/100)+103/POWER(1+('CurrentFact-N10,20,40,60Unchan'!D95+'CurrentFact-N10,20,40,60Unchan'!H95)/100,2))*100</f>
        <v>9601.2395558122898</v>
      </c>
      <c r="E95">
        <f>(3/(1+('CurrentFact-N10,20,40,60Unchan'!C95+'CurrentFact-N10,20,40,60Unchan'!I95)/100)+103/POWER(1+('CurrentFact-N10,20,40,60Unchan'!D95+'CurrentFact-N10,20,40,60Unchan'!I95)/100,2))*100</f>
        <v>9676.6907857653259</v>
      </c>
      <c r="F95">
        <f>Portfolio!B$5*'CurrentFact-N10,20,40,60Unchan'!E95</f>
        <v>52143.895533915893</v>
      </c>
      <c r="G95">
        <f>Portfolio!B$6*'CurrentFact-N10,20,40,60Unchan'!F95</f>
        <v>3696.2945087936532</v>
      </c>
      <c r="H95">
        <f>Portfolio!B$7*'CurrentFact-N10,20,40,60Unchan'!J95</f>
        <v>2064.4550337304254</v>
      </c>
      <c r="I95">
        <f t="shared" si="2"/>
        <v>96505.128553694783</v>
      </c>
      <c r="J95">
        <f t="shared" si="3"/>
        <v>0</v>
      </c>
    </row>
    <row r="96" spans="1:10">
      <c r="A96" s="1">
        <v>45603</v>
      </c>
      <c r="B96">
        <f>(3/(1+('CurrentFact-N10,20,40,60Unchan'!C96)/100)+103/POWER(1+('CurrentFact-N10,20,40,60Unchan'!D96)/100,2))*100</f>
        <v>9707.5857774288397</v>
      </c>
      <c r="C96">
        <f>(3/(1+('CurrentFact-N10,20,40,60Unchan'!C96+'CurrentFact-N10,20,40,60Unchan'!G96)/100)+103/POWER(1+('CurrentFact-N10,20,40,60Unchan'!D96+'CurrentFact-N10,20,40,60Unchan'!G96)/100,2))*100</f>
        <v>9614.9673582483465</v>
      </c>
      <c r="D96">
        <f>(3/(1+('CurrentFact-N10,20,40,60Unchan'!C96+'CurrentFact-N10,20,40,60Unchan'!H96)/100)+103/POWER(1+('CurrentFact-N10,20,40,60Unchan'!D96+'CurrentFact-N10,20,40,60Unchan'!H96)/100,2))*100</f>
        <v>9601.2395558122898</v>
      </c>
      <c r="E96">
        <f>(3/(1+('CurrentFact-N10,20,40,60Unchan'!C96+'CurrentFact-N10,20,40,60Unchan'!I96)/100)+103/POWER(1+('CurrentFact-N10,20,40,60Unchan'!D96+'CurrentFact-N10,20,40,60Unchan'!I96)/100,2))*100</f>
        <v>9676.6907857653259</v>
      </c>
      <c r="F96">
        <f>Portfolio!B$5*'CurrentFact-N10,20,40,60Unchan'!E96</f>
        <v>52143.895533915893</v>
      </c>
      <c r="G96">
        <f>Portfolio!B$6*'CurrentFact-N10,20,40,60Unchan'!F96</f>
        <v>3696.2945087936532</v>
      </c>
      <c r="H96">
        <f>Portfolio!B$7*'CurrentFact-N10,20,40,60Unchan'!J96</f>
        <v>2064.4550337304254</v>
      </c>
      <c r="I96">
        <f t="shared" si="2"/>
        <v>96505.128553694783</v>
      </c>
      <c r="J96">
        <f t="shared" si="3"/>
        <v>0</v>
      </c>
    </row>
    <row r="97" spans="1:10">
      <c r="A97" s="1">
        <v>45604</v>
      </c>
      <c r="B97">
        <f>(3/(1+('CurrentFact-N10,20,40,60Unchan'!C97)/100)+103/POWER(1+('CurrentFact-N10,20,40,60Unchan'!D97)/100,2))*100</f>
        <v>9707.5857774288397</v>
      </c>
      <c r="C97">
        <f>(3/(1+('CurrentFact-N10,20,40,60Unchan'!C97+'CurrentFact-N10,20,40,60Unchan'!G97)/100)+103/POWER(1+('CurrentFact-N10,20,40,60Unchan'!D97+'CurrentFact-N10,20,40,60Unchan'!G97)/100,2))*100</f>
        <v>9614.9673582483465</v>
      </c>
      <c r="D97">
        <f>(3/(1+('CurrentFact-N10,20,40,60Unchan'!C97+'CurrentFact-N10,20,40,60Unchan'!H97)/100)+103/POWER(1+('CurrentFact-N10,20,40,60Unchan'!D97+'CurrentFact-N10,20,40,60Unchan'!H97)/100,2))*100</f>
        <v>9601.2395558122898</v>
      </c>
      <c r="E97">
        <f>(3/(1+('CurrentFact-N10,20,40,60Unchan'!C97+'CurrentFact-N10,20,40,60Unchan'!I97)/100)+103/POWER(1+('CurrentFact-N10,20,40,60Unchan'!D97+'CurrentFact-N10,20,40,60Unchan'!I97)/100,2))*100</f>
        <v>9676.6907857653259</v>
      </c>
      <c r="F97">
        <f>Portfolio!B$5*'CurrentFact-N10,20,40,60Unchan'!E97</f>
        <v>52143.895533915893</v>
      </c>
      <c r="G97">
        <f>Portfolio!B$6*'CurrentFact-N10,20,40,60Unchan'!F97</f>
        <v>3696.2945087936532</v>
      </c>
      <c r="H97">
        <f>Portfolio!B$7*'CurrentFact-N10,20,40,60Unchan'!J97</f>
        <v>2064.4550337304254</v>
      </c>
      <c r="I97">
        <f t="shared" si="2"/>
        <v>96505.128553694783</v>
      </c>
      <c r="J97">
        <f t="shared" si="3"/>
        <v>0</v>
      </c>
    </row>
    <row r="98" spans="1:10">
      <c r="A98" s="1">
        <v>45607</v>
      </c>
      <c r="B98">
        <f>(3/(1+('CurrentFact-N10,20,40,60Unchan'!C98)/100)+103/POWER(1+('CurrentFact-N10,20,40,60Unchan'!D98)/100,2))*100</f>
        <v>9707.5857774288397</v>
      </c>
      <c r="C98">
        <f>(3/(1+('CurrentFact-N10,20,40,60Unchan'!C98+'CurrentFact-N10,20,40,60Unchan'!G98)/100)+103/POWER(1+('CurrentFact-N10,20,40,60Unchan'!D98+'CurrentFact-N10,20,40,60Unchan'!G98)/100,2))*100</f>
        <v>9614.9673582483465</v>
      </c>
      <c r="D98">
        <f>(3/(1+('CurrentFact-N10,20,40,60Unchan'!C98+'CurrentFact-N10,20,40,60Unchan'!H98)/100)+103/POWER(1+('CurrentFact-N10,20,40,60Unchan'!D98+'CurrentFact-N10,20,40,60Unchan'!H98)/100,2))*100</f>
        <v>9601.2395558122898</v>
      </c>
      <c r="E98">
        <f>(3/(1+('CurrentFact-N10,20,40,60Unchan'!C98+'CurrentFact-N10,20,40,60Unchan'!I98)/100)+103/POWER(1+('CurrentFact-N10,20,40,60Unchan'!D98+'CurrentFact-N10,20,40,60Unchan'!I98)/100,2))*100</f>
        <v>9676.6907857653259</v>
      </c>
      <c r="F98">
        <f>Portfolio!B$5*'CurrentFact-N10,20,40,60Unchan'!E98</f>
        <v>52143.895533915893</v>
      </c>
      <c r="G98">
        <f>Portfolio!B$6*'CurrentFact-N10,20,40,60Unchan'!F98</f>
        <v>3696.2945087936532</v>
      </c>
      <c r="H98">
        <f>Portfolio!B$7*'CurrentFact-N10,20,40,60Unchan'!J98</f>
        <v>2064.4550337304254</v>
      </c>
      <c r="I98">
        <f t="shared" si="2"/>
        <v>96505.128553694783</v>
      </c>
      <c r="J98">
        <f t="shared" si="3"/>
        <v>0</v>
      </c>
    </row>
    <row r="99" spans="1:10">
      <c r="A99" s="1">
        <v>45608</v>
      </c>
      <c r="B99">
        <f>(3/(1+('CurrentFact-N10,20,40,60Unchan'!C99)/100)+103/POWER(1+('CurrentFact-N10,20,40,60Unchan'!D99)/100,2))*100</f>
        <v>9707.5857774288397</v>
      </c>
      <c r="C99">
        <f>(3/(1+('CurrentFact-N10,20,40,60Unchan'!C99+'CurrentFact-N10,20,40,60Unchan'!G99)/100)+103/POWER(1+('CurrentFact-N10,20,40,60Unchan'!D99+'CurrentFact-N10,20,40,60Unchan'!G99)/100,2))*100</f>
        <v>9614.9673582483465</v>
      </c>
      <c r="D99">
        <f>(3/(1+('CurrentFact-N10,20,40,60Unchan'!C99+'CurrentFact-N10,20,40,60Unchan'!H99)/100)+103/POWER(1+('CurrentFact-N10,20,40,60Unchan'!D99+'CurrentFact-N10,20,40,60Unchan'!H99)/100,2))*100</f>
        <v>9601.2395558122898</v>
      </c>
      <c r="E99">
        <f>(3/(1+('CurrentFact-N10,20,40,60Unchan'!C99+'CurrentFact-N10,20,40,60Unchan'!I99)/100)+103/POWER(1+('CurrentFact-N10,20,40,60Unchan'!D99+'CurrentFact-N10,20,40,60Unchan'!I99)/100,2))*100</f>
        <v>9676.6907857653259</v>
      </c>
      <c r="F99">
        <f>Portfolio!B$5*'CurrentFact-N10,20,40,60Unchan'!E99</f>
        <v>52143.895533915893</v>
      </c>
      <c r="G99">
        <f>Portfolio!B$6*'CurrentFact-N10,20,40,60Unchan'!F99</f>
        <v>3696.2945087936532</v>
      </c>
      <c r="H99">
        <f>Portfolio!B$7*'CurrentFact-N10,20,40,60Unchan'!J99</f>
        <v>2064.4550337304254</v>
      </c>
      <c r="I99">
        <f t="shared" si="2"/>
        <v>96505.128553694783</v>
      </c>
      <c r="J99">
        <f t="shared" si="3"/>
        <v>0</v>
      </c>
    </row>
    <row r="100" spans="1:10">
      <c r="A100" s="1">
        <v>45609</v>
      </c>
      <c r="B100">
        <f>(3/(1+('CurrentFact-N10,20,40,60Unchan'!C100)/100)+103/POWER(1+('CurrentFact-N10,20,40,60Unchan'!D100)/100,2))*100</f>
        <v>9707.5857774288397</v>
      </c>
      <c r="C100">
        <f>(3/(1+('CurrentFact-N10,20,40,60Unchan'!C100+'CurrentFact-N10,20,40,60Unchan'!G100)/100)+103/POWER(1+('CurrentFact-N10,20,40,60Unchan'!D100+'CurrentFact-N10,20,40,60Unchan'!G100)/100,2))*100</f>
        <v>9614.9673582483465</v>
      </c>
      <c r="D100">
        <f>(3/(1+('CurrentFact-N10,20,40,60Unchan'!C100+'CurrentFact-N10,20,40,60Unchan'!H100)/100)+103/POWER(1+('CurrentFact-N10,20,40,60Unchan'!D100+'CurrentFact-N10,20,40,60Unchan'!H100)/100,2))*100</f>
        <v>9601.2395558122898</v>
      </c>
      <c r="E100">
        <f>(3/(1+('CurrentFact-N10,20,40,60Unchan'!C100+'CurrentFact-N10,20,40,60Unchan'!I100)/100)+103/POWER(1+('CurrentFact-N10,20,40,60Unchan'!D100+'CurrentFact-N10,20,40,60Unchan'!I100)/100,2))*100</f>
        <v>9676.6907857653259</v>
      </c>
      <c r="F100">
        <f>Portfolio!B$5*'CurrentFact-N10,20,40,60Unchan'!E100</f>
        <v>52143.895533915893</v>
      </c>
      <c r="G100">
        <f>Portfolio!B$6*'CurrentFact-N10,20,40,60Unchan'!F100</f>
        <v>3696.2945087936532</v>
      </c>
      <c r="H100">
        <f>Portfolio!B$7*'CurrentFact-N10,20,40,60Unchan'!J100</f>
        <v>2064.4550337304254</v>
      </c>
      <c r="I100">
        <f t="shared" si="2"/>
        <v>96505.128553694783</v>
      </c>
      <c r="J100">
        <f t="shared" si="3"/>
        <v>0</v>
      </c>
    </row>
    <row r="101" spans="1:10">
      <c r="A101" s="1">
        <v>45610</v>
      </c>
      <c r="B101">
        <f>(3/(1+('CurrentFact-N10,20,40,60Unchan'!C101)/100)+103/POWER(1+('CurrentFact-N10,20,40,60Unchan'!D101)/100,2))*100</f>
        <v>9707.5857774288397</v>
      </c>
      <c r="C101">
        <f>(3/(1+('CurrentFact-N10,20,40,60Unchan'!C101+'CurrentFact-N10,20,40,60Unchan'!G101)/100)+103/POWER(1+('CurrentFact-N10,20,40,60Unchan'!D101+'CurrentFact-N10,20,40,60Unchan'!G101)/100,2))*100</f>
        <v>9614.9673582483465</v>
      </c>
      <c r="D101">
        <f>(3/(1+('CurrentFact-N10,20,40,60Unchan'!C101+'CurrentFact-N10,20,40,60Unchan'!H101)/100)+103/POWER(1+('CurrentFact-N10,20,40,60Unchan'!D101+'CurrentFact-N10,20,40,60Unchan'!H101)/100,2))*100</f>
        <v>9601.2395558122898</v>
      </c>
      <c r="E101">
        <f>(3/(1+('CurrentFact-N10,20,40,60Unchan'!C101+'CurrentFact-N10,20,40,60Unchan'!I101)/100)+103/POWER(1+('CurrentFact-N10,20,40,60Unchan'!D101+'CurrentFact-N10,20,40,60Unchan'!I101)/100,2))*100</f>
        <v>9676.6907857653259</v>
      </c>
      <c r="F101">
        <f>Portfolio!B$5*'CurrentFact-N10,20,40,60Unchan'!E101</f>
        <v>52143.895533915893</v>
      </c>
      <c r="G101">
        <f>Portfolio!B$6*'CurrentFact-N10,20,40,60Unchan'!F101</f>
        <v>3696.2945087936532</v>
      </c>
      <c r="H101">
        <f>Portfolio!B$7*'CurrentFact-N10,20,40,60Unchan'!J101</f>
        <v>2064.4550337304254</v>
      </c>
      <c r="I101">
        <f t="shared" si="2"/>
        <v>96505.128553694783</v>
      </c>
      <c r="J101">
        <f t="shared" si="3"/>
        <v>0</v>
      </c>
    </row>
    <row r="102" spans="1:10">
      <c r="A102" s="1">
        <v>45611</v>
      </c>
      <c r="B102">
        <f>(3/(1+('CurrentFact-N10,20,40,60Unchan'!C102)/100)+103/POWER(1+('CurrentFact-N10,20,40,60Unchan'!D102)/100,2))*100</f>
        <v>9707.5857774288397</v>
      </c>
      <c r="C102">
        <f>(3/(1+('CurrentFact-N10,20,40,60Unchan'!C102+'CurrentFact-N10,20,40,60Unchan'!G102)/100)+103/POWER(1+('CurrentFact-N10,20,40,60Unchan'!D102+'CurrentFact-N10,20,40,60Unchan'!G102)/100,2))*100</f>
        <v>9614.9673582483465</v>
      </c>
      <c r="D102">
        <f>(3/(1+('CurrentFact-N10,20,40,60Unchan'!C102+'CurrentFact-N10,20,40,60Unchan'!H102)/100)+103/POWER(1+('CurrentFact-N10,20,40,60Unchan'!D102+'CurrentFact-N10,20,40,60Unchan'!H102)/100,2))*100</f>
        <v>9601.2395558122898</v>
      </c>
      <c r="E102">
        <f>(3/(1+('CurrentFact-N10,20,40,60Unchan'!C102+'CurrentFact-N10,20,40,60Unchan'!I102)/100)+103/POWER(1+('CurrentFact-N10,20,40,60Unchan'!D102+'CurrentFact-N10,20,40,60Unchan'!I102)/100,2))*100</f>
        <v>9676.6907857653259</v>
      </c>
      <c r="F102">
        <f>Portfolio!B$5*'CurrentFact-N10,20,40,60Unchan'!E102</f>
        <v>52143.895533915893</v>
      </c>
      <c r="G102">
        <f>Portfolio!B$6*'CurrentFact-N10,20,40,60Unchan'!F102</f>
        <v>3696.2945087936532</v>
      </c>
      <c r="H102">
        <f>Portfolio!B$7*'CurrentFact-N10,20,40,60Unchan'!J102</f>
        <v>2064.4550337304254</v>
      </c>
      <c r="I102">
        <f t="shared" si="2"/>
        <v>96505.128553694783</v>
      </c>
      <c r="J102">
        <f t="shared" si="3"/>
        <v>0</v>
      </c>
    </row>
    <row r="103" spans="1:10">
      <c r="A103" s="1">
        <v>45614</v>
      </c>
      <c r="B103">
        <f>(3/(1+('CurrentFact-N10,20,40,60Unchan'!C103)/100)+103/POWER(1+('CurrentFact-N10,20,40,60Unchan'!D103)/100,2))*100</f>
        <v>9707.5857774288397</v>
      </c>
      <c r="C103">
        <f>(3/(1+('CurrentFact-N10,20,40,60Unchan'!C103+'CurrentFact-N10,20,40,60Unchan'!G103)/100)+103/POWER(1+('CurrentFact-N10,20,40,60Unchan'!D103+'CurrentFact-N10,20,40,60Unchan'!G103)/100,2))*100</f>
        <v>9614.9673582483465</v>
      </c>
      <c r="D103">
        <f>(3/(1+('CurrentFact-N10,20,40,60Unchan'!C103+'CurrentFact-N10,20,40,60Unchan'!H103)/100)+103/POWER(1+('CurrentFact-N10,20,40,60Unchan'!D103+'CurrentFact-N10,20,40,60Unchan'!H103)/100,2))*100</f>
        <v>9601.2395558122898</v>
      </c>
      <c r="E103">
        <f>(3/(1+('CurrentFact-N10,20,40,60Unchan'!C103+'CurrentFact-N10,20,40,60Unchan'!I103)/100)+103/POWER(1+('CurrentFact-N10,20,40,60Unchan'!D103+'CurrentFact-N10,20,40,60Unchan'!I103)/100,2))*100</f>
        <v>9676.6907857653259</v>
      </c>
      <c r="F103">
        <f>Portfolio!B$5*'CurrentFact-N10,20,40,60Unchan'!E103</f>
        <v>52143.895533915893</v>
      </c>
      <c r="G103">
        <f>Portfolio!B$6*'CurrentFact-N10,20,40,60Unchan'!F103</f>
        <v>3696.2945087936532</v>
      </c>
      <c r="H103">
        <f>Portfolio!B$7*'CurrentFact-N10,20,40,60Unchan'!J103</f>
        <v>2064.4550337304254</v>
      </c>
      <c r="I103">
        <f t="shared" si="2"/>
        <v>96505.128553694783</v>
      </c>
      <c r="J103">
        <f t="shared" si="3"/>
        <v>0</v>
      </c>
    </row>
    <row r="104" spans="1:10">
      <c r="A104" s="1">
        <v>45615</v>
      </c>
      <c r="B104">
        <f>(3/(1+('CurrentFact-N10,20,40,60Unchan'!C104)/100)+103/POWER(1+('CurrentFact-N10,20,40,60Unchan'!D104)/100,2))*100</f>
        <v>9707.5857774288397</v>
      </c>
      <c r="C104">
        <f>(3/(1+('CurrentFact-N10,20,40,60Unchan'!C104+'CurrentFact-N10,20,40,60Unchan'!G104)/100)+103/POWER(1+('CurrentFact-N10,20,40,60Unchan'!D104+'CurrentFact-N10,20,40,60Unchan'!G104)/100,2))*100</f>
        <v>9614.9673582483465</v>
      </c>
      <c r="D104">
        <f>(3/(1+('CurrentFact-N10,20,40,60Unchan'!C104+'CurrentFact-N10,20,40,60Unchan'!H104)/100)+103/POWER(1+('CurrentFact-N10,20,40,60Unchan'!D104+'CurrentFact-N10,20,40,60Unchan'!H104)/100,2))*100</f>
        <v>9601.2395558122898</v>
      </c>
      <c r="E104">
        <f>(3/(1+('CurrentFact-N10,20,40,60Unchan'!C104+'CurrentFact-N10,20,40,60Unchan'!I104)/100)+103/POWER(1+('CurrentFact-N10,20,40,60Unchan'!D104+'CurrentFact-N10,20,40,60Unchan'!I104)/100,2))*100</f>
        <v>9676.6907857653259</v>
      </c>
      <c r="F104">
        <f>Portfolio!B$5*'CurrentFact-N10,20,40,60Unchan'!E104</f>
        <v>52143.895533915893</v>
      </c>
      <c r="G104">
        <f>Portfolio!B$6*'CurrentFact-N10,20,40,60Unchan'!F104</f>
        <v>3696.2945087936532</v>
      </c>
      <c r="H104">
        <f>Portfolio!B$7*'CurrentFact-N10,20,40,60Unchan'!J104</f>
        <v>2064.4550337304254</v>
      </c>
      <c r="I104">
        <f t="shared" si="2"/>
        <v>96505.128553694783</v>
      </c>
      <c r="J104">
        <f t="shared" si="3"/>
        <v>0</v>
      </c>
    </row>
    <row r="105" spans="1:10">
      <c r="A105" s="1">
        <v>45616</v>
      </c>
      <c r="B105">
        <f>(3/(1+('CurrentFact-N10,20,40,60Unchan'!C105)/100)+103/POWER(1+('CurrentFact-N10,20,40,60Unchan'!D105)/100,2))*100</f>
        <v>9707.5857774288397</v>
      </c>
      <c r="C105">
        <f>(3/(1+('CurrentFact-N10,20,40,60Unchan'!C105+'CurrentFact-N10,20,40,60Unchan'!G105)/100)+103/POWER(1+('CurrentFact-N10,20,40,60Unchan'!D105+'CurrentFact-N10,20,40,60Unchan'!G105)/100,2))*100</f>
        <v>9614.9673582483465</v>
      </c>
      <c r="D105">
        <f>(3/(1+('CurrentFact-N10,20,40,60Unchan'!C105+'CurrentFact-N10,20,40,60Unchan'!H105)/100)+103/POWER(1+('CurrentFact-N10,20,40,60Unchan'!D105+'CurrentFact-N10,20,40,60Unchan'!H105)/100,2))*100</f>
        <v>9601.2395558122898</v>
      </c>
      <c r="E105">
        <f>(3/(1+('CurrentFact-N10,20,40,60Unchan'!C105+'CurrentFact-N10,20,40,60Unchan'!I105)/100)+103/POWER(1+('CurrentFact-N10,20,40,60Unchan'!D105+'CurrentFact-N10,20,40,60Unchan'!I105)/100,2))*100</f>
        <v>9676.6907857653259</v>
      </c>
      <c r="F105">
        <f>Portfolio!B$5*'CurrentFact-N10,20,40,60Unchan'!E105</f>
        <v>52143.895533915893</v>
      </c>
      <c r="G105">
        <f>Portfolio!B$6*'CurrentFact-N10,20,40,60Unchan'!F105</f>
        <v>3696.2945087936532</v>
      </c>
      <c r="H105">
        <f>Portfolio!B$7*'CurrentFact-N10,20,40,60Unchan'!J105</f>
        <v>2064.4550337304254</v>
      </c>
      <c r="I105">
        <f t="shared" si="2"/>
        <v>96505.128553694783</v>
      </c>
      <c r="J105">
        <f t="shared" si="3"/>
        <v>0</v>
      </c>
    </row>
    <row r="106" spans="1:10">
      <c r="A106" s="1">
        <v>45617</v>
      </c>
      <c r="B106">
        <f>(3/(1+('CurrentFact-N10,20,40,60Unchan'!C106)/100)+103/POWER(1+('CurrentFact-N10,20,40,60Unchan'!D106)/100,2))*100</f>
        <v>9707.5857774288397</v>
      </c>
      <c r="C106">
        <f>(3/(1+('CurrentFact-N10,20,40,60Unchan'!C106+'CurrentFact-N10,20,40,60Unchan'!G106)/100)+103/POWER(1+('CurrentFact-N10,20,40,60Unchan'!D106+'CurrentFact-N10,20,40,60Unchan'!G106)/100,2))*100</f>
        <v>9614.9673582483465</v>
      </c>
      <c r="D106">
        <f>(3/(1+('CurrentFact-N10,20,40,60Unchan'!C106+'CurrentFact-N10,20,40,60Unchan'!H106)/100)+103/POWER(1+('CurrentFact-N10,20,40,60Unchan'!D106+'CurrentFact-N10,20,40,60Unchan'!H106)/100,2))*100</f>
        <v>9601.2395558122898</v>
      </c>
      <c r="E106">
        <f>(3/(1+('CurrentFact-N10,20,40,60Unchan'!C106+'CurrentFact-N10,20,40,60Unchan'!I106)/100)+103/POWER(1+('CurrentFact-N10,20,40,60Unchan'!D106+'CurrentFact-N10,20,40,60Unchan'!I106)/100,2))*100</f>
        <v>9676.6907857653259</v>
      </c>
      <c r="F106">
        <f>Portfolio!B$5*'CurrentFact-N10,20,40,60Unchan'!E106</f>
        <v>52143.895533915893</v>
      </c>
      <c r="G106">
        <f>Portfolio!B$6*'CurrentFact-N10,20,40,60Unchan'!F106</f>
        <v>3696.2945087936532</v>
      </c>
      <c r="H106">
        <f>Portfolio!B$7*'CurrentFact-N10,20,40,60Unchan'!J106</f>
        <v>2064.4550337304254</v>
      </c>
      <c r="I106">
        <f t="shared" si="2"/>
        <v>96505.128553694783</v>
      </c>
      <c r="J106">
        <f t="shared" si="3"/>
        <v>0</v>
      </c>
    </row>
    <row r="107" spans="1:10">
      <c r="A107" s="1">
        <v>45618</v>
      </c>
      <c r="B107">
        <f>(3/(1+('CurrentFact-N10,20,40,60Unchan'!C107)/100)+103/POWER(1+('CurrentFact-N10,20,40,60Unchan'!D107)/100,2))*100</f>
        <v>9707.5857774288397</v>
      </c>
      <c r="C107">
        <f>(3/(1+('CurrentFact-N10,20,40,60Unchan'!C107+'CurrentFact-N10,20,40,60Unchan'!G107)/100)+103/POWER(1+('CurrentFact-N10,20,40,60Unchan'!D107+'CurrentFact-N10,20,40,60Unchan'!G107)/100,2))*100</f>
        <v>9614.9673582483465</v>
      </c>
      <c r="D107">
        <f>(3/(1+('CurrentFact-N10,20,40,60Unchan'!C107+'CurrentFact-N10,20,40,60Unchan'!H107)/100)+103/POWER(1+('CurrentFact-N10,20,40,60Unchan'!D107+'CurrentFact-N10,20,40,60Unchan'!H107)/100,2))*100</f>
        <v>9601.2395558122898</v>
      </c>
      <c r="E107">
        <f>(3/(1+('CurrentFact-N10,20,40,60Unchan'!C107+'CurrentFact-N10,20,40,60Unchan'!I107)/100)+103/POWER(1+('CurrentFact-N10,20,40,60Unchan'!D107+'CurrentFact-N10,20,40,60Unchan'!I107)/100,2))*100</f>
        <v>9676.6907857653259</v>
      </c>
      <c r="F107">
        <f>Portfolio!B$5*'CurrentFact-N10,20,40,60Unchan'!E107</f>
        <v>52143.895533915893</v>
      </c>
      <c r="G107">
        <f>Portfolio!B$6*'CurrentFact-N10,20,40,60Unchan'!F107</f>
        <v>3696.2945087936532</v>
      </c>
      <c r="H107">
        <f>Portfolio!B$7*'CurrentFact-N10,20,40,60Unchan'!J107</f>
        <v>2064.4550337304254</v>
      </c>
      <c r="I107">
        <f t="shared" si="2"/>
        <v>96505.128553694783</v>
      </c>
      <c r="J107">
        <f t="shared" si="3"/>
        <v>0</v>
      </c>
    </row>
    <row r="108" spans="1:10">
      <c r="A108" s="1">
        <v>45621</v>
      </c>
      <c r="B108">
        <f>(3/(1+('CurrentFact-N10,20,40,60Unchan'!C108)/100)+103/POWER(1+('CurrentFact-N10,20,40,60Unchan'!D108)/100,2))*100</f>
        <v>9707.5857774288397</v>
      </c>
      <c r="C108">
        <f>(3/(1+('CurrentFact-N10,20,40,60Unchan'!C108+'CurrentFact-N10,20,40,60Unchan'!G108)/100)+103/POWER(1+('CurrentFact-N10,20,40,60Unchan'!D108+'CurrentFact-N10,20,40,60Unchan'!G108)/100,2))*100</f>
        <v>9614.9673582483465</v>
      </c>
      <c r="D108">
        <f>(3/(1+('CurrentFact-N10,20,40,60Unchan'!C108+'CurrentFact-N10,20,40,60Unchan'!H108)/100)+103/POWER(1+('CurrentFact-N10,20,40,60Unchan'!D108+'CurrentFact-N10,20,40,60Unchan'!H108)/100,2))*100</f>
        <v>9601.2395558122898</v>
      </c>
      <c r="E108">
        <f>(3/(1+('CurrentFact-N10,20,40,60Unchan'!C108+'CurrentFact-N10,20,40,60Unchan'!I108)/100)+103/POWER(1+('CurrentFact-N10,20,40,60Unchan'!D108+'CurrentFact-N10,20,40,60Unchan'!I108)/100,2))*100</f>
        <v>9676.6907857653259</v>
      </c>
      <c r="F108">
        <f>Portfolio!B$5*'CurrentFact-N10,20,40,60Unchan'!E108</f>
        <v>52143.895533915893</v>
      </c>
      <c r="G108">
        <f>Portfolio!B$6*'CurrentFact-N10,20,40,60Unchan'!F108</f>
        <v>3696.2945087936532</v>
      </c>
      <c r="H108">
        <f>Portfolio!B$7*'CurrentFact-N10,20,40,60Unchan'!J108</f>
        <v>2064.4550337304254</v>
      </c>
      <c r="I108">
        <f t="shared" si="2"/>
        <v>96505.128553694783</v>
      </c>
      <c r="J108">
        <f t="shared" si="3"/>
        <v>0</v>
      </c>
    </row>
    <row r="109" spans="1:10">
      <c r="A109" s="1">
        <v>45622</v>
      </c>
      <c r="B109">
        <f>(3/(1+('CurrentFact-N10,20,40,60Unchan'!C109)/100)+103/POWER(1+('CurrentFact-N10,20,40,60Unchan'!D109)/100,2))*100</f>
        <v>9707.5857774288397</v>
      </c>
      <c r="C109">
        <f>(3/(1+('CurrentFact-N10,20,40,60Unchan'!C109+'CurrentFact-N10,20,40,60Unchan'!G109)/100)+103/POWER(1+('CurrentFact-N10,20,40,60Unchan'!D109+'CurrentFact-N10,20,40,60Unchan'!G109)/100,2))*100</f>
        <v>9614.9673582483465</v>
      </c>
      <c r="D109">
        <f>(3/(1+('CurrentFact-N10,20,40,60Unchan'!C109+'CurrentFact-N10,20,40,60Unchan'!H109)/100)+103/POWER(1+('CurrentFact-N10,20,40,60Unchan'!D109+'CurrentFact-N10,20,40,60Unchan'!H109)/100,2))*100</f>
        <v>9601.2395558122898</v>
      </c>
      <c r="E109">
        <f>(3/(1+('CurrentFact-N10,20,40,60Unchan'!C109+'CurrentFact-N10,20,40,60Unchan'!I109)/100)+103/POWER(1+('CurrentFact-N10,20,40,60Unchan'!D109+'CurrentFact-N10,20,40,60Unchan'!I109)/100,2))*100</f>
        <v>9676.6907857653259</v>
      </c>
      <c r="F109">
        <f>Portfolio!B$5*'CurrentFact-N10,20,40,60Unchan'!E109</f>
        <v>52143.895533915893</v>
      </c>
      <c r="G109">
        <f>Portfolio!B$6*'CurrentFact-N10,20,40,60Unchan'!F109</f>
        <v>3696.2945087936532</v>
      </c>
      <c r="H109">
        <f>Portfolio!B$7*'CurrentFact-N10,20,40,60Unchan'!J109</f>
        <v>2064.4550337304254</v>
      </c>
      <c r="I109">
        <f t="shared" si="2"/>
        <v>96505.128553694783</v>
      </c>
      <c r="J109">
        <f t="shared" si="3"/>
        <v>0</v>
      </c>
    </row>
    <row r="110" spans="1:10">
      <c r="A110" s="1">
        <v>45623</v>
      </c>
      <c r="B110">
        <f>(3/(1+('CurrentFact-N10,20,40,60Unchan'!C110)/100)+103/POWER(1+('CurrentFact-N10,20,40,60Unchan'!D110)/100,2))*100</f>
        <v>9707.5857774288397</v>
      </c>
      <c r="C110">
        <f>(3/(1+('CurrentFact-N10,20,40,60Unchan'!C110+'CurrentFact-N10,20,40,60Unchan'!G110)/100)+103/POWER(1+('CurrentFact-N10,20,40,60Unchan'!D110+'CurrentFact-N10,20,40,60Unchan'!G110)/100,2))*100</f>
        <v>9614.9673582483465</v>
      </c>
      <c r="D110">
        <f>(3/(1+('CurrentFact-N10,20,40,60Unchan'!C110+'CurrentFact-N10,20,40,60Unchan'!H110)/100)+103/POWER(1+('CurrentFact-N10,20,40,60Unchan'!D110+'CurrentFact-N10,20,40,60Unchan'!H110)/100,2))*100</f>
        <v>9601.2395558122898</v>
      </c>
      <c r="E110">
        <f>(3/(1+('CurrentFact-N10,20,40,60Unchan'!C110+'CurrentFact-N10,20,40,60Unchan'!I110)/100)+103/POWER(1+('CurrentFact-N10,20,40,60Unchan'!D110+'CurrentFact-N10,20,40,60Unchan'!I110)/100,2))*100</f>
        <v>9676.6907857653259</v>
      </c>
      <c r="F110">
        <f>Portfolio!B$5*'CurrentFact-N10,20,40,60Unchan'!E110</f>
        <v>52143.895533915893</v>
      </c>
      <c r="G110">
        <f>Portfolio!B$6*'CurrentFact-N10,20,40,60Unchan'!F110</f>
        <v>3696.2945087936532</v>
      </c>
      <c r="H110">
        <f>Portfolio!B$7*'CurrentFact-N10,20,40,60Unchan'!J110</f>
        <v>2064.4550337304254</v>
      </c>
      <c r="I110">
        <f t="shared" si="2"/>
        <v>96505.128553694783</v>
      </c>
      <c r="J110">
        <f t="shared" si="3"/>
        <v>0</v>
      </c>
    </row>
    <row r="111" spans="1:10">
      <c r="A111" s="1">
        <v>45624</v>
      </c>
      <c r="B111">
        <f>(3/(1+('CurrentFact-N10,20,40,60Unchan'!C111)/100)+103/POWER(1+('CurrentFact-N10,20,40,60Unchan'!D111)/100,2))*100</f>
        <v>9707.5857774288397</v>
      </c>
      <c r="C111">
        <f>(3/(1+('CurrentFact-N10,20,40,60Unchan'!C111+'CurrentFact-N10,20,40,60Unchan'!G111)/100)+103/POWER(1+('CurrentFact-N10,20,40,60Unchan'!D111+'CurrentFact-N10,20,40,60Unchan'!G111)/100,2))*100</f>
        <v>9614.9673582483465</v>
      </c>
      <c r="D111">
        <f>(3/(1+('CurrentFact-N10,20,40,60Unchan'!C111+'CurrentFact-N10,20,40,60Unchan'!H111)/100)+103/POWER(1+('CurrentFact-N10,20,40,60Unchan'!D111+'CurrentFact-N10,20,40,60Unchan'!H111)/100,2))*100</f>
        <v>9601.2395558122898</v>
      </c>
      <c r="E111">
        <f>(3/(1+('CurrentFact-N10,20,40,60Unchan'!C111+'CurrentFact-N10,20,40,60Unchan'!I111)/100)+103/POWER(1+('CurrentFact-N10,20,40,60Unchan'!D111+'CurrentFact-N10,20,40,60Unchan'!I111)/100,2))*100</f>
        <v>9676.6907857653259</v>
      </c>
      <c r="F111">
        <f>Portfolio!B$5*'CurrentFact-N10,20,40,60Unchan'!E111</f>
        <v>52143.895533915893</v>
      </c>
      <c r="G111">
        <f>Portfolio!B$6*'CurrentFact-N10,20,40,60Unchan'!F111</f>
        <v>3696.2945087936532</v>
      </c>
      <c r="H111">
        <f>Portfolio!B$7*'CurrentFact-N10,20,40,60Unchan'!J111</f>
        <v>2064.4550337304254</v>
      </c>
      <c r="I111">
        <f t="shared" si="2"/>
        <v>96505.128553694783</v>
      </c>
      <c r="J111">
        <f t="shared" si="3"/>
        <v>0</v>
      </c>
    </row>
    <row r="112" spans="1:10">
      <c r="A112" s="1">
        <v>45625</v>
      </c>
      <c r="B112">
        <f>(3/(1+('CurrentFact-N10,20,40,60Unchan'!C112)/100)+103/POWER(1+('CurrentFact-N10,20,40,60Unchan'!D112)/100,2))*100</f>
        <v>9707.5857774288397</v>
      </c>
      <c r="C112">
        <f>(3/(1+('CurrentFact-N10,20,40,60Unchan'!C112+'CurrentFact-N10,20,40,60Unchan'!G112)/100)+103/POWER(1+('CurrentFact-N10,20,40,60Unchan'!D112+'CurrentFact-N10,20,40,60Unchan'!G112)/100,2))*100</f>
        <v>9614.9673582483465</v>
      </c>
      <c r="D112">
        <f>(3/(1+('CurrentFact-N10,20,40,60Unchan'!C112+'CurrentFact-N10,20,40,60Unchan'!H112)/100)+103/POWER(1+('CurrentFact-N10,20,40,60Unchan'!D112+'CurrentFact-N10,20,40,60Unchan'!H112)/100,2))*100</f>
        <v>9601.2395558122898</v>
      </c>
      <c r="E112">
        <f>(3/(1+('CurrentFact-N10,20,40,60Unchan'!C112+'CurrentFact-N10,20,40,60Unchan'!I112)/100)+103/POWER(1+('CurrentFact-N10,20,40,60Unchan'!D112+'CurrentFact-N10,20,40,60Unchan'!I112)/100,2))*100</f>
        <v>9676.6907857653259</v>
      </c>
      <c r="F112">
        <f>Portfolio!B$5*'CurrentFact-N10,20,40,60Unchan'!E112</f>
        <v>52143.895533915893</v>
      </c>
      <c r="G112">
        <f>Portfolio!B$6*'CurrentFact-N10,20,40,60Unchan'!F112</f>
        <v>3696.2945087936532</v>
      </c>
      <c r="H112">
        <f>Portfolio!B$7*'CurrentFact-N10,20,40,60Unchan'!J112</f>
        <v>2064.4550337304254</v>
      </c>
      <c r="I112">
        <f t="shared" si="2"/>
        <v>96505.128553694783</v>
      </c>
      <c r="J112">
        <f t="shared" si="3"/>
        <v>0</v>
      </c>
    </row>
    <row r="113" spans="1:10">
      <c r="A113" s="1">
        <v>45628</v>
      </c>
      <c r="B113">
        <f>(3/(1+('CurrentFact-N10,20,40,60Unchan'!C113)/100)+103/POWER(1+('CurrentFact-N10,20,40,60Unchan'!D113)/100,2))*100</f>
        <v>9707.5857774288397</v>
      </c>
      <c r="C113">
        <f>(3/(1+('CurrentFact-N10,20,40,60Unchan'!C113+'CurrentFact-N10,20,40,60Unchan'!G113)/100)+103/POWER(1+('CurrentFact-N10,20,40,60Unchan'!D113+'CurrentFact-N10,20,40,60Unchan'!G113)/100,2))*100</f>
        <v>9614.9673582483465</v>
      </c>
      <c r="D113">
        <f>(3/(1+('CurrentFact-N10,20,40,60Unchan'!C113+'CurrentFact-N10,20,40,60Unchan'!H113)/100)+103/POWER(1+('CurrentFact-N10,20,40,60Unchan'!D113+'CurrentFact-N10,20,40,60Unchan'!H113)/100,2))*100</f>
        <v>9601.2395558122898</v>
      </c>
      <c r="E113">
        <f>(3/(1+('CurrentFact-N10,20,40,60Unchan'!C113+'CurrentFact-N10,20,40,60Unchan'!I113)/100)+103/POWER(1+('CurrentFact-N10,20,40,60Unchan'!D113+'CurrentFact-N10,20,40,60Unchan'!I113)/100,2))*100</f>
        <v>9676.6907857653259</v>
      </c>
      <c r="F113">
        <f>Portfolio!B$5*'CurrentFact-N10,20,40,60Unchan'!E113</f>
        <v>52143.895533915893</v>
      </c>
      <c r="G113">
        <f>Portfolio!B$6*'CurrentFact-N10,20,40,60Unchan'!F113</f>
        <v>3696.2945087936532</v>
      </c>
      <c r="H113">
        <f>Portfolio!B$7*'CurrentFact-N10,20,40,60Unchan'!J113</f>
        <v>2064.4550337304254</v>
      </c>
      <c r="I113">
        <f t="shared" si="2"/>
        <v>96505.128553694783</v>
      </c>
      <c r="J113">
        <f t="shared" si="3"/>
        <v>0</v>
      </c>
    </row>
    <row r="114" spans="1:10">
      <c r="A114" s="1">
        <v>45629</v>
      </c>
      <c r="B114">
        <f>(3/(1+('CurrentFact-N10,20,40,60Unchan'!C114)/100)+103/POWER(1+('CurrentFact-N10,20,40,60Unchan'!D114)/100,2))*100</f>
        <v>9707.5857774288397</v>
      </c>
      <c r="C114">
        <f>(3/(1+('CurrentFact-N10,20,40,60Unchan'!C114+'CurrentFact-N10,20,40,60Unchan'!G114)/100)+103/POWER(1+('CurrentFact-N10,20,40,60Unchan'!D114+'CurrentFact-N10,20,40,60Unchan'!G114)/100,2))*100</f>
        <v>9614.9673582483465</v>
      </c>
      <c r="D114">
        <f>(3/(1+('CurrentFact-N10,20,40,60Unchan'!C114+'CurrentFact-N10,20,40,60Unchan'!H114)/100)+103/POWER(1+('CurrentFact-N10,20,40,60Unchan'!D114+'CurrentFact-N10,20,40,60Unchan'!H114)/100,2))*100</f>
        <v>9601.2395558122898</v>
      </c>
      <c r="E114">
        <f>(3/(1+('CurrentFact-N10,20,40,60Unchan'!C114+'CurrentFact-N10,20,40,60Unchan'!I114)/100)+103/POWER(1+('CurrentFact-N10,20,40,60Unchan'!D114+'CurrentFact-N10,20,40,60Unchan'!I114)/100,2))*100</f>
        <v>9676.6907857653259</v>
      </c>
      <c r="F114">
        <f>Portfolio!B$5*'CurrentFact-N10,20,40,60Unchan'!E114</f>
        <v>52143.895533915893</v>
      </c>
      <c r="G114">
        <f>Portfolio!B$6*'CurrentFact-N10,20,40,60Unchan'!F114</f>
        <v>3696.2945087936532</v>
      </c>
      <c r="H114">
        <f>Portfolio!B$7*'CurrentFact-N10,20,40,60Unchan'!J114</f>
        <v>2064.4550337304254</v>
      </c>
      <c r="I114">
        <f t="shared" si="2"/>
        <v>96505.128553694783</v>
      </c>
      <c r="J114">
        <f t="shared" si="3"/>
        <v>0</v>
      </c>
    </row>
    <row r="115" spans="1:10">
      <c r="A115" s="1">
        <v>45630</v>
      </c>
      <c r="B115">
        <f>(3/(1+('CurrentFact-N10,20,40,60Unchan'!C115)/100)+103/POWER(1+('CurrentFact-N10,20,40,60Unchan'!D115)/100,2))*100</f>
        <v>9707.5857774288397</v>
      </c>
      <c r="C115">
        <f>(3/(1+('CurrentFact-N10,20,40,60Unchan'!C115+'CurrentFact-N10,20,40,60Unchan'!G115)/100)+103/POWER(1+('CurrentFact-N10,20,40,60Unchan'!D115+'CurrentFact-N10,20,40,60Unchan'!G115)/100,2))*100</f>
        <v>9614.9673582483465</v>
      </c>
      <c r="D115">
        <f>(3/(1+('CurrentFact-N10,20,40,60Unchan'!C115+'CurrentFact-N10,20,40,60Unchan'!H115)/100)+103/POWER(1+('CurrentFact-N10,20,40,60Unchan'!D115+'CurrentFact-N10,20,40,60Unchan'!H115)/100,2))*100</f>
        <v>9601.2395558122898</v>
      </c>
      <c r="E115">
        <f>(3/(1+('CurrentFact-N10,20,40,60Unchan'!C115+'CurrentFact-N10,20,40,60Unchan'!I115)/100)+103/POWER(1+('CurrentFact-N10,20,40,60Unchan'!D115+'CurrentFact-N10,20,40,60Unchan'!I115)/100,2))*100</f>
        <v>9676.6907857653259</v>
      </c>
      <c r="F115">
        <f>Portfolio!B$5*'CurrentFact-N10,20,40,60Unchan'!E115</f>
        <v>52143.895533915893</v>
      </c>
      <c r="G115">
        <f>Portfolio!B$6*'CurrentFact-N10,20,40,60Unchan'!F115</f>
        <v>3696.2945087936532</v>
      </c>
      <c r="H115">
        <f>Portfolio!B$7*'CurrentFact-N10,20,40,60Unchan'!J115</f>
        <v>2064.4550337304254</v>
      </c>
      <c r="I115">
        <f t="shared" si="2"/>
        <v>96505.128553694783</v>
      </c>
      <c r="J115">
        <f t="shared" si="3"/>
        <v>0</v>
      </c>
    </row>
    <row r="116" spans="1:10">
      <c r="A116" s="1">
        <v>45631</v>
      </c>
      <c r="B116">
        <f>(3/(1+('CurrentFact-N10,20,40,60Unchan'!C116)/100)+103/POWER(1+('CurrentFact-N10,20,40,60Unchan'!D116)/100,2))*100</f>
        <v>9707.5857774288397</v>
      </c>
      <c r="C116">
        <f>(3/(1+('CurrentFact-N10,20,40,60Unchan'!C116+'CurrentFact-N10,20,40,60Unchan'!G116)/100)+103/POWER(1+('CurrentFact-N10,20,40,60Unchan'!D116+'CurrentFact-N10,20,40,60Unchan'!G116)/100,2))*100</f>
        <v>9614.9673582483465</v>
      </c>
      <c r="D116">
        <f>(3/(1+('CurrentFact-N10,20,40,60Unchan'!C116+'CurrentFact-N10,20,40,60Unchan'!H116)/100)+103/POWER(1+('CurrentFact-N10,20,40,60Unchan'!D116+'CurrentFact-N10,20,40,60Unchan'!H116)/100,2))*100</f>
        <v>9601.2395558122898</v>
      </c>
      <c r="E116">
        <f>(3/(1+('CurrentFact-N10,20,40,60Unchan'!C116+'CurrentFact-N10,20,40,60Unchan'!I116)/100)+103/POWER(1+('CurrentFact-N10,20,40,60Unchan'!D116+'CurrentFact-N10,20,40,60Unchan'!I116)/100,2))*100</f>
        <v>9676.6907857653259</v>
      </c>
      <c r="F116">
        <f>Portfolio!B$5*'CurrentFact-N10,20,40,60Unchan'!E116</f>
        <v>52143.895533915893</v>
      </c>
      <c r="G116">
        <f>Portfolio!B$6*'CurrentFact-N10,20,40,60Unchan'!F116</f>
        <v>3696.2945087936532</v>
      </c>
      <c r="H116">
        <f>Portfolio!B$7*'CurrentFact-N10,20,40,60Unchan'!J116</f>
        <v>2064.4550337304254</v>
      </c>
      <c r="I116">
        <f t="shared" si="2"/>
        <v>96505.128553694783</v>
      </c>
      <c r="J116">
        <f t="shared" si="3"/>
        <v>0</v>
      </c>
    </row>
    <row r="117" spans="1:10">
      <c r="A117" s="1">
        <v>45632</v>
      </c>
      <c r="B117">
        <f>(3/(1+('CurrentFact-N10,20,40,60Unchan'!C117)/100)+103/POWER(1+('CurrentFact-N10,20,40,60Unchan'!D117)/100,2))*100</f>
        <v>9707.5857774288397</v>
      </c>
      <c r="C117">
        <f>(3/(1+('CurrentFact-N10,20,40,60Unchan'!C117+'CurrentFact-N10,20,40,60Unchan'!G117)/100)+103/POWER(1+('CurrentFact-N10,20,40,60Unchan'!D117+'CurrentFact-N10,20,40,60Unchan'!G117)/100,2))*100</f>
        <v>9614.9673582483465</v>
      </c>
      <c r="D117">
        <f>(3/(1+('CurrentFact-N10,20,40,60Unchan'!C117+'CurrentFact-N10,20,40,60Unchan'!H117)/100)+103/POWER(1+('CurrentFact-N10,20,40,60Unchan'!D117+'CurrentFact-N10,20,40,60Unchan'!H117)/100,2))*100</f>
        <v>9601.2395558122898</v>
      </c>
      <c r="E117">
        <f>(3/(1+('CurrentFact-N10,20,40,60Unchan'!C117+'CurrentFact-N10,20,40,60Unchan'!I117)/100)+103/POWER(1+('CurrentFact-N10,20,40,60Unchan'!D117+'CurrentFact-N10,20,40,60Unchan'!I117)/100,2))*100</f>
        <v>9676.6907857653259</v>
      </c>
      <c r="F117">
        <f>Portfolio!B$5*'CurrentFact-N10,20,40,60Unchan'!E117</f>
        <v>52143.895533915893</v>
      </c>
      <c r="G117">
        <f>Portfolio!B$6*'CurrentFact-N10,20,40,60Unchan'!F117</f>
        <v>3696.2945087936532</v>
      </c>
      <c r="H117">
        <f>Portfolio!B$7*'CurrentFact-N10,20,40,60Unchan'!J117</f>
        <v>2064.4550337304254</v>
      </c>
      <c r="I117">
        <f t="shared" si="2"/>
        <v>96505.128553694783</v>
      </c>
      <c r="J117">
        <f t="shared" si="3"/>
        <v>0</v>
      </c>
    </row>
    <row r="118" spans="1:10">
      <c r="A118" s="1">
        <v>45635</v>
      </c>
      <c r="B118">
        <f>(3/(1+('CurrentFact-N10,20,40,60Unchan'!C118)/100)+103/POWER(1+('CurrentFact-N10,20,40,60Unchan'!D118)/100,2))*100</f>
        <v>9707.5857774288397</v>
      </c>
      <c r="C118">
        <f>(3/(1+('CurrentFact-N10,20,40,60Unchan'!C118+'CurrentFact-N10,20,40,60Unchan'!G118)/100)+103/POWER(1+('CurrentFact-N10,20,40,60Unchan'!D118+'CurrentFact-N10,20,40,60Unchan'!G118)/100,2))*100</f>
        <v>9614.9673582483465</v>
      </c>
      <c r="D118">
        <f>(3/(1+('CurrentFact-N10,20,40,60Unchan'!C118+'CurrentFact-N10,20,40,60Unchan'!H118)/100)+103/POWER(1+('CurrentFact-N10,20,40,60Unchan'!D118+'CurrentFact-N10,20,40,60Unchan'!H118)/100,2))*100</f>
        <v>9601.2395558122898</v>
      </c>
      <c r="E118">
        <f>(3/(1+('CurrentFact-N10,20,40,60Unchan'!C118+'CurrentFact-N10,20,40,60Unchan'!I118)/100)+103/POWER(1+('CurrentFact-N10,20,40,60Unchan'!D118+'CurrentFact-N10,20,40,60Unchan'!I118)/100,2))*100</f>
        <v>9676.6907857653259</v>
      </c>
      <c r="F118">
        <f>Portfolio!B$5*'CurrentFact-N10,20,40,60Unchan'!E118</f>
        <v>52143.895533915893</v>
      </c>
      <c r="G118">
        <f>Portfolio!B$6*'CurrentFact-N10,20,40,60Unchan'!F118</f>
        <v>3696.2945087936532</v>
      </c>
      <c r="H118">
        <f>Portfolio!B$7*'CurrentFact-N10,20,40,60Unchan'!J118</f>
        <v>2064.4550337304254</v>
      </c>
      <c r="I118">
        <f t="shared" si="2"/>
        <v>96505.128553694783</v>
      </c>
      <c r="J118">
        <f t="shared" si="3"/>
        <v>0</v>
      </c>
    </row>
    <row r="119" spans="1:10">
      <c r="A119" s="1">
        <v>45636</v>
      </c>
      <c r="B119">
        <f>(3/(1+('CurrentFact-N10,20,40,60Unchan'!C119)/100)+103/POWER(1+('CurrentFact-N10,20,40,60Unchan'!D119)/100,2))*100</f>
        <v>9707.5857774288397</v>
      </c>
      <c r="C119">
        <f>(3/(1+('CurrentFact-N10,20,40,60Unchan'!C119+'CurrentFact-N10,20,40,60Unchan'!G119)/100)+103/POWER(1+('CurrentFact-N10,20,40,60Unchan'!D119+'CurrentFact-N10,20,40,60Unchan'!G119)/100,2))*100</f>
        <v>9614.9673582483465</v>
      </c>
      <c r="D119">
        <f>(3/(1+('CurrentFact-N10,20,40,60Unchan'!C119+'CurrentFact-N10,20,40,60Unchan'!H119)/100)+103/POWER(1+('CurrentFact-N10,20,40,60Unchan'!D119+'CurrentFact-N10,20,40,60Unchan'!H119)/100,2))*100</f>
        <v>9601.2395558122898</v>
      </c>
      <c r="E119">
        <f>(3/(1+('CurrentFact-N10,20,40,60Unchan'!C119+'CurrentFact-N10,20,40,60Unchan'!I119)/100)+103/POWER(1+('CurrentFact-N10,20,40,60Unchan'!D119+'CurrentFact-N10,20,40,60Unchan'!I119)/100,2))*100</f>
        <v>9676.6907857653259</v>
      </c>
      <c r="F119">
        <f>Portfolio!B$5*'CurrentFact-N10,20,40,60Unchan'!E119</f>
        <v>52143.895533915893</v>
      </c>
      <c r="G119">
        <f>Portfolio!B$6*'CurrentFact-N10,20,40,60Unchan'!F119</f>
        <v>3696.2945087936532</v>
      </c>
      <c r="H119">
        <f>Portfolio!B$7*'CurrentFact-N10,20,40,60Unchan'!J119</f>
        <v>2064.4550337304254</v>
      </c>
      <c r="I119">
        <f t="shared" si="2"/>
        <v>96505.128553694783</v>
      </c>
      <c r="J119">
        <f t="shared" si="3"/>
        <v>0</v>
      </c>
    </row>
    <row r="120" spans="1:10">
      <c r="A120" s="1">
        <v>45637</v>
      </c>
      <c r="B120">
        <f>(3/(1+('CurrentFact-N10,20,40,60Unchan'!C120)/100)+103/POWER(1+('CurrentFact-N10,20,40,60Unchan'!D120)/100,2))*100</f>
        <v>9707.5857774288397</v>
      </c>
      <c r="C120">
        <f>(3/(1+('CurrentFact-N10,20,40,60Unchan'!C120+'CurrentFact-N10,20,40,60Unchan'!G120)/100)+103/POWER(1+('CurrentFact-N10,20,40,60Unchan'!D120+'CurrentFact-N10,20,40,60Unchan'!G120)/100,2))*100</f>
        <v>9614.9673582483465</v>
      </c>
      <c r="D120">
        <f>(3/(1+('CurrentFact-N10,20,40,60Unchan'!C120+'CurrentFact-N10,20,40,60Unchan'!H120)/100)+103/POWER(1+('CurrentFact-N10,20,40,60Unchan'!D120+'CurrentFact-N10,20,40,60Unchan'!H120)/100,2))*100</f>
        <v>9601.2395558122898</v>
      </c>
      <c r="E120">
        <f>(3/(1+('CurrentFact-N10,20,40,60Unchan'!C120+'CurrentFact-N10,20,40,60Unchan'!I120)/100)+103/POWER(1+('CurrentFact-N10,20,40,60Unchan'!D120+'CurrentFact-N10,20,40,60Unchan'!I120)/100,2))*100</f>
        <v>9676.6907857653259</v>
      </c>
      <c r="F120">
        <f>Portfolio!B$5*'CurrentFact-N10,20,40,60Unchan'!E120</f>
        <v>52143.895533915893</v>
      </c>
      <c r="G120">
        <f>Portfolio!B$6*'CurrentFact-N10,20,40,60Unchan'!F120</f>
        <v>3696.2945087936532</v>
      </c>
      <c r="H120">
        <f>Portfolio!B$7*'CurrentFact-N10,20,40,60Unchan'!J120</f>
        <v>2064.4550337304254</v>
      </c>
      <c r="I120">
        <f t="shared" si="2"/>
        <v>96505.128553694783</v>
      </c>
      <c r="J120">
        <f t="shared" si="3"/>
        <v>0</v>
      </c>
    </row>
    <row r="121" spans="1:10">
      <c r="A121" s="1">
        <v>45638</v>
      </c>
      <c r="B121">
        <f>(3/(1+('CurrentFact-N10,20,40,60Unchan'!C121)/100)+103/POWER(1+('CurrentFact-N10,20,40,60Unchan'!D121)/100,2))*100</f>
        <v>9707.5857774288397</v>
      </c>
      <c r="C121">
        <f>(3/(1+('CurrentFact-N10,20,40,60Unchan'!C121+'CurrentFact-N10,20,40,60Unchan'!G121)/100)+103/POWER(1+('CurrentFact-N10,20,40,60Unchan'!D121+'CurrentFact-N10,20,40,60Unchan'!G121)/100,2))*100</f>
        <v>9614.9673582483465</v>
      </c>
      <c r="D121">
        <f>(3/(1+('CurrentFact-N10,20,40,60Unchan'!C121+'CurrentFact-N10,20,40,60Unchan'!H121)/100)+103/POWER(1+('CurrentFact-N10,20,40,60Unchan'!D121+'CurrentFact-N10,20,40,60Unchan'!H121)/100,2))*100</f>
        <v>9601.2395558122898</v>
      </c>
      <c r="E121">
        <f>(3/(1+('CurrentFact-N10,20,40,60Unchan'!C121+'CurrentFact-N10,20,40,60Unchan'!I121)/100)+103/POWER(1+('CurrentFact-N10,20,40,60Unchan'!D121+'CurrentFact-N10,20,40,60Unchan'!I121)/100,2))*100</f>
        <v>9676.6907857653259</v>
      </c>
      <c r="F121">
        <f>Portfolio!B$5*'CurrentFact-N10,20,40,60Unchan'!E121</f>
        <v>52143.895533915893</v>
      </c>
      <c r="G121">
        <f>Portfolio!B$6*'CurrentFact-N10,20,40,60Unchan'!F121</f>
        <v>3696.2945087936532</v>
      </c>
      <c r="H121">
        <f>Portfolio!B$7*'CurrentFact-N10,20,40,60Unchan'!J121</f>
        <v>2064.4550337304254</v>
      </c>
      <c r="I121">
        <f t="shared" si="2"/>
        <v>96505.128553694783</v>
      </c>
      <c r="J121">
        <f t="shared" si="3"/>
        <v>0</v>
      </c>
    </row>
    <row r="122" spans="1:10">
      <c r="A122" s="1">
        <v>45639</v>
      </c>
      <c r="B122">
        <f>(3/(1+('CurrentFact-N10,20,40,60Unchan'!C122)/100)+103/POWER(1+('CurrentFact-N10,20,40,60Unchan'!D122)/100,2))*100</f>
        <v>9707.5857774288397</v>
      </c>
      <c r="C122">
        <f>(3/(1+('CurrentFact-N10,20,40,60Unchan'!C122+'CurrentFact-N10,20,40,60Unchan'!G122)/100)+103/POWER(1+('CurrentFact-N10,20,40,60Unchan'!D122+'CurrentFact-N10,20,40,60Unchan'!G122)/100,2))*100</f>
        <v>9614.9673582483465</v>
      </c>
      <c r="D122">
        <f>(3/(1+('CurrentFact-N10,20,40,60Unchan'!C122+'CurrentFact-N10,20,40,60Unchan'!H122)/100)+103/POWER(1+('CurrentFact-N10,20,40,60Unchan'!D122+'CurrentFact-N10,20,40,60Unchan'!H122)/100,2))*100</f>
        <v>9601.2395558122898</v>
      </c>
      <c r="E122">
        <f>(3/(1+('CurrentFact-N10,20,40,60Unchan'!C122+'CurrentFact-N10,20,40,60Unchan'!I122)/100)+103/POWER(1+('CurrentFact-N10,20,40,60Unchan'!D122+'CurrentFact-N10,20,40,60Unchan'!I122)/100,2))*100</f>
        <v>9676.6907857653259</v>
      </c>
      <c r="F122">
        <f>Portfolio!B$5*'CurrentFact-N10,20,40,60Unchan'!E122</f>
        <v>52143.895533915893</v>
      </c>
      <c r="G122">
        <f>Portfolio!B$6*'CurrentFact-N10,20,40,60Unchan'!F122</f>
        <v>3696.2945087936532</v>
      </c>
      <c r="H122">
        <f>Portfolio!B$7*'CurrentFact-N10,20,40,60Unchan'!J122</f>
        <v>2064.4550337304254</v>
      </c>
      <c r="I122">
        <f t="shared" si="2"/>
        <v>96505.128553694783</v>
      </c>
      <c r="J122">
        <f t="shared" si="3"/>
        <v>0</v>
      </c>
    </row>
    <row r="123" spans="1:10">
      <c r="A123" s="1">
        <v>45642</v>
      </c>
      <c r="B123">
        <f>(3/(1+('CurrentFact-N10,20,40,60Unchan'!C123)/100)+103/POWER(1+('CurrentFact-N10,20,40,60Unchan'!D123)/100,2))*100</f>
        <v>9707.5857774288397</v>
      </c>
      <c r="C123">
        <f>(3/(1+('CurrentFact-N10,20,40,60Unchan'!C123+'CurrentFact-N10,20,40,60Unchan'!G123)/100)+103/POWER(1+('CurrentFact-N10,20,40,60Unchan'!D123+'CurrentFact-N10,20,40,60Unchan'!G123)/100,2))*100</f>
        <v>9614.9673582483465</v>
      </c>
      <c r="D123">
        <f>(3/(1+('CurrentFact-N10,20,40,60Unchan'!C123+'CurrentFact-N10,20,40,60Unchan'!H123)/100)+103/POWER(1+('CurrentFact-N10,20,40,60Unchan'!D123+'CurrentFact-N10,20,40,60Unchan'!H123)/100,2))*100</f>
        <v>9601.2395558122898</v>
      </c>
      <c r="E123">
        <f>(3/(1+('CurrentFact-N10,20,40,60Unchan'!C123+'CurrentFact-N10,20,40,60Unchan'!I123)/100)+103/POWER(1+('CurrentFact-N10,20,40,60Unchan'!D123+'CurrentFact-N10,20,40,60Unchan'!I123)/100,2))*100</f>
        <v>9676.6907857653259</v>
      </c>
      <c r="F123">
        <f>Portfolio!B$5*'CurrentFact-N10,20,40,60Unchan'!E123</f>
        <v>52143.895533915893</v>
      </c>
      <c r="G123">
        <f>Portfolio!B$6*'CurrentFact-N10,20,40,60Unchan'!F123</f>
        <v>3696.2945087936532</v>
      </c>
      <c r="H123">
        <f>Portfolio!B$7*'CurrentFact-N10,20,40,60Unchan'!J123</f>
        <v>2064.4550337304254</v>
      </c>
      <c r="I123">
        <f t="shared" si="2"/>
        <v>96505.128553694783</v>
      </c>
      <c r="J123">
        <f t="shared" si="3"/>
        <v>0</v>
      </c>
    </row>
    <row r="124" spans="1:10">
      <c r="A124" s="1">
        <v>45643</v>
      </c>
      <c r="B124">
        <f>(3/(1+('CurrentFact-N10,20,40,60Unchan'!C124)/100)+103/POWER(1+('CurrentFact-N10,20,40,60Unchan'!D124)/100,2))*100</f>
        <v>9707.5857774288397</v>
      </c>
      <c r="C124">
        <f>(3/(1+('CurrentFact-N10,20,40,60Unchan'!C124+'CurrentFact-N10,20,40,60Unchan'!G124)/100)+103/POWER(1+('CurrentFact-N10,20,40,60Unchan'!D124+'CurrentFact-N10,20,40,60Unchan'!G124)/100,2))*100</f>
        <v>9614.9673582483465</v>
      </c>
      <c r="D124">
        <f>(3/(1+('CurrentFact-N10,20,40,60Unchan'!C124+'CurrentFact-N10,20,40,60Unchan'!H124)/100)+103/POWER(1+('CurrentFact-N10,20,40,60Unchan'!D124+'CurrentFact-N10,20,40,60Unchan'!H124)/100,2))*100</f>
        <v>9601.2395558122898</v>
      </c>
      <c r="E124">
        <f>(3/(1+('CurrentFact-N10,20,40,60Unchan'!C124+'CurrentFact-N10,20,40,60Unchan'!I124)/100)+103/POWER(1+('CurrentFact-N10,20,40,60Unchan'!D124+'CurrentFact-N10,20,40,60Unchan'!I124)/100,2))*100</f>
        <v>9676.6907857653259</v>
      </c>
      <c r="F124">
        <f>Portfolio!B$5*'CurrentFact-N10,20,40,60Unchan'!E124</f>
        <v>52143.895533915893</v>
      </c>
      <c r="G124">
        <f>Portfolio!B$6*'CurrentFact-N10,20,40,60Unchan'!F124</f>
        <v>3696.2945087936532</v>
      </c>
      <c r="H124">
        <f>Portfolio!B$7*'CurrentFact-N10,20,40,60Unchan'!J124</f>
        <v>2064.4550337304254</v>
      </c>
      <c r="I124">
        <f t="shared" si="2"/>
        <v>96505.128553694783</v>
      </c>
      <c r="J124">
        <f t="shared" si="3"/>
        <v>0</v>
      </c>
    </row>
    <row r="125" spans="1:10">
      <c r="A125" s="1">
        <v>45644</v>
      </c>
      <c r="B125">
        <f>(3/(1+('CurrentFact-N10,20,40,60Unchan'!C125)/100)+103/POWER(1+('CurrentFact-N10,20,40,60Unchan'!D125)/100,2))*100</f>
        <v>9707.5857774288397</v>
      </c>
      <c r="C125">
        <f>(3/(1+('CurrentFact-N10,20,40,60Unchan'!C125+'CurrentFact-N10,20,40,60Unchan'!G125)/100)+103/POWER(1+('CurrentFact-N10,20,40,60Unchan'!D125+'CurrentFact-N10,20,40,60Unchan'!G125)/100,2))*100</f>
        <v>9614.9673582483465</v>
      </c>
      <c r="D125">
        <f>(3/(1+('CurrentFact-N10,20,40,60Unchan'!C125+'CurrentFact-N10,20,40,60Unchan'!H125)/100)+103/POWER(1+('CurrentFact-N10,20,40,60Unchan'!D125+'CurrentFact-N10,20,40,60Unchan'!H125)/100,2))*100</f>
        <v>9601.2395558122898</v>
      </c>
      <c r="E125">
        <f>(3/(1+('CurrentFact-N10,20,40,60Unchan'!C125+'CurrentFact-N10,20,40,60Unchan'!I125)/100)+103/POWER(1+('CurrentFact-N10,20,40,60Unchan'!D125+'CurrentFact-N10,20,40,60Unchan'!I125)/100,2))*100</f>
        <v>9676.6907857653259</v>
      </c>
      <c r="F125">
        <f>Portfolio!B$5*'CurrentFact-N10,20,40,60Unchan'!E125</f>
        <v>52143.895533915893</v>
      </c>
      <c r="G125">
        <f>Portfolio!B$6*'CurrentFact-N10,20,40,60Unchan'!F125</f>
        <v>3696.2945087936532</v>
      </c>
      <c r="H125">
        <f>Portfolio!B$7*'CurrentFact-N10,20,40,60Unchan'!J125</f>
        <v>2064.4550337304254</v>
      </c>
      <c r="I125">
        <f t="shared" si="2"/>
        <v>96505.128553694783</v>
      </c>
      <c r="J125">
        <f t="shared" si="3"/>
        <v>0</v>
      </c>
    </row>
    <row r="126" spans="1:10">
      <c r="A126" s="1">
        <v>45645</v>
      </c>
      <c r="B126">
        <f>(3/(1+('CurrentFact-N10,20,40,60Unchan'!C126)/100)+103/POWER(1+('CurrentFact-N10,20,40,60Unchan'!D126)/100,2))*100</f>
        <v>9707.5857774288397</v>
      </c>
      <c r="C126">
        <f>(3/(1+('CurrentFact-N10,20,40,60Unchan'!C126+'CurrentFact-N10,20,40,60Unchan'!G126)/100)+103/POWER(1+('CurrentFact-N10,20,40,60Unchan'!D126+'CurrentFact-N10,20,40,60Unchan'!G126)/100,2))*100</f>
        <v>9614.9673582483465</v>
      </c>
      <c r="D126">
        <f>(3/(1+('CurrentFact-N10,20,40,60Unchan'!C126+'CurrentFact-N10,20,40,60Unchan'!H126)/100)+103/POWER(1+('CurrentFact-N10,20,40,60Unchan'!D126+'CurrentFact-N10,20,40,60Unchan'!H126)/100,2))*100</f>
        <v>9601.2395558122898</v>
      </c>
      <c r="E126">
        <f>(3/(1+('CurrentFact-N10,20,40,60Unchan'!C126+'CurrentFact-N10,20,40,60Unchan'!I126)/100)+103/POWER(1+('CurrentFact-N10,20,40,60Unchan'!D126+'CurrentFact-N10,20,40,60Unchan'!I126)/100,2))*100</f>
        <v>9676.6907857653259</v>
      </c>
      <c r="F126">
        <f>Portfolio!B$5*'CurrentFact-N10,20,40,60Unchan'!E126</f>
        <v>52143.895533915893</v>
      </c>
      <c r="G126">
        <f>Portfolio!B$6*'CurrentFact-N10,20,40,60Unchan'!F126</f>
        <v>3696.2945087936532</v>
      </c>
      <c r="H126">
        <f>Portfolio!B$7*'CurrentFact-N10,20,40,60Unchan'!J126</f>
        <v>2064.4550337304254</v>
      </c>
      <c r="I126">
        <f t="shared" si="2"/>
        <v>96505.128553694783</v>
      </c>
      <c r="J126">
        <f t="shared" si="3"/>
        <v>0</v>
      </c>
    </row>
    <row r="127" spans="1:10">
      <c r="A127" s="1">
        <v>45646</v>
      </c>
      <c r="B127">
        <f>(3/(1+('CurrentFact-N10,20,40,60Unchan'!C127)/100)+103/POWER(1+('CurrentFact-N10,20,40,60Unchan'!D127)/100,2))*100</f>
        <v>9707.5857774288397</v>
      </c>
      <c r="C127">
        <f>(3/(1+('CurrentFact-N10,20,40,60Unchan'!C127+'CurrentFact-N10,20,40,60Unchan'!G127)/100)+103/POWER(1+('CurrentFact-N10,20,40,60Unchan'!D127+'CurrentFact-N10,20,40,60Unchan'!G127)/100,2))*100</f>
        <v>9614.9673582483465</v>
      </c>
      <c r="D127">
        <f>(3/(1+('CurrentFact-N10,20,40,60Unchan'!C127+'CurrentFact-N10,20,40,60Unchan'!H127)/100)+103/POWER(1+('CurrentFact-N10,20,40,60Unchan'!D127+'CurrentFact-N10,20,40,60Unchan'!H127)/100,2))*100</f>
        <v>9601.2395558122898</v>
      </c>
      <c r="E127">
        <f>(3/(1+('CurrentFact-N10,20,40,60Unchan'!C127+'CurrentFact-N10,20,40,60Unchan'!I127)/100)+103/POWER(1+('CurrentFact-N10,20,40,60Unchan'!D127+'CurrentFact-N10,20,40,60Unchan'!I127)/100,2))*100</f>
        <v>9676.6907857653259</v>
      </c>
      <c r="F127">
        <f>Portfolio!B$5*'CurrentFact-N10,20,40,60Unchan'!E127</f>
        <v>52143.895533915893</v>
      </c>
      <c r="G127">
        <f>Portfolio!B$6*'CurrentFact-N10,20,40,60Unchan'!F127</f>
        <v>3696.2945087936532</v>
      </c>
      <c r="H127">
        <f>Portfolio!B$7*'CurrentFact-N10,20,40,60Unchan'!J127</f>
        <v>2064.4550337304254</v>
      </c>
      <c r="I127">
        <f t="shared" si="2"/>
        <v>96505.128553694783</v>
      </c>
      <c r="J127">
        <f t="shared" si="3"/>
        <v>0</v>
      </c>
    </row>
    <row r="128" spans="1:10">
      <c r="A128" s="1">
        <v>45649</v>
      </c>
      <c r="B128">
        <f>(3/(1+('CurrentFact-N10,20,40,60Unchan'!C128)/100)+103/POWER(1+('CurrentFact-N10,20,40,60Unchan'!D128)/100,2))*100</f>
        <v>9707.5857774288397</v>
      </c>
      <c r="C128">
        <f>(3/(1+('CurrentFact-N10,20,40,60Unchan'!C128+'CurrentFact-N10,20,40,60Unchan'!G128)/100)+103/POWER(1+('CurrentFact-N10,20,40,60Unchan'!D128+'CurrentFact-N10,20,40,60Unchan'!G128)/100,2))*100</f>
        <v>9614.9673582483465</v>
      </c>
      <c r="D128">
        <f>(3/(1+('CurrentFact-N10,20,40,60Unchan'!C128+'CurrentFact-N10,20,40,60Unchan'!H128)/100)+103/POWER(1+('CurrentFact-N10,20,40,60Unchan'!D128+'CurrentFact-N10,20,40,60Unchan'!H128)/100,2))*100</f>
        <v>9601.2395558122898</v>
      </c>
      <c r="E128">
        <f>(3/(1+('CurrentFact-N10,20,40,60Unchan'!C128+'CurrentFact-N10,20,40,60Unchan'!I128)/100)+103/POWER(1+('CurrentFact-N10,20,40,60Unchan'!D128+'CurrentFact-N10,20,40,60Unchan'!I128)/100,2))*100</f>
        <v>9676.6907857653259</v>
      </c>
      <c r="F128">
        <f>Portfolio!B$5*'CurrentFact-N10,20,40,60Unchan'!E128</f>
        <v>52143.895533915893</v>
      </c>
      <c r="G128">
        <f>Portfolio!B$6*'CurrentFact-N10,20,40,60Unchan'!F128</f>
        <v>3696.2945087936532</v>
      </c>
      <c r="H128">
        <f>Portfolio!B$7*'CurrentFact-N10,20,40,60Unchan'!J128</f>
        <v>2064.4550337304254</v>
      </c>
      <c r="I128">
        <f t="shared" si="2"/>
        <v>96505.128553694783</v>
      </c>
      <c r="J128">
        <f t="shared" si="3"/>
        <v>0</v>
      </c>
    </row>
    <row r="129" spans="1:10">
      <c r="A129" s="1">
        <v>45650</v>
      </c>
      <c r="B129">
        <f>(3/(1+('CurrentFact-N10,20,40,60Unchan'!C129)/100)+103/POWER(1+('CurrentFact-N10,20,40,60Unchan'!D129)/100,2))*100</f>
        <v>9707.5857774288397</v>
      </c>
      <c r="C129">
        <f>(3/(1+('CurrentFact-N10,20,40,60Unchan'!C129+'CurrentFact-N10,20,40,60Unchan'!G129)/100)+103/POWER(1+('CurrentFact-N10,20,40,60Unchan'!D129+'CurrentFact-N10,20,40,60Unchan'!G129)/100,2))*100</f>
        <v>9614.9673582483465</v>
      </c>
      <c r="D129">
        <f>(3/(1+('CurrentFact-N10,20,40,60Unchan'!C129+'CurrentFact-N10,20,40,60Unchan'!H129)/100)+103/POWER(1+('CurrentFact-N10,20,40,60Unchan'!D129+'CurrentFact-N10,20,40,60Unchan'!H129)/100,2))*100</f>
        <v>9601.2395558122898</v>
      </c>
      <c r="E129">
        <f>(3/(1+('CurrentFact-N10,20,40,60Unchan'!C129+'CurrentFact-N10,20,40,60Unchan'!I129)/100)+103/POWER(1+('CurrentFact-N10,20,40,60Unchan'!D129+'CurrentFact-N10,20,40,60Unchan'!I129)/100,2))*100</f>
        <v>9676.6907857653259</v>
      </c>
      <c r="F129">
        <f>Portfolio!B$5*'CurrentFact-N10,20,40,60Unchan'!E129</f>
        <v>52143.895533915893</v>
      </c>
      <c r="G129">
        <f>Portfolio!B$6*'CurrentFact-N10,20,40,60Unchan'!F129</f>
        <v>3696.2945087936532</v>
      </c>
      <c r="H129">
        <f>Portfolio!B$7*'CurrentFact-N10,20,40,60Unchan'!J129</f>
        <v>2064.4550337304254</v>
      </c>
      <c r="I129">
        <f t="shared" si="2"/>
        <v>96505.128553694783</v>
      </c>
      <c r="J129">
        <f t="shared" si="3"/>
        <v>0</v>
      </c>
    </row>
    <row r="130" spans="1:10">
      <c r="A130" s="1">
        <v>45651</v>
      </c>
      <c r="B130">
        <f>(3/(1+('CurrentFact-N10,20,40,60Unchan'!C130)/100)+103/POWER(1+('CurrentFact-N10,20,40,60Unchan'!D130)/100,2))*100</f>
        <v>9707.5857774288397</v>
      </c>
      <c r="C130">
        <f>(3/(1+('CurrentFact-N10,20,40,60Unchan'!C130+'CurrentFact-N10,20,40,60Unchan'!G130)/100)+103/POWER(1+('CurrentFact-N10,20,40,60Unchan'!D130+'CurrentFact-N10,20,40,60Unchan'!G130)/100,2))*100</f>
        <v>9614.9673582483465</v>
      </c>
      <c r="D130">
        <f>(3/(1+('CurrentFact-N10,20,40,60Unchan'!C130+'CurrentFact-N10,20,40,60Unchan'!H130)/100)+103/POWER(1+('CurrentFact-N10,20,40,60Unchan'!D130+'CurrentFact-N10,20,40,60Unchan'!H130)/100,2))*100</f>
        <v>9601.2395558122898</v>
      </c>
      <c r="E130">
        <f>(3/(1+('CurrentFact-N10,20,40,60Unchan'!C130+'CurrentFact-N10,20,40,60Unchan'!I130)/100)+103/POWER(1+('CurrentFact-N10,20,40,60Unchan'!D130+'CurrentFact-N10,20,40,60Unchan'!I130)/100,2))*100</f>
        <v>9676.6907857653259</v>
      </c>
      <c r="F130">
        <f>Portfolio!B$5*'CurrentFact-N10,20,40,60Unchan'!E130</f>
        <v>52143.895533915893</v>
      </c>
      <c r="G130">
        <f>Portfolio!B$6*'CurrentFact-N10,20,40,60Unchan'!F130</f>
        <v>3696.2945087936532</v>
      </c>
      <c r="H130">
        <f>Portfolio!B$7*'CurrentFact-N10,20,40,60Unchan'!J130</f>
        <v>2064.4550337304254</v>
      </c>
      <c r="I130">
        <f t="shared" si="2"/>
        <v>96505.128553694783</v>
      </c>
      <c r="J130">
        <f t="shared" si="3"/>
        <v>0</v>
      </c>
    </row>
    <row r="131" spans="1:10">
      <c r="A131" s="1">
        <v>45652</v>
      </c>
      <c r="B131">
        <f>(3/(1+('CurrentFact-N10,20,40,60Unchan'!C131)/100)+103/POWER(1+('CurrentFact-N10,20,40,60Unchan'!D131)/100,2))*100</f>
        <v>9707.5857774288397</v>
      </c>
      <c r="C131">
        <f>(3/(1+('CurrentFact-N10,20,40,60Unchan'!C131+'CurrentFact-N10,20,40,60Unchan'!G131)/100)+103/POWER(1+('CurrentFact-N10,20,40,60Unchan'!D131+'CurrentFact-N10,20,40,60Unchan'!G131)/100,2))*100</f>
        <v>9614.9673582483465</v>
      </c>
      <c r="D131">
        <f>(3/(1+('CurrentFact-N10,20,40,60Unchan'!C131+'CurrentFact-N10,20,40,60Unchan'!H131)/100)+103/POWER(1+('CurrentFact-N10,20,40,60Unchan'!D131+'CurrentFact-N10,20,40,60Unchan'!H131)/100,2))*100</f>
        <v>9601.2395558122898</v>
      </c>
      <c r="E131">
        <f>(3/(1+('CurrentFact-N10,20,40,60Unchan'!C131+'CurrentFact-N10,20,40,60Unchan'!I131)/100)+103/POWER(1+('CurrentFact-N10,20,40,60Unchan'!D131+'CurrentFact-N10,20,40,60Unchan'!I131)/100,2))*100</f>
        <v>9676.6907857653259</v>
      </c>
      <c r="F131">
        <f>Portfolio!B$5*'CurrentFact-N10,20,40,60Unchan'!E131</f>
        <v>52143.895533915893</v>
      </c>
      <c r="G131">
        <f>Portfolio!B$6*'CurrentFact-N10,20,40,60Unchan'!F131</f>
        <v>3696.2945087936532</v>
      </c>
      <c r="H131">
        <f>Portfolio!B$7*'CurrentFact-N10,20,40,60Unchan'!J131</f>
        <v>2064.4550337304254</v>
      </c>
      <c r="I131">
        <f t="shared" si="2"/>
        <v>96505.128553694783</v>
      </c>
      <c r="J131">
        <f t="shared" si="3"/>
        <v>0</v>
      </c>
    </row>
    <row r="132" spans="1:10">
      <c r="A132" s="1">
        <v>45653</v>
      </c>
      <c r="B132">
        <f>(3/(1+('CurrentFact-N10,20,40,60Unchan'!C132)/100)+103/POWER(1+('CurrentFact-N10,20,40,60Unchan'!D132)/100,2))*100</f>
        <v>9707.5857774288397</v>
      </c>
      <c r="C132">
        <f>(3/(1+('CurrentFact-N10,20,40,60Unchan'!C132+'CurrentFact-N10,20,40,60Unchan'!G132)/100)+103/POWER(1+('CurrentFact-N10,20,40,60Unchan'!D132+'CurrentFact-N10,20,40,60Unchan'!G132)/100,2))*100</f>
        <v>9614.9673582483465</v>
      </c>
      <c r="D132">
        <f>(3/(1+('CurrentFact-N10,20,40,60Unchan'!C132+'CurrentFact-N10,20,40,60Unchan'!H132)/100)+103/POWER(1+('CurrentFact-N10,20,40,60Unchan'!D132+'CurrentFact-N10,20,40,60Unchan'!H132)/100,2))*100</f>
        <v>9601.2395558122898</v>
      </c>
      <c r="E132">
        <f>(3/(1+('CurrentFact-N10,20,40,60Unchan'!C132+'CurrentFact-N10,20,40,60Unchan'!I132)/100)+103/POWER(1+('CurrentFact-N10,20,40,60Unchan'!D132+'CurrentFact-N10,20,40,60Unchan'!I132)/100,2))*100</f>
        <v>9676.6907857653259</v>
      </c>
      <c r="F132">
        <f>Portfolio!B$5*'CurrentFact-N10,20,40,60Unchan'!E132</f>
        <v>52143.895533915893</v>
      </c>
      <c r="G132">
        <f>Portfolio!B$6*'CurrentFact-N10,20,40,60Unchan'!F132</f>
        <v>3696.2945087936532</v>
      </c>
      <c r="H132">
        <f>Portfolio!B$7*'CurrentFact-N10,20,40,60Unchan'!J132</f>
        <v>2064.4550337304254</v>
      </c>
      <c r="I132">
        <f t="shared" ref="I132:I187" si="4">SUM(B132:H132)</f>
        <v>96505.128553694783</v>
      </c>
      <c r="J132">
        <f t="shared" si="3"/>
        <v>0</v>
      </c>
    </row>
    <row r="133" spans="1:10">
      <c r="A133" s="1">
        <v>45656</v>
      </c>
      <c r="B133">
        <f>(3/(1+('CurrentFact-N10,20,40,60Unchan'!C133)/100)+103/POWER(1+('CurrentFact-N10,20,40,60Unchan'!D133)/100,2))*100</f>
        <v>9707.5857774288397</v>
      </c>
      <c r="C133">
        <f>(3/(1+('CurrentFact-N10,20,40,60Unchan'!C133+'CurrentFact-N10,20,40,60Unchan'!G133)/100)+103/POWER(1+('CurrentFact-N10,20,40,60Unchan'!D133+'CurrentFact-N10,20,40,60Unchan'!G133)/100,2))*100</f>
        <v>9614.9673582483465</v>
      </c>
      <c r="D133">
        <f>(3/(1+('CurrentFact-N10,20,40,60Unchan'!C133+'CurrentFact-N10,20,40,60Unchan'!H133)/100)+103/POWER(1+('CurrentFact-N10,20,40,60Unchan'!D133+'CurrentFact-N10,20,40,60Unchan'!H133)/100,2))*100</f>
        <v>9601.2395558122898</v>
      </c>
      <c r="E133">
        <f>(3/(1+('CurrentFact-N10,20,40,60Unchan'!C133+'CurrentFact-N10,20,40,60Unchan'!I133)/100)+103/POWER(1+('CurrentFact-N10,20,40,60Unchan'!D133+'CurrentFact-N10,20,40,60Unchan'!I133)/100,2))*100</f>
        <v>9676.6907857653259</v>
      </c>
      <c r="F133">
        <f>Portfolio!B$5*'CurrentFact-N10,20,40,60Unchan'!E133</f>
        <v>52143.895533915893</v>
      </c>
      <c r="G133">
        <f>Portfolio!B$6*'CurrentFact-N10,20,40,60Unchan'!F133</f>
        <v>3696.2945087936532</v>
      </c>
      <c r="H133">
        <f>Portfolio!B$7*'CurrentFact-N10,20,40,60Unchan'!J133</f>
        <v>2064.4550337304254</v>
      </c>
      <c r="I133">
        <f t="shared" si="4"/>
        <v>96505.128553694783</v>
      </c>
      <c r="J133">
        <f t="shared" si="3"/>
        <v>0</v>
      </c>
    </row>
    <row r="134" spans="1:10">
      <c r="A134" s="1">
        <v>45657</v>
      </c>
      <c r="B134">
        <f>(3/(1+('CurrentFact-N10,20,40,60Unchan'!C134)/100)+103/POWER(1+('CurrentFact-N10,20,40,60Unchan'!D134)/100,2))*100</f>
        <v>9707.5857774288397</v>
      </c>
      <c r="C134">
        <f>(3/(1+('CurrentFact-N10,20,40,60Unchan'!C134+'CurrentFact-N10,20,40,60Unchan'!G134)/100)+103/POWER(1+('CurrentFact-N10,20,40,60Unchan'!D134+'CurrentFact-N10,20,40,60Unchan'!G134)/100,2))*100</f>
        <v>9614.9673582483465</v>
      </c>
      <c r="D134">
        <f>(3/(1+('CurrentFact-N10,20,40,60Unchan'!C134+'CurrentFact-N10,20,40,60Unchan'!H134)/100)+103/POWER(1+('CurrentFact-N10,20,40,60Unchan'!D134+'CurrentFact-N10,20,40,60Unchan'!H134)/100,2))*100</f>
        <v>9601.2395558122898</v>
      </c>
      <c r="E134">
        <f>(3/(1+('CurrentFact-N10,20,40,60Unchan'!C134+'CurrentFact-N10,20,40,60Unchan'!I134)/100)+103/POWER(1+('CurrentFact-N10,20,40,60Unchan'!D134+'CurrentFact-N10,20,40,60Unchan'!I134)/100,2))*100</f>
        <v>9676.6907857653259</v>
      </c>
      <c r="F134">
        <f>Portfolio!B$5*'CurrentFact-N10,20,40,60Unchan'!E134</f>
        <v>52143.895533915893</v>
      </c>
      <c r="G134">
        <f>Portfolio!B$6*'CurrentFact-N10,20,40,60Unchan'!F134</f>
        <v>3696.2945087936532</v>
      </c>
      <c r="H134">
        <f>Portfolio!B$7*'CurrentFact-N10,20,40,60Unchan'!J134</f>
        <v>2064.4550337304254</v>
      </c>
      <c r="I134">
        <f t="shared" si="4"/>
        <v>96505.128553694783</v>
      </c>
      <c r="J134">
        <f t="shared" si="3"/>
        <v>0</v>
      </c>
    </row>
    <row r="135" spans="1:10">
      <c r="A135" s="1">
        <v>45658</v>
      </c>
      <c r="B135">
        <f>(3/(1+('CurrentFact-N10,20,40,60Unchan'!C135)/100)+103/POWER(1+('CurrentFact-N10,20,40,60Unchan'!D135)/100,2))*100</f>
        <v>9707.5857774288397</v>
      </c>
      <c r="C135">
        <f>(3/(1+('CurrentFact-N10,20,40,60Unchan'!C135+'CurrentFact-N10,20,40,60Unchan'!G135)/100)+103/POWER(1+('CurrentFact-N10,20,40,60Unchan'!D135+'CurrentFact-N10,20,40,60Unchan'!G135)/100,2))*100</f>
        <v>9614.9673582483465</v>
      </c>
      <c r="D135">
        <f>(3/(1+('CurrentFact-N10,20,40,60Unchan'!C135+'CurrentFact-N10,20,40,60Unchan'!H135)/100)+103/POWER(1+('CurrentFact-N10,20,40,60Unchan'!D135+'CurrentFact-N10,20,40,60Unchan'!H135)/100,2))*100</f>
        <v>9601.2395558122898</v>
      </c>
      <c r="E135">
        <f>(3/(1+('CurrentFact-N10,20,40,60Unchan'!C135+'CurrentFact-N10,20,40,60Unchan'!I135)/100)+103/POWER(1+('CurrentFact-N10,20,40,60Unchan'!D135+'CurrentFact-N10,20,40,60Unchan'!I135)/100,2))*100</f>
        <v>9676.6907857653259</v>
      </c>
      <c r="F135">
        <f>Portfolio!B$5*'CurrentFact-N10,20,40,60Unchan'!E135</f>
        <v>52143.895533915893</v>
      </c>
      <c r="G135">
        <f>Portfolio!B$6*'CurrentFact-N10,20,40,60Unchan'!F135</f>
        <v>3696.2945087936532</v>
      </c>
      <c r="H135">
        <f>Portfolio!B$7*'CurrentFact-N10,20,40,60Unchan'!J135</f>
        <v>2064.4550337304254</v>
      </c>
      <c r="I135">
        <f t="shared" si="4"/>
        <v>96505.128553694783</v>
      </c>
      <c r="J135">
        <f t="shared" si="3"/>
        <v>0</v>
      </c>
    </row>
    <row r="136" spans="1:10">
      <c r="A136" s="1">
        <v>45659</v>
      </c>
      <c r="B136">
        <f>(3/(1+('CurrentFact-N10,20,40,60Unchan'!C136)/100)+103/POWER(1+('CurrentFact-N10,20,40,60Unchan'!D136)/100,2))*100</f>
        <v>9707.5857774288397</v>
      </c>
      <c r="C136">
        <f>(3/(1+('CurrentFact-N10,20,40,60Unchan'!C136+'CurrentFact-N10,20,40,60Unchan'!G136)/100)+103/POWER(1+('CurrentFact-N10,20,40,60Unchan'!D136+'CurrentFact-N10,20,40,60Unchan'!G136)/100,2))*100</f>
        <v>9614.9673582483465</v>
      </c>
      <c r="D136">
        <f>(3/(1+('CurrentFact-N10,20,40,60Unchan'!C136+'CurrentFact-N10,20,40,60Unchan'!H136)/100)+103/POWER(1+('CurrentFact-N10,20,40,60Unchan'!D136+'CurrentFact-N10,20,40,60Unchan'!H136)/100,2))*100</f>
        <v>9601.2395558122898</v>
      </c>
      <c r="E136">
        <f>(3/(1+('CurrentFact-N10,20,40,60Unchan'!C136+'CurrentFact-N10,20,40,60Unchan'!I136)/100)+103/POWER(1+('CurrentFact-N10,20,40,60Unchan'!D136+'CurrentFact-N10,20,40,60Unchan'!I136)/100,2))*100</f>
        <v>9676.6907857653259</v>
      </c>
      <c r="F136">
        <f>Portfolio!B$5*'CurrentFact-N10,20,40,60Unchan'!E136</f>
        <v>52143.895533915893</v>
      </c>
      <c r="G136">
        <f>Portfolio!B$6*'CurrentFact-N10,20,40,60Unchan'!F136</f>
        <v>3696.2945087936532</v>
      </c>
      <c r="H136">
        <f>Portfolio!B$7*'CurrentFact-N10,20,40,60Unchan'!J136</f>
        <v>2064.4550337304254</v>
      </c>
      <c r="I136">
        <f t="shared" si="4"/>
        <v>96505.128553694783</v>
      </c>
      <c r="J136">
        <f t="shared" si="3"/>
        <v>0</v>
      </c>
    </row>
    <row r="137" spans="1:10">
      <c r="A137" s="1">
        <v>45660</v>
      </c>
      <c r="B137">
        <f>(3/(1+('CurrentFact-N10,20,40,60Unchan'!C137)/100)+103/POWER(1+('CurrentFact-N10,20,40,60Unchan'!D137)/100,2))*100</f>
        <v>9707.5857774288397</v>
      </c>
      <c r="C137">
        <f>(3/(1+('CurrentFact-N10,20,40,60Unchan'!C137+'CurrentFact-N10,20,40,60Unchan'!G137)/100)+103/POWER(1+('CurrentFact-N10,20,40,60Unchan'!D137+'CurrentFact-N10,20,40,60Unchan'!G137)/100,2))*100</f>
        <v>9614.9673582483465</v>
      </c>
      <c r="D137">
        <f>(3/(1+('CurrentFact-N10,20,40,60Unchan'!C137+'CurrentFact-N10,20,40,60Unchan'!H137)/100)+103/POWER(1+('CurrentFact-N10,20,40,60Unchan'!D137+'CurrentFact-N10,20,40,60Unchan'!H137)/100,2))*100</f>
        <v>9601.2395558122898</v>
      </c>
      <c r="E137">
        <f>(3/(1+('CurrentFact-N10,20,40,60Unchan'!C137+'CurrentFact-N10,20,40,60Unchan'!I137)/100)+103/POWER(1+('CurrentFact-N10,20,40,60Unchan'!D137+'CurrentFact-N10,20,40,60Unchan'!I137)/100,2))*100</f>
        <v>9676.6907857653259</v>
      </c>
      <c r="F137">
        <f>Portfolio!B$5*'CurrentFact-N10,20,40,60Unchan'!E137</f>
        <v>52143.895533915893</v>
      </c>
      <c r="G137">
        <f>Portfolio!B$6*'CurrentFact-N10,20,40,60Unchan'!F137</f>
        <v>3696.2945087936532</v>
      </c>
      <c r="H137">
        <f>Portfolio!B$7*'CurrentFact-N10,20,40,60Unchan'!J137</f>
        <v>2064.4550337304254</v>
      </c>
      <c r="I137">
        <f t="shared" si="4"/>
        <v>96505.128553694783</v>
      </c>
      <c r="J137">
        <f t="shared" si="3"/>
        <v>0</v>
      </c>
    </row>
    <row r="138" spans="1:10">
      <c r="A138" s="1">
        <v>45663</v>
      </c>
      <c r="B138">
        <f>(3/(1+('CurrentFact-N10,20,40,60Unchan'!C138)/100)+103/POWER(1+('CurrentFact-N10,20,40,60Unchan'!D138)/100,2))*100</f>
        <v>9707.5857774288397</v>
      </c>
      <c r="C138">
        <f>(3/(1+('CurrentFact-N10,20,40,60Unchan'!C138+'CurrentFact-N10,20,40,60Unchan'!G138)/100)+103/POWER(1+('CurrentFact-N10,20,40,60Unchan'!D138+'CurrentFact-N10,20,40,60Unchan'!G138)/100,2))*100</f>
        <v>9614.9673582483465</v>
      </c>
      <c r="D138">
        <f>(3/(1+('CurrentFact-N10,20,40,60Unchan'!C138+'CurrentFact-N10,20,40,60Unchan'!H138)/100)+103/POWER(1+('CurrentFact-N10,20,40,60Unchan'!D138+'CurrentFact-N10,20,40,60Unchan'!H138)/100,2))*100</f>
        <v>9601.2395558122898</v>
      </c>
      <c r="E138">
        <f>(3/(1+('CurrentFact-N10,20,40,60Unchan'!C138+'CurrentFact-N10,20,40,60Unchan'!I138)/100)+103/POWER(1+('CurrentFact-N10,20,40,60Unchan'!D138+'CurrentFact-N10,20,40,60Unchan'!I138)/100,2))*100</f>
        <v>9676.6907857653259</v>
      </c>
      <c r="F138">
        <f>Portfolio!B$5*'CurrentFact-N10,20,40,60Unchan'!E138</f>
        <v>52143.895533915893</v>
      </c>
      <c r="G138">
        <f>Portfolio!B$6*'CurrentFact-N10,20,40,60Unchan'!F138</f>
        <v>3696.2945087936532</v>
      </c>
      <c r="H138">
        <f>Portfolio!B$7*'CurrentFact-N10,20,40,60Unchan'!J138</f>
        <v>2064.4550337304254</v>
      </c>
      <c r="I138">
        <f t="shared" si="4"/>
        <v>96505.128553694783</v>
      </c>
      <c r="J138">
        <f t="shared" si="3"/>
        <v>0</v>
      </c>
    </row>
    <row r="139" spans="1:10">
      <c r="A139" s="1">
        <v>45664</v>
      </c>
      <c r="B139">
        <f>(3/(1+('CurrentFact-N10,20,40,60Unchan'!C139)/100)+103/POWER(1+('CurrentFact-N10,20,40,60Unchan'!D139)/100,2))*100</f>
        <v>9707.5857774288397</v>
      </c>
      <c r="C139">
        <f>(3/(1+('CurrentFact-N10,20,40,60Unchan'!C139+'CurrentFact-N10,20,40,60Unchan'!G139)/100)+103/POWER(1+('CurrentFact-N10,20,40,60Unchan'!D139+'CurrentFact-N10,20,40,60Unchan'!G139)/100,2))*100</f>
        <v>9614.9673582483465</v>
      </c>
      <c r="D139">
        <f>(3/(1+('CurrentFact-N10,20,40,60Unchan'!C139+'CurrentFact-N10,20,40,60Unchan'!H139)/100)+103/POWER(1+('CurrentFact-N10,20,40,60Unchan'!D139+'CurrentFact-N10,20,40,60Unchan'!H139)/100,2))*100</f>
        <v>9601.2395558122898</v>
      </c>
      <c r="E139">
        <f>(3/(1+('CurrentFact-N10,20,40,60Unchan'!C139+'CurrentFact-N10,20,40,60Unchan'!I139)/100)+103/POWER(1+('CurrentFact-N10,20,40,60Unchan'!D139+'CurrentFact-N10,20,40,60Unchan'!I139)/100,2))*100</f>
        <v>9676.6907857653259</v>
      </c>
      <c r="F139">
        <f>Portfolio!B$5*'CurrentFact-N10,20,40,60Unchan'!E139</f>
        <v>52143.895533915893</v>
      </c>
      <c r="G139">
        <f>Portfolio!B$6*'CurrentFact-N10,20,40,60Unchan'!F139</f>
        <v>3696.2945087936532</v>
      </c>
      <c r="H139">
        <f>Portfolio!B$7*'CurrentFact-N10,20,40,60Unchan'!J139</f>
        <v>2064.4550337304254</v>
      </c>
      <c r="I139">
        <f t="shared" si="4"/>
        <v>96505.128553694783</v>
      </c>
      <c r="J139">
        <f t="shared" si="3"/>
        <v>0</v>
      </c>
    </row>
    <row r="140" spans="1:10">
      <c r="A140" s="1">
        <v>45665</v>
      </c>
      <c r="B140">
        <f>(3/(1+('CurrentFact-N10,20,40,60Unchan'!C140)/100)+103/POWER(1+('CurrentFact-N10,20,40,60Unchan'!D140)/100,2))*100</f>
        <v>9707.5857774288397</v>
      </c>
      <c r="C140">
        <f>(3/(1+('CurrentFact-N10,20,40,60Unchan'!C140+'CurrentFact-N10,20,40,60Unchan'!G140)/100)+103/POWER(1+('CurrentFact-N10,20,40,60Unchan'!D140+'CurrentFact-N10,20,40,60Unchan'!G140)/100,2))*100</f>
        <v>9614.9673582483465</v>
      </c>
      <c r="D140">
        <f>(3/(1+('CurrentFact-N10,20,40,60Unchan'!C140+'CurrentFact-N10,20,40,60Unchan'!H140)/100)+103/POWER(1+('CurrentFact-N10,20,40,60Unchan'!D140+'CurrentFact-N10,20,40,60Unchan'!H140)/100,2))*100</f>
        <v>9601.2395558122898</v>
      </c>
      <c r="E140">
        <f>(3/(1+('CurrentFact-N10,20,40,60Unchan'!C140+'CurrentFact-N10,20,40,60Unchan'!I140)/100)+103/POWER(1+('CurrentFact-N10,20,40,60Unchan'!D140+'CurrentFact-N10,20,40,60Unchan'!I140)/100,2))*100</f>
        <v>9676.6907857653259</v>
      </c>
      <c r="F140">
        <f>Portfolio!B$5*'CurrentFact-N10,20,40,60Unchan'!E140</f>
        <v>52143.895533915893</v>
      </c>
      <c r="G140">
        <f>Portfolio!B$6*'CurrentFact-N10,20,40,60Unchan'!F140</f>
        <v>3696.2945087936532</v>
      </c>
      <c r="H140">
        <f>Portfolio!B$7*'CurrentFact-N10,20,40,60Unchan'!J140</f>
        <v>2064.4550337304254</v>
      </c>
      <c r="I140">
        <f t="shared" si="4"/>
        <v>96505.128553694783</v>
      </c>
      <c r="J140">
        <f t="shared" si="3"/>
        <v>0</v>
      </c>
    </row>
    <row r="141" spans="1:10">
      <c r="A141" s="1">
        <v>45666</v>
      </c>
      <c r="B141">
        <f>(3/(1+('CurrentFact-N10,20,40,60Unchan'!C141)/100)+103/POWER(1+('CurrentFact-N10,20,40,60Unchan'!D141)/100,2))*100</f>
        <v>9707.5857774288397</v>
      </c>
      <c r="C141">
        <f>(3/(1+('CurrentFact-N10,20,40,60Unchan'!C141+'CurrentFact-N10,20,40,60Unchan'!G141)/100)+103/POWER(1+('CurrentFact-N10,20,40,60Unchan'!D141+'CurrentFact-N10,20,40,60Unchan'!G141)/100,2))*100</f>
        <v>9614.9673582483465</v>
      </c>
      <c r="D141">
        <f>(3/(1+('CurrentFact-N10,20,40,60Unchan'!C141+'CurrentFact-N10,20,40,60Unchan'!H141)/100)+103/POWER(1+('CurrentFact-N10,20,40,60Unchan'!D141+'CurrentFact-N10,20,40,60Unchan'!H141)/100,2))*100</f>
        <v>9601.2395558122898</v>
      </c>
      <c r="E141">
        <f>(3/(1+('CurrentFact-N10,20,40,60Unchan'!C141+'CurrentFact-N10,20,40,60Unchan'!I141)/100)+103/POWER(1+('CurrentFact-N10,20,40,60Unchan'!D141+'CurrentFact-N10,20,40,60Unchan'!I141)/100,2))*100</f>
        <v>9676.6907857653259</v>
      </c>
      <c r="F141">
        <f>Portfolio!B$5*'CurrentFact-N10,20,40,60Unchan'!E141</f>
        <v>52143.895533915893</v>
      </c>
      <c r="G141">
        <f>Portfolio!B$6*'CurrentFact-N10,20,40,60Unchan'!F141</f>
        <v>3696.2945087936532</v>
      </c>
      <c r="H141">
        <f>Portfolio!B$7*'CurrentFact-N10,20,40,60Unchan'!J141</f>
        <v>2064.4550337304254</v>
      </c>
      <c r="I141">
        <f t="shared" si="4"/>
        <v>96505.128553694783</v>
      </c>
      <c r="J141">
        <f t="shared" si="3"/>
        <v>0</v>
      </c>
    </row>
    <row r="142" spans="1:10">
      <c r="A142" s="1">
        <v>45667</v>
      </c>
      <c r="B142">
        <f>(3/(1+('CurrentFact-N10,20,40,60Unchan'!C142)/100)+103/POWER(1+('CurrentFact-N10,20,40,60Unchan'!D142)/100,2))*100</f>
        <v>9707.5857774288397</v>
      </c>
      <c r="C142">
        <f>(3/(1+('CurrentFact-N10,20,40,60Unchan'!C142+'CurrentFact-N10,20,40,60Unchan'!G142)/100)+103/POWER(1+('CurrentFact-N10,20,40,60Unchan'!D142+'CurrentFact-N10,20,40,60Unchan'!G142)/100,2))*100</f>
        <v>9614.9673582483465</v>
      </c>
      <c r="D142">
        <f>(3/(1+('CurrentFact-N10,20,40,60Unchan'!C142+'CurrentFact-N10,20,40,60Unchan'!H142)/100)+103/POWER(1+('CurrentFact-N10,20,40,60Unchan'!D142+'CurrentFact-N10,20,40,60Unchan'!H142)/100,2))*100</f>
        <v>9601.2395558122898</v>
      </c>
      <c r="E142">
        <f>(3/(1+('CurrentFact-N10,20,40,60Unchan'!C142+'CurrentFact-N10,20,40,60Unchan'!I142)/100)+103/POWER(1+('CurrentFact-N10,20,40,60Unchan'!D142+'CurrentFact-N10,20,40,60Unchan'!I142)/100,2))*100</f>
        <v>9676.6907857653259</v>
      </c>
      <c r="F142">
        <f>Portfolio!B$5*'CurrentFact-N10,20,40,60Unchan'!E142</f>
        <v>52143.895533915893</v>
      </c>
      <c r="G142">
        <f>Portfolio!B$6*'CurrentFact-N10,20,40,60Unchan'!F142</f>
        <v>3696.2945087936532</v>
      </c>
      <c r="H142">
        <f>Portfolio!B$7*'CurrentFact-N10,20,40,60Unchan'!J142</f>
        <v>2064.4550337304254</v>
      </c>
      <c r="I142">
        <f t="shared" si="4"/>
        <v>96505.128553694783</v>
      </c>
      <c r="J142">
        <f t="shared" ref="J142:J187" si="5">I142-I132</f>
        <v>0</v>
      </c>
    </row>
    <row r="143" spans="1:10">
      <c r="A143" s="1">
        <v>45670</v>
      </c>
      <c r="B143">
        <f>(3/(1+('CurrentFact-N10,20,40,60Unchan'!C143)/100)+103/POWER(1+('CurrentFact-N10,20,40,60Unchan'!D143)/100,2))*100</f>
        <v>9707.5857774288397</v>
      </c>
      <c r="C143">
        <f>(3/(1+('CurrentFact-N10,20,40,60Unchan'!C143+'CurrentFact-N10,20,40,60Unchan'!G143)/100)+103/POWER(1+('CurrentFact-N10,20,40,60Unchan'!D143+'CurrentFact-N10,20,40,60Unchan'!G143)/100,2))*100</f>
        <v>9614.9673582483465</v>
      </c>
      <c r="D143">
        <f>(3/(1+('CurrentFact-N10,20,40,60Unchan'!C143+'CurrentFact-N10,20,40,60Unchan'!H143)/100)+103/POWER(1+('CurrentFact-N10,20,40,60Unchan'!D143+'CurrentFact-N10,20,40,60Unchan'!H143)/100,2))*100</f>
        <v>9601.2395558122898</v>
      </c>
      <c r="E143">
        <f>(3/(1+('CurrentFact-N10,20,40,60Unchan'!C143+'CurrentFact-N10,20,40,60Unchan'!I143)/100)+103/POWER(1+('CurrentFact-N10,20,40,60Unchan'!D143+'CurrentFact-N10,20,40,60Unchan'!I143)/100,2))*100</f>
        <v>9676.6907857653259</v>
      </c>
      <c r="F143">
        <f>Portfolio!B$5*'CurrentFact-N10,20,40,60Unchan'!E143</f>
        <v>52143.895533915893</v>
      </c>
      <c r="G143">
        <f>Portfolio!B$6*'CurrentFact-N10,20,40,60Unchan'!F143</f>
        <v>3696.2945087936532</v>
      </c>
      <c r="H143">
        <f>Portfolio!B$7*'CurrentFact-N10,20,40,60Unchan'!J143</f>
        <v>2064.4550337304254</v>
      </c>
      <c r="I143">
        <f t="shared" si="4"/>
        <v>96505.128553694783</v>
      </c>
      <c r="J143">
        <f t="shared" si="5"/>
        <v>0</v>
      </c>
    </row>
    <row r="144" spans="1:10">
      <c r="A144" s="1">
        <v>45671</v>
      </c>
      <c r="B144">
        <f>(3/(1+('CurrentFact-N10,20,40,60Unchan'!C144)/100)+103/POWER(1+('CurrentFact-N10,20,40,60Unchan'!D144)/100,2))*100</f>
        <v>9707.5857774288397</v>
      </c>
      <c r="C144">
        <f>(3/(1+('CurrentFact-N10,20,40,60Unchan'!C144+'CurrentFact-N10,20,40,60Unchan'!G144)/100)+103/POWER(1+('CurrentFact-N10,20,40,60Unchan'!D144+'CurrentFact-N10,20,40,60Unchan'!G144)/100,2))*100</f>
        <v>9614.9673582483465</v>
      </c>
      <c r="D144">
        <f>(3/(1+('CurrentFact-N10,20,40,60Unchan'!C144+'CurrentFact-N10,20,40,60Unchan'!H144)/100)+103/POWER(1+('CurrentFact-N10,20,40,60Unchan'!D144+'CurrentFact-N10,20,40,60Unchan'!H144)/100,2))*100</f>
        <v>9601.2395558122898</v>
      </c>
      <c r="E144">
        <f>(3/(1+('CurrentFact-N10,20,40,60Unchan'!C144+'CurrentFact-N10,20,40,60Unchan'!I144)/100)+103/POWER(1+('CurrentFact-N10,20,40,60Unchan'!D144+'CurrentFact-N10,20,40,60Unchan'!I144)/100,2))*100</f>
        <v>9676.6907857653259</v>
      </c>
      <c r="F144">
        <f>Portfolio!B$5*'CurrentFact-N10,20,40,60Unchan'!E144</f>
        <v>52143.895533915893</v>
      </c>
      <c r="G144">
        <f>Portfolio!B$6*'CurrentFact-N10,20,40,60Unchan'!F144</f>
        <v>3696.2945087936532</v>
      </c>
      <c r="H144">
        <f>Portfolio!B$7*'CurrentFact-N10,20,40,60Unchan'!J144</f>
        <v>2064.4550337304254</v>
      </c>
      <c r="I144">
        <f t="shared" si="4"/>
        <v>96505.128553694783</v>
      </c>
      <c r="J144">
        <f t="shared" si="5"/>
        <v>0</v>
      </c>
    </row>
    <row r="145" spans="1:10">
      <c r="A145" s="1">
        <v>45672</v>
      </c>
      <c r="B145">
        <f>(3/(1+('CurrentFact-N10,20,40,60Unchan'!C145)/100)+103/POWER(1+('CurrentFact-N10,20,40,60Unchan'!D145)/100,2))*100</f>
        <v>9707.5857774288397</v>
      </c>
      <c r="C145">
        <f>(3/(1+('CurrentFact-N10,20,40,60Unchan'!C145+'CurrentFact-N10,20,40,60Unchan'!G145)/100)+103/POWER(1+('CurrentFact-N10,20,40,60Unchan'!D145+'CurrentFact-N10,20,40,60Unchan'!G145)/100,2))*100</f>
        <v>9614.9673582483465</v>
      </c>
      <c r="D145">
        <f>(3/(1+('CurrentFact-N10,20,40,60Unchan'!C145+'CurrentFact-N10,20,40,60Unchan'!H145)/100)+103/POWER(1+('CurrentFact-N10,20,40,60Unchan'!D145+'CurrentFact-N10,20,40,60Unchan'!H145)/100,2))*100</f>
        <v>9601.2395558122898</v>
      </c>
      <c r="E145">
        <f>(3/(1+('CurrentFact-N10,20,40,60Unchan'!C145+'CurrentFact-N10,20,40,60Unchan'!I145)/100)+103/POWER(1+('CurrentFact-N10,20,40,60Unchan'!D145+'CurrentFact-N10,20,40,60Unchan'!I145)/100,2))*100</f>
        <v>9676.6907857653259</v>
      </c>
      <c r="F145">
        <f>Portfolio!B$5*'CurrentFact-N10,20,40,60Unchan'!E145</f>
        <v>52143.895533915893</v>
      </c>
      <c r="G145">
        <f>Portfolio!B$6*'CurrentFact-N10,20,40,60Unchan'!F145</f>
        <v>3696.2945087936532</v>
      </c>
      <c r="H145">
        <f>Portfolio!B$7*'CurrentFact-N10,20,40,60Unchan'!J145</f>
        <v>2064.4550337304254</v>
      </c>
      <c r="I145">
        <f t="shared" si="4"/>
        <v>96505.128553694783</v>
      </c>
      <c r="J145">
        <f t="shared" si="5"/>
        <v>0</v>
      </c>
    </row>
    <row r="146" spans="1:10">
      <c r="A146" s="1">
        <v>45673</v>
      </c>
      <c r="B146">
        <f>(3/(1+('CurrentFact-N10,20,40,60Unchan'!C146)/100)+103/POWER(1+('CurrentFact-N10,20,40,60Unchan'!D146)/100,2))*100</f>
        <v>9707.5857774288397</v>
      </c>
      <c r="C146">
        <f>(3/(1+('CurrentFact-N10,20,40,60Unchan'!C146+'CurrentFact-N10,20,40,60Unchan'!G146)/100)+103/POWER(1+('CurrentFact-N10,20,40,60Unchan'!D146+'CurrentFact-N10,20,40,60Unchan'!G146)/100,2))*100</f>
        <v>9614.9673582483465</v>
      </c>
      <c r="D146">
        <f>(3/(1+('CurrentFact-N10,20,40,60Unchan'!C146+'CurrentFact-N10,20,40,60Unchan'!H146)/100)+103/POWER(1+('CurrentFact-N10,20,40,60Unchan'!D146+'CurrentFact-N10,20,40,60Unchan'!H146)/100,2))*100</f>
        <v>9601.2395558122898</v>
      </c>
      <c r="E146">
        <f>(3/(1+('CurrentFact-N10,20,40,60Unchan'!C146+'CurrentFact-N10,20,40,60Unchan'!I146)/100)+103/POWER(1+('CurrentFact-N10,20,40,60Unchan'!D146+'CurrentFact-N10,20,40,60Unchan'!I146)/100,2))*100</f>
        <v>9676.6907857653259</v>
      </c>
      <c r="F146">
        <f>Portfolio!B$5*'CurrentFact-N10,20,40,60Unchan'!E146</f>
        <v>52143.895533915893</v>
      </c>
      <c r="G146">
        <f>Portfolio!B$6*'CurrentFact-N10,20,40,60Unchan'!F146</f>
        <v>3696.2945087936532</v>
      </c>
      <c r="H146">
        <f>Portfolio!B$7*'CurrentFact-N10,20,40,60Unchan'!J146</f>
        <v>2064.4550337304254</v>
      </c>
      <c r="I146">
        <f t="shared" si="4"/>
        <v>96505.128553694783</v>
      </c>
      <c r="J146">
        <f t="shared" si="5"/>
        <v>0</v>
      </c>
    </row>
    <row r="147" spans="1:10">
      <c r="A147" s="1">
        <v>45674</v>
      </c>
      <c r="B147">
        <f>(3/(1+('CurrentFact-N10,20,40,60Unchan'!C147)/100)+103/POWER(1+('CurrentFact-N10,20,40,60Unchan'!D147)/100,2))*100</f>
        <v>9707.5857774288397</v>
      </c>
      <c r="C147">
        <f>(3/(1+('CurrentFact-N10,20,40,60Unchan'!C147+'CurrentFact-N10,20,40,60Unchan'!G147)/100)+103/POWER(1+('CurrentFact-N10,20,40,60Unchan'!D147+'CurrentFact-N10,20,40,60Unchan'!G147)/100,2))*100</f>
        <v>9614.9673582483465</v>
      </c>
      <c r="D147">
        <f>(3/(1+('CurrentFact-N10,20,40,60Unchan'!C147+'CurrentFact-N10,20,40,60Unchan'!H147)/100)+103/POWER(1+('CurrentFact-N10,20,40,60Unchan'!D147+'CurrentFact-N10,20,40,60Unchan'!H147)/100,2))*100</f>
        <v>9601.2395558122898</v>
      </c>
      <c r="E147">
        <f>(3/(1+('CurrentFact-N10,20,40,60Unchan'!C147+'CurrentFact-N10,20,40,60Unchan'!I147)/100)+103/POWER(1+('CurrentFact-N10,20,40,60Unchan'!D147+'CurrentFact-N10,20,40,60Unchan'!I147)/100,2))*100</f>
        <v>9676.6907857653259</v>
      </c>
      <c r="F147">
        <f>Portfolio!B$5*'CurrentFact-N10,20,40,60Unchan'!E147</f>
        <v>52143.895533915893</v>
      </c>
      <c r="G147">
        <f>Portfolio!B$6*'CurrentFact-N10,20,40,60Unchan'!F147</f>
        <v>3696.2945087936532</v>
      </c>
      <c r="H147">
        <f>Portfolio!B$7*'CurrentFact-N10,20,40,60Unchan'!J147</f>
        <v>2064.4550337304254</v>
      </c>
      <c r="I147">
        <f t="shared" si="4"/>
        <v>96505.128553694783</v>
      </c>
      <c r="J147">
        <f t="shared" si="5"/>
        <v>0</v>
      </c>
    </row>
    <row r="148" spans="1:10">
      <c r="A148" s="1">
        <v>45677</v>
      </c>
      <c r="B148">
        <f>(3/(1+('CurrentFact-N10,20,40,60Unchan'!C148)/100)+103/POWER(1+('CurrentFact-N10,20,40,60Unchan'!D148)/100,2))*100</f>
        <v>9707.5857774288397</v>
      </c>
      <c r="C148">
        <f>(3/(1+('CurrentFact-N10,20,40,60Unchan'!C148+'CurrentFact-N10,20,40,60Unchan'!G148)/100)+103/POWER(1+('CurrentFact-N10,20,40,60Unchan'!D148+'CurrentFact-N10,20,40,60Unchan'!G148)/100,2))*100</f>
        <v>9614.9673582483465</v>
      </c>
      <c r="D148">
        <f>(3/(1+('CurrentFact-N10,20,40,60Unchan'!C148+'CurrentFact-N10,20,40,60Unchan'!H148)/100)+103/POWER(1+('CurrentFact-N10,20,40,60Unchan'!D148+'CurrentFact-N10,20,40,60Unchan'!H148)/100,2))*100</f>
        <v>9601.2395558122898</v>
      </c>
      <c r="E148">
        <f>(3/(1+('CurrentFact-N10,20,40,60Unchan'!C148+'CurrentFact-N10,20,40,60Unchan'!I148)/100)+103/POWER(1+('CurrentFact-N10,20,40,60Unchan'!D148+'CurrentFact-N10,20,40,60Unchan'!I148)/100,2))*100</f>
        <v>9676.6907857653259</v>
      </c>
      <c r="F148">
        <f>Portfolio!B$5*'CurrentFact-N10,20,40,60Unchan'!E148</f>
        <v>52143.895533915893</v>
      </c>
      <c r="G148">
        <f>Portfolio!B$6*'CurrentFact-N10,20,40,60Unchan'!F148</f>
        <v>3696.2945087936532</v>
      </c>
      <c r="H148">
        <f>Portfolio!B$7*'CurrentFact-N10,20,40,60Unchan'!J148</f>
        <v>2064.4550337304254</v>
      </c>
      <c r="I148">
        <f t="shared" si="4"/>
        <v>96505.128553694783</v>
      </c>
      <c r="J148">
        <f t="shared" si="5"/>
        <v>0</v>
      </c>
    </row>
    <row r="149" spans="1:10">
      <c r="A149" s="1">
        <v>45678</v>
      </c>
      <c r="B149">
        <f>(3/(1+('CurrentFact-N10,20,40,60Unchan'!C149)/100)+103/POWER(1+('CurrentFact-N10,20,40,60Unchan'!D149)/100,2))*100</f>
        <v>9707.5857774288397</v>
      </c>
      <c r="C149">
        <f>(3/(1+('CurrentFact-N10,20,40,60Unchan'!C149+'CurrentFact-N10,20,40,60Unchan'!G149)/100)+103/POWER(1+('CurrentFact-N10,20,40,60Unchan'!D149+'CurrentFact-N10,20,40,60Unchan'!G149)/100,2))*100</f>
        <v>9614.9673582483465</v>
      </c>
      <c r="D149">
        <f>(3/(1+('CurrentFact-N10,20,40,60Unchan'!C149+'CurrentFact-N10,20,40,60Unchan'!H149)/100)+103/POWER(1+('CurrentFact-N10,20,40,60Unchan'!D149+'CurrentFact-N10,20,40,60Unchan'!H149)/100,2))*100</f>
        <v>9601.2395558122898</v>
      </c>
      <c r="E149">
        <f>(3/(1+('CurrentFact-N10,20,40,60Unchan'!C149+'CurrentFact-N10,20,40,60Unchan'!I149)/100)+103/POWER(1+('CurrentFact-N10,20,40,60Unchan'!D149+'CurrentFact-N10,20,40,60Unchan'!I149)/100,2))*100</f>
        <v>9676.6907857653259</v>
      </c>
      <c r="F149">
        <f>Portfolio!B$5*'CurrentFact-N10,20,40,60Unchan'!E149</f>
        <v>52143.895533915893</v>
      </c>
      <c r="G149">
        <f>Portfolio!B$6*'CurrentFact-N10,20,40,60Unchan'!F149</f>
        <v>3696.2945087936532</v>
      </c>
      <c r="H149">
        <f>Portfolio!B$7*'CurrentFact-N10,20,40,60Unchan'!J149</f>
        <v>2064.4550337304254</v>
      </c>
      <c r="I149">
        <f t="shared" si="4"/>
        <v>96505.128553694783</v>
      </c>
      <c r="J149">
        <f t="shared" si="5"/>
        <v>0</v>
      </c>
    </row>
    <row r="150" spans="1:10">
      <c r="A150" s="1">
        <v>45679</v>
      </c>
      <c r="B150">
        <f>(3/(1+('CurrentFact-N10,20,40,60Unchan'!C150)/100)+103/POWER(1+('CurrentFact-N10,20,40,60Unchan'!D150)/100,2))*100</f>
        <v>9707.5857774288397</v>
      </c>
      <c r="C150">
        <f>(3/(1+('CurrentFact-N10,20,40,60Unchan'!C150+'CurrentFact-N10,20,40,60Unchan'!G150)/100)+103/POWER(1+('CurrentFact-N10,20,40,60Unchan'!D150+'CurrentFact-N10,20,40,60Unchan'!G150)/100,2))*100</f>
        <v>9614.9673582483465</v>
      </c>
      <c r="D150">
        <f>(3/(1+('CurrentFact-N10,20,40,60Unchan'!C150+'CurrentFact-N10,20,40,60Unchan'!H150)/100)+103/POWER(1+('CurrentFact-N10,20,40,60Unchan'!D150+'CurrentFact-N10,20,40,60Unchan'!H150)/100,2))*100</f>
        <v>9601.2395558122898</v>
      </c>
      <c r="E150">
        <f>(3/(1+('CurrentFact-N10,20,40,60Unchan'!C150+'CurrentFact-N10,20,40,60Unchan'!I150)/100)+103/POWER(1+('CurrentFact-N10,20,40,60Unchan'!D150+'CurrentFact-N10,20,40,60Unchan'!I150)/100,2))*100</f>
        <v>9676.6907857653259</v>
      </c>
      <c r="F150">
        <f>Portfolio!B$5*'CurrentFact-N10,20,40,60Unchan'!E150</f>
        <v>52143.895533915893</v>
      </c>
      <c r="G150">
        <f>Portfolio!B$6*'CurrentFact-N10,20,40,60Unchan'!F150</f>
        <v>3696.2945087936532</v>
      </c>
      <c r="H150">
        <f>Portfolio!B$7*'CurrentFact-N10,20,40,60Unchan'!J150</f>
        <v>2064.4550337304254</v>
      </c>
      <c r="I150">
        <f t="shared" si="4"/>
        <v>96505.128553694783</v>
      </c>
      <c r="J150">
        <f t="shared" si="5"/>
        <v>0</v>
      </c>
    </row>
    <row r="151" spans="1:10">
      <c r="A151" s="1">
        <v>45680</v>
      </c>
      <c r="B151">
        <f>(3/(1+('CurrentFact-N10,20,40,60Unchan'!C151)/100)+103/POWER(1+('CurrentFact-N10,20,40,60Unchan'!D151)/100,2))*100</f>
        <v>9707.5857774288397</v>
      </c>
      <c r="C151">
        <f>(3/(1+('CurrentFact-N10,20,40,60Unchan'!C151+'CurrentFact-N10,20,40,60Unchan'!G151)/100)+103/POWER(1+('CurrentFact-N10,20,40,60Unchan'!D151+'CurrentFact-N10,20,40,60Unchan'!G151)/100,2))*100</f>
        <v>9614.9673582483465</v>
      </c>
      <c r="D151">
        <f>(3/(1+('CurrentFact-N10,20,40,60Unchan'!C151+'CurrentFact-N10,20,40,60Unchan'!H151)/100)+103/POWER(1+('CurrentFact-N10,20,40,60Unchan'!D151+'CurrentFact-N10,20,40,60Unchan'!H151)/100,2))*100</f>
        <v>9601.2395558122898</v>
      </c>
      <c r="E151">
        <f>(3/(1+('CurrentFact-N10,20,40,60Unchan'!C151+'CurrentFact-N10,20,40,60Unchan'!I151)/100)+103/POWER(1+('CurrentFact-N10,20,40,60Unchan'!D151+'CurrentFact-N10,20,40,60Unchan'!I151)/100,2))*100</f>
        <v>9676.6907857653259</v>
      </c>
      <c r="F151">
        <f>Portfolio!B$5*'CurrentFact-N10,20,40,60Unchan'!E151</f>
        <v>52143.895533915893</v>
      </c>
      <c r="G151">
        <f>Portfolio!B$6*'CurrentFact-N10,20,40,60Unchan'!F151</f>
        <v>3696.2945087936532</v>
      </c>
      <c r="H151">
        <f>Portfolio!B$7*'CurrentFact-N10,20,40,60Unchan'!J151</f>
        <v>2064.4550337304254</v>
      </c>
      <c r="I151">
        <f t="shared" si="4"/>
        <v>96505.128553694783</v>
      </c>
      <c r="J151">
        <f t="shared" si="5"/>
        <v>0</v>
      </c>
    </row>
    <row r="152" spans="1:10">
      <c r="A152" s="1">
        <v>45681</v>
      </c>
      <c r="B152">
        <f>(3/(1+('CurrentFact-N10,20,40,60Unchan'!C152)/100)+103/POWER(1+('CurrentFact-N10,20,40,60Unchan'!D152)/100,2))*100</f>
        <v>9707.5857774288397</v>
      </c>
      <c r="C152">
        <f>(3/(1+('CurrentFact-N10,20,40,60Unchan'!C152+'CurrentFact-N10,20,40,60Unchan'!G152)/100)+103/POWER(1+('CurrentFact-N10,20,40,60Unchan'!D152+'CurrentFact-N10,20,40,60Unchan'!G152)/100,2))*100</f>
        <v>9614.9673582483465</v>
      </c>
      <c r="D152">
        <f>(3/(1+('CurrentFact-N10,20,40,60Unchan'!C152+'CurrentFact-N10,20,40,60Unchan'!H152)/100)+103/POWER(1+('CurrentFact-N10,20,40,60Unchan'!D152+'CurrentFact-N10,20,40,60Unchan'!H152)/100,2))*100</f>
        <v>9601.2395558122898</v>
      </c>
      <c r="E152">
        <f>(3/(1+('CurrentFact-N10,20,40,60Unchan'!C152+'CurrentFact-N10,20,40,60Unchan'!I152)/100)+103/POWER(1+('CurrentFact-N10,20,40,60Unchan'!D152+'CurrentFact-N10,20,40,60Unchan'!I152)/100,2))*100</f>
        <v>9676.6907857653259</v>
      </c>
      <c r="F152">
        <f>Portfolio!B$5*'CurrentFact-N10,20,40,60Unchan'!E152</f>
        <v>52143.895533915893</v>
      </c>
      <c r="G152">
        <f>Portfolio!B$6*'CurrentFact-N10,20,40,60Unchan'!F152</f>
        <v>3696.2945087936532</v>
      </c>
      <c r="H152">
        <f>Portfolio!B$7*'CurrentFact-N10,20,40,60Unchan'!J152</f>
        <v>2064.4550337304254</v>
      </c>
      <c r="I152">
        <f t="shared" si="4"/>
        <v>96505.128553694783</v>
      </c>
      <c r="J152">
        <f t="shared" si="5"/>
        <v>0</v>
      </c>
    </row>
    <row r="153" spans="1:10">
      <c r="A153" s="1">
        <v>45684</v>
      </c>
      <c r="B153">
        <f>(3/(1+('CurrentFact-N10,20,40,60Unchan'!C153)/100)+103/POWER(1+('CurrentFact-N10,20,40,60Unchan'!D153)/100,2))*100</f>
        <v>9707.5857774288397</v>
      </c>
      <c r="C153">
        <f>(3/(1+('CurrentFact-N10,20,40,60Unchan'!C153+'CurrentFact-N10,20,40,60Unchan'!G153)/100)+103/POWER(1+('CurrentFact-N10,20,40,60Unchan'!D153+'CurrentFact-N10,20,40,60Unchan'!G153)/100,2))*100</f>
        <v>9614.9673582483465</v>
      </c>
      <c r="D153">
        <f>(3/(1+('CurrentFact-N10,20,40,60Unchan'!C153+'CurrentFact-N10,20,40,60Unchan'!H153)/100)+103/POWER(1+('CurrentFact-N10,20,40,60Unchan'!D153+'CurrentFact-N10,20,40,60Unchan'!H153)/100,2))*100</f>
        <v>9601.2395558122898</v>
      </c>
      <c r="E153">
        <f>(3/(1+('CurrentFact-N10,20,40,60Unchan'!C153+'CurrentFact-N10,20,40,60Unchan'!I153)/100)+103/POWER(1+('CurrentFact-N10,20,40,60Unchan'!D153+'CurrentFact-N10,20,40,60Unchan'!I153)/100,2))*100</f>
        <v>9676.6907857653259</v>
      </c>
      <c r="F153">
        <f>Portfolio!B$5*'CurrentFact-N10,20,40,60Unchan'!E153</f>
        <v>52143.895533915893</v>
      </c>
      <c r="G153">
        <f>Portfolio!B$6*'CurrentFact-N10,20,40,60Unchan'!F153</f>
        <v>3696.2945087936532</v>
      </c>
      <c r="H153">
        <f>Portfolio!B$7*'CurrentFact-N10,20,40,60Unchan'!J153</f>
        <v>2064.4550337304254</v>
      </c>
      <c r="I153">
        <f t="shared" si="4"/>
        <v>96505.128553694783</v>
      </c>
      <c r="J153">
        <f t="shared" si="5"/>
        <v>0</v>
      </c>
    </row>
    <row r="154" spans="1:10">
      <c r="A154" s="1">
        <v>45685</v>
      </c>
      <c r="B154">
        <f>(3/(1+('CurrentFact-N10,20,40,60Unchan'!C154)/100)+103/POWER(1+('CurrentFact-N10,20,40,60Unchan'!D154)/100,2))*100</f>
        <v>9707.5857774288397</v>
      </c>
      <c r="C154">
        <f>(3/(1+('CurrentFact-N10,20,40,60Unchan'!C154+'CurrentFact-N10,20,40,60Unchan'!G154)/100)+103/POWER(1+('CurrentFact-N10,20,40,60Unchan'!D154+'CurrentFact-N10,20,40,60Unchan'!G154)/100,2))*100</f>
        <v>9614.9673582483465</v>
      </c>
      <c r="D154">
        <f>(3/(1+('CurrentFact-N10,20,40,60Unchan'!C154+'CurrentFact-N10,20,40,60Unchan'!H154)/100)+103/POWER(1+('CurrentFact-N10,20,40,60Unchan'!D154+'CurrentFact-N10,20,40,60Unchan'!H154)/100,2))*100</f>
        <v>9601.2395558122898</v>
      </c>
      <c r="E154">
        <f>(3/(1+('CurrentFact-N10,20,40,60Unchan'!C154+'CurrentFact-N10,20,40,60Unchan'!I154)/100)+103/POWER(1+('CurrentFact-N10,20,40,60Unchan'!D154+'CurrentFact-N10,20,40,60Unchan'!I154)/100,2))*100</f>
        <v>9676.6907857653259</v>
      </c>
      <c r="F154">
        <f>Portfolio!B$5*'CurrentFact-N10,20,40,60Unchan'!E154</f>
        <v>52143.895533915893</v>
      </c>
      <c r="G154">
        <f>Portfolio!B$6*'CurrentFact-N10,20,40,60Unchan'!F154</f>
        <v>3696.2945087936532</v>
      </c>
      <c r="H154">
        <f>Portfolio!B$7*'CurrentFact-N10,20,40,60Unchan'!J154</f>
        <v>2064.4550337304254</v>
      </c>
      <c r="I154">
        <f t="shared" si="4"/>
        <v>96505.128553694783</v>
      </c>
      <c r="J154">
        <f t="shared" si="5"/>
        <v>0</v>
      </c>
    </row>
    <row r="155" spans="1:10">
      <c r="A155" s="1">
        <v>45686</v>
      </c>
      <c r="B155">
        <f>(3/(1+('CurrentFact-N10,20,40,60Unchan'!C155)/100)+103/POWER(1+('CurrentFact-N10,20,40,60Unchan'!D155)/100,2))*100</f>
        <v>9707.5857774288397</v>
      </c>
      <c r="C155">
        <f>(3/(1+('CurrentFact-N10,20,40,60Unchan'!C155+'CurrentFact-N10,20,40,60Unchan'!G155)/100)+103/POWER(1+('CurrentFact-N10,20,40,60Unchan'!D155+'CurrentFact-N10,20,40,60Unchan'!G155)/100,2))*100</f>
        <v>9614.9673582483465</v>
      </c>
      <c r="D155">
        <f>(3/(1+('CurrentFact-N10,20,40,60Unchan'!C155+'CurrentFact-N10,20,40,60Unchan'!H155)/100)+103/POWER(1+('CurrentFact-N10,20,40,60Unchan'!D155+'CurrentFact-N10,20,40,60Unchan'!H155)/100,2))*100</f>
        <v>9601.2395558122898</v>
      </c>
      <c r="E155">
        <f>(3/(1+('CurrentFact-N10,20,40,60Unchan'!C155+'CurrentFact-N10,20,40,60Unchan'!I155)/100)+103/POWER(1+('CurrentFact-N10,20,40,60Unchan'!D155+'CurrentFact-N10,20,40,60Unchan'!I155)/100,2))*100</f>
        <v>9676.6907857653259</v>
      </c>
      <c r="F155">
        <f>Portfolio!B$5*'CurrentFact-N10,20,40,60Unchan'!E155</f>
        <v>52143.895533915893</v>
      </c>
      <c r="G155">
        <f>Portfolio!B$6*'CurrentFact-N10,20,40,60Unchan'!F155</f>
        <v>3696.2945087936532</v>
      </c>
      <c r="H155">
        <f>Portfolio!B$7*'CurrentFact-N10,20,40,60Unchan'!J155</f>
        <v>2064.4550337304254</v>
      </c>
      <c r="I155">
        <f t="shared" si="4"/>
        <v>96505.128553694783</v>
      </c>
      <c r="J155">
        <f t="shared" si="5"/>
        <v>0</v>
      </c>
    </row>
    <row r="156" spans="1:10">
      <c r="A156" s="1">
        <v>45687</v>
      </c>
      <c r="B156">
        <f>(3/(1+('CurrentFact-N10,20,40,60Unchan'!C156)/100)+103/POWER(1+('CurrentFact-N10,20,40,60Unchan'!D156)/100,2))*100</f>
        <v>9707.5857774288397</v>
      </c>
      <c r="C156">
        <f>(3/(1+('CurrentFact-N10,20,40,60Unchan'!C156+'CurrentFact-N10,20,40,60Unchan'!G156)/100)+103/POWER(1+('CurrentFact-N10,20,40,60Unchan'!D156+'CurrentFact-N10,20,40,60Unchan'!G156)/100,2))*100</f>
        <v>9614.9673582483465</v>
      </c>
      <c r="D156">
        <f>(3/(1+('CurrentFact-N10,20,40,60Unchan'!C156+'CurrentFact-N10,20,40,60Unchan'!H156)/100)+103/POWER(1+('CurrentFact-N10,20,40,60Unchan'!D156+'CurrentFact-N10,20,40,60Unchan'!H156)/100,2))*100</f>
        <v>9601.2395558122898</v>
      </c>
      <c r="E156">
        <f>(3/(1+('CurrentFact-N10,20,40,60Unchan'!C156+'CurrentFact-N10,20,40,60Unchan'!I156)/100)+103/POWER(1+('CurrentFact-N10,20,40,60Unchan'!D156+'CurrentFact-N10,20,40,60Unchan'!I156)/100,2))*100</f>
        <v>9676.6907857653259</v>
      </c>
      <c r="F156">
        <f>Portfolio!B$5*'CurrentFact-N10,20,40,60Unchan'!E156</f>
        <v>52143.895533915893</v>
      </c>
      <c r="G156">
        <f>Portfolio!B$6*'CurrentFact-N10,20,40,60Unchan'!F156</f>
        <v>3696.2945087936532</v>
      </c>
      <c r="H156">
        <f>Portfolio!B$7*'CurrentFact-N10,20,40,60Unchan'!J156</f>
        <v>2064.4550337304254</v>
      </c>
      <c r="I156">
        <f t="shared" si="4"/>
        <v>96505.128553694783</v>
      </c>
      <c r="J156">
        <f t="shared" si="5"/>
        <v>0</v>
      </c>
    </row>
    <row r="157" spans="1:10">
      <c r="A157" s="1">
        <v>45688</v>
      </c>
      <c r="B157">
        <f>(3/(1+('CurrentFact-N10,20,40,60Unchan'!C157)/100)+103/POWER(1+('CurrentFact-N10,20,40,60Unchan'!D157)/100,2))*100</f>
        <v>9707.5857774288397</v>
      </c>
      <c r="C157">
        <f>(3/(1+('CurrentFact-N10,20,40,60Unchan'!C157+'CurrentFact-N10,20,40,60Unchan'!G157)/100)+103/POWER(1+('CurrentFact-N10,20,40,60Unchan'!D157+'CurrentFact-N10,20,40,60Unchan'!G157)/100,2))*100</f>
        <v>9614.9673582483465</v>
      </c>
      <c r="D157">
        <f>(3/(1+('CurrentFact-N10,20,40,60Unchan'!C157+'CurrentFact-N10,20,40,60Unchan'!H157)/100)+103/POWER(1+('CurrentFact-N10,20,40,60Unchan'!D157+'CurrentFact-N10,20,40,60Unchan'!H157)/100,2))*100</f>
        <v>9601.2395558122898</v>
      </c>
      <c r="E157">
        <f>(3/(1+('CurrentFact-N10,20,40,60Unchan'!C157+'CurrentFact-N10,20,40,60Unchan'!I157)/100)+103/POWER(1+('CurrentFact-N10,20,40,60Unchan'!D157+'CurrentFact-N10,20,40,60Unchan'!I157)/100,2))*100</f>
        <v>9676.6907857653259</v>
      </c>
      <c r="F157">
        <f>Portfolio!B$5*'CurrentFact-N10,20,40,60Unchan'!E157</f>
        <v>52143.895533915893</v>
      </c>
      <c r="G157">
        <f>Portfolio!B$6*'CurrentFact-N10,20,40,60Unchan'!F157</f>
        <v>3696.2945087936532</v>
      </c>
      <c r="H157">
        <f>Portfolio!B$7*'CurrentFact-N10,20,40,60Unchan'!J157</f>
        <v>2064.4550337304254</v>
      </c>
      <c r="I157">
        <f t="shared" si="4"/>
        <v>96505.128553694783</v>
      </c>
      <c r="J157">
        <f t="shared" si="5"/>
        <v>0</v>
      </c>
    </row>
    <row r="158" spans="1:10">
      <c r="A158" s="1">
        <v>45691</v>
      </c>
      <c r="B158">
        <f>(3/(1+('CurrentFact-N10,20,40,60Unchan'!C158)/100)+103/POWER(1+('CurrentFact-N10,20,40,60Unchan'!D158)/100,2))*100</f>
        <v>9707.5857774288397</v>
      </c>
      <c r="C158">
        <f>(3/(1+('CurrentFact-N10,20,40,60Unchan'!C158+'CurrentFact-N10,20,40,60Unchan'!G158)/100)+103/POWER(1+('CurrentFact-N10,20,40,60Unchan'!D158+'CurrentFact-N10,20,40,60Unchan'!G158)/100,2))*100</f>
        <v>9614.9673582483465</v>
      </c>
      <c r="D158">
        <f>(3/(1+('CurrentFact-N10,20,40,60Unchan'!C158+'CurrentFact-N10,20,40,60Unchan'!H158)/100)+103/POWER(1+('CurrentFact-N10,20,40,60Unchan'!D158+'CurrentFact-N10,20,40,60Unchan'!H158)/100,2))*100</f>
        <v>9601.2395558122898</v>
      </c>
      <c r="E158">
        <f>(3/(1+('CurrentFact-N10,20,40,60Unchan'!C158+'CurrentFact-N10,20,40,60Unchan'!I158)/100)+103/POWER(1+('CurrentFact-N10,20,40,60Unchan'!D158+'CurrentFact-N10,20,40,60Unchan'!I158)/100,2))*100</f>
        <v>9676.6907857653259</v>
      </c>
      <c r="F158">
        <f>Portfolio!B$5*'CurrentFact-N10,20,40,60Unchan'!E158</f>
        <v>52143.895533915893</v>
      </c>
      <c r="G158">
        <f>Portfolio!B$6*'CurrentFact-N10,20,40,60Unchan'!F158</f>
        <v>3696.2945087936532</v>
      </c>
      <c r="H158">
        <f>Portfolio!B$7*'CurrentFact-N10,20,40,60Unchan'!J158</f>
        <v>2064.4550337304254</v>
      </c>
      <c r="I158">
        <f t="shared" si="4"/>
        <v>96505.128553694783</v>
      </c>
      <c r="J158">
        <f t="shared" si="5"/>
        <v>0</v>
      </c>
    </row>
    <row r="159" spans="1:10">
      <c r="A159" s="1">
        <v>45692</v>
      </c>
      <c r="B159">
        <f>(3/(1+('CurrentFact-N10,20,40,60Unchan'!C159)/100)+103/POWER(1+('CurrentFact-N10,20,40,60Unchan'!D159)/100,2))*100</f>
        <v>9707.5857774288397</v>
      </c>
      <c r="C159">
        <f>(3/(1+('CurrentFact-N10,20,40,60Unchan'!C159+'CurrentFact-N10,20,40,60Unchan'!G159)/100)+103/POWER(1+('CurrentFact-N10,20,40,60Unchan'!D159+'CurrentFact-N10,20,40,60Unchan'!G159)/100,2))*100</f>
        <v>9614.9673582483465</v>
      </c>
      <c r="D159">
        <f>(3/(1+('CurrentFact-N10,20,40,60Unchan'!C159+'CurrentFact-N10,20,40,60Unchan'!H159)/100)+103/POWER(1+('CurrentFact-N10,20,40,60Unchan'!D159+'CurrentFact-N10,20,40,60Unchan'!H159)/100,2))*100</f>
        <v>9601.2395558122898</v>
      </c>
      <c r="E159">
        <f>(3/(1+('CurrentFact-N10,20,40,60Unchan'!C159+'CurrentFact-N10,20,40,60Unchan'!I159)/100)+103/POWER(1+('CurrentFact-N10,20,40,60Unchan'!D159+'CurrentFact-N10,20,40,60Unchan'!I159)/100,2))*100</f>
        <v>9676.6907857653259</v>
      </c>
      <c r="F159">
        <f>Portfolio!B$5*'CurrentFact-N10,20,40,60Unchan'!E159</f>
        <v>52143.895533915893</v>
      </c>
      <c r="G159">
        <f>Portfolio!B$6*'CurrentFact-N10,20,40,60Unchan'!F159</f>
        <v>3696.2945087936532</v>
      </c>
      <c r="H159">
        <f>Portfolio!B$7*'CurrentFact-N10,20,40,60Unchan'!J159</f>
        <v>2064.4550337304254</v>
      </c>
      <c r="I159">
        <f t="shared" si="4"/>
        <v>96505.128553694783</v>
      </c>
      <c r="J159">
        <f t="shared" si="5"/>
        <v>0</v>
      </c>
    </row>
    <row r="160" spans="1:10">
      <c r="A160" s="1">
        <v>45693</v>
      </c>
      <c r="B160">
        <f>(3/(1+('CurrentFact-N10,20,40,60Unchan'!C160)/100)+103/POWER(1+('CurrentFact-N10,20,40,60Unchan'!D160)/100,2))*100</f>
        <v>9707.5857774288397</v>
      </c>
      <c r="C160">
        <f>(3/(1+('CurrentFact-N10,20,40,60Unchan'!C160+'CurrentFact-N10,20,40,60Unchan'!G160)/100)+103/POWER(1+('CurrentFact-N10,20,40,60Unchan'!D160+'CurrentFact-N10,20,40,60Unchan'!G160)/100,2))*100</f>
        <v>9614.9673582483465</v>
      </c>
      <c r="D160">
        <f>(3/(1+('CurrentFact-N10,20,40,60Unchan'!C160+'CurrentFact-N10,20,40,60Unchan'!H160)/100)+103/POWER(1+('CurrentFact-N10,20,40,60Unchan'!D160+'CurrentFact-N10,20,40,60Unchan'!H160)/100,2))*100</f>
        <v>9601.2395558122898</v>
      </c>
      <c r="E160">
        <f>(3/(1+('CurrentFact-N10,20,40,60Unchan'!C160+'CurrentFact-N10,20,40,60Unchan'!I160)/100)+103/POWER(1+('CurrentFact-N10,20,40,60Unchan'!D160+'CurrentFact-N10,20,40,60Unchan'!I160)/100,2))*100</f>
        <v>9676.6907857653259</v>
      </c>
      <c r="F160">
        <f>Portfolio!B$5*'CurrentFact-N10,20,40,60Unchan'!E160</f>
        <v>52143.895533915893</v>
      </c>
      <c r="G160">
        <f>Portfolio!B$6*'CurrentFact-N10,20,40,60Unchan'!F160</f>
        <v>3696.2945087936532</v>
      </c>
      <c r="H160">
        <f>Portfolio!B$7*'CurrentFact-N10,20,40,60Unchan'!J160</f>
        <v>2064.4550337304254</v>
      </c>
      <c r="I160">
        <f t="shared" si="4"/>
        <v>96505.128553694783</v>
      </c>
      <c r="J160">
        <f t="shared" si="5"/>
        <v>0</v>
      </c>
    </row>
    <row r="161" spans="1:10">
      <c r="A161" s="1">
        <v>45694</v>
      </c>
      <c r="B161">
        <f>(3/(1+('CurrentFact-N10,20,40,60Unchan'!C161)/100)+103/POWER(1+('CurrentFact-N10,20,40,60Unchan'!D161)/100,2))*100</f>
        <v>9707.5857774288397</v>
      </c>
      <c r="C161">
        <f>(3/(1+('CurrentFact-N10,20,40,60Unchan'!C161+'CurrentFact-N10,20,40,60Unchan'!G161)/100)+103/POWER(1+('CurrentFact-N10,20,40,60Unchan'!D161+'CurrentFact-N10,20,40,60Unchan'!G161)/100,2))*100</f>
        <v>9614.9673582483465</v>
      </c>
      <c r="D161">
        <f>(3/(1+('CurrentFact-N10,20,40,60Unchan'!C161+'CurrentFact-N10,20,40,60Unchan'!H161)/100)+103/POWER(1+('CurrentFact-N10,20,40,60Unchan'!D161+'CurrentFact-N10,20,40,60Unchan'!H161)/100,2))*100</f>
        <v>9601.2395558122898</v>
      </c>
      <c r="E161">
        <f>(3/(1+('CurrentFact-N10,20,40,60Unchan'!C161+'CurrentFact-N10,20,40,60Unchan'!I161)/100)+103/POWER(1+('CurrentFact-N10,20,40,60Unchan'!D161+'CurrentFact-N10,20,40,60Unchan'!I161)/100,2))*100</f>
        <v>9676.6907857653259</v>
      </c>
      <c r="F161">
        <f>Portfolio!B$5*'CurrentFact-N10,20,40,60Unchan'!E161</f>
        <v>52143.895533915893</v>
      </c>
      <c r="G161">
        <f>Portfolio!B$6*'CurrentFact-N10,20,40,60Unchan'!F161</f>
        <v>3696.2945087936532</v>
      </c>
      <c r="H161">
        <f>Portfolio!B$7*'CurrentFact-N10,20,40,60Unchan'!J161</f>
        <v>2064.4550337304254</v>
      </c>
      <c r="I161">
        <f t="shared" si="4"/>
        <v>96505.128553694783</v>
      </c>
      <c r="J161">
        <f t="shared" si="5"/>
        <v>0</v>
      </c>
    </row>
    <row r="162" spans="1:10">
      <c r="A162" s="1">
        <v>45695</v>
      </c>
      <c r="B162">
        <f>(3/(1+('CurrentFact-N10,20,40,60Unchan'!C162)/100)+103/POWER(1+('CurrentFact-N10,20,40,60Unchan'!D162)/100,2))*100</f>
        <v>9707.5857774288397</v>
      </c>
      <c r="C162">
        <f>(3/(1+('CurrentFact-N10,20,40,60Unchan'!C162+'CurrentFact-N10,20,40,60Unchan'!G162)/100)+103/POWER(1+('CurrentFact-N10,20,40,60Unchan'!D162+'CurrentFact-N10,20,40,60Unchan'!G162)/100,2))*100</f>
        <v>9614.9673582483465</v>
      </c>
      <c r="D162">
        <f>(3/(1+('CurrentFact-N10,20,40,60Unchan'!C162+'CurrentFact-N10,20,40,60Unchan'!H162)/100)+103/POWER(1+('CurrentFact-N10,20,40,60Unchan'!D162+'CurrentFact-N10,20,40,60Unchan'!H162)/100,2))*100</f>
        <v>9601.2395558122898</v>
      </c>
      <c r="E162">
        <f>(3/(1+('CurrentFact-N10,20,40,60Unchan'!C162+'CurrentFact-N10,20,40,60Unchan'!I162)/100)+103/POWER(1+('CurrentFact-N10,20,40,60Unchan'!D162+'CurrentFact-N10,20,40,60Unchan'!I162)/100,2))*100</f>
        <v>9676.6907857653259</v>
      </c>
      <c r="F162">
        <f>Portfolio!B$5*'CurrentFact-N10,20,40,60Unchan'!E162</f>
        <v>52143.895533915893</v>
      </c>
      <c r="G162">
        <f>Portfolio!B$6*'CurrentFact-N10,20,40,60Unchan'!F162</f>
        <v>3696.2945087936532</v>
      </c>
      <c r="H162">
        <f>Portfolio!B$7*'CurrentFact-N10,20,40,60Unchan'!J162</f>
        <v>2064.4550337304254</v>
      </c>
      <c r="I162">
        <f t="shared" si="4"/>
        <v>96505.128553694783</v>
      </c>
      <c r="J162">
        <f t="shared" si="5"/>
        <v>0</v>
      </c>
    </row>
    <row r="163" spans="1:10">
      <c r="A163" s="1">
        <v>45698</v>
      </c>
      <c r="B163">
        <f>(3/(1+('CurrentFact-N10,20,40,60Unchan'!C163)/100)+103/POWER(1+('CurrentFact-N10,20,40,60Unchan'!D163)/100,2))*100</f>
        <v>9707.5857774288397</v>
      </c>
      <c r="C163">
        <f>(3/(1+('CurrentFact-N10,20,40,60Unchan'!C163+'CurrentFact-N10,20,40,60Unchan'!G163)/100)+103/POWER(1+('CurrentFact-N10,20,40,60Unchan'!D163+'CurrentFact-N10,20,40,60Unchan'!G163)/100,2))*100</f>
        <v>9614.9673582483465</v>
      </c>
      <c r="D163">
        <f>(3/(1+('CurrentFact-N10,20,40,60Unchan'!C163+'CurrentFact-N10,20,40,60Unchan'!H163)/100)+103/POWER(1+('CurrentFact-N10,20,40,60Unchan'!D163+'CurrentFact-N10,20,40,60Unchan'!H163)/100,2))*100</f>
        <v>9601.2395558122898</v>
      </c>
      <c r="E163">
        <f>(3/(1+('CurrentFact-N10,20,40,60Unchan'!C163+'CurrentFact-N10,20,40,60Unchan'!I163)/100)+103/POWER(1+('CurrentFact-N10,20,40,60Unchan'!D163+'CurrentFact-N10,20,40,60Unchan'!I163)/100,2))*100</f>
        <v>9676.6907857653259</v>
      </c>
      <c r="F163">
        <f>Portfolio!B$5*'CurrentFact-N10,20,40,60Unchan'!E163</f>
        <v>52143.895533915893</v>
      </c>
      <c r="G163">
        <f>Portfolio!B$6*'CurrentFact-N10,20,40,60Unchan'!F163</f>
        <v>3696.2945087936532</v>
      </c>
      <c r="H163">
        <f>Portfolio!B$7*'CurrentFact-N10,20,40,60Unchan'!J163</f>
        <v>2064.4550337304254</v>
      </c>
      <c r="I163">
        <f t="shared" si="4"/>
        <v>96505.128553694783</v>
      </c>
      <c r="J163">
        <f t="shared" si="5"/>
        <v>0</v>
      </c>
    </row>
    <row r="164" spans="1:10">
      <c r="A164" s="1">
        <v>45699</v>
      </c>
      <c r="B164">
        <f>(3/(1+('CurrentFact-N10,20,40,60Unchan'!C164)/100)+103/POWER(1+('CurrentFact-N10,20,40,60Unchan'!D164)/100,2))*100</f>
        <v>9707.5857774288397</v>
      </c>
      <c r="C164">
        <f>(3/(1+('CurrentFact-N10,20,40,60Unchan'!C164+'CurrentFact-N10,20,40,60Unchan'!G164)/100)+103/POWER(1+('CurrentFact-N10,20,40,60Unchan'!D164+'CurrentFact-N10,20,40,60Unchan'!G164)/100,2))*100</f>
        <v>9614.9673582483465</v>
      </c>
      <c r="D164">
        <f>(3/(1+('CurrentFact-N10,20,40,60Unchan'!C164+'CurrentFact-N10,20,40,60Unchan'!H164)/100)+103/POWER(1+('CurrentFact-N10,20,40,60Unchan'!D164+'CurrentFact-N10,20,40,60Unchan'!H164)/100,2))*100</f>
        <v>9601.2395558122898</v>
      </c>
      <c r="E164">
        <f>(3/(1+('CurrentFact-N10,20,40,60Unchan'!C164+'CurrentFact-N10,20,40,60Unchan'!I164)/100)+103/POWER(1+('CurrentFact-N10,20,40,60Unchan'!D164+'CurrentFact-N10,20,40,60Unchan'!I164)/100,2))*100</f>
        <v>9676.6907857653259</v>
      </c>
      <c r="F164">
        <f>Portfolio!B$5*'CurrentFact-N10,20,40,60Unchan'!E164</f>
        <v>52143.895533915893</v>
      </c>
      <c r="G164">
        <f>Portfolio!B$6*'CurrentFact-N10,20,40,60Unchan'!F164</f>
        <v>3696.2945087936532</v>
      </c>
      <c r="H164">
        <f>Portfolio!B$7*'CurrentFact-N10,20,40,60Unchan'!J164</f>
        <v>2064.4550337304254</v>
      </c>
      <c r="I164">
        <f t="shared" si="4"/>
        <v>96505.128553694783</v>
      </c>
      <c r="J164">
        <f t="shared" si="5"/>
        <v>0</v>
      </c>
    </row>
    <row r="165" spans="1:10">
      <c r="A165" s="1">
        <v>45700</v>
      </c>
      <c r="B165">
        <f>(3/(1+('CurrentFact-N10,20,40,60Unchan'!C165)/100)+103/POWER(1+('CurrentFact-N10,20,40,60Unchan'!D165)/100,2))*100</f>
        <v>9707.5857774288397</v>
      </c>
      <c r="C165">
        <f>(3/(1+('CurrentFact-N10,20,40,60Unchan'!C165+'CurrentFact-N10,20,40,60Unchan'!G165)/100)+103/POWER(1+('CurrentFact-N10,20,40,60Unchan'!D165+'CurrentFact-N10,20,40,60Unchan'!G165)/100,2))*100</f>
        <v>9614.9673582483465</v>
      </c>
      <c r="D165">
        <f>(3/(1+('CurrentFact-N10,20,40,60Unchan'!C165+'CurrentFact-N10,20,40,60Unchan'!H165)/100)+103/POWER(1+('CurrentFact-N10,20,40,60Unchan'!D165+'CurrentFact-N10,20,40,60Unchan'!H165)/100,2))*100</f>
        <v>9601.2395558122898</v>
      </c>
      <c r="E165">
        <f>(3/(1+('CurrentFact-N10,20,40,60Unchan'!C165+'CurrentFact-N10,20,40,60Unchan'!I165)/100)+103/POWER(1+('CurrentFact-N10,20,40,60Unchan'!D165+'CurrentFact-N10,20,40,60Unchan'!I165)/100,2))*100</f>
        <v>9676.6907857653259</v>
      </c>
      <c r="F165">
        <f>Portfolio!B$5*'CurrentFact-N10,20,40,60Unchan'!E165</f>
        <v>52143.895533915893</v>
      </c>
      <c r="G165">
        <f>Portfolio!B$6*'CurrentFact-N10,20,40,60Unchan'!F165</f>
        <v>3696.2945087936532</v>
      </c>
      <c r="H165">
        <f>Portfolio!B$7*'CurrentFact-N10,20,40,60Unchan'!J165</f>
        <v>2064.4550337304254</v>
      </c>
      <c r="I165">
        <f t="shared" si="4"/>
        <v>96505.128553694783</v>
      </c>
      <c r="J165">
        <f t="shared" si="5"/>
        <v>0</v>
      </c>
    </row>
    <row r="166" spans="1:10">
      <c r="A166" s="1">
        <v>45701</v>
      </c>
      <c r="B166">
        <f>(3/(1+('CurrentFact-N10,20,40,60Unchan'!C166)/100)+103/POWER(1+('CurrentFact-N10,20,40,60Unchan'!D166)/100,2))*100</f>
        <v>9707.5857774288397</v>
      </c>
      <c r="C166">
        <f>(3/(1+('CurrentFact-N10,20,40,60Unchan'!C166+'CurrentFact-N10,20,40,60Unchan'!G166)/100)+103/POWER(1+('CurrentFact-N10,20,40,60Unchan'!D166+'CurrentFact-N10,20,40,60Unchan'!G166)/100,2))*100</f>
        <v>9614.9673582483465</v>
      </c>
      <c r="D166">
        <f>(3/(1+('CurrentFact-N10,20,40,60Unchan'!C166+'CurrentFact-N10,20,40,60Unchan'!H166)/100)+103/POWER(1+('CurrentFact-N10,20,40,60Unchan'!D166+'CurrentFact-N10,20,40,60Unchan'!H166)/100,2))*100</f>
        <v>9601.2395558122898</v>
      </c>
      <c r="E166">
        <f>(3/(1+('CurrentFact-N10,20,40,60Unchan'!C166+'CurrentFact-N10,20,40,60Unchan'!I166)/100)+103/POWER(1+('CurrentFact-N10,20,40,60Unchan'!D166+'CurrentFact-N10,20,40,60Unchan'!I166)/100,2))*100</f>
        <v>9676.6907857653259</v>
      </c>
      <c r="F166">
        <f>Portfolio!B$5*'CurrentFact-N10,20,40,60Unchan'!E166</f>
        <v>52143.895533915893</v>
      </c>
      <c r="G166">
        <f>Portfolio!B$6*'CurrentFact-N10,20,40,60Unchan'!F166</f>
        <v>3696.2945087936532</v>
      </c>
      <c r="H166">
        <f>Portfolio!B$7*'CurrentFact-N10,20,40,60Unchan'!J166</f>
        <v>2064.4550337304254</v>
      </c>
      <c r="I166">
        <f t="shared" si="4"/>
        <v>96505.128553694783</v>
      </c>
      <c r="J166">
        <f t="shared" si="5"/>
        <v>0</v>
      </c>
    </row>
    <row r="167" spans="1:10">
      <c r="A167" s="1">
        <v>45702</v>
      </c>
      <c r="B167">
        <f>(3/(1+('CurrentFact-N10,20,40,60Unchan'!C167)/100)+103/POWER(1+('CurrentFact-N10,20,40,60Unchan'!D167)/100,2))*100</f>
        <v>9707.5857774288397</v>
      </c>
      <c r="C167">
        <f>(3/(1+('CurrentFact-N10,20,40,60Unchan'!C167+'CurrentFact-N10,20,40,60Unchan'!G167)/100)+103/POWER(1+('CurrentFact-N10,20,40,60Unchan'!D167+'CurrentFact-N10,20,40,60Unchan'!G167)/100,2))*100</f>
        <v>9614.9673582483465</v>
      </c>
      <c r="D167">
        <f>(3/(1+('CurrentFact-N10,20,40,60Unchan'!C167+'CurrentFact-N10,20,40,60Unchan'!H167)/100)+103/POWER(1+('CurrentFact-N10,20,40,60Unchan'!D167+'CurrentFact-N10,20,40,60Unchan'!H167)/100,2))*100</f>
        <v>9601.2395558122898</v>
      </c>
      <c r="E167">
        <f>(3/(1+('CurrentFact-N10,20,40,60Unchan'!C167+'CurrentFact-N10,20,40,60Unchan'!I167)/100)+103/POWER(1+('CurrentFact-N10,20,40,60Unchan'!D167+'CurrentFact-N10,20,40,60Unchan'!I167)/100,2))*100</f>
        <v>9676.6907857653259</v>
      </c>
      <c r="F167">
        <f>Portfolio!B$5*'CurrentFact-N10,20,40,60Unchan'!E167</f>
        <v>52143.895533915893</v>
      </c>
      <c r="G167">
        <f>Portfolio!B$6*'CurrentFact-N10,20,40,60Unchan'!F167</f>
        <v>3696.2945087936532</v>
      </c>
      <c r="H167">
        <f>Portfolio!B$7*'CurrentFact-N10,20,40,60Unchan'!J167</f>
        <v>2064.4550337304254</v>
      </c>
      <c r="I167">
        <f t="shared" si="4"/>
        <v>96505.128553694783</v>
      </c>
      <c r="J167">
        <f t="shared" si="5"/>
        <v>0</v>
      </c>
    </row>
    <row r="168" spans="1:10">
      <c r="A168" s="1">
        <v>45705</v>
      </c>
      <c r="B168">
        <f>(3/(1+('CurrentFact-N10,20,40,60Unchan'!C168)/100)+103/POWER(1+('CurrentFact-N10,20,40,60Unchan'!D168)/100,2))*100</f>
        <v>9707.5857774288397</v>
      </c>
      <c r="C168">
        <f>(3/(1+('CurrentFact-N10,20,40,60Unchan'!C168+'CurrentFact-N10,20,40,60Unchan'!G168)/100)+103/POWER(1+('CurrentFact-N10,20,40,60Unchan'!D168+'CurrentFact-N10,20,40,60Unchan'!G168)/100,2))*100</f>
        <v>9614.9673582483465</v>
      </c>
      <c r="D168">
        <f>(3/(1+('CurrentFact-N10,20,40,60Unchan'!C168+'CurrentFact-N10,20,40,60Unchan'!H168)/100)+103/POWER(1+('CurrentFact-N10,20,40,60Unchan'!D168+'CurrentFact-N10,20,40,60Unchan'!H168)/100,2))*100</f>
        <v>9601.2395558122898</v>
      </c>
      <c r="E168">
        <f>(3/(1+('CurrentFact-N10,20,40,60Unchan'!C168+'CurrentFact-N10,20,40,60Unchan'!I168)/100)+103/POWER(1+('CurrentFact-N10,20,40,60Unchan'!D168+'CurrentFact-N10,20,40,60Unchan'!I168)/100,2))*100</f>
        <v>9676.6907857653259</v>
      </c>
      <c r="F168">
        <f>Portfolio!B$5*'CurrentFact-N10,20,40,60Unchan'!E168</f>
        <v>52143.895533915893</v>
      </c>
      <c r="G168">
        <f>Portfolio!B$6*'CurrentFact-N10,20,40,60Unchan'!F168</f>
        <v>3696.2945087936532</v>
      </c>
      <c r="H168">
        <f>Portfolio!B$7*'CurrentFact-N10,20,40,60Unchan'!J168</f>
        <v>2064.4550337304254</v>
      </c>
      <c r="I168">
        <f t="shared" si="4"/>
        <v>96505.128553694783</v>
      </c>
      <c r="J168">
        <f t="shared" si="5"/>
        <v>0</v>
      </c>
    </row>
    <row r="169" spans="1:10">
      <c r="A169" s="1">
        <v>45706</v>
      </c>
      <c r="B169">
        <f>(3/(1+('CurrentFact-N10,20,40,60Unchan'!C169)/100)+103/POWER(1+('CurrentFact-N10,20,40,60Unchan'!D169)/100,2))*100</f>
        <v>9707.5857774288397</v>
      </c>
      <c r="C169">
        <f>(3/(1+('CurrentFact-N10,20,40,60Unchan'!C169+'CurrentFact-N10,20,40,60Unchan'!G169)/100)+103/POWER(1+('CurrentFact-N10,20,40,60Unchan'!D169+'CurrentFact-N10,20,40,60Unchan'!G169)/100,2))*100</f>
        <v>9614.9673582483465</v>
      </c>
      <c r="D169">
        <f>(3/(1+('CurrentFact-N10,20,40,60Unchan'!C169+'CurrentFact-N10,20,40,60Unchan'!H169)/100)+103/POWER(1+('CurrentFact-N10,20,40,60Unchan'!D169+'CurrentFact-N10,20,40,60Unchan'!H169)/100,2))*100</f>
        <v>9601.2395558122898</v>
      </c>
      <c r="E169">
        <f>(3/(1+('CurrentFact-N10,20,40,60Unchan'!C169+'CurrentFact-N10,20,40,60Unchan'!I169)/100)+103/POWER(1+('CurrentFact-N10,20,40,60Unchan'!D169+'CurrentFact-N10,20,40,60Unchan'!I169)/100,2))*100</f>
        <v>9676.6907857653259</v>
      </c>
      <c r="F169">
        <f>Portfolio!B$5*'CurrentFact-N10,20,40,60Unchan'!E169</f>
        <v>52143.895533915893</v>
      </c>
      <c r="G169">
        <f>Portfolio!B$6*'CurrentFact-N10,20,40,60Unchan'!F169</f>
        <v>3696.2945087936532</v>
      </c>
      <c r="H169">
        <f>Portfolio!B$7*'CurrentFact-N10,20,40,60Unchan'!J169</f>
        <v>2064.4550337304254</v>
      </c>
      <c r="I169">
        <f t="shared" si="4"/>
        <v>96505.128553694783</v>
      </c>
      <c r="J169">
        <f t="shared" si="5"/>
        <v>0</v>
      </c>
    </row>
    <row r="170" spans="1:10">
      <c r="A170" s="1">
        <v>45707</v>
      </c>
      <c r="B170">
        <f>(3/(1+('CurrentFact-N10,20,40,60Unchan'!C170)/100)+103/POWER(1+('CurrentFact-N10,20,40,60Unchan'!D170)/100,2))*100</f>
        <v>9707.5857774288397</v>
      </c>
      <c r="C170">
        <f>(3/(1+('CurrentFact-N10,20,40,60Unchan'!C170+'CurrentFact-N10,20,40,60Unchan'!G170)/100)+103/POWER(1+('CurrentFact-N10,20,40,60Unchan'!D170+'CurrentFact-N10,20,40,60Unchan'!G170)/100,2))*100</f>
        <v>9614.9673582483465</v>
      </c>
      <c r="D170">
        <f>(3/(1+('CurrentFact-N10,20,40,60Unchan'!C170+'CurrentFact-N10,20,40,60Unchan'!H170)/100)+103/POWER(1+('CurrentFact-N10,20,40,60Unchan'!D170+'CurrentFact-N10,20,40,60Unchan'!H170)/100,2))*100</f>
        <v>9601.2395558122898</v>
      </c>
      <c r="E170">
        <f>(3/(1+('CurrentFact-N10,20,40,60Unchan'!C170+'CurrentFact-N10,20,40,60Unchan'!I170)/100)+103/POWER(1+('CurrentFact-N10,20,40,60Unchan'!D170+'CurrentFact-N10,20,40,60Unchan'!I170)/100,2))*100</f>
        <v>9676.6907857653259</v>
      </c>
      <c r="F170">
        <f>Portfolio!B$5*'CurrentFact-N10,20,40,60Unchan'!E170</f>
        <v>52143.895533915893</v>
      </c>
      <c r="G170">
        <f>Portfolio!B$6*'CurrentFact-N10,20,40,60Unchan'!F170</f>
        <v>3696.2945087936532</v>
      </c>
      <c r="H170">
        <f>Portfolio!B$7*'CurrentFact-N10,20,40,60Unchan'!J170</f>
        <v>2064.4550337304254</v>
      </c>
      <c r="I170">
        <f t="shared" si="4"/>
        <v>96505.128553694783</v>
      </c>
      <c r="J170">
        <f t="shared" si="5"/>
        <v>0</v>
      </c>
    </row>
    <row r="171" spans="1:10">
      <c r="A171" s="1">
        <v>45708</v>
      </c>
      <c r="B171">
        <f>(3/(1+('CurrentFact-N10,20,40,60Unchan'!C171)/100)+103/POWER(1+('CurrentFact-N10,20,40,60Unchan'!D171)/100,2))*100</f>
        <v>9707.5857774288397</v>
      </c>
      <c r="C171">
        <f>(3/(1+('CurrentFact-N10,20,40,60Unchan'!C171+'CurrentFact-N10,20,40,60Unchan'!G171)/100)+103/POWER(1+('CurrentFact-N10,20,40,60Unchan'!D171+'CurrentFact-N10,20,40,60Unchan'!G171)/100,2))*100</f>
        <v>9614.9673582483465</v>
      </c>
      <c r="D171">
        <f>(3/(1+('CurrentFact-N10,20,40,60Unchan'!C171+'CurrentFact-N10,20,40,60Unchan'!H171)/100)+103/POWER(1+('CurrentFact-N10,20,40,60Unchan'!D171+'CurrentFact-N10,20,40,60Unchan'!H171)/100,2))*100</f>
        <v>9601.2395558122898</v>
      </c>
      <c r="E171">
        <f>(3/(1+('CurrentFact-N10,20,40,60Unchan'!C171+'CurrentFact-N10,20,40,60Unchan'!I171)/100)+103/POWER(1+('CurrentFact-N10,20,40,60Unchan'!D171+'CurrentFact-N10,20,40,60Unchan'!I171)/100,2))*100</f>
        <v>9676.6907857653259</v>
      </c>
      <c r="F171">
        <f>Portfolio!B$5*'CurrentFact-N10,20,40,60Unchan'!E171</f>
        <v>52143.895533915893</v>
      </c>
      <c r="G171">
        <f>Portfolio!B$6*'CurrentFact-N10,20,40,60Unchan'!F171</f>
        <v>3696.2945087936532</v>
      </c>
      <c r="H171">
        <f>Portfolio!B$7*'CurrentFact-N10,20,40,60Unchan'!J171</f>
        <v>2064.4550337304254</v>
      </c>
      <c r="I171">
        <f t="shared" si="4"/>
        <v>96505.128553694783</v>
      </c>
      <c r="J171">
        <f t="shared" si="5"/>
        <v>0</v>
      </c>
    </row>
    <row r="172" spans="1:10">
      <c r="A172" s="1">
        <v>45709</v>
      </c>
      <c r="B172">
        <f>(3/(1+('CurrentFact-N10,20,40,60Unchan'!C172)/100)+103/POWER(1+('CurrentFact-N10,20,40,60Unchan'!D172)/100,2))*100</f>
        <v>9707.5857774288397</v>
      </c>
      <c r="C172">
        <f>(3/(1+('CurrentFact-N10,20,40,60Unchan'!C172+'CurrentFact-N10,20,40,60Unchan'!G172)/100)+103/POWER(1+('CurrentFact-N10,20,40,60Unchan'!D172+'CurrentFact-N10,20,40,60Unchan'!G172)/100,2))*100</f>
        <v>9614.9673582483465</v>
      </c>
      <c r="D172">
        <f>(3/(1+('CurrentFact-N10,20,40,60Unchan'!C172+'CurrentFact-N10,20,40,60Unchan'!H172)/100)+103/POWER(1+('CurrentFact-N10,20,40,60Unchan'!D172+'CurrentFact-N10,20,40,60Unchan'!H172)/100,2))*100</f>
        <v>9601.2395558122898</v>
      </c>
      <c r="E172">
        <f>(3/(1+('CurrentFact-N10,20,40,60Unchan'!C172+'CurrentFact-N10,20,40,60Unchan'!I172)/100)+103/POWER(1+('CurrentFact-N10,20,40,60Unchan'!D172+'CurrentFact-N10,20,40,60Unchan'!I172)/100,2))*100</f>
        <v>9676.6907857653259</v>
      </c>
      <c r="F172">
        <f>Portfolio!B$5*'CurrentFact-N10,20,40,60Unchan'!E172</f>
        <v>52143.895533915893</v>
      </c>
      <c r="G172">
        <f>Portfolio!B$6*'CurrentFact-N10,20,40,60Unchan'!F172</f>
        <v>3696.2945087936532</v>
      </c>
      <c r="H172">
        <f>Portfolio!B$7*'CurrentFact-N10,20,40,60Unchan'!J172</f>
        <v>2064.4550337304254</v>
      </c>
      <c r="I172">
        <f t="shared" si="4"/>
        <v>96505.128553694783</v>
      </c>
      <c r="J172">
        <f t="shared" si="5"/>
        <v>0</v>
      </c>
    </row>
    <row r="173" spans="1:10">
      <c r="A173" s="1">
        <v>45712</v>
      </c>
      <c r="B173">
        <f>(3/(1+('CurrentFact-N10,20,40,60Unchan'!C173)/100)+103/POWER(1+('CurrentFact-N10,20,40,60Unchan'!D173)/100,2))*100</f>
        <v>9707.5857774288397</v>
      </c>
      <c r="C173">
        <f>(3/(1+('CurrentFact-N10,20,40,60Unchan'!C173+'CurrentFact-N10,20,40,60Unchan'!G173)/100)+103/POWER(1+('CurrentFact-N10,20,40,60Unchan'!D173+'CurrentFact-N10,20,40,60Unchan'!G173)/100,2))*100</f>
        <v>9614.9673582483465</v>
      </c>
      <c r="D173">
        <f>(3/(1+('CurrentFact-N10,20,40,60Unchan'!C173+'CurrentFact-N10,20,40,60Unchan'!H173)/100)+103/POWER(1+('CurrentFact-N10,20,40,60Unchan'!D173+'CurrentFact-N10,20,40,60Unchan'!H173)/100,2))*100</f>
        <v>9601.2395558122898</v>
      </c>
      <c r="E173">
        <f>(3/(1+('CurrentFact-N10,20,40,60Unchan'!C173+'CurrentFact-N10,20,40,60Unchan'!I173)/100)+103/POWER(1+('CurrentFact-N10,20,40,60Unchan'!D173+'CurrentFact-N10,20,40,60Unchan'!I173)/100,2))*100</f>
        <v>9676.6907857653259</v>
      </c>
      <c r="F173">
        <f>Portfolio!B$5*'CurrentFact-N10,20,40,60Unchan'!E173</f>
        <v>52143.895533915893</v>
      </c>
      <c r="G173">
        <f>Portfolio!B$6*'CurrentFact-N10,20,40,60Unchan'!F173</f>
        <v>3696.2945087936532</v>
      </c>
      <c r="H173">
        <f>Portfolio!B$7*'CurrentFact-N10,20,40,60Unchan'!J173</f>
        <v>2064.4550337304254</v>
      </c>
      <c r="I173">
        <f t="shared" si="4"/>
        <v>96505.128553694783</v>
      </c>
      <c r="J173">
        <f t="shared" si="5"/>
        <v>0</v>
      </c>
    </row>
    <row r="174" spans="1:10">
      <c r="A174" s="1">
        <v>45713</v>
      </c>
      <c r="B174">
        <f>(3/(1+('CurrentFact-N10,20,40,60Unchan'!C174)/100)+103/POWER(1+('CurrentFact-N10,20,40,60Unchan'!D174)/100,2))*100</f>
        <v>9707.5857774288397</v>
      </c>
      <c r="C174">
        <f>(3/(1+('CurrentFact-N10,20,40,60Unchan'!C174+'CurrentFact-N10,20,40,60Unchan'!G174)/100)+103/POWER(1+('CurrentFact-N10,20,40,60Unchan'!D174+'CurrentFact-N10,20,40,60Unchan'!G174)/100,2))*100</f>
        <v>9614.9673582483465</v>
      </c>
      <c r="D174">
        <f>(3/(1+('CurrentFact-N10,20,40,60Unchan'!C174+'CurrentFact-N10,20,40,60Unchan'!H174)/100)+103/POWER(1+('CurrentFact-N10,20,40,60Unchan'!D174+'CurrentFact-N10,20,40,60Unchan'!H174)/100,2))*100</f>
        <v>9601.2395558122898</v>
      </c>
      <c r="E174">
        <f>(3/(1+('CurrentFact-N10,20,40,60Unchan'!C174+'CurrentFact-N10,20,40,60Unchan'!I174)/100)+103/POWER(1+('CurrentFact-N10,20,40,60Unchan'!D174+'CurrentFact-N10,20,40,60Unchan'!I174)/100,2))*100</f>
        <v>9676.6907857653259</v>
      </c>
      <c r="F174">
        <f>Portfolio!B$5*'CurrentFact-N10,20,40,60Unchan'!E174</f>
        <v>52143.895533915893</v>
      </c>
      <c r="G174">
        <f>Portfolio!B$6*'CurrentFact-N10,20,40,60Unchan'!F174</f>
        <v>3696.2945087936532</v>
      </c>
      <c r="H174">
        <f>Portfolio!B$7*'CurrentFact-N10,20,40,60Unchan'!J174</f>
        <v>2064.4550337304254</v>
      </c>
      <c r="I174">
        <f t="shared" si="4"/>
        <v>96505.128553694783</v>
      </c>
      <c r="J174">
        <f t="shared" si="5"/>
        <v>0</v>
      </c>
    </row>
    <row r="175" spans="1:10">
      <c r="A175" s="1">
        <v>45714</v>
      </c>
      <c r="B175">
        <f>(3/(1+('CurrentFact-N10,20,40,60Unchan'!C175)/100)+103/POWER(1+('CurrentFact-N10,20,40,60Unchan'!D175)/100,2))*100</f>
        <v>9707.5857774288397</v>
      </c>
      <c r="C175">
        <f>(3/(1+('CurrentFact-N10,20,40,60Unchan'!C175+'CurrentFact-N10,20,40,60Unchan'!G175)/100)+103/POWER(1+('CurrentFact-N10,20,40,60Unchan'!D175+'CurrentFact-N10,20,40,60Unchan'!G175)/100,2))*100</f>
        <v>9614.9673582483465</v>
      </c>
      <c r="D175">
        <f>(3/(1+('CurrentFact-N10,20,40,60Unchan'!C175+'CurrentFact-N10,20,40,60Unchan'!H175)/100)+103/POWER(1+('CurrentFact-N10,20,40,60Unchan'!D175+'CurrentFact-N10,20,40,60Unchan'!H175)/100,2))*100</f>
        <v>9601.2395558122898</v>
      </c>
      <c r="E175">
        <f>(3/(1+('CurrentFact-N10,20,40,60Unchan'!C175+'CurrentFact-N10,20,40,60Unchan'!I175)/100)+103/POWER(1+('CurrentFact-N10,20,40,60Unchan'!D175+'CurrentFact-N10,20,40,60Unchan'!I175)/100,2))*100</f>
        <v>9676.6907857653259</v>
      </c>
      <c r="F175">
        <f>Portfolio!B$5*'CurrentFact-N10,20,40,60Unchan'!E175</f>
        <v>52143.895533915893</v>
      </c>
      <c r="G175">
        <f>Portfolio!B$6*'CurrentFact-N10,20,40,60Unchan'!F175</f>
        <v>3696.2945087936532</v>
      </c>
      <c r="H175">
        <f>Portfolio!B$7*'CurrentFact-N10,20,40,60Unchan'!J175</f>
        <v>2064.4550337304254</v>
      </c>
      <c r="I175">
        <f t="shared" si="4"/>
        <v>96505.128553694783</v>
      </c>
      <c r="J175">
        <f t="shared" si="5"/>
        <v>0</v>
      </c>
    </row>
    <row r="176" spans="1:10">
      <c r="A176" s="1">
        <v>45715</v>
      </c>
      <c r="B176">
        <f>(3/(1+('CurrentFact-N10,20,40,60Unchan'!C176)/100)+103/POWER(1+('CurrentFact-N10,20,40,60Unchan'!D176)/100,2))*100</f>
        <v>9707.5857774288397</v>
      </c>
      <c r="C176">
        <f>(3/(1+('CurrentFact-N10,20,40,60Unchan'!C176+'CurrentFact-N10,20,40,60Unchan'!G176)/100)+103/POWER(1+('CurrentFact-N10,20,40,60Unchan'!D176+'CurrentFact-N10,20,40,60Unchan'!G176)/100,2))*100</f>
        <v>9614.9673582483465</v>
      </c>
      <c r="D176">
        <f>(3/(1+('CurrentFact-N10,20,40,60Unchan'!C176+'CurrentFact-N10,20,40,60Unchan'!H176)/100)+103/POWER(1+('CurrentFact-N10,20,40,60Unchan'!D176+'CurrentFact-N10,20,40,60Unchan'!H176)/100,2))*100</f>
        <v>9601.2395558122898</v>
      </c>
      <c r="E176">
        <f>(3/(1+('CurrentFact-N10,20,40,60Unchan'!C176+'CurrentFact-N10,20,40,60Unchan'!I176)/100)+103/POWER(1+('CurrentFact-N10,20,40,60Unchan'!D176+'CurrentFact-N10,20,40,60Unchan'!I176)/100,2))*100</f>
        <v>9676.6907857653259</v>
      </c>
      <c r="F176">
        <f>Portfolio!B$5*'CurrentFact-N10,20,40,60Unchan'!E176</f>
        <v>52143.895533915893</v>
      </c>
      <c r="G176">
        <f>Portfolio!B$6*'CurrentFact-N10,20,40,60Unchan'!F176</f>
        <v>3696.2945087936532</v>
      </c>
      <c r="H176">
        <f>Portfolio!B$7*'CurrentFact-N10,20,40,60Unchan'!J176</f>
        <v>2064.4550337304254</v>
      </c>
      <c r="I176">
        <f t="shared" si="4"/>
        <v>96505.128553694783</v>
      </c>
      <c r="J176">
        <f t="shared" si="5"/>
        <v>0</v>
      </c>
    </row>
    <row r="177" spans="1:10">
      <c r="A177" s="1">
        <v>45716</v>
      </c>
      <c r="B177">
        <f>(3/(1+('CurrentFact-N10,20,40,60Unchan'!C177)/100)+103/POWER(1+('CurrentFact-N10,20,40,60Unchan'!D177)/100,2))*100</f>
        <v>9707.5857774288397</v>
      </c>
      <c r="C177">
        <f>(3/(1+('CurrentFact-N10,20,40,60Unchan'!C177+'CurrentFact-N10,20,40,60Unchan'!G177)/100)+103/POWER(1+('CurrentFact-N10,20,40,60Unchan'!D177+'CurrentFact-N10,20,40,60Unchan'!G177)/100,2))*100</f>
        <v>9614.9673582483465</v>
      </c>
      <c r="D177">
        <f>(3/(1+('CurrentFact-N10,20,40,60Unchan'!C177+'CurrentFact-N10,20,40,60Unchan'!H177)/100)+103/POWER(1+('CurrentFact-N10,20,40,60Unchan'!D177+'CurrentFact-N10,20,40,60Unchan'!H177)/100,2))*100</f>
        <v>9601.2395558122898</v>
      </c>
      <c r="E177">
        <f>(3/(1+('CurrentFact-N10,20,40,60Unchan'!C177+'CurrentFact-N10,20,40,60Unchan'!I177)/100)+103/POWER(1+('CurrentFact-N10,20,40,60Unchan'!D177+'CurrentFact-N10,20,40,60Unchan'!I177)/100,2))*100</f>
        <v>9676.6907857653259</v>
      </c>
      <c r="F177">
        <f>Portfolio!B$5*'CurrentFact-N10,20,40,60Unchan'!E177</f>
        <v>52143.895533915893</v>
      </c>
      <c r="G177">
        <f>Portfolio!B$6*'CurrentFact-N10,20,40,60Unchan'!F177</f>
        <v>3696.2945087936532</v>
      </c>
      <c r="H177">
        <f>Portfolio!B$7*'CurrentFact-N10,20,40,60Unchan'!J177</f>
        <v>2064.4550337304254</v>
      </c>
      <c r="I177">
        <f t="shared" si="4"/>
        <v>96505.128553694783</v>
      </c>
      <c r="J177">
        <f t="shared" si="5"/>
        <v>0</v>
      </c>
    </row>
    <row r="178" spans="1:10">
      <c r="A178" s="1">
        <v>45719</v>
      </c>
      <c r="B178">
        <f>(3/(1+('CurrentFact-N10,20,40,60Unchan'!C178)/100)+103/POWER(1+('CurrentFact-N10,20,40,60Unchan'!D178)/100,2))*100</f>
        <v>9707.5857774288397</v>
      </c>
      <c r="C178">
        <f>(3/(1+('CurrentFact-N10,20,40,60Unchan'!C178+'CurrentFact-N10,20,40,60Unchan'!G178)/100)+103/POWER(1+('CurrentFact-N10,20,40,60Unchan'!D178+'CurrentFact-N10,20,40,60Unchan'!G178)/100,2))*100</f>
        <v>9614.9673582483465</v>
      </c>
      <c r="D178">
        <f>(3/(1+('CurrentFact-N10,20,40,60Unchan'!C178+'CurrentFact-N10,20,40,60Unchan'!H178)/100)+103/POWER(1+('CurrentFact-N10,20,40,60Unchan'!D178+'CurrentFact-N10,20,40,60Unchan'!H178)/100,2))*100</f>
        <v>9601.2395558122898</v>
      </c>
      <c r="E178">
        <f>(3/(1+('CurrentFact-N10,20,40,60Unchan'!C178+'CurrentFact-N10,20,40,60Unchan'!I178)/100)+103/POWER(1+('CurrentFact-N10,20,40,60Unchan'!D178+'CurrentFact-N10,20,40,60Unchan'!I178)/100,2))*100</f>
        <v>9676.6907857653259</v>
      </c>
      <c r="F178">
        <f>Portfolio!B$5*'CurrentFact-N10,20,40,60Unchan'!E178</f>
        <v>52143.895533915893</v>
      </c>
      <c r="G178">
        <f>Portfolio!B$6*'CurrentFact-N10,20,40,60Unchan'!F178</f>
        <v>3696.2945087936532</v>
      </c>
      <c r="H178">
        <f>Portfolio!B$7*'CurrentFact-N10,20,40,60Unchan'!J178</f>
        <v>2064.4550337304254</v>
      </c>
      <c r="I178">
        <f t="shared" si="4"/>
        <v>96505.128553694783</v>
      </c>
      <c r="J178">
        <f t="shared" si="5"/>
        <v>0</v>
      </c>
    </row>
    <row r="179" spans="1:10">
      <c r="A179" s="1">
        <v>45720</v>
      </c>
      <c r="B179">
        <f>(3/(1+('CurrentFact-N10,20,40,60Unchan'!C179)/100)+103/POWER(1+('CurrentFact-N10,20,40,60Unchan'!D179)/100,2))*100</f>
        <v>9707.5857774288397</v>
      </c>
      <c r="C179">
        <f>(3/(1+('CurrentFact-N10,20,40,60Unchan'!C179+'CurrentFact-N10,20,40,60Unchan'!G179)/100)+103/POWER(1+('CurrentFact-N10,20,40,60Unchan'!D179+'CurrentFact-N10,20,40,60Unchan'!G179)/100,2))*100</f>
        <v>9614.9673582483465</v>
      </c>
      <c r="D179">
        <f>(3/(1+('CurrentFact-N10,20,40,60Unchan'!C179+'CurrentFact-N10,20,40,60Unchan'!H179)/100)+103/POWER(1+('CurrentFact-N10,20,40,60Unchan'!D179+'CurrentFact-N10,20,40,60Unchan'!H179)/100,2))*100</f>
        <v>9601.2395558122898</v>
      </c>
      <c r="E179">
        <f>(3/(1+('CurrentFact-N10,20,40,60Unchan'!C179+'CurrentFact-N10,20,40,60Unchan'!I179)/100)+103/POWER(1+('CurrentFact-N10,20,40,60Unchan'!D179+'CurrentFact-N10,20,40,60Unchan'!I179)/100,2))*100</f>
        <v>9676.6907857653259</v>
      </c>
      <c r="F179">
        <f>Portfolio!B$5*'CurrentFact-N10,20,40,60Unchan'!E179</f>
        <v>52143.895533915893</v>
      </c>
      <c r="G179">
        <f>Portfolio!B$6*'CurrentFact-N10,20,40,60Unchan'!F179</f>
        <v>3696.2945087936532</v>
      </c>
      <c r="H179">
        <f>Portfolio!B$7*'CurrentFact-N10,20,40,60Unchan'!J179</f>
        <v>2064.4550337304254</v>
      </c>
      <c r="I179">
        <f t="shared" si="4"/>
        <v>96505.128553694783</v>
      </c>
      <c r="J179">
        <f t="shared" si="5"/>
        <v>0</v>
      </c>
    </row>
    <row r="180" spans="1:10">
      <c r="A180" s="1">
        <v>45721</v>
      </c>
      <c r="B180">
        <f>(3/(1+('CurrentFact-N10,20,40,60Unchan'!C180)/100)+103/POWER(1+('CurrentFact-N10,20,40,60Unchan'!D180)/100,2))*100</f>
        <v>9707.5857774288397</v>
      </c>
      <c r="C180">
        <f>(3/(1+('CurrentFact-N10,20,40,60Unchan'!C180+'CurrentFact-N10,20,40,60Unchan'!G180)/100)+103/POWER(1+('CurrentFact-N10,20,40,60Unchan'!D180+'CurrentFact-N10,20,40,60Unchan'!G180)/100,2))*100</f>
        <v>9614.9673582483465</v>
      </c>
      <c r="D180">
        <f>(3/(1+('CurrentFact-N10,20,40,60Unchan'!C180+'CurrentFact-N10,20,40,60Unchan'!H180)/100)+103/POWER(1+('CurrentFact-N10,20,40,60Unchan'!D180+'CurrentFact-N10,20,40,60Unchan'!H180)/100,2))*100</f>
        <v>9601.2395558122898</v>
      </c>
      <c r="E180">
        <f>(3/(1+('CurrentFact-N10,20,40,60Unchan'!C180+'CurrentFact-N10,20,40,60Unchan'!I180)/100)+103/POWER(1+('CurrentFact-N10,20,40,60Unchan'!D180+'CurrentFact-N10,20,40,60Unchan'!I180)/100,2))*100</f>
        <v>9676.6907857653259</v>
      </c>
      <c r="F180">
        <f>Portfolio!B$5*'CurrentFact-N10,20,40,60Unchan'!E180</f>
        <v>52143.895533915893</v>
      </c>
      <c r="G180">
        <f>Portfolio!B$6*'CurrentFact-N10,20,40,60Unchan'!F180</f>
        <v>3696.2945087936532</v>
      </c>
      <c r="H180">
        <f>Portfolio!B$7*'CurrentFact-N10,20,40,60Unchan'!J180</f>
        <v>2064.4550337304254</v>
      </c>
      <c r="I180">
        <f t="shared" si="4"/>
        <v>96505.128553694783</v>
      </c>
      <c r="J180">
        <f t="shared" si="5"/>
        <v>0</v>
      </c>
    </row>
    <row r="181" spans="1:10">
      <c r="A181" s="1">
        <v>45722</v>
      </c>
      <c r="B181">
        <f>(3/(1+('CurrentFact-N10,20,40,60Unchan'!C181)/100)+103/POWER(1+('CurrentFact-N10,20,40,60Unchan'!D181)/100,2))*100</f>
        <v>9707.5857774288397</v>
      </c>
      <c r="C181">
        <f>(3/(1+('CurrentFact-N10,20,40,60Unchan'!C181+'CurrentFact-N10,20,40,60Unchan'!G181)/100)+103/POWER(1+('CurrentFact-N10,20,40,60Unchan'!D181+'CurrentFact-N10,20,40,60Unchan'!G181)/100,2))*100</f>
        <v>9614.9673582483465</v>
      </c>
      <c r="D181">
        <f>(3/(1+('CurrentFact-N10,20,40,60Unchan'!C181+'CurrentFact-N10,20,40,60Unchan'!H181)/100)+103/POWER(1+('CurrentFact-N10,20,40,60Unchan'!D181+'CurrentFact-N10,20,40,60Unchan'!H181)/100,2))*100</f>
        <v>9601.2395558122898</v>
      </c>
      <c r="E181">
        <f>(3/(1+('CurrentFact-N10,20,40,60Unchan'!C181+'CurrentFact-N10,20,40,60Unchan'!I181)/100)+103/POWER(1+('CurrentFact-N10,20,40,60Unchan'!D181+'CurrentFact-N10,20,40,60Unchan'!I181)/100,2))*100</f>
        <v>9676.6907857653259</v>
      </c>
      <c r="F181">
        <f>Portfolio!B$5*'CurrentFact-N10,20,40,60Unchan'!E181</f>
        <v>52143.895533915893</v>
      </c>
      <c r="G181">
        <f>Portfolio!B$6*'CurrentFact-N10,20,40,60Unchan'!F181</f>
        <v>3696.2945087936532</v>
      </c>
      <c r="H181">
        <f>Portfolio!B$7*'CurrentFact-N10,20,40,60Unchan'!J181</f>
        <v>2064.4550337304254</v>
      </c>
      <c r="I181">
        <f t="shared" si="4"/>
        <v>96505.128553694783</v>
      </c>
      <c r="J181">
        <f t="shared" si="5"/>
        <v>0</v>
      </c>
    </row>
    <row r="182" spans="1:10">
      <c r="A182" s="1">
        <v>45723</v>
      </c>
      <c r="B182">
        <f>(3/(1+('CurrentFact-N10,20,40,60Unchan'!C182)/100)+103/POWER(1+('CurrentFact-N10,20,40,60Unchan'!D182)/100,2))*100</f>
        <v>9707.5857774288397</v>
      </c>
      <c r="C182">
        <f>(3/(1+('CurrentFact-N10,20,40,60Unchan'!C182+'CurrentFact-N10,20,40,60Unchan'!G182)/100)+103/POWER(1+('CurrentFact-N10,20,40,60Unchan'!D182+'CurrentFact-N10,20,40,60Unchan'!G182)/100,2))*100</f>
        <v>9614.9673582483465</v>
      </c>
      <c r="D182">
        <f>(3/(1+('CurrentFact-N10,20,40,60Unchan'!C182+'CurrentFact-N10,20,40,60Unchan'!H182)/100)+103/POWER(1+('CurrentFact-N10,20,40,60Unchan'!D182+'CurrentFact-N10,20,40,60Unchan'!H182)/100,2))*100</f>
        <v>9601.2395558122898</v>
      </c>
      <c r="E182">
        <f>(3/(1+('CurrentFact-N10,20,40,60Unchan'!C182+'CurrentFact-N10,20,40,60Unchan'!I182)/100)+103/POWER(1+('CurrentFact-N10,20,40,60Unchan'!D182+'CurrentFact-N10,20,40,60Unchan'!I182)/100,2))*100</f>
        <v>9676.6907857653259</v>
      </c>
      <c r="F182">
        <f>Portfolio!B$5*'CurrentFact-N10,20,40,60Unchan'!E182</f>
        <v>52143.895533915893</v>
      </c>
      <c r="G182">
        <f>Portfolio!B$6*'CurrentFact-N10,20,40,60Unchan'!F182</f>
        <v>3696.2945087936532</v>
      </c>
      <c r="H182">
        <f>Portfolio!B$7*'CurrentFact-N10,20,40,60Unchan'!J182</f>
        <v>2064.4550337304254</v>
      </c>
      <c r="I182">
        <f t="shared" si="4"/>
        <v>96505.128553694783</v>
      </c>
      <c r="J182">
        <f t="shared" si="5"/>
        <v>0</v>
      </c>
    </row>
    <row r="183" spans="1:10">
      <c r="A183" s="1">
        <v>45726</v>
      </c>
      <c r="B183">
        <f>(3/(1+('CurrentFact-N10,20,40,60Unchan'!C183)/100)+103/POWER(1+('CurrentFact-N10,20,40,60Unchan'!D183)/100,2))*100</f>
        <v>9707.5857774288397</v>
      </c>
      <c r="C183">
        <f>(3/(1+('CurrentFact-N10,20,40,60Unchan'!C183+'CurrentFact-N10,20,40,60Unchan'!G183)/100)+103/POWER(1+('CurrentFact-N10,20,40,60Unchan'!D183+'CurrentFact-N10,20,40,60Unchan'!G183)/100,2))*100</f>
        <v>9614.9673582483465</v>
      </c>
      <c r="D183">
        <f>(3/(1+('CurrentFact-N10,20,40,60Unchan'!C183+'CurrentFact-N10,20,40,60Unchan'!H183)/100)+103/POWER(1+('CurrentFact-N10,20,40,60Unchan'!D183+'CurrentFact-N10,20,40,60Unchan'!H183)/100,2))*100</f>
        <v>9601.2395558122898</v>
      </c>
      <c r="E183">
        <f>(3/(1+('CurrentFact-N10,20,40,60Unchan'!C183+'CurrentFact-N10,20,40,60Unchan'!I183)/100)+103/POWER(1+('CurrentFact-N10,20,40,60Unchan'!D183+'CurrentFact-N10,20,40,60Unchan'!I183)/100,2))*100</f>
        <v>9676.6907857653259</v>
      </c>
      <c r="F183">
        <f>Portfolio!B$5*'CurrentFact-N10,20,40,60Unchan'!E183</f>
        <v>52143.895533915893</v>
      </c>
      <c r="G183">
        <f>Portfolio!B$6*'CurrentFact-N10,20,40,60Unchan'!F183</f>
        <v>3696.2945087936532</v>
      </c>
      <c r="H183">
        <f>Portfolio!B$7*'CurrentFact-N10,20,40,60Unchan'!J183</f>
        <v>2064.4550337304254</v>
      </c>
      <c r="I183">
        <f t="shared" si="4"/>
        <v>96505.128553694783</v>
      </c>
      <c r="J183">
        <f t="shared" si="5"/>
        <v>0</v>
      </c>
    </row>
    <row r="184" spans="1:10">
      <c r="A184" s="1">
        <v>45727</v>
      </c>
      <c r="B184">
        <f>(3/(1+('CurrentFact-N10,20,40,60Unchan'!C184)/100)+103/POWER(1+('CurrentFact-N10,20,40,60Unchan'!D184)/100,2))*100</f>
        <v>9707.5857774288397</v>
      </c>
      <c r="C184">
        <f>(3/(1+('CurrentFact-N10,20,40,60Unchan'!C184+'CurrentFact-N10,20,40,60Unchan'!G184)/100)+103/POWER(1+('CurrentFact-N10,20,40,60Unchan'!D184+'CurrentFact-N10,20,40,60Unchan'!G184)/100,2))*100</f>
        <v>9614.9673582483465</v>
      </c>
      <c r="D184">
        <f>(3/(1+('CurrentFact-N10,20,40,60Unchan'!C184+'CurrentFact-N10,20,40,60Unchan'!H184)/100)+103/POWER(1+('CurrentFact-N10,20,40,60Unchan'!D184+'CurrentFact-N10,20,40,60Unchan'!H184)/100,2))*100</f>
        <v>9601.2395558122898</v>
      </c>
      <c r="E184">
        <f>(3/(1+('CurrentFact-N10,20,40,60Unchan'!C184+'CurrentFact-N10,20,40,60Unchan'!I184)/100)+103/POWER(1+('CurrentFact-N10,20,40,60Unchan'!D184+'CurrentFact-N10,20,40,60Unchan'!I184)/100,2))*100</f>
        <v>9676.6907857653259</v>
      </c>
      <c r="F184">
        <f>Portfolio!B$5*'CurrentFact-N10,20,40,60Unchan'!E184</f>
        <v>52143.895533915893</v>
      </c>
      <c r="G184">
        <f>Portfolio!B$6*'CurrentFact-N10,20,40,60Unchan'!F184</f>
        <v>3696.2945087936532</v>
      </c>
      <c r="H184">
        <f>Portfolio!B$7*'CurrentFact-N10,20,40,60Unchan'!J184</f>
        <v>2064.4550337304254</v>
      </c>
      <c r="I184">
        <f t="shared" si="4"/>
        <v>96505.128553694783</v>
      </c>
      <c r="J184">
        <f t="shared" si="5"/>
        <v>0</v>
      </c>
    </row>
    <row r="185" spans="1:10">
      <c r="A185" s="1">
        <v>45728</v>
      </c>
      <c r="B185">
        <f>(3/(1+('CurrentFact-N10,20,40,60Unchan'!C185)/100)+103/POWER(1+('CurrentFact-N10,20,40,60Unchan'!D185)/100,2))*100</f>
        <v>9707.5857774288397</v>
      </c>
      <c r="C185">
        <f>(3/(1+('CurrentFact-N10,20,40,60Unchan'!C185+'CurrentFact-N10,20,40,60Unchan'!G185)/100)+103/POWER(1+('CurrentFact-N10,20,40,60Unchan'!D185+'CurrentFact-N10,20,40,60Unchan'!G185)/100,2))*100</f>
        <v>9614.9673582483465</v>
      </c>
      <c r="D185">
        <f>(3/(1+('CurrentFact-N10,20,40,60Unchan'!C185+'CurrentFact-N10,20,40,60Unchan'!H185)/100)+103/POWER(1+('CurrentFact-N10,20,40,60Unchan'!D185+'CurrentFact-N10,20,40,60Unchan'!H185)/100,2))*100</f>
        <v>9601.2395558122898</v>
      </c>
      <c r="E185">
        <f>(3/(1+('CurrentFact-N10,20,40,60Unchan'!C185+'CurrentFact-N10,20,40,60Unchan'!I185)/100)+103/POWER(1+('CurrentFact-N10,20,40,60Unchan'!D185+'CurrentFact-N10,20,40,60Unchan'!I185)/100,2))*100</f>
        <v>9676.6907857653259</v>
      </c>
      <c r="F185">
        <f>Portfolio!B$5*'CurrentFact-N10,20,40,60Unchan'!E185</f>
        <v>52143.895533915893</v>
      </c>
      <c r="G185">
        <f>Portfolio!B$6*'CurrentFact-N10,20,40,60Unchan'!F185</f>
        <v>3696.2945087936532</v>
      </c>
      <c r="H185">
        <f>Portfolio!B$7*'CurrentFact-N10,20,40,60Unchan'!J185</f>
        <v>2064.4550337304254</v>
      </c>
      <c r="I185">
        <f t="shared" si="4"/>
        <v>96505.128553694783</v>
      </c>
      <c r="J185">
        <f t="shared" si="5"/>
        <v>0</v>
      </c>
    </row>
    <row r="186" spans="1:10">
      <c r="A186" s="1">
        <v>45729</v>
      </c>
      <c r="B186">
        <f>(3/(1+('CurrentFact-N10,20,40,60Unchan'!C186)/100)+103/POWER(1+('CurrentFact-N10,20,40,60Unchan'!D186)/100,2))*100</f>
        <v>9707.5857774288397</v>
      </c>
      <c r="C186">
        <f>(3/(1+('CurrentFact-N10,20,40,60Unchan'!C186+'CurrentFact-N10,20,40,60Unchan'!G186)/100)+103/POWER(1+('CurrentFact-N10,20,40,60Unchan'!D186+'CurrentFact-N10,20,40,60Unchan'!G186)/100,2))*100</f>
        <v>9614.9673582483465</v>
      </c>
      <c r="D186">
        <f>(3/(1+('CurrentFact-N10,20,40,60Unchan'!C186+'CurrentFact-N10,20,40,60Unchan'!H186)/100)+103/POWER(1+('CurrentFact-N10,20,40,60Unchan'!D186+'CurrentFact-N10,20,40,60Unchan'!H186)/100,2))*100</f>
        <v>9601.2395558122898</v>
      </c>
      <c r="E186">
        <f>(3/(1+('CurrentFact-N10,20,40,60Unchan'!C186+'CurrentFact-N10,20,40,60Unchan'!I186)/100)+103/POWER(1+('CurrentFact-N10,20,40,60Unchan'!D186+'CurrentFact-N10,20,40,60Unchan'!I186)/100,2))*100</f>
        <v>9676.6907857653259</v>
      </c>
      <c r="F186">
        <f>Portfolio!B$5*'CurrentFact-N10,20,40,60Unchan'!E186</f>
        <v>52143.895533915893</v>
      </c>
      <c r="G186">
        <f>Portfolio!B$6*'CurrentFact-N10,20,40,60Unchan'!F186</f>
        <v>3696.2945087936532</v>
      </c>
      <c r="H186">
        <f>Portfolio!B$7*'CurrentFact-N10,20,40,60Unchan'!J186</f>
        <v>2064.4550337304254</v>
      </c>
      <c r="I186">
        <f t="shared" si="4"/>
        <v>96505.128553694783</v>
      </c>
      <c r="J186">
        <f t="shared" si="5"/>
        <v>0</v>
      </c>
    </row>
    <row r="187" spans="1:10">
      <c r="A187" s="1">
        <v>45730</v>
      </c>
      <c r="B187">
        <f>(3/(1+('CurrentFact-N10,20,40,60Unchan'!C187)/100)+103/POWER(1+('CurrentFact-N10,20,40,60Unchan'!D187)/100,2))*100</f>
        <v>9707.5857774288397</v>
      </c>
      <c r="C187">
        <f>(3/(1+('CurrentFact-N10,20,40,60Unchan'!C187+'CurrentFact-N10,20,40,60Unchan'!G187)/100)+103/POWER(1+('CurrentFact-N10,20,40,60Unchan'!D187+'CurrentFact-N10,20,40,60Unchan'!G187)/100,2))*100</f>
        <v>9614.9673582483465</v>
      </c>
      <c r="D187">
        <f>(3/(1+('CurrentFact-N10,20,40,60Unchan'!C187+'CurrentFact-N10,20,40,60Unchan'!H187)/100)+103/POWER(1+('CurrentFact-N10,20,40,60Unchan'!D187+'CurrentFact-N10,20,40,60Unchan'!H187)/100,2))*100</f>
        <v>9601.2395558122898</v>
      </c>
      <c r="E187">
        <f>(3/(1+('CurrentFact-N10,20,40,60Unchan'!C187+'CurrentFact-N10,20,40,60Unchan'!I187)/100)+103/POWER(1+('CurrentFact-N10,20,40,60Unchan'!D187+'CurrentFact-N10,20,40,60Unchan'!I187)/100,2))*100</f>
        <v>9676.6907857653259</v>
      </c>
      <c r="F187">
        <f>Portfolio!B$5*'CurrentFact-N10,20,40,60Unchan'!E187</f>
        <v>52143.895533915893</v>
      </c>
      <c r="G187">
        <f>Portfolio!B$6*'CurrentFact-N10,20,40,60Unchan'!F187</f>
        <v>3696.2945087936532</v>
      </c>
      <c r="H187">
        <f>Portfolio!B$7*'CurrentFact-N10,20,40,60Unchan'!J187</f>
        <v>2064.4550337304254</v>
      </c>
      <c r="I187">
        <f t="shared" si="4"/>
        <v>96505.128553694783</v>
      </c>
      <c r="J187">
        <f t="shared" si="5"/>
        <v>0</v>
      </c>
    </row>
    <row r="188" spans="1:10">
      <c r="A188" s="14">
        <v>45733</v>
      </c>
      <c r="B188">
        <f>(3/(1+('CurrentFact-N10,20,40,60Unchan'!C188)/100)+103/POWER(1+('CurrentFact-N10,20,40,60Unchan'!D188)/100,2))*100</f>
        <v>9707.5857774288397</v>
      </c>
      <c r="C188">
        <f>(3/(1+('CurrentFact-N10,20,40,60Unchan'!C188+'CurrentFact-N10,20,40,60Unchan'!G188)/100)+103/POWER(1+('CurrentFact-N10,20,40,60Unchan'!D188+'CurrentFact-N10,20,40,60Unchan'!G188)/100,2))*100</f>
        <v>9614.9673582483465</v>
      </c>
      <c r="D188">
        <f>(3/(1+('CurrentFact-N10,20,40,60Unchan'!C188+'CurrentFact-N10,20,40,60Unchan'!H188)/100)+103/POWER(1+('CurrentFact-N10,20,40,60Unchan'!D188+'CurrentFact-N10,20,40,60Unchan'!H188)/100,2))*100</f>
        <v>9601.2395558122898</v>
      </c>
      <c r="E188">
        <f>(3/(1+('CurrentFact-N10,20,40,60Unchan'!C188+'CurrentFact-N10,20,40,60Unchan'!I188)/100)+103/POWER(1+('CurrentFact-N10,20,40,60Unchan'!D188+'CurrentFact-N10,20,40,60Unchan'!I188)/100,2))*100</f>
        <v>9676.6907857653259</v>
      </c>
      <c r="F188">
        <f>Portfolio!B$5*'CurrentFact-N10,20,40,60Unchan'!E188</f>
        <v>52143.895533915893</v>
      </c>
      <c r="G188">
        <f>Portfolio!B$6*'CurrentFact-N10,20,40,60Unchan'!F188</f>
        <v>3696.2945087936532</v>
      </c>
      <c r="H188">
        <f>Portfolio!B$7*'CurrentFact-N10,20,40,60Unchan'!J188</f>
        <v>2064.4550337304254</v>
      </c>
      <c r="I188">
        <f t="shared" ref="I188:I251" si="6">SUM(B188:H188)</f>
        <v>96505.128553694783</v>
      </c>
    </row>
    <row r="189" spans="1:10">
      <c r="A189" s="1">
        <v>45734</v>
      </c>
      <c r="B189">
        <f>(3/(1+('CurrentFact-N10,20,40,60Unchan'!C189)/100)+103/POWER(1+('CurrentFact-N10,20,40,60Unchan'!D189)/100,2))*100</f>
        <v>9707.5857774288397</v>
      </c>
      <c r="C189">
        <f>(3/(1+('CurrentFact-N10,20,40,60Unchan'!C189+'CurrentFact-N10,20,40,60Unchan'!G189)/100)+103/POWER(1+('CurrentFact-N10,20,40,60Unchan'!D189+'CurrentFact-N10,20,40,60Unchan'!G189)/100,2))*100</f>
        <v>9614.9673582483465</v>
      </c>
      <c r="D189">
        <f>(3/(1+('CurrentFact-N10,20,40,60Unchan'!C189+'CurrentFact-N10,20,40,60Unchan'!H189)/100)+103/POWER(1+('CurrentFact-N10,20,40,60Unchan'!D189+'CurrentFact-N10,20,40,60Unchan'!H189)/100,2))*100</f>
        <v>9601.2395558122898</v>
      </c>
      <c r="E189">
        <f>(3/(1+('CurrentFact-N10,20,40,60Unchan'!C189+'CurrentFact-N10,20,40,60Unchan'!I189)/100)+103/POWER(1+('CurrentFact-N10,20,40,60Unchan'!D189+'CurrentFact-N10,20,40,60Unchan'!I189)/100,2))*100</f>
        <v>9676.6907857653259</v>
      </c>
      <c r="F189">
        <f>Portfolio!B$5*'CurrentFact-N10,20,40,60Unchan'!E189</f>
        <v>52143.895533915893</v>
      </c>
      <c r="G189">
        <f>Portfolio!B$6*'CurrentFact-N10,20,40,60Unchan'!F189</f>
        <v>3696.2945087936532</v>
      </c>
      <c r="H189">
        <f>Portfolio!B$7*'CurrentFact-N10,20,40,60Unchan'!J189</f>
        <v>2064.4550337304254</v>
      </c>
      <c r="I189">
        <f t="shared" si="6"/>
        <v>96505.128553694783</v>
      </c>
    </row>
    <row r="190" spans="1:10">
      <c r="A190" s="1">
        <v>45735</v>
      </c>
      <c r="B190">
        <f>(3/(1+('CurrentFact-N10,20,40,60Unchan'!C190)/100)+103/POWER(1+('CurrentFact-N10,20,40,60Unchan'!D190)/100,2))*100</f>
        <v>9707.5857774288397</v>
      </c>
      <c r="C190">
        <f>(3/(1+('CurrentFact-N10,20,40,60Unchan'!C190+'CurrentFact-N10,20,40,60Unchan'!G190)/100)+103/POWER(1+('CurrentFact-N10,20,40,60Unchan'!D190+'CurrentFact-N10,20,40,60Unchan'!G190)/100,2))*100</f>
        <v>9614.9673582483465</v>
      </c>
      <c r="D190">
        <f>(3/(1+('CurrentFact-N10,20,40,60Unchan'!C190+'CurrentFact-N10,20,40,60Unchan'!H190)/100)+103/POWER(1+('CurrentFact-N10,20,40,60Unchan'!D190+'CurrentFact-N10,20,40,60Unchan'!H190)/100,2))*100</f>
        <v>9601.2395558122898</v>
      </c>
      <c r="E190">
        <f>(3/(1+('CurrentFact-N10,20,40,60Unchan'!C190+'CurrentFact-N10,20,40,60Unchan'!I190)/100)+103/POWER(1+('CurrentFact-N10,20,40,60Unchan'!D190+'CurrentFact-N10,20,40,60Unchan'!I190)/100,2))*100</f>
        <v>9676.6907857653259</v>
      </c>
      <c r="F190">
        <f>Portfolio!B$5*'CurrentFact-N10,20,40,60Unchan'!E190</f>
        <v>52143.895533915893</v>
      </c>
      <c r="G190">
        <f>Portfolio!B$6*'CurrentFact-N10,20,40,60Unchan'!F190</f>
        <v>3696.2945087936532</v>
      </c>
      <c r="H190">
        <f>Portfolio!B$7*'CurrentFact-N10,20,40,60Unchan'!J190</f>
        <v>2064.4550337304254</v>
      </c>
      <c r="I190">
        <f t="shared" si="6"/>
        <v>96505.128553694783</v>
      </c>
    </row>
    <row r="191" spans="1:10">
      <c r="A191" s="1">
        <v>45736</v>
      </c>
      <c r="B191">
        <f>(3/(1+('CurrentFact-N10,20,40,60Unchan'!C191)/100)+103/POWER(1+('CurrentFact-N10,20,40,60Unchan'!D191)/100,2))*100</f>
        <v>9707.5857774288397</v>
      </c>
      <c r="C191">
        <f>(3/(1+('CurrentFact-N10,20,40,60Unchan'!C191+'CurrentFact-N10,20,40,60Unchan'!G191)/100)+103/POWER(1+('CurrentFact-N10,20,40,60Unchan'!D191+'CurrentFact-N10,20,40,60Unchan'!G191)/100,2))*100</f>
        <v>9614.9673582483465</v>
      </c>
      <c r="D191">
        <f>(3/(1+('CurrentFact-N10,20,40,60Unchan'!C191+'CurrentFact-N10,20,40,60Unchan'!H191)/100)+103/POWER(1+('CurrentFact-N10,20,40,60Unchan'!D191+'CurrentFact-N10,20,40,60Unchan'!H191)/100,2))*100</f>
        <v>9601.2395558122898</v>
      </c>
      <c r="E191">
        <f>(3/(1+('CurrentFact-N10,20,40,60Unchan'!C191+'CurrentFact-N10,20,40,60Unchan'!I191)/100)+103/POWER(1+('CurrentFact-N10,20,40,60Unchan'!D191+'CurrentFact-N10,20,40,60Unchan'!I191)/100,2))*100</f>
        <v>9676.6907857653259</v>
      </c>
      <c r="F191">
        <f>Portfolio!B$5*'CurrentFact-N10,20,40,60Unchan'!E191</f>
        <v>52143.895533915893</v>
      </c>
      <c r="G191">
        <f>Portfolio!B$6*'CurrentFact-N10,20,40,60Unchan'!F191</f>
        <v>3696.2945087936532</v>
      </c>
      <c r="H191">
        <f>Portfolio!B$7*'CurrentFact-N10,20,40,60Unchan'!J191</f>
        <v>2064.4550337304254</v>
      </c>
      <c r="I191">
        <f t="shared" si="6"/>
        <v>96505.128553694783</v>
      </c>
    </row>
    <row r="192" spans="1:10">
      <c r="A192" s="1">
        <v>45737</v>
      </c>
      <c r="B192">
        <f>(3/(1+('CurrentFact-N10,20,40,60Unchan'!C192)/100)+103/POWER(1+('CurrentFact-N10,20,40,60Unchan'!D192)/100,2))*100</f>
        <v>9707.5857774288397</v>
      </c>
      <c r="C192">
        <f>(3/(1+('CurrentFact-N10,20,40,60Unchan'!C192+'CurrentFact-N10,20,40,60Unchan'!G192)/100)+103/POWER(1+('CurrentFact-N10,20,40,60Unchan'!D192+'CurrentFact-N10,20,40,60Unchan'!G192)/100,2))*100</f>
        <v>9614.9673582483465</v>
      </c>
      <c r="D192">
        <f>(3/(1+('CurrentFact-N10,20,40,60Unchan'!C192+'CurrentFact-N10,20,40,60Unchan'!H192)/100)+103/POWER(1+('CurrentFact-N10,20,40,60Unchan'!D192+'CurrentFact-N10,20,40,60Unchan'!H192)/100,2))*100</f>
        <v>9601.2395558122898</v>
      </c>
      <c r="E192">
        <f>(3/(1+('CurrentFact-N10,20,40,60Unchan'!C192+'CurrentFact-N10,20,40,60Unchan'!I192)/100)+103/POWER(1+('CurrentFact-N10,20,40,60Unchan'!D192+'CurrentFact-N10,20,40,60Unchan'!I192)/100,2))*100</f>
        <v>9676.6907857653259</v>
      </c>
      <c r="F192">
        <f>Portfolio!B$5*'CurrentFact-N10,20,40,60Unchan'!E192</f>
        <v>52143.895533915893</v>
      </c>
      <c r="G192">
        <f>Portfolio!B$6*'CurrentFact-N10,20,40,60Unchan'!F192</f>
        <v>3696.2945087936532</v>
      </c>
      <c r="H192">
        <f>Portfolio!B$7*'CurrentFact-N10,20,40,60Unchan'!J192</f>
        <v>2064.4550337304254</v>
      </c>
      <c r="I192">
        <f t="shared" si="6"/>
        <v>96505.128553694783</v>
      </c>
    </row>
    <row r="193" spans="1:9">
      <c r="A193" s="1">
        <v>45740</v>
      </c>
      <c r="B193">
        <f>(3/(1+('CurrentFact-N10,20,40,60Unchan'!C193)/100)+103/POWER(1+('CurrentFact-N10,20,40,60Unchan'!D193)/100,2))*100</f>
        <v>9707.5857774288397</v>
      </c>
      <c r="C193">
        <f>(3/(1+('CurrentFact-N10,20,40,60Unchan'!C193+'CurrentFact-N10,20,40,60Unchan'!G193)/100)+103/POWER(1+('CurrentFact-N10,20,40,60Unchan'!D193+'CurrentFact-N10,20,40,60Unchan'!G193)/100,2))*100</f>
        <v>9614.9673582483465</v>
      </c>
      <c r="D193">
        <f>(3/(1+('CurrentFact-N10,20,40,60Unchan'!C193+'CurrentFact-N10,20,40,60Unchan'!H193)/100)+103/POWER(1+('CurrentFact-N10,20,40,60Unchan'!D193+'CurrentFact-N10,20,40,60Unchan'!H193)/100,2))*100</f>
        <v>9601.2395558122898</v>
      </c>
      <c r="E193">
        <f>(3/(1+('CurrentFact-N10,20,40,60Unchan'!C193+'CurrentFact-N10,20,40,60Unchan'!I193)/100)+103/POWER(1+('CurrentFact-N10,20,40,60Unchan'!D193+'CurrentFact-N10,20,40,60Unchan'!I193)/100,2))*100</f>
        <v>9676.6907857653259</v>
      </c>
      <c r="F193">
        <f>Portfolio!B$5*'CurrentFact-N10,20,40,60Unchan'!E193</f>
        <v>52143.895533915893</v>
      </c>
      <c r="G193">
        <f>Portfolio!B$6*'CurrentFact-N10,20,40,60Unchan'!F193</f>
        <v>3696.2945087936532</v>
      </c>
      <c r="H193">
        <f>Portfolio!B$7*'CurrentFact-N10,20,40,60Unchan'!J193</f>
        <v>2064.4550337304254</v>
      </c>
      <c r="I193">
        <f t="shared" si="6"/>
        <v>96505.128553694783</v>
      </c>
    </row>
    <row r="194" spans="1:9">
      <c r="A194" s="1">
        <v>45741</v>
      </c>
      <c r="B194">
        <f>(3/(1+('CurrentFact-N10,20,40,60Unchan'!C194)/100)+103/POWER(1+('CurrentFact-N10,20,40,60Unchan'!D194)/100,2))*100</f>
        <v>9707.5857774288397</v>
      </c>
      <c r="C194">
        <f>(3/(1+('CurrentFact-N10,20,40,60Unchan'!C194+'CurrentFact-N10,20,40,60Unchan'!G194)/100)+103/POWER(1+('CurrentFact-N10,20,40,60Unchan'!D194+'CurrentFact-N10,20,40,60Unchan'!G194)/100,2))*100</f>
        <v>9614.9673582483465</v>
      </c>
      <c r="D194">
        <f>(3/(1+('CurrentFact-N10,20,40,60Unchan'!C194+'CurrentFact-N10,20,40,60Unchan'!H194)/100)+103/POWER(1+('CurrentFact-N10,20,40,60Unchan'!D194+'CurrentFact-N10,20,40,60Unchan'!H194)/100,2))*100</f>
        <v>9601.2395558122898</v>
      </c>
      <c r="E194">
        <f>(3/(1+('CurrentFact-N10,20,40,60Unchan'!C194+'CurrentFact-N10,20,40,60Unchan'!I194)/100)+103/POWER(1+('CurrentFact-N10,20,40,60Unchan'!D194+'CurrentFact-N10,20,40,60Unchan'!I194)/100,2))*100</f>
        <v>9676.6907857653259</v>
      </c>
      <c r="F194">
        <f>Portfolio!B$5*'CurrentFact-N10,20,40,60Unchan'!E194</f>
        <v>52143.895533915893</v>
      </c>
      <c r="G194">
        <f>Portfolio!B$6*'CurrentFact-N10,20,40,60Unchan'!F194</f>
        <v>3696.2945087936532</v>
      </c>
      <c r="H194">
        <f>Portfolio!B$7*'CurrentFact-N10,20,40,60Unchan'!J194</f>
        <v>2064.4550337304254</v>
      </c>
      <c r="I194">
        <f t="shared" si="6"/>
        <v>96505.128553694783</v>
      </c>
    </row>
    <row r="195" spans="1:9">
      <c r="A195" s="1">
        <v>45742</v>
      </c>
      <c r="B195">
        <f>(3/(1+('CurrentFact-N10,20,40,60Unchan'!C195)/100)+103/POWER(1+('CurrentFact-N10,20,40,60Unchan'!D195)/100,2))*100</f>
        <v>9707.5857774288397</v>
      </c>
      <c r="C195">
        <f>(3/(1+('CurrentFact-N10,20,40,60Unchan'!C195+'CurrentFact-N10,20,40,60Unchan'!G195)/100)+103/POWER(1+('CurrentFact-N10,20,40,60Unchan'!D195+'CurrentFact-N10,20,40,60Unchan'!G195)/100,2))*100</f>
        <v>9614.9673582483465</v>
      </c>
      <c r="D195">
        <f>(3/(1+('CurrentFact-N10,20,40,60Unchan'!C195+'CurrentFact-N10,20,40,60Unchan'!H195)/100)+103/POWER(1+('CurrentFact-N10,20,40,60Unchan'!D195+'CurrentFact-N10,20,40,60Unchan'!H195)/100,2))*100</f>
        <v>9601.2395558122898</v>
      </c>
      <c r="E195">
        <f>(3/(1+('CurrentFact-N10,20,40,60Unchan'!C195+'CurrentFact-N10,20,40,60Unchan'!I195)/100)+103/POWER(1+('CurrentFact-N10,20,40,60Unchan'!D195+'CurrentFact-N10,20,40,60Unchan'!I195)/100,2))*100</f>
        <v>9676.6907857653259</v>
      </c>
      <c r="F195">
        <f>Portfolio!B$5*'CurrentFact-N10,20,40,60Unchan'!E195</f>
        <v>52143.895533915893</v>
      </c>
      <c r="G195">
        <f>Portfolio!B$6*'CurrentFact-N10,20,40,60Unchan'!F195</f>
        <v>3696.2945087936532</v>
      </c>
      <c r="H195">
        <f>Portfolio!B$7*'CurrentFact-N10,20,40,60Unchan'!J195</f>
        <v>2064.4550337304254</v>
      </c>
      <c r="I195">
        <f t="shared" si="6"/>
        <v>96505.128553694783</v>
      </c>
    </row>
    <row r="196" spans="1:9">
      <c r="A196" s="1">
        <v>45743</v>
      </c>
      <c r="B196">
        <f>(3/(1+('CurrentFact-N10,20,40,60Unchan'!C196)/100)+103/POWER(1+('CurrentFact-N10,20,40,60Unchan'!D196)/100,2))*100</f>
        <v>9707.5857774288397</v>
      </c>
      <c r="C196">
        <f>(3/(1+('CurrentFact-N10,20,40,60Unchan'!C196+'CurrentFact-N10,20,40,60Unchan'!G196)/100)+103/POWER(1+('CurrentFact-N10,20,40,60Unchan'!D196+'CurrentFact-N10,20,40,60Unchan'!G196)/100,2))*100</f>
        <v>9614.9673582483465</v>
      </c>
      <c r="D196">
        <f>(3/(1+('CurrentFact-N10,20,40,60Unchan'!C196+'CurrentFact-N10,20,40,60Unchan'!H196)/100)+103/POWER(1+('CurrentFact-N10,20,40,60Unchan'!D196+'CurrentFact-N10,20,40,60Unchan'!H196)/100,2))*100</f>
        <v>9601.2395558122898</v>
      </c>
      <c r="E196">
        <f>(3/(1+('CurrentFact-N10,20,40,60Unchan'!C196+'CurrentFact-N10,20,40,60Unchan'!I196)/100)+103/POWER(1+('CurrentFact-N10,20,40,60Unchan'!D196+'CurrentFact-N10,20,40,60Unchan'!I196)/100,2))*100</f>
        <v>9676.6907857653259</v>
      </c>
      <c r="F196">
        <f>Portfolio!B$5*'CurrentFact-N10,20,40,60Unchan'!E196</f>
        <v>52143.895533915893</v>
      </c>
      <c r="G196">
        <f>Portfolio!B$6*'CurrentFact-N10,20,40,60Unchan'!F196</f>
        <v>3696.2945087936532</v>
      </c>
      <c r="H196">
        <f>Portfolio!B$7*'CurrentFact-N10,20,40,60Unchan'!J196</f>
        <v>2064.4550337304254</v>
      </c>
      <c r="I196">
        <f t="shared" si="6"/>
        <v>96505.128553694783</v>
      </c>
    </row>
    <row r="197" spans="1:9">
      <c r="A197" s="1">
        <v>45744</v>
      </c>
      <c r="B197">
        <f>(3/(1+('CurrentFact-N10,20,40,60Unchan'!C197)/100)+103/POWER(1+('CurrentFact-N10,20,40,60Unchan'!D197)/100,2))*100</f>
        <v>9707.5857774288397</v>
      </c>
      <c r="C197">
        <f>(3/(1+('CurrentFact-N10,20,40,60Unchan'!C197+'CurrentFact-N10,20,40,60Unchan'!G197)/100)+103/POWER(1+('CurrentFact-N10,20,40,60Unchan'!D197+'CurrentFact-N10,20,40,60Unchan'!G197)/100,2))*100</f>
        <v>9614.9673582483465</v>
      </c>
      <c r="D197">
        <f>(3/(1+('CurrentFact-N10,20,40,60Unchan'!C197+'CurrentFact-N10,20,40,60Unchan'!H197)/100)+103/POWER(1+('CurrentFact-N10,20,40,60Unchan'!D197+'CurrentFact-N10,20,40,60Unchan'!H197)/100,2))*100</f>
        <v>9601.2395558122898</v>
      </c>
      <c r="E197">
        <f>(3/(1+('CurrentFact-N10,20,40,60Unchan'!C197+'CurrentFact-N10,20,40,60Unchan'!I197)/100)+103/POWER(1+('CurrentFact-N10,20,40,60Unchan'!D197+'CurrentFact-N10,20,40,60Unchan'!I197)/100,2))*100</f>
        <v>9676.6907857653259</v>
      </c>
      <c r="F197">
        <f>Portfolio!B$5*'CurrentFact-N10,20,40,60Unchan'!E197</f>
        <v>52143.895533915893</v>
      </c>
      <c r="G197">
        <f>Portfolio!B$6*'CurrentFact-N10,20,40,60Unchan'!F197</f>
        <v>3696.2945087936532</v>
      </c>
      <c r="H197">
        <f>Portfolio!B$7*'CurrentFact-N10,20,40,60Unchan'!J197</f>
        <v>2064.4550337304254</v>
      </c>
      <c r="I197">
        <f t="shared" si="6"/>
        <v>96505.128553694783</v>
      </c>
    </row>
    <row r="198" spans="1:9">
      <c r="A198" s="1">
        <v>45747</v>
      </c>
      <c r="B198">
        <f>(3/(1+('CurrentFact-N10,20,40,60Unchan'!C198)/100)+103/POWER(1+('CurrentFact-N10,20,40,60Unchan'!D198)/100,2))*100</f>
        <v>9707.5857774288397</v>
      </c>
      <c r="C198">
        <f>(3/(1+('CurrentFact-N10,20,40,60Unchan'!C198+'CurrentFact-N10,20,40,60Unchan'!G198)/100)+103/POWER(1+('CurrentFact-N10,20,40,60Unchan'!D198+'CurrentFact-N10,20,40,60Unchan'!G198)/100,2))*100</f>
        <v>9614.9673582483465</v>
      </c>
      <c r="D198">
        <f>(3/(1+('CurrentFact-N10,20,40,60Unchan'!C198+'CurrentFact-N10,20,40,60Unchan'!H198)/100)+103/POWER(1+('CurrentFact-N10,20,40,60Unchan'!D198+'CurrentFact-N10,20,40,60Unchan'!H198)/100,2))*100</f>
        <v>9601.2395558122898</v>
      </c>
      <c r="E198">
        <f>(3/(1+('CurrentFact-N10,20,40,60Unchan'!C198+'CurrentFact-N10,20,40,60Unchan'!I198)/100)+103/POWER(1+('CurrentFact-N10,20,40,60Unchan'!D198+'CurrentFact-N10,20,40,60Unchan'!I198)/100,2))*100</f>
        <v>9676.6907857653259</v>
      </c>
      <c r="F198">
        <f>Portfolio!B$5*'CurrentFact-N10,20,40,60Unchan'!E198</f>
        <v>52143.895533915893</v>
      </c>
      <c r="G198">
        <f>Portfolio!B$6*'CurrentFact-N10,20,40,60Unchan'!F198</f>
        <v>3696.2945087936532</v>
      </c>
      <c r="H198">
        <f>Portfolio!B$7*'CurrentFact-N10,20,40,60Unchan'!J198</f>
        <v>2064.4550337304254</v>
      </c>
      <c r="I198">
        <f t="shared" si="6"/>
        <v>96505.128553694783</v>
      </c>
    </row>
    <row r="199" spans="1:9">
      <c r="A199" s="1">
        <v>45748</v>
      </c>
      <c r="B199">
        <f>(3/(1+('CurrentFact-N10,20,40,60Unchan'!C199)/100)+103/POWER(1+('CurrentFact-N10,20,40,60Unchan'!D199)/100,2))*100</f>
        <v>9707.5857774288397</v>
      </c>
      <c r="C199">
        <f>(3/(1+('CurrentFact-N10,20,40,60Unchan'!C199+'CurrentFact-N10,20,40,60Unchan'!G199)/100)+103/POWER(1+('CurrentFact-N10,20,40,60Unchan'!D199+'CurrentFact-N10,20,40,60Unchan'!G199)/100,2))*100</f>
        <v>9614.9673582483465</v>
      </c>
      <c r="D199">
        <f>(3/(1+('CurrentFact-N10,20,40,60Unchan'!C199+'CurrentFact-N10,20,40,60Unchan'!H199)/100)+103/POWER(1+('CurrentFact-N10,20,40,60Unchan'!D199+'CurrentFact-N10,20,40,60Unchan'!H199)/100,2))*100</f>
        <v>9601.2395558122898</v>
      </c>
      <c r="E199">
        <f>(3/(1+('CurrentFact-N10,20,40,60Unchan'!C199+'CurrentFact-N10,20,40,60Unchan'!I199)/100)+103/POWER(1+('CurrentFact-N10,20,40,60Unchan'!D199+'CurrentFact-N10,20,40,60Unchan'!I199)/100,2))*100</f>
        <v>9676.6907857653259</v>
      </c>
      <c r="F199">
        <f>Portfolio!B$5*'CurrentFact-N10,20,40,60Unchan'!E199</f>
        <v>52143.895533915893</v>
      </c>
      <c r="G199">
        <f>Portfolio!B$6*'CurrentFact-N10,20,40,60Unchan'!F199</f>
        <v>3696.2945087936532</v>
      </c>
      <c r="H199">
        <f>Portfolio!B$7*'CurrentFact-N10,20,40,60Unchan'!J199</f>
        <v>2064.4550337304254</v>
      </c>
      <c r="I199">
        <f t="shared" si="6"/>
        <v>96505.128553694783</v>
      </c>
    </row>
    <row r="200" spans="1:9">
      <c r="A200" s="1">
        <v>45749</v>
      </c>
      <c r="B200">
        <f>(3/(1+('CurrentFact-N10,20,40,60Unchan'!C200)/100)+103/POWER(1+('CurrentFact-N10,20,40,60Unchan'!D200)/100,2))*100</f>
        <v>9707.5857774288397</v>
      </c>
      <c r="C200">
        <f>(3/(1+('CurrentFact-N10,20,40,60Unchan'!C200+'CurrentFact-N10,20,40,60Unchan'!G200)/100)+103/POWER(1+('CurrentFact-N10,20,40,60Unchan'!D200+'CurrentFact-N10,20,40,60Unchan'!G200)/100,2))*100</f>
        <v>9614.9673582483465</v>
      </c>
      <c r="D200">
        <f>(3/(1+('CurrentFact-N10,20,40,60Unchan'!C200+'CurrentFact-N10,20,40,60Unchan'!H200)/100)+103/POWER(1+('CurrentFact-N10,20,40,60Unchan'!D200+'CurrentFact-N10,20,40,60Unchan'!H200)/100,2))*100</f>
        <v>9601.2395558122898</v>
      </c>
      <c r="E200">
        <f>(3/(1+('CurrentFact-N10,20,40,60Unchan'!C200+'CurrentFact-N10,20,40,60Unchan'!I200)/100)+103/POWER(1+('CurrentFact-N10,20,40,60Unchan'!D200+'CurrentFact-N10,20,40,60Unchan'!I200)/100,2))*100</f>
        <v>9676.6907857653259</v>
      </c>
      <c r="F200">
        <f>Portfolio!B$5*'CurrentFact-N10,20,40,60Unchan'!E200</f>
        <v>52143.895533915893</v>
      </c>
      <c r="G200">
        <f>Portfolio!B$6*'CurrentFact-N10,20,40,60Unchan'!F200</f>
        <v>3696.2945087936532</v>
      </c>
      <c r="H200">
        <f>Portfolio!B$7*'CurrentFact-N10,20,40,60Unchan'!J200</f>
        <v>2064.4550337304254</v>
      </c>
      <c r="I200">
        <f t="shared" si="6"/>
        <v>96505.128553694783</v>
      </c>
    </row>
    <row r="201" spans="1:9">
      <c r="A201" s="1">
        <v>45750</v>
      </c>
      <c r="B201">
        <f>(3/(1+('CurrentFact-N10,20,40,60Unchan'!C201)/100)+103/POWER(1+('CurrentFact-N10,20,40,60Unchan'!D201)/100,2))*100</f>
        <v>9707.5857774288397</v>
      </c>
      <c r="C201">
        <f>(3/(1+('CurrentFact-N10,20,40,60Unchan'!C201+'CurrentFact-N10,20,40,60Unchan'!G201)/100)+103/POWER(1+('CurrentFact-N10,20,40,60Unchan'!D201+'CurrentFact-N10,20,40,60Unchan'!G201)/100,2))*100</f>
        <v>9614.9673582483465</v>
      </c>
      <c r="D201">
        <f>(3/(1+('CurrentFact-N10,20,40,60Unchan'!C201+'CurrentFact-N10,20,40,60Unchan'!H201)/100)+103/POWER(1+('CurrentFact-N10,20,40,60Unchan'!D201+'CurrentFact-N10,20,40,60Unchan'!H201)/100,2))*100</f>
        <v>9601.2395558122898</v>
      </c>
      <c r="E201">
        <f>(3/(1+('CurrentFact-N10,20,40,60Unchan'!C201+'CurrentFact-N10,20,40,60Unchan'!I201)/100)+103/POWER(1+('CurrentFact-N10,20,40,60Unchan'!D201+'CurrentFact-N10,20,40,60Unchan'!I201)/100,2))*100</f>
        <v>9676.6907857653259</v>
      </c>
      <c r="F201">
        <f>Portfolio!B$5*'CurrentFact-N10,20,40,60Unchan'!E201</f>
        <v>52143.895533915893</v>
      </c>
      <c r="G201">
        <f>Portfolio!B$6*'CurrentFact-N10,20,40,60Unchan'!F201</f>
        <v>3696.2945087936532</v>
      </c>
      <c r="H201">
        <f>Portfolio!B$7*'CurrentFact-N10,20,40,60Unchan'!J201</f>
        <v>2064.4550337304254</v>
      </c>
      <c r="I201">
        <f t="shared" si="6"/>
        <v>96505.128553694783</v>
      </c>
    </row>
    <row r="202" spans="1:9">
      <c r="A202" s="1">
        <v>45751</v>
      </c>
      <c r="B202">
        <f>(3/(1+('CurrentFact-N10,20,40,60Unchan'!C202)/100)+103/POWER(1+('CurrentFact-N10,20,40,60Unchan'!D202)/100,2))*100</f>
        <v>9707.5857774288397</v>
      </c>
      <c r="C202">
        <f>(3/(1+('CurrentFact-N10,20,40,60Unchan'!C202+'CurrentFact-N10,20,40,60Unchan'!G202)/100)+103/POWER(1+('CurrentFact-N10,20,40,60Unchan'!D202+'CurrentFact-N10,20,40,60Unchan'!G202)/100,2))*100</f>
        <v>9614.9673582483465</v>
      </c>
      <c r="D202">
        <f>(3/(1+('CurrentFact-N10,20,40,60Unchan'!C202+'CurrentFact-N10,20,40,60Unchan'!H202)/100)+103/POWER(1+('CurrentFact-N10,20,40,60Unchan'!D202+'CurrentFact-N10,20,40,60Unchan'!H202)/100,2))*100</f>
        <v>9601.2395558122898</v>
      </c>
      <c r="E202">
        <f>(3/(1+('CurrentFact-N10,20,40,60Unchan'!C202+'CurrentFact-N10,20,40,60Unchan'!I202)/100)+103/POWER(1+('CurrentFact-N10,20,40,60Unchan'!D202+'CurrentFact-N10,20,40,60Unchan'!I202)/100,2))*100</f>
        <v>9676.6907857653259</v>
      </c>
      <c r="F202">
        <f>Portfolio!B$5*'CurrentFact-N10,20,40,60Unchan'!E202</f>
        <v>52143.895533915893</v>
      </c>
      <c r="G202">
        <f>Portfolio!B$6*'CurrentFact-N10,20,40,60Unchan'!F202</f>
        <v>3696.2945087936532</v>
      </c>
      <c r="H202">
        <f>Portfolio!B$7*'CurrentFact-N10,20,40,60Unchan'!J202</f>
        <v>2064.4550337304254</v>
      </c>
      <c r="I202">
        <f t="shared" si="6"/>
        <v>96505.128553694783</v>
      </c>
    </row>
    <row r="203" spans="1:9">
      <c r="A203" s="1">
        <v>45754</v>
      </c>
      <c r="B203">
        <f>(3/(1+('CurrentFact-N10,20,40,60Unchan'!C203)/100)+103/POWER(1+('CurrentFact-N10,20,40,60Unchan'!D203)/100,2))*100</f>
        <v>9707.5857774288397</v>
      </c>
      <c r="C203">
        <f>(3/(1+('CurrentFact-N10,20,40,60Unchan'!C203+'CurrentFact-N10,20,40,60Unchan'!G203)/100)+103/POWER(1+('CurrentFact-N10,20,40,60Unchan'!D203+'CurrentFact-N10,20,40,60Unchan'!G203)/100,2))*100</f>
        <v>9614.9673582483465</v>
      </c>
      <c r="D203">
        <f>(3/(1+('CurrentFact-N10,20,40,60Unchan'!C203+'CurrentFact-N10,20,40,60Unchan'!H203)/100)+103/POWER(1+('CurrentFact-N10,20,40,60Unchan'!D203+'CurrentFact-N10,20,40,60Unchan'!H203)/100,2))*100</f>
        <v>9601.2395558122898</v>
      </c>
      <c r="E203">
        <f>(3/(1+('CurrentFact-N10,20,40,60Unchan'!C203+'CurrentFact-N10,20,40,60Unchan'!I203)/100)+103/POWER(1+('CurrentFact-N10,20,40,60Unchan'!D203+'CurrentFact-N10,20,40,60Unchan'!I203)/100,2))*100</f>
        <v>9676.6907857653259</v>
      </c>
      <c r="F203">
        <f>Portfolio!B$5*'CurrentFact-N10,20,40,60Unchan'!E203</f>
        <v>52143.895533915893</v>
      </c>
      <c r="G203">
        <f>Portfolio!B$6*'CurrentFact-N10,20,40,60Unchan'!F203</f>
        <v>3696.2945087936532</v>
      </c>
      <c r="H203">
        <f>Portfolio!B$7*'CurrentFact-N10,20,40,60Unchan'!J203</f>
        <v>2064.4550337304254</v>
      </c>
      <c r="I203">
        <f t="shared" si="6"/>
        <v>96505.128553694783</v>
      </c>
    </row>
    <row r="204" spans="1:9">
      <c r="A204" s="1">
        <v>45755</v>
      </c>
      <c r="B204">
        <f>(3/(1+('CurrentFact-N10,20,40,60Unchan'!C204)/100)+103/POWER(1+('CurrentFact-N10,20,40,60Unchan'!D204)/100,2))*100</f>
        <v>9707.5857774288397</v>
      </c>
      <c r="C204">
        <f>(3/(1+('CurrentFact-N10,20,40,60Unchan'!C204+'CurrentFact-N10,20,40,60Unchan'!G204)/100)+103/POWER(1+('CurrentFact-N10,20,40,60Unchan'!D204+'CurrentFact-N10,20,40,60Unchan'!G204)/100,2))*100</f>
        <v>9614.9673582483465</v>
      </c>
      <c r="D204">
        <f>(3/(1+('CurrentFact-N10,20,40,60Unchan'!C204+'CurrentFact-N10,20,40,60Unchan'!H204)/100)+103/POWER(1+('CurrentFact-N10,20,40,60Unchan'!D204+'CurrentFact-N10,20,40,60Unchan'!H204)/100,2))*100</f>
        <v>9601.2395558122898</v>
      </c>
      <c r="E204">
        <f>(3/(1+('CurrentFact-N10,20,40,60Unchan'!C204+'CurrentFact-N10,20,40,60Unchan'!I204)/100)+103/POWER(1+('CurrentFact-N10,20,40,60Unchan'!D204+'CurrentFact-N10,20,40,60Unchan'!I204)/100,2))*100</f>
        <v>9676.6907857653259</v>
      </c>
      <c r="F204">
        <f>Portfolio!B$5*'CurrentFact-N10,20,40,60Unchan'!E204</f>
        <v>52143.895533915893</v>
      </c>
      <c r="G204">
        <f>Portfolio!B$6*'CurrentFact-N10,20,40,60Unchan'!F204</f>
        <v>3696.2945087936532</v>
      </c>
      <c r="H204">
        <f>Portfolio!B$7*'CurrentFact-N10,20,40,60Unchan'!J204</f>
        <v>2064.4550337304254</v>
      </c>
      <c r="I204">
        <f t="shared" si="6"/>
        <v>96505.128553694783</v>
      </c>
    </row>
    <row r="205" spans="1:9">
      <c r="A205" s="1">
        <v>45756</v>
      </c>
      <c r="B205">
        <f>(3/(1+('CurrentFact-N10,20,40,60Unchan'!C205)/100)+103/POWER(1+('CurrentFact-N10,20,40,60Unchan'!D205)/100,2))*100</f>
        <v>9707.5857774288397</v>
      </c>
      <c r="C205">
        <f>(3/(1+('CurrentFact-N10,20,40,60Unchan'!C205+'CurrentFact-N10,20,40,60Unchan'!G205)/100)+103/POWER(1+('CurrentFact-N10,20,40,60Unchan'!D205+'CurrentFact-N10,20,40,60Unchan'!G205)/100,2))*100</f>
        <v>9614.9673582483465</v>
      </c>
      <c r="D205">
        <f>(3/(1+('CurrentFact-N10,20,40,60Unchan'!C205+'CurrentFact-N10,20,40,60Unchan'!H205)/100)+103/POWER(1+('CurrentFact-N10,20,40,60Unchan'!D205+'CurrentFact-N10,20,40,60Unchan'!H205)/100,2))*100</f>
        <v>9601.2395558122898</v>
      </c>
      <c r="E205">
        <f>(3/(1+('CurrentFact-N10,20,40,60Unchan'!C205+'CurrentFact-N10,20,40,60Unchan'!I205)/100)+103/POWER(1+('CurrentFact-N10,20,40,60Unchan'!D205+'CurrentFact-N10,20,40,60Unchan'!I205)/100,2))*100</f>
        <v>9676.6907857653259</v>
      </c>
      <c r="F205">
        <f>Portfolio!B$5*'CurrentFact-N10,20,40,60Unchan'!E205</f>
        <v>52143.895533915893</v>
      </c>
      <c r="G205">
        <f>Portfolio!B$6*'CurrentFact-N10,20,40,60Unchan'!F205</f>
        <v>3696.2945087936532</v>
      </c>
      <c r="H205">
        <f>Portfolio!B$7*'CurrentFact-N10,20,40,60Unchan'!J205</f>
        <v>2064.4550337304254</v>
      </c>
      <c r="I205">
        <f t="shared" si="6"/>
        <v>96505.128553694783</v>
      </c>
    </row>
    <row r="206" spans="1:9">
      <c r="A206" s="1">
        <v>45757</v>
      </c>
      <c r="B206">
        <f>(3/(1+('CurrentFact-N10,20,40,60Unchan'!C206)/100)+103/POWER(1+('CurrentFact-N10,20,40,60Unchan'!D206)/100,2))*100</f>
        <v>9707.5857774288397</v>
      </c>
      <c r="C206">
        <f>(3/(1+('CurrentFact-N10,20,40,60Unchan'!C206+'CurrentFact-N10,20,40,60Unchan'!G206)/100)+103/POWER(1+('CurrentFact-N10,20,40,60Unchan'!D206+'CurrentFact-N10,20,40,60Unchan'!G206)/100,2))*100</f>
        <v>9614.9673582483465</v>
      </c>
      <c r="D206">
        <f>(3/(1+('CurrentFact-N10,20,40,60Unchan'!C206+'CurrentFact-N10,20,40,60Unchan'!H206)/100)+103/POWER(1+('CurrentFact-N10,20,40,60Unchan'!D206+'CurrentFact-N10,20,40,60Unchan'!H206)/100,2))*100</f>
        <v>9601.2395558122898</v>
      </c>
      <c r="E206">
        <f>(3/(1+('CurrentFact-N10,20,40,60Unchan'!C206+'CurrentFact-N10,20,40,60Unchan'!I206)/100)+103/POWER(1+('CurrentFact-N10,20,40,60Unchan'!D206+'CurrentFact-N10,20,40,60Unchan'!I206)/100,2))*100</f>
        <v>9676.6907857653259</v>
      </c>
      <c r="F206">
        <f>Portfolio!B$5*'CurrentFact-N10,20,40,60Unchan'!E206</f>
        <v>52143.895533915893</v>
      </c>
      <c r="G206">
        <f>Portfolio!B$6*'CurrentFact-N10,20,40,60Unchan'!F206</f>
        <v>3696.2945087936532</v>
      </c>
      <c r="H206">
        <f>Portfolio!B$7*'CurrentFact-N10,20,40,60Unchan'!J206</f>
        <v>2064.4550337304254</v>
      </c>
      <c r="I206">
        <f t="shared" si="6"/>
        <v>96505.128553694783</v>
      </c>
    </row>
    <row r="207" spans="1:9">
      <c r="A207" s="1">
        <v>45758</v>
      </c>
      <c r="B207">
        <f>(3/(1+('CurrentFact-N10,20,40,60Unchan'!C207)/100)+103/POWER(1+('CurrentFact-N10,20,40,60Unchan'!D207)/100,2))*100</f>
        <v>9707.5857774288397</v>
      </c>
      <c r="C207">
        <f>(3/(1+('CurrentFact-N10,20,40,60Unchan'!C207+'CurrentFact-N10,20,40,60Unchan'!G207)/100)+103/POWER(1+('CurrentFact-N10,20,40,60Unchan'!D207+'CurrentFact-N10,20,40,60Unchan'!G207)/100,2))*100</f>
        <v>9614.9673582483465</v>
      </c>
      <c r="D207">
        <f>(3/(1+('CurrentFact-N10,20,40,60Unchan'!C207+'CurrentFact-N10,20,40,60Unchan'!H207)/100)+103/POWER(1+('CurrentFact-N10,20,40,60Unchan'!D207+'CurrentFact-N10,20,40,60Unchan'!H207)/100,2))*100</f>
        <v>9601.2395558122898</v>
      </c>
      <c r="E207">
        <f>(3/(1+('CurrentFact-N10,20,40,60Unchan'!C207+'CurrentFact-N10,20,40,60Unchan'!I207)/100)+103/POWER(1+('CurrentFact-N10,20,40,60Unchan'!D207+'CurrentFact-N10,20,40,60Unchan'!I207)/100,2))*100</f>
        <v>9676.6907857653259</v>
      </c>
      <c r="F207">
        <f>Portfolio!B$5*'CurrentFact-N10,20,40,60Unchan'!E207</f>
        <v>52143.895533915893</v>
      </c>
      <c r="G207">
        <f>Portfolio!B$6*'CurrentFact-N10,20,40,60Unchan'!F207</f>
        <v>3696.2945087936532</v>
      </c>
      <c r="H207">
        <f>Portfolio!B$7*'CurrentFact-N10,20,40,60Unchan'!J207</f>
        <v>2064.4550337304254</v>
      </c>
      <c r="I207">
        <f t="shared" si="6"/>
        <v>96505.128553694783</v>
      </c>
    </row>
    <row r="208" spans="1:9">
      <c r="A208" s="1">
        <v>45761</v>
      </c>
      <c r="B208">
        <f>(3/(1+('CurrentFact-N10,20,40,60Unchan'!C208)/100)+103/POWER(1+('CurrentFact-N10,20,40,60Unchan'!D208)/100,2))*100</f>
        <v>9707.5857774288397</v>
      </c>
      <c r="C208">
        <f>(3/(1+('CurrentFact-N10,20,40,60Unchan'!C208+'CurrentFact-N10,20,40,60Unchan'!G208)/100)+103/POWER(1+('CurrentFact-N10,20,40,60Unchan'!D208+'CurrentFact-N10,20,40,60Unchan'!G208)/100,2))*100</f>
        <v>9614.9673582483465</v>
      </c>
      <c r="D208">
        <f>(3/(1+('CurrentFact-N10,20,40,60Unchan'!C208+'CurrentFact-N10,20,40,60Unchan'!H208)/100)+103/POWER(1+('CurrentFact-N10,20,40,60Unchan'!D208+'CurrentFact-N10,20,40,60Unchan'!H208)/100,2))*100</f>
        <v>9601.2395558122898</v>
      </c>
      <c r="E208">
        <f>(3/(1+('CurrentFact-N10,20,40,60Unchan'!C208+'CurrentFact-N10,20,40,60Unchan'!I208)/100)+103/POWER(1+('CurrentFact-N10,20,40,60Unchan'!D208+'CurrentFact-N10,20,40,60Unchan'!I208)/100,2))*100</f>
        <v>9676.6907857653259</v>
      </c>
      <c r="F208">
        <f>Portfolio!B$5*'CurrentFact-N10,20,40,60Unchan'!E208</f>
        <v>52143.895533915893</v>
      </c>
      <c r="G208">
        <f>Portfolio!B$6*'CurrentFact-N10,20,40,60Unchan'!F208</f>
        <v>3696.2945087936532</v>
      </c>
      <c r="H208">
        <f>Portfolio!B$7*'CurrentFact-N10,20,40,60Unchan'!J208</f>
        <v>2064.4550337304254</v>
      </c>
      <c r="I208">
        <f t="shared" si="6"/>
        <v>96505.128553694783</v>
      </c>
    </row>
    <row r="209" spans="1:9">
      <c r="A209" s="1">
        <v>45762</v>
      </c>
      <c r="B209">
        <f>(3/(1+('CurrentFact-N10,20,40,60Unchan'!C209)/100)+103/POWER(1+('CurrentFact-N10,20,40,60Unchan'!D209)/100,2))*100</f>
        <v>9707.5857774288397</v>
      </c>
      <c r="C209">
        <f>(3/(1+('CurrentFact-N10,20,40,60Unchan'!C209+'CurrentFact-N10,20,40,60Unchan'!G209)/100)+103/POWER(1+('CurrentFact-N10,20,40,60Unchan'!D209+'CurrentFact-N10,20,40,60Unchan'!G209)/100,2))*100</f>
        <v>9614.9673582483465</v>
      </c>
      <c r="D209">
        <f>(3/(1+('CurrentFact-N10,20,40,60Unchan'!C209+'CurrentFact-N10,20,40,60Unchan'!H209)/100)+103/POWER(1+('CurrentFact-N10,20,40,60Unchan'!D209+'CurrentFact-N10,20,40,60Unchan'!H209)/100,2))*100</f>
        <v>9601.2395558122898</v>
      </c>
      <c r="E209">
        <f>(3/(1+('CurrentFact-N10,20,40,60Unchan'!C209+'CurrentFact-N10,20,40,60Unchan'!I209)/100)+103/POWER(1+('CurrentFact-N10,20,40,60Unchan'!D209+'CurrentFact-N10,20,40,60Unchan'!I209)/100,2))*100</f>
        <v>9676.6907857653259</v>
      </c>
      <c r="F209">
        <f>Portfolio!B$5*'CurrentFact-N10,20,40,60Unchan'!E209</f>
        <v>52143.895533915893</v>
      </c>
      <c r="G209">
        <f>Portfolio!B$6*'CurrentFact-N10,20,40,60Unchan'!F209</f>
        <v>3696.2945087936532</v>
      </c>
      <c r="H209">
        <f>Portfolio!B$7*'CurrentFact-N10,20,40,60Unchan'!J209</f>
        <v>2064.4550337304254</v>
      </c>
      <c r="I209">
        <f t="shared" si="6"/>
        <v>96505.128553694783</v>
      </c>
    </row>
    <row r="210" spans="1:9">
      <c r="A210" s="1">
        <v>45763</v>
      </c>
      <c r="B210">
        <f>(3/(1+('CurrentFact-N10,20,40,60Unchan'!C210)/100)+103/POWER(1+('CurrentFact-N10,20,40,60Unchan'!D210)/100,2))*100</f>
        <v>9707.5857774288397</v>
      </c>
      <c r="C210">
        <f>(3/(1+('CurrentFact-N10,20,40,60Unchan'!C210+'CurrentFact-N10,20,40,60Unchan'!G210)/100)+103/POWER(1+('CurrentFact-N10,20,40,60Unchan'!D210+'CurrentFact-N10,20,40,60Unchan'!G210)/100,2))*100</f>
        <v>9614.9673582483465</v>
      </c>
      <c r="D210">
        <f>(3/(1+('CurrentFact-N10,20,40,60Unchan'!C210+'CurrentFact-N10,20,40,60Unchan'!H210)/100)+103/POWER(1+('CurrentFact-N10,20,40,60Unchan'!D210+'CurrentFact-N10,20,40,60Unchan'!H210)/100,2))*100</f>
        <v>9601.2395558122898</v>
      </c>
      <c r="E210">
        <f>(3/(1+('CurrentFact-N10,20,40,60Unchan'!C210+'CurrentFact-N10,20,40,60Unchan'!I210)/100)+103/POWER(1+('CurrentFact-N10,20,40,60Unchan'!D210+'CurrentFact-N10,20,40,60Unchan'!I210)/100,2))*100</f>
        <v>9676.6907857653259</v>
      </c>
      <c r="F210">
        <f>Portfolio!B$5*'CurrentFact-N10,20,40,60Unchan'!E210</f>
        <v>52143.895533915893</v>
      </c>
      <c r="G210">
        <f>Portfolio!B$6*'CurrentFact-N10,20,40,60Unchan'!F210</f>
        <v>3696.2945087936532</v>
      </c>
      <c r="H210">
        <f>Portfolio!B$7*'CurrentFact-N10,20,40,60Unchan'!J210</f>
        <v>2064.4550337304254</v>
      </c>
      <c r="I210">
        <f t="shared" si="6"/>
        <v>96505.128553694783</v>
      </c>
    </row>
    <row r="211" spans="1:9">
      <c r="A211" s="1">
        <v>45764</v>
      </c>
      <c r="B211">
        <f>(3/(1+('CurrentFact-N10,20,40,60Unchan'!C211)/100)+103/POWER(1+('CurrentFact-N10,20,40,60Unchan'!D211)/100,2))*100</f>
        <v>9707.5857774288397</v>
      </c>
      <c r="C211">
        <f>(3/(1+('CurrentFact-N10,20,40,60Unchan'!C211+'CurrentFact-N10,20,40,60Unchan'!G211)/100)+103/POWER(1+('CurrentFact-N10,20,40,60Unchan'!D211+'CurrentFact-N10,20,40,60Unchan'!G211)/100,2))*100</f>
        <v>9614.9673582483465</v>
      </c>
      <c r="D211">
        <f>(3/(1+('CurrentFact-N10,20,40,60Unchan'!C211+'CurrentFact-N10,20,40,60Unchan'!H211)/100)+103/POWER(1+('CurrentFact-N10,20,40,60Unchan'!D211+'CurrentFact-N10,20,40,60Unchan'!H211)/100,2))*100</f>
        <v>9601.2395558122898</v>
      </c>
      <c r="E211">
        <f>(3/(1+('CurrentFact-N10,20,40,60Unchan'!C211+'CurrentFact-N10,20,40,60Unchan'!I211)/100)+103/POWER(1+('CurrentFact-N10,20,40,60Unchan'!D211+'CurrentFact-N10,20,40,60Unchan'!I211)/100,2))*100</f>
        <v>9676.6907857653259</v>
      </c>
      <c r="F211">
        <f>Portfolio!B$5*'CurrentFact-N10,20,40,60Unchan'!E211</f>
        <v>52143.895533915893</v>
      </c>
      <c r="G211">
        <f>Portfolio!B$6*'CurrentFact-N10,20,40,60Unchan'!F211</f>
        <v>3696.2945087936532</v>
      </c>
      <c r="H211">
        <f>Portfolio!B$7*'CurrentFact-N10,20,40,60Unchan'!J211</f>
        <v>2064.4550337304254</v>
      </c>
      <c r="I211">
        <f t="shared" si="6"/>
        <v>96505.128553694783</v>
      </c>
    </row>
    <row r="212" spans="1:9">
      <c r="A212" s="1">
        <v>45765</v>
      </c>
      <c r="B212">
        <f>(3/(1+('CurrentFact-N10,20,40,60Unchan'!C212)/100)+103/POWER(1+('CurrentFact-N10,20,40,60Unchan'!D212)/100,2))*100</f>
        <v>9707.5857774288397</v>
      </c>
      <c r="C212">
        <f>(3/(1+('CurrentFact-N10,20,40,60Unchan'!C212+'CurrentFact-N10,20,40,60Unchan'!G212)/100)+103/POWER(1+('CurrentFact-N10,20,40,60Unchan'!D212+'CurrentFact-N10,20,40,60Unchan'!G212)/100,2))*100</f>
        <v>9614.9673582483465</v>
      </c>
      <c r="D212">
        <f>(3/(1+('CurrentFact-N10,20,40,60Unchan'!C212+'CurrentFact-N10,20,40,60Unchan'!H212)/100)+103/POWER(1+('CurrentFact-N10,20,40,60Unchan'!D212+'CurrentFact-N10,20,40,60Unchan'!H212)/100,2))*100</f>
        <v>9601.2395558122898</v>
      </c>
      <c r="E212">
        <f>(3/(1+('CurrentFact-N10,20,40,60Unchan'!C212+'CurrentFact-N10,20,40,60Unchan'!I212)/100)+103/POWER(1+('CurrentFact-N10,20,40,60Unchan'!D212+'CurrentFact-N10,20,40,60Unchan'!I212)/100,2))*100</f>
        <v>9676.6907857653259</v>
      </c>
      <c r="F212">
        <f>Portfolio!B$5*'CurrentFact-N10,20,40,60Unchan'!E212</f>
        <v>52143.895533915893</v>
      </c>
      <c r="G212">
        <f>Portfolio!B$6*'CurrentFact-N10,20,40,60Unchan'!F212</f>
        <v>3696.2945087936532</v>
      </c>
      <c r="H212">
        <f>Portfolio!B$7*'CurrentFact-N10,20,40,60Unchan'!J212</f>
        <v>2064.4550337304254</v>
      </c>
      <c r="I212">
        <f t="shared" si="6"/>
        <v>96505.128553694783</v>
      </c>
    </row>
    <row r="213" spans="1:9">
      <c r="A213" s="1">
        <v>45768</v>
      </c>
      <c r="B213">
        <f>(3/(1+('CurrentFact-N10,20,40,60Unchan'!C213)/100)+103/POWER(1+('CurrentFact-N10,20,40,60Unchan'!D213)/100,2))*100</f>
        <v>9707.5857774288397</v>
      </c>
      <c r="C213">
        <f>(3/(1+('CurrentFact-N10,20,40,60Unchan'!C213+'CurrentFact-N10,20,40,60Unchan'!G213)/100)+103/POWER(1+('CurrentFact-N10,20,40,60Unchan'!D213+'CurrentFact-N10,20,40,60Unchan'!G213)/100,2))*100</f>
        <v>9614.9673582483465</v>
      </c>
      <c r="D213">
        <f>(3/(1+('CurrentFact-N10,20,40,60Unchan'!C213+'CurrentFact-N10,20,40,60Unchan'!H213)/100)+103/POWER(1+('CurrentFact-N10,20,40,60Unchan'!D213+'CurrentFact-N10,20,40,60Unchan'!H213)/100,2))*100</f>
        <v>9601.2395558122898</v>
      </c>
      <c r="E213">
        <f>(3/(1+('CurrentFact-N10,20,40,60Unchan'!C213+'CurrentFact-N10,20,40,60Unchan'!I213)/100)+103/POWER(1+('CurrentFact-N10,20,40,60Unchan'!D213+'CurrentFact-N10,20,40,60Unchan'!I213)/100,2))*100</f>
        <v>9676.6907857653259</v>
      </c>
      <c r="F213">
        <f>Portfolio!B$5*'CurrentFact-N10,20,40,60Unchan'!E213</f>
        <v>52143.895533915893</v>
      </c>
      <c r="G213">
        <f>Portfolio!B$6*'CurrentFact-N10,20,40,60Unchan'!F213</f>
        <v>3696.2945087936532</v>
      </c>
      <c r="H213">
        <f>Portfolio!B$7*'CurrentFact-N10,20,40,60Unchan'!J213</f>
        <v>2064.4550337304254</v>
      </c>
      <c r="I213">
        <f t="shared" si="6"/>
        <v>96505.128553694783</v>
      </c>
    </row>
    <row r="214" spans="1:9">
      <c r="A214" s="1">
        <v>45769</v>
      </c>
      <c r="B214">
        <f>(3/(1+('CurrentFact-N10,20,40,60Unchan'!C214)/100)+103/POWER(1+('CurrentFact-N10,20,40,60Unchan'!D214)/100,2))*100</f>
        <v>9707.5857774288397</v>
      </c>
      <c r="C214">
        <f>(3/(1+('CurrentFact-N10,20,40,60Unchan'!C214+'CurrentFact-N10,20,40,60Unchan'!G214)/100)+103/POWER(1+('CurrentFact-N10,20,40,60Unchan'!D214+'CurrentFact-N10,20,40,60Unchan'!G214)/100,2))*100</f>
        <v>9614.9673582483465</v>
      </c>
      <c r="D214">
        <f>(3/(1+('CurrentFact-N10,20,40,60Unchan'!C214+'CurrentFact-N10,20,40,60Unchan'!H214)/100)+103/POWER(1+('CurrentFact-N10,20,40,60Unchan'!D214+'CurrentFact-N10,20,40,60Unchan'!H214)/100,2))*100</f>
        <v>9601.2395558122898</v>
      </c>
      <c r="E214">
        <f>(3/(1+('CurrentFact-N10,20,40,60Unchan'!C214+'CurrentFact-N10,20,40,60Unchan'!I214)/100)+103/POWER(1+('CurrentFact-N10,20,40,60Unchan'!D214+'CurrentFact-N10,20,40,60Unchan'!I214)/100,2))*100</f>
        <v>9676.6907857653259</v>
      </c>
      <c r="F214">
        <f>Portfolio!B$5*'CurrentFact-N10,20,40,60Unchan'!E214</f>
        <v>52143.895533915893</v>
      </c>
      <c r="G214">
        <f>Portfolio!B$6*'CurrentFact-N10,20,40,60Unchan'!F214</f>
        <v>3696.2945087936532</v>
      </c>
      <c r="H214">
        <f>Portfolio!B$7*'CurrentFact-N10,20,40,60Unchan'!J214</f>
        <v>2064.4550337304254</v>
      </c>
      <c r="I214">
        <f t="shared" si="6"/>
        <v>96505.128553694783</v>
      </c>
    </row>
    <row r="215" spans="1:9">
      <c r="A215" s="1">
        <v>45770</v>
      </c>
      <c r="B215">
        <f>(3/(1+('CurrentFact-N10,20,40,60Unchan'!C215)/100)+103/POWER(1+('CurrentFact-N10,20,40,60Unchan'!D215)/100,2))*100</f>
        <v>9707.5857774288397</v>
      </c>
      <c r="C215">
        <f>(3/(1+('CurrentFact-N10,20,40,60Unchan'!C215+'CurrentFact-N10,20,40,60Unchan'!G215)/100)+103/POWER(1+('CurrentFact-N10,20,40,60Unchan'!D215+'CurrentFact-N10,20,40,60Unchan'!G215)/100,2))*100</f>
        <v>9614.9673582483465</v>
      </c>
      <c r="D215">
        <f>(3/(1+('CurrentFact-N10,20,40,60Unchan'!C215+'CurrentFact-N10,20,40,60Unchan'!H215)/100)+103/POWER(1+('CurrentFact-N10,20,40,60Unchan'!D215+'CurrentFact-N10,20,40,60Unchan'!H215)/100,2))*100</f>
        <v>9601.2395558122898</v>
      </c>
      <c r="E215">
        <f>(3/(1+('CurrentFact-N10,20,40,60Unchan'!C215+'CurrentFact-N10,20,40,60Unchan'!I215)/100)+103/POWER(1+('CurrentFact-N10,20,40,60Unchan'!D215+'CurrentFact-N10,20,40,60Unchan'!I215)/100,2))*100</f>
        <v>9676.6907857653259</v>
      </c>
      <c r="F215">
        <f>Portfolio!B$5*'CurrentFact-N10,20,40,60Unchan'!E215</f>
        <v>52143.895533915893</v>
      </c>
      <c r="G215">
        <f>Portfolio!B$6*'CurrentFact-N10,20,40,60Unchan'!F215</f>
        <v>3696.2945087936532</v>
      </c>
      <c r="H215">
        <f>Portfolio!B$7*'CurrentFact-N10,20,40,60Unchan'!J215</f>
        <v>2064.4550337304254</v>
      </c>
      <c r="I215">
        <f t="shared" si="6"/>
        <v>96505.128553694783</v>
      </c>
    </row>
    <row r="216" spans="1:9">
      <c r="A216" s="1">
        <v>45771</v>
      </c>
      <c r="B216">
        <f>(3/(1+('CurrentFact-N10,20,40,60Unchan'!C216)/100)+103/POWER(1+('CurrentFact-N10,20,40,60Unchan'!D216)/100,2))*100</f>
        <v>9707.5857774288397</v>
      </c>
      <c r="C216">
        <f>(3/(1+('CurrentFact-N10,20,40,60Unchan'!C216+'CurrentFact-N10,20,40,60Unchan'!G216)/100)+103/POWER(1+('CurrentFact-N10,20,40,60Unchan'!D216+'CurrentFact-N10,20,40,60Unchan'!G216)/100,2))*100</f>
        <v>9614.9673582483465</v>
      </c>
      <c r="D216">
        <f>(3/(1+('CurrentFact-N10,20,40,60Unchan'!C216+'CurrentFact-N10,20,40,60Unchan'!H216)/100)+103/POWER(1+('CurrentFact-N10,20,40,60Unchan'!D216+'CurrentFact-N10,20,40,60Unchan'!H216)/100,2))*100</f>
        <v>9601.2395558122898</v>
      </c>
      <c r="E216">
        <f>(3/(1+('CurrentFact-N10,20,40,60Unchan'!C216+'CurrentFact-N10,20,40,60Unchan'!I216)/100)+103/POWER(1+('CurrentFact-N10,20,40,60Unchan'!D216+'CurrentFact-N10,20,40,60Unchan'!I216)/100,2))*100</f>
        <v>9676.6907857653259</v>
      </c>
      <c r="F216">
        <f>Portfolio!B$5*'CurrentFact-N10,20,40,60Unchan'!E216</f>
        <v>52143.895533915893</v>
      </c>
      <c r="G216">
        <f>Portfolio!B$6*'CurrentFact-N10,20,40,60Unchan'!F216</f>
        <v>3696.2945087936532</v>
      </c>
      <c r="H216">
        <f>Portfolio!B$7*'CurrentFact-N10,20,40,60Unchan'!J216</f>
        <v>2064.4550337304254</v>
      </c>
      <c r="I216">
        <f t="shared" si="6"/>
        <v>96505.128553694783</v>
      </c>
    </row>
    <row r="217" spans="1:9">
      <c r="A217" s="1">
        <v>45772</v>
      </c>
      <c r="B217">
        <f>(3/(1+('CurrentFact-N10,20,40,60Unchan'!C217)/100)+103/POWER(1+('CurrentFact-N10,20,40,60Unchan'!D217)/100,2))*100</f>
        <v>9707.5857774288397</v>
      </c>
      <c r="C217">
        <f>(3/(1+('CurrentFact-N10,20,40,60Unchan'!C217+'CurrentFact-N10,20,40,60Unchan'!G217)/100)+103/POWER(1+('CurrentFact-N10,20,40,60Unchan'!D217+'CurrentFact-N10,20,40,60Unchan'!G217)/100,2))*100</f>
        <v>9614.9673582483465</v>
      </c>
      <c r="D217">
        <f>(3/(1+('CurrentFact-N10,20,40,60Unchan'!C217+'CurrentFact-N10,20,40,60Unchan'!H217)/100)+103/POWER(1+('CurrentFact-N10,20,40,60Unchan'!D217+'CurrentFact-N10,20,40,60Unchan'!H217)/100,2))*100</f>
        <v>9601.2395558122898</v>
      </c>
      <c r="E217">
        <f>(3/(1+('CurrentFact-N10,20,40,60Unchan'!C217+'CurrentFact-N10,20,40,60Unchan'!I217)/100)+103/POWER(1+('CurrentFact-N10,20,40,60Unchan'!D217+'CurrentFact-N10,20,40,60Unchan'!I217)/100,2))*100</f>
        <v>9676.6907857653259</v>
      </c>
      <c r="F217">
        <f>Portfolio!B$5*'CurrentFact-N10,20,40,60Unchan'!E217</f>
        <v>52143.895533915893</v>
      </c>
      <c r="G217">
        <f>Portfolio!B$6*'CurrentFact-N10,20,40,60Unchan'!F217</f>
        <v>3696.2945087936532</v>
      </c>
      <c r="H217">
        <f>Portfolio!B$7*'CurrentFact-N10,20,40,60Unchan'!J217</f>
        <v>2064.4550337304254</v>
      </c>
      <c r="I217">
        <f t="shared" si="6"/>
        <v>96505.128553694783</v>
      </c>
    </row>
    <row r="218" spans="1:9">
      <c r="A218" s="1">
        <v>45775</v>
      </c>
      <c r="B218">
        <f>(3/(1+('CurrentFact-N10,20,40,60Unchan'!C218)/100)+103/POWER(1+('CurrentFact-N10,20,40,60Unchan'!D218)/100,2))*100</f>
        <v>9707.5857774288397</v>
      </c>
      <c r="C218">
        <f>(3/(1+('CurrentFact-N10,20,40,60Unchan'!C218+'CurrentFact-N10,20,40,60Unchan'!G218)/100)+103/POWER(1+('CurrentFact-N10,20,40,60Unchan'!D218+'CurrentFact-N10,20,40,60Unchan'!G218)/100,2))*100</f>
        <v>9614.9673582483465</v>
      </c>
      <c r="D218">
        <f>(3/(1+('CurrentFact-N10,20,40,60Unchan'!C218+'CurrentFact-N10,20,40,60Unchan'!H218)/100)+103/POWER(1+('CurrentFact-N10,20,40,60Unchan'!D218+'CurrentFact-N10,20,40,60Unchan'!H218)/100,2))*100</f>
        <v>9601.2395558122898</v>
      </c>
      <c r="E218">
        <f>(3/(1+('CurrentFact-N10,20,40,60Unchan'!C218+'CurrentFact-N10,20,40,60Unchan'!I218)/100)+103/POWER(1+('CurrentFact-N10,20,40,60Unchan'!D218+'CurrentFact-N10,20,40,60Unchan'!I218)/100,2))*100</f>
        <v>9676.6907857653259</v>
      </c>
      <c r="F218">
        <f>Portfolio!B$5*'CurrentFact-N10,20,40,60Unchan'!E218</f>
        <v>52143.895533915893</v>
      </c>
      <c r="G218">
        <f>Portfolio!B$6*'CurrentFact-N10,20,40,60Unchan'!F218</f>
        <v>3696.2945087936532</v>
      </c>
      <c r="H218">
        <f>Portfolio!B$7*'CurrentFact-N10,20,40,60Unchan'!J218</f>
        <v>2064.4550337304254</v>
      </c>
      <c r="I218">
        <f t="shared" si="6"/>
        <v>96505.128553694783</v>
      </c>
    </row>
    <row r="219" spans="1:9">
      <c r="A219" s="1">
        <v>45776</v>
      </c>
      <c r="B219">
        <f>(3/(1+('CurrentFact-N10,20,40,60Unchan'!C219)/100)+103/POWER(1+('CurrentFact-N10,20,40,60Unchan'!D219)/100,2))*100</f>
        <v>9707.5857774288397</v>
      </c>
      <c r="C219">
        <f>(3/(1+('CurrentFact-N10,20,40,60Unchan'!C219+'CurrentFact-N10,20,40,60Unchan'!G219)/100)+103/POWER(1+('CurrentFact-N10,20,40,60Unchan'!D219+'CurrentFact-N10,20,40,60Unchan'!G219)/100,2))*100</f>
        <v>9614.9673582483465</v>
      </c>
      <c r="D219">
        <f>(3/(1+('CurrentFact-N10,20,40,60Unchan'!C219+'CurrentFact-N10,20,40,60Unchan'!H219)/100)+103/POWER(1+('CurrentFact-N10,20,40,60Unchan'!D219+'CurrentFact-N10,20,40,60Unchan'!H219)/100,2))*100</f>
        <v>9601.2395558122898</v>
      </c>
      <c r="E219">
        <f>(3/(1+('CurrentFact-N10,20,40,60Unchan'!C219+'CurrentFact-N10,20,40,60Unchan'!I219)/100)+103/POWER(1+('CurrentFact-N10,20,40,60Unchan'!D219+'CurrentFact-N10,20,40,60Unchan'!I219)/100,2))*100</f>
        <v>9676.6907857653259</v>
      </c>
      <c r="F219">
        <f>Portfolio!B$5*'CurrentFact-N10,20,40,60Unchan'!E219</f>
        <v>52143.895533915893</v>
      </c>
      <c r="G219">
        <f>Portfolio!B$6*'CurrentFact-N10,20,40,60Unchan'!F219</f>
        <v>3696.2945087936532</v>
      </c>
      <c r="H219">
        <f>Portfolio!B$7*'CurrentFact-N10,20,40,60Unchan'!J219</f>
        <v>2064.4550337304254</v>
      </c>
      <c r="I219">
        <f t="shared" si="6"/>
        <v>96505.128553694783</v>
      </c>
    </row>
    <row r="220" spans="1:9">
      <c r="A220" s="1">
        <v>45777</v>
      </c>
      <c r="B220">
        <f>(3/(1+('CurrentFact-N10,20,40,60Unchan'!C220)/100)+103/POWER(1+('CurrentFact-N10,20,40,60Unchan'!D220)/100,2))*100</f>
        <v>9707.5857774288397</v>
      </c>
      <c r="C220">
        <f>(3/(1+('CurrentFact-N10,20,40,60Unchan'!C220+'CurrentFact-N10,20,40,60Unchan'!G220)/100)+103/POWER(1+('CurrentFact-N10,20,40,60Unchan'!D220+'CurrentFact-N10,20,40,60Unchan'!G220)/100,2))*100</f>
        <v>9614.9673582483465</v>
      </c>
      <c r="D220">
        <f>(3/(1+('CurrentFact-N10,20,40,60Unchan'!C220+'CurrentFact-N10,20,40,60Unchan'!H220)/100)+103/POWER(1+('CurrentFact-N10,20,40,60Unchan'!D220+'CurrentFact-N10,20,40,60Unchan'!H220)/100,2))*100</f>
        <v>9601.2395558122898</v>
      </c>
      <c r="E220">
        <f>(3/(1+('CurrentFact-N10,20,40,60Unchan'!C220+'CurrentFact-N10,20,40,60Unchan'!I220)/100)+103/POWER(1+('CurrentFact-N10,20,40,60Unchan'!D220+'CurrentFact-N10,20,40,60Unchan'!I220)/100,2))*100</f>
        <v>9676.6907857653259</v>
      </c>
      <c r="F220">
        <f>Portfolio!B$5*'CurrentFact-N10,20,40,60Unchan'!E220</f>
        <v>52143.895533915893</v>
      </c>
      <c r="G220">
        <f>Portfolio!B$6*'CurrentFact-N10,20,40,60Unchan'!F220</f>
        <v>3696.2945087936532</v>
      </c>
      <c r="H220">
        <f>Portfolio!B$7*'CurrentFact-N10,20,40,60Unchan'!J220</f>
        <v>2064.4550337304254</v>
      </c>
      <c r="I220">
        <f t="shared" si="6"/>
        <v>96505.128553694783</v>
      </c>
    </row>
    <row r="221" spans="1:9">
      <c r="A221" s="1">
        <v>45778</v>
      </c>
      <c r="B221">
        <f>(3/(1+('CurrentFact-N10,20,40,60Unchan'!C221)/100)+103/POWER(1+('CurrentFact-N10,20,40,60Unchan'!D221)/100,2))*100</f>
        <v>9707.5857774288397</v>
      </c>
      <c r="C221">
        <f>(3/(1+('CurrentFact-N10,20,40,60Unchan'!C221+'CurrentFact-N10,20,40,60Unchan'!G221)/100)+103/POWER(1+('CurrentFact-N10,20,40,60Unchan'!D221+'CurrentFact-N10,20,40,60Unchan'!G221)/100,2))*100</f>
        <v>9614.9673582483465</v>
      </c>
      <c r="D221">
        <f>(3/(1+('CurrentFact-N10,20,40,60Unchan'!C221+'CurrentFact-N10,20,40,60Unchan'!H221)/100)+103/POWER(1+('CurrentFact-N10,20,40,60Unchan'!D221+'CurrentFact-N10,20,40,60Unchan'!H221)/100,2))*100</f>
        <v>9601.2395558122898</v>
      </c>
      <c r="E221">
        <f>(3/(1+('CurrentFact-N10,20,40,60Unchan'!C221+'CurrentFact-N10,20,40,60Unchan'!I221)/100)+103/POWER(1+('CurrentFact-N10,20,40,60Unchan'!D221+'CurrentFact-N10,20,40,60Unchan'!I221)/100,2))*100</f>
        <v>9676.6907857653259</v>
      </c>
      <c r="F221">
        <f>Portfolio!B$5*'CurrentFact-N10,20,40,60Unchan'!E221</f>
        <v>52143.895533915893</v>
      </c>
      <c r="G221">
        <f>Portfolio!B$6*'CurrentFact-N10,20,40,60Unchan'!F221</f>
        <v>3696.2945087936532</v>
      </c>
      <c r="H221">
        <f>Portfolio!B$7*'CurrentFact-N10,20,40,60Unchan'!J221</f>
        <v>2064.4550337304254</v>
      </c>
      <c r="I221">
        <f t="shared" si="6"/>
        <v>96505.128553694783</v>
      </c>
    </row>
    <row r="222" spans="1:9">
      <c r="A222" s="1">
        <v>45779</v>
      </c>
      <c r="B222">
        <f>(3/(1+('CurrentFact-N10,20,40,60Unchan'!C222)/100)+103/POWER(1+('CurrentFact-N10,20,40,60Unchan'!D222)/100,2))*100</f>
        <v>9707.5857774288397</v>
      </c>
      <c r="C222">
        <f>(3/(1+('CurrentFact-N10,20,40,60Unchan'!C222+'CurrentFact-N10,20,40,60Unchan'!G222)/100)+103/POWER(1+('CurrentFact-N10,20,40,60Unchan'!D222+'CurrentFact-N10,20,40,60Unchan'!G222)/100,2))*100</f>
        <v>9614.9673582483465</v>
      </c>
      <c r="D222">
        <f>(3/(1+('CurrentFact-N10,20,40,60Unchan'!C222+'CurrentFact-N10,20,40,60Unchan'!H222)/100)+103/POWER(1+('CurrentFact-N10,20,40,60Unchan'!D222+'CurrentFact-N10,20,40,60Unchan'!H222)/100,2))*100</f>
        <v>9601.2395558122898</v>
      </c>
      <c r="E222">
        <f>(3/(1+('CurrentFact-N10,20,40,60Unchan'!C222+'CurrentFact-N10,20,40,60Unchan'!I222)/100)+103/POWER(1+('CurrentFact-N10,20,40,60Unchan'!D222+'CurrentFact-N10,20,40,60Unchan'!I222)/100,2))*100</f>
        <v>9676.6907857653259</v>
      </c>
      <c r="F222">
        <f>Portfolio!B$5*'CurrentFact-N10,20,40,60Unchan'!E222</f>
        <v>52143.895533915893</v>
      </c>
      <c r="G222">
        <f>Portfolio!B$6*'CurrentFact-N10,20,40,60Unchan'!F222</f>
        <v>3696.2945087936532</v>
      </c>
      <c r="H222">
        <f>Portfolio!B$7*'CurrentFact-N10,20,40,60Unchan'!J222</f>
        <v>2064.4550337304254</v>
      </c>
      <c r="I222">
        <f t="shared" si="6"/>
        <v>96505.128553694783</v>
      </c>
    </row>
    <row r="223" spans="1:9">
      <c r="A223" s="1">
        <v>45782</v>
      </c>
      <c r="B223">
        <f>(3/(1+('CurrentFact-N10,20,40,60Unchan'!C223)/100)+103/POWER(1+('CurrentFact-N10,20,40,60Unchan'!D223)/100,2))*100</f>
        <v>9707.5857774288397</v>
      </c>
      <c r="C223">
        <f>(3/(1+('CurrentFact-N10,20,40,60Unchan'!C223+'CurrentFact-N10,20,40,60Unchan'!G223)/100)+103/POWER(1+('CurrentFact-N10,20,40,60Unchan'!D223+'CurrentFact-N10,20,40,60Unchan'!G223)/100,2))*100</f>
        <v>9614.9673582483465</v>
      </c>
      <c r="D223">
        <f>(3/(1+('CurrentFact-N10,20,40,60Unchan'!C223+'CurrentFact-N10,20,40,60Unchan'!H223)/100)+103/POWER(1+('CurrentFact-N10,20,40,60Unchan'!D223+'CurrentFact-N10,20,40,60Unchan'!H223)/100,2))*100</f>
        <v>9601.2395558122898</v>
      </c>
      <c r="E223">
        <f>(3/(1+('CurrentFact-N10,20,40,60Unchan'!C223+'CurrentFact-N10,20,40,60Unchan'!I223)/100)+103/POWER(1+('CurrentFact-N10,20,40,60Unchan'!D223+'CurrentFact-N10,20,40,60Unchan'!I223)/100,2))*100</f>
        <v>9676.6907857653259</v>
      </c>
      <c r="F223">
        <f>Portfolio!B$5*'CurrentFact-N10,20,40,60Unchan'!E223</f>
        <v>52143.895533915893</v>
      </c>
      <c r="G223">
        <f>Portfolio!B$6*'CurrentFact-N10,20,40,60Unchan'!F223</f>
        <v>3696.2945087936532</v>
      </c>
      <c r="H223">
        <f>Portfolio!B$7*'CurrentFact-N10,20,40,60Unchan'!J223</f>
        <v>2064.4550337304254</v>
      </c>
      <c r="I223">
        <f t="shared" si="6"/>
        <v>96505.128553694783</v>
      </c>
    </row>
    <row r="224" spans="1:9">
      <c r="A224" s="1">
        <v>45783</v>
      </c>
      <c r="B224">
        <f>(3/(1+('CurrentFact-N10,20,40,60Unchan'!C224)/100)+103/POWER(1+('CurrentFact-N10,20,40,60Unchan'!D224)/100,2))*100</f>
        <v>9707.5857774288397</v>
      </c>
      <c r="C224">
        <f>(3/(1+('CurrentFact-N10,20,40,60Unchan'!C224+'CurrentFact-N10,20,40,60Unchan'!G224)/100)+103/POWER(1+('CurrentFact-N10,20,40,60Unchan'!D224+'CurrentFact-N10,20,40,60Unchan'!G224)/100,2))*100</f>
        <v>9614.9673582483465</v>
      </c>
      <c r="D224">
        <f>(3/(1+('CurrentFact-N10,20,40,60Unchan'!C224+'CurrentFact-N10,20,40,60Unchan'!H224)/100)+103/POWER(1+('CurrentFact-N10,20,40,60Unchan'!D224+'CurrentFact-N10,20,40,60Unchan'!H224)/100,2))*100</f>
        <v>9601.2395558122898</v>
      </c>
      <c r="E224">
        <f>(3/(1+('CurrentFact-N10,20,40,60Unchan'!C224+'CurrentFact-N10,20,40,60Unchan'!I224)/100)+103/POWER(1+('CurrentFact-N10,20,40,60Unchan'!D224+'CurrentFact-N10,20,40,60Unchan'!I224)/100,2))*100</f>
        <v>9676.6907857653259</v>
      </c>
      <c r="F224">
        <f>Portfolio!B$5*'CurrentFact-N10,20,40,60Unchan'!E224</f>
        <v>52143.895533915893</v>
      </c>
      <c r="G224">
        <f>Portfolio!B$6*'CurrentFact-N10,20,40,60Unchan'!F224</f>
        <v>3696.2945087936532</v>
      </c>
      <c r="H224">
        <f>Portfolio!B$7*'CurrentFact-N10,20,40,60Unchan'!J224</f>
        <v>2064.4550337304254</v>
      </c>
      <c r="I224">
        <f t="shared" si="6"/>
        <v>96505.128553694783</v>
      </c>
    </row>
    <row r="225" spans="1:9">
      <c r="A225" s="1">
        <v>45784</v>
      </c>
      <c r="B225">
        <f>(3/(1+('CurrentFact-N10,20,40,60Unchan'!C225)/100)+103/POWER(1+('CurrentFact-N10,20,40,60Unchan'!D225)/100,2))*100</f>
        <v>9707.5857774288397</v>
      </c>
      <c r="C225">
        <f>(3/(1+('CurrentFact-N10,20,40,60Unchan'!C225+'CurrentFact-N10,20,40,60Unchan'!G225)/100)+103/POWER(1+('CurrentFact-N10,20,40,60Unchan'!D225+'CurrentFact-N10,20,40,60Unchan'!G225)/100,2))*100</f>
        <v>9614.9673582483465</v>
      </c>
      <c r="D225">
        <f>(3/(1+('CurrentFact-N10,20,40,60Unchan'!C225+'CurrentFact-N10,20,40,60Unchan'!H225)/100)+103/POWER(1+('CurrentFact-N10,20,40,60Unchan'!D225+'CurrentFact-N10,20,40,60Unchan'!H225)/100,2))*100</f>
        <v>9601.2395558122898</v>
      </c>
      <c r="E225">
        <f>(3/(1+('CurrentFact-N10,20,40,60Unchan'!C225+'CurrentFact-N10,20,40,60Unchan'!I225)/100)+103/POWER(1+('CurrentFact-N10,20,40,60Unchan'!D225+'CurrentFact-N10,20,40,60Unchan'!I225)/100,2))*100</f>
        <v>9676.6907857653259</v>
      </c>
      <c r="F225">
        <f>Portfolio!B$5*'CurrentFact-N10,20,40,60Unchan'!E225</f>
        <v>52143.895533915893</v>
      </c>
      <c r="G225">
        <f>Portfolio!B$6*'CurrentFact-N10,20,40,60Unchan'!F225</f>
        <v>3696.2945087936532</v>
      </c>
      <c r="H225">
        <f>Portfolio!B$7*'CurrentFact-N10,20,40,60Unchan'!J225</f>
        <v>2064.4550337304254</v>
      </c>
      <c r="I225">
        <f t="shared" si="6"/>
        <v>96505.128553694783</v>
      </c>
    </row>
    <row r="226" spans="1:9">
      <c r="A226" s="1">
        <v>45785</v>
      </c>
      <c r="B226">
        <f>(3/(1+('CurrentFact-N10,20,40,60Unchan'!C226)/100)+103/POWER(1+('CurrentFact-N10,20,40,60Unchan'!D226)/100,2))*100</f>
        <v>9707.5857774288397</v>
      </c>
      <c r="C226">
        <f>(3/(1+('CurrentFact-N10,20,40,60Unchan'!C226+'CurrentFact-N10,20,40,60Unchan'!G226)/100)+103/POWER(1+('CurrentFact-N10,20,40,60Unchan'!D226+'CurrentFact-N10,20,40,60Unchan'!G226)/100,2))*100</f>
        <v>9614.9673582483465</v>
      </c>
      <c r="D226">
        <f>(3/(1+('CurrentFact-N10,20,40,60Unchan'!C226+'CurrentFact-N10,20,40,60Unchan'!H226)/100)+103/POWER(1+('CurrentFact-N10,20,40,60Unchan'!D226+'CurrentFact-N10,20,40,60Unchan'!H226)/100,2))*100</f>
        <v>9601.2395558122898</v>
      </c>
      <c r="E226">
        <f>(3/(1+('CurrentFact-N10,20,40,60Unchan'!C226+'CurrentFact-N10,20,40,60Unchan'!I226)/100)+103/POWER(1+('CurrentFact-N10,20,40,60Unchan'!D226+'CurrentFact-N10,20,40,60Unchan'!I226)/100,2))*100</f>
        <v>9676.6907857653259</v>
      </c>
      <c r="F226">
        <f>Portfolio!B$5*'CurrentFact-N10,20,40,60Unchan'!E226</f>
        <v>52143.895533915893</v>
      </c>
      <c r="G226">
        <f>Portfolio!B$6*'CurrentFact-N10,20,40,60Unchan'!F226</f>
        <v>3696.2945087936532</v>
      </c>
      <c r="H226">
        <f>Portfolio!B$7*'CurrentFact-N10,20,40,60Unchan'!J226</f>
        <v>2064.4550337304254</v>
      </c>
      <c r="I226">
        <f t="shared" si="6"/>
        <v>96505.128553694783</v>
      </c>
    </row>
    <row r="227" spans="1:9">
      <c r="A227" s="1">
        <v>45786</v>
      </c>
      <c r="B227">
        <f>(3/(1+('CurrentFact-N10,20,40,60Unchan'!C227)/100)+103/POWER(1+('CurrentFact-N10,20,40,60Unchan'!D227)/100,2))*100</f>
        <v>9707.5857774288397</v>
      </c>
      <c r="C227">
        <f>(3/(1+('CurrentFact-N10,20,40,60Unchan'!C227+'CurrentFact-N10,20,40,60Unchan'!G227)/100)+103/POWER(1+('CurrentFact-N10,20,40,60Unchan'!D227+'CurrentFact-N10,20,40,60Unchan'!G227)/100,2))*100</f>
        <v>9614.9673582483465</v>
      </c>
      <c r="D227">
        <f>(3/(1+('CurrentFact-N10,20,40,60Unchan'!C227+'CurrentFact-N10,20,40,60Unchan'!H227)/100)+103/POWER(1+('CurrentFact-N10,20,40,60Unchan'!D227+'CurrentFact-N10,20,40,60Unchan'!H227)/100,2))*100</f>
        <v>9601.2395558122898</v>
      </c>
      <c r="E227">
        <f>(3/(1+('CurrentFact-N10,20,40,60Unchan'!C227+'CurrentFact-N10,20,40,60Unchan'!I227)/100)+103/POWER(1+('CurrentFact-N10,20,40,60Unchan'!D227+'CurrentFact-N10,20,40,60Unchan'!I227)/100,2))*100</f>
        <v>9676.6907857653259</v>
      </c>
      <c r="F227">
        <f>Portfolio!B$5*'CurrentFact-N10,20,40,60Unchan'!E227</f>
        <v>52143.895533915893</v>
      </c>
      <c r="G227">
        <f>Portfolio!B$6*'CurrentFact-N10,20,40,60Unchan'!F227</f>
        <v>3696.2945087936532</v>
      </c>
      <c r="H227">
        <f>Portfolio!B$7*'CurrentFact-N10,20,40,60Unchan'!J227</f>
        <v>2064.4550337304254</v>
      </c>
      <c r="I227">
        <f t="shared" si="6"/>
        <v>96505.128553694783</v>
      </c>
    </row>
    <row r="228" spans="1:9">
      <c r="A228" s="1">
        <v>45789</v>
      </c>
      <c r="B228">
        <f>(3/(1+('CurrentFact-N10,20,40,60Unchan'!C228)/100)+103/POWER(1+('CurrentFact-N10,20,40,60Unchan'!D228)/100,2))*100</f>
        <v>9707.5857774288397</v>
      </c>
      <c r="C228">
        <f>(3/(1+('CurrentFact-N10,20,40,60Unchan'!C228+'CurrentFact-N10,20,40,60Unchan'!G228)/100)+103/POWER(1+('CurrentFact-N10,20,40,60Unchan'!D228+'CurrentFact-N10,20,40,60Unchan'!G228)/100,2))*100</f>
        <v>9614.9673582483465</v>
      </c>
      <c r="D228">
        <f>(3/(1+('CurrentFact-N10,20,40,60Unchan'!C228+'CurrentFact-N10,20,40,60Unchan'!H228)/100)+103/POWER(1+('CurrentFact-N10,20,40,60Unchan'!D228+'CurrentFact-N10,20,40,60Unchan'!H228)/100,2))*100</f>
        <v>9601.2395558122898</v>
      </c>
      <c r="E228">
        <f>(3/(1+('CurrentFact-N10,20,40,60Unchan'!C228+'CurrentFact-N10,20,40,60Unchan'!I228)/100)+103/POWER(1+('CurrentFact-N10,20,40,60Unchan'!D228+'CurrentFact-N10,20,40,60Unchan'!I228)/100,2))*100</f>
        <v>9676.6907857653259</v>
      </c>
      <c r="F228">
        <f>Portfolio!B$5*'CurrentFact-N10,20,40,60Unchan'!E228</f>
        <v>52143.895533915893</v>
      </c>
      <c r="G228">
        <f>Portfolio!B$6*'CurrentFact-N10,20,40,60Unchan'!F228</f>
        <v>3696.2945087936532</v>
      </c>
      <c r="H228">
        <f>Portfolio!B$7*'CurrentFact-N10,20,40,60Unchan'!J228</f>
        <v>2064.4550337304254</v>
      </c>
      <c r="I228">
        <f t="shared" si="6"/>
        <v>96505.128553694783</v>
      </c>
    </row>
    <row r="229" spans="1:9">
      <c r="A229" s="1">
        <v>45790</v>
      </c>
      <c r="B229">
        <f>(3/(1+('CurrentFact-N10,20,40,60Unchan'!C229)/100)+103/POWER(1+('CurrentFact-N10,20,40,60Unchan'!D229)/100,2))*100</f>
        <v>9707.5857774288397</v>
      </c>
      <c r="C229">
        <f>(3/(1+('CurrentFact-N10,20,40,60Unchan'!C229+'CurrentFact-N10,20,40,60Unchan'!G229)/100)+103/POWER(1+('CurrentFact-N10,20,40,60Unchan'!D229+'CurrentFact-N10,20,40,60Unchan'!G229)/100,2))*100</f>
        <v>9614.9673582483465</v>
      </c>
      <c r="D229">
        <f>(3/(1+('CurrentFact-N10,20,40,60Unchan'!C229+'CurrentFact-N10,20,40,60Unchan'!H229)/100)+103/POWER(1+('CurrentFact-N10,20,40,60Unchan'!D229+'CurrentFact-N10,20,40,60Unchan'!H229)/100,2))*100</f>
        <v>9601.2395558122898</v>
      </c>
      <c r="E229">
        <f>(3/(1+('CurrentFact-N10,20,40,60Unchan'!C229+'CurrentFact-N10,20,40,60Unchan'!I229)/100)+103/POWER(1+('CurrentFact-N10,20,40,60Unchan'!D229+'CurrentFact-N10,20,40,60Unchan'!I229)/100,2))*100</f>
        <v>9676.6907857653259</v>
      </c>
      <c r="F229">
        <f>Portfolio!B$5*'CurrentFact-N10,20,40,60Unchan'!E229</f>
        <v>52143.895533915893</v>
      </c>
      <c r="G229">
        <f>Portfolio!B$6*'CurrentFact-N10,20,40,60Unchan'!F229</f>
        <v>3696.2945087936532</v>
      </c>
      <c r="H229">
        <f>Portfolio!B$7*'CurrentFact-N10,20,40,60Unchan'!J229</f>
        <v>2064.4550337304254</v>
      </c>
      <c r="I229">
        <f t="shared" si="6"/>
        <v>96505.128553694783</v>
      </c>
    </row>
    <row r="230" spans="1:9">
      <c r="A230" s="1">
        <v>45791</v>
      </c>
      <c r="B230">
        <f>(3/(1+('CurrentFact-N10,20,40,60Unchan'!C230)/100)+103/POWER(1+('CurrentFact-N10,20,40,60Unchan'!D230)/100,2))*100</f>
        <v>9707.5857774288397</v>
      </c>
      <c r="C230">
        <f>(3/(1+('CurrentFact-N10,20,40,60Unchan'!C230+'CurrentFact-N10,20,40,60Unchan'!G230)/100)+103/POWER(1+('CurrentFact-N10,20,40,60Unchan'!D230+'CurrentFact-N10,20,40,60Unchan'!G230)/100,2))*100</f>
        <v>9614.9673582483465</v>
      </c>
      <c r="D230">
        <f>(3/(1+('CurrentFact-N10,20,40,60Unchan'!C230+'CurrentFact-N10,20,40,60Unchan'!H230)/100)+103/POWER(1+('CurrentFact-N10,20,40,60Unchan'!D230+'CurrentFact-N10,20,40,60Unchan'!H230)/100,2))*100</f>
        <v>9601.2395558122898</v>
      </c>
      <c r="E230">
        <f>(3/(1+('CurrentFact-N10,20,40,60Unchan'!C230+'CurrentFact-N10,20,40,60Unchan'!I230)/100)+103/POWER(1+('CurrentFact-N10,20,40,60Unchan'!D230+'CurrentFact-N10,20,40,60Unchan'!I230)/100,2))*100</f>
        <v>9676.6907857653259</v>
      </c>
      <c r="F230">
        <f>Portfolio!B$5*'CurrentFact-N10,20,40,60Unchan'!E230</f>
        <v>52143.895533915893</v>
      </c>
      <c r="G230">
        <f>Portfolio!B$6*'CurrentFact-N10,20,40,60Unchan'!F230</f>
        <v>3696.2945087936532</v>
      </c>
      <c r="H230">
        <f>Portfolio!B$7*'CurrentFact-N10,20,40,60Unchan'!J230</f>
        <v>2064.4550337304254</v>
      </c>
      <c r="I230">
        <f t="shared" si="6"/>
        <v>96505.128553694783</v>
      </c>
    </row>
    <row r="231" spans="1:9">
      <c r="A231" s="1">
        <v>45792</v>
      </c>
      <c r="B231">
        <f>(3/(1+('CurrentFact-N10,20,40,60Unchan'!C231)/100)+103/POWER(1+('CurrentFact-N10,20,40,60Unchan'!D231)/100,2))*100</f>
        <v>9707.5857774288397</v>
      </c>
      <c r="C231">
        <f>(3/(1+('CurrentFact-N10,20,40,60Unchan'!C231+'CurrentFact-N10,20,40,60Unchan'!G231)/100)+103/POWER(1+('CurrentFact-N10,20,40,60Unchan'!D231+'CurrentFact-N10,20,40,60Unchan'!G231)/100,2))*100</f>
        <v>9614.9673582483465</v>
      </c>
      <c r="D231">
        <f>(3/(1+('CurrentFact-N10,20,40,60Unchan'!C231+'CurrentFact-N10,20,40,60Unchan'!H231)/100)+103/POWER(1+('CurrentFact-N10,20,40,60Unchan'!D231+'CurrentFact-N10,20,40,60Unchan'!H231)/100,2))*100</f>
        <v>9601.2395558122898</v>
      </c>
      <c r="E231">
        <f>(3/(1+('CurrentFact-N10,20,40,60Unchan'!C231+'CurrentFact-N10,20,40,60Unchan'!I231)/100)+103/POWER(1+('CurrentFact-N10,20,40,60Unchan'!D231+'CurrentFact-N10,20,40,60Unchan'!I231)/100,2))*100</f>
        <v>9676.6907857653259</v>
      </c>
      <c r="F231">
        <f>Portfolio!B$5*'CurrentFact-N10,20,40,60Unchan'!E231</f>
        <v>52143.895533915893</v>
      </c>
      <c r="G231">
        <f>Portfolio!B$6*'CurrentFact-N10,20,40,60Unchan'!F231</f>
        <v>3696.2945087936532</v>
      </c>
      <c r="H231">
        <f>Portfolio!B$7*'CurrentFact-N10,20,40,60Unchan'!J231</f>
        <v>2064.4550337304254</v>
      </c>
      <c r="I231">
        <f t="shared" si="6"/>
        <v>96505.128553694783</v>
      </c>
    </row>
    <row r="232" spans="1:9">
      <c r="A232" s="1">
        <v>45793</v>
      </c>
      <c r="B232">
        <f>(3/(1+('CurrentFact-N10,20,40,60Unchan'!C232)/100)+103/POWER(1+('CurrentFact-N10,20,40,60Unchan'!D232)/100,2))*100</f>
        <v>9707.5857774288397</v>
      </c>
      <c r="C232">
        <f>(3/(1+('CurrentFact-N10,20,40,60Unchan'!C232+'CurrentFact-N10,20,40,60Unchan'!G232)/100)+103/POWER(1+('CurrentFact-N10,20,40,60Unchan'!D232+'CurrentFact-N10,20,40,60Unchan'!G232)/100,2))*100</f>
        <v>9614.9673582483465</v>
      </c>
      <c r="D232">
        <f>(3/(1+('CurrentFact-N10,20,40,60Unchan'!C232+'CurrentFact-N10,20,40,60Unchan'!H232)/100)+103/POWER(1+('CurrentFact-N10,20,40,60Unchan'!D232+'CurrentFact-N10,20,40,60Unchan'!H232)/100,2))*100</f>
        <v>9601.2395558122898</v>
      </c>
      <c r="E232">
        <f>(3/(1+('CurrentFact-N10,20,40,60Unchan'!C232+'CurrentFact-N10,20,40,60Unchan'!I232)/100)+103/POWER(1+('CurrentFact-N10,20,40,60Unchan'!D232+'CurrentFact-N10,20,40,60Unchan'!I232)/100,2))*100</f>
        <v>9676.6907857653259</v>
      </c>
      <c r="F232">
        <f>Portfolio!B$5*'CurrentFact-N10,20,40,60Unchan'!E232</f>
        <v>52143.895533915893</v>
      </c>
      <c r="G232">
        <f>Portfolio!B$6*'CurrentFact-N10,20,40,60Unchan'!F232</f>
        <v>3696.2945087936532</v>
      </c>
      <c r="H232">
        <f>Portfolio!B$7*'CurrentFact-N10,20,40,60Unchan'!J232</f>
        <v>2064.4550337304254</v>
      </c>
      <c r="I232">
        <f t="shared" si="6"/>
        <v>96505.128553694783</v>
      </c>
    </row>
    <row r="233" spans="1:9">
      <c r="A233" s="1">
        <v>45796</v>
      </c>
      <c r="B233">
        <f>(3/(1+('CurrentFact-N10,20,40,60Unchan'!C233)/100)+103/POWER(1+('CurrentFact-N10,20,40,60Unchan'!D233)/100,2))*100</f>
        <v>9707.5857774288397</v>
      </c>
      <c r="C233">
        <f>(3/(1+('CurrentFact-N10,20,40,60Unchan'!C233+'CurrentFact-N10,20,40,60Unchan'!G233)/100)+103/POWER(1+('CurrentFact-N10,20,40,60Unchan'!D233+'CurrentFact-N10,20,40,60Unchan'!G233)/100,2))*100</f>
        <v>9614.9673582483465</v>
      </c>
      <c r="D233">
        <f>(3/(1+('CurrentFact-N10,20,40,60Unchan'!C233+'CurrentFact-N10,20,40,60Unchan'!H233)/100)+103/POWER(1+('CurrentFact-N10,20,40,60Unchan'!D233+'CurrentFact-N10,20,40,60Unchan'!H233)/100,2))*100</f>
        <v>9601.2395558122898</v>
      </c>
      <c r="E233">
        <f>(3/(1+('CurrentFact-N10,20,40,60Unchan'!C233+'CurrentFact-N10,20,40,60Unchan'!I233)/100)+103/POWER(1+('CurrentFact-N10,20,40,60Unchan'!D233+'CurrentFact-N10,20,40,60Unchan'!I233)/100,2))*100</f>
        <v>9676.6907857653259</v>
      </c>
      <c r="F233">
        <f>Portfolio!B$5*'CurrentFact-N10,20,40,60Unchan'!E233</f>
        <v>52143.895533915893</v>
      </c>
      <c r="G233">
        <f>Portfolio!B$6*'CurrentFact-N10,20,40,60Unchan'!F233</f>
        <v>3696.2945087936532</v>
      </c>
      <c r="H233">
        <f>Portfolio!B$7*'CurrentFact-N10,20,40,60Unchan'!J233</f>
        <v>2064.4550337304254</v>
      </c>
      <c r="I233">
        <f t="shared" si="6"/>
        <v>96505.128553694783</v>
      </c>
    </row>
    <row r="234" spans="1:9">
      <c r="A234" s="1">
        <v>45797</v>
      </c>
      <c r="B234">
        <f>(3/(1+('CurrentFact-N10,20,40,60Unchan'!C234)/100)+103/POWER(1+('CurrentFact-N10,20,40,60Unchan'!D234)/100,2))*100</f>
        <v>9707.5857774288397</v>
      </c>
      <c r="C234">
        <f>(3/(1+('CurrentFact-N10,20,40,60Unchan'!C234+'CurrentFact-N10,20,40,60Unchan'!G234)/100)+103/POWER(1+('CurrentFact-N10,20,40,60Unchan'!D234+'CurrentFact-N10,20,40,60Unchan'!G234)/100,2))*100</f>
        <v>9614.9673582483465</v>
      </c>
      <c r="D234">
        <f>(3/(1+('CurrentFact-N10,20,40,60Unchan'!C234+'CurrentFact-N10,20,40,60Unchan'!H234)/100)+103/POWER(1+('CurrentFact-N10,20,40,60Unchan'!D234+'CurrentFact-N10,20,40,60Unchan'!H234)/100,2))*100</f>
        <v>9601.2395558122898</v>
      </c>
      <c r="E234">
        <f>(3/(1+('CurrentFact-N10,20,40,60Unchan'!C234+'CurrentFact-N10,20,40,60Unchan'!I234)/100)+103/POWER(1+('CurrentFact-N10,20,40,60Unchan'!D234+'CurrentFact-N10,20,40,60Unchan'!I234)/100,2))*100</f>
        <v>9676.6907857653259</v>
      </c>
      <c r="F234">
        <f>Portfolio!B$5*'CurrentFact-N10,20,40,60Unchan'!E234</f>
        <v>52143.895533915893</v>
      </c>
      <c r="G234">
        <f>Portfolio!B$6*'CurrentFact-N10,20,40,60Unchan'!F234</f>
        <v>3696.2945087936532</v>
      </c>
      <c r="H234">
        <f>Portfolio!B$7*'CurrentFact-N10,20,40,60Unchan'!J234</f>
        <v>2064.4550337304254</v>
      </c>
      <c r="I234">
        <f t="shared" si="6"/>
        <v>96505.128553694783</v>
      </c>
    </row>
    <row r="235" spans="1:9">
      <c r="A235" s="1">
        <v>45798</v>
      </c>
      <c r="B235">
        <f>(3/(1+('CurrentFact-N10,20,40,60Unchan'!C235)/100)+103/POWER(1+('CurrentFact-N10,20,40,60Unchan'!D235)/100,2))*100</f>
        <v>9707.5857774288397</v>
      </c>
      <c r="C235">
        <f>(3/(1+('CurrentFact-N10,20,40,60Unchan'!C235+'CurrentFact-N10,20,40,60Unchan'!G235)/100)+103/POWER(1+('CurrentFact-N10,20,40,60Unchan'!D235+'CurrentFact-N10,20,40,60Unchan'!G235)/100,2))*100</f>
        <v>9614.9673582483465</v>
      </c>
      <c r="D235">
        <f>(3/(1+('CurrentFact-N10,20,40,60Unchan'!C235+'CurrentFact-N10,20,40,60Unchan'!H235)/100)+103/POWER(1+('CurrentFact-N10,20,40,60Unchan'!D235+'CurrentFact-N10,20,40,60Unchan'!H235)/100,2))*100</f>
        <v>9601.2395558122898</v>
      </c>
      <c r="E235">
        <f>(3/(1+('CurrentFact-N10,20,40,60Unchan'!C235+'CurrentFact-N10,20,40,60Unchan'!I235)/100)+103/POWER(1+('CurrentFact-N10,20,40,60Unchan'!D235+'CurrentFact-N10,20,40,60Unchan'!I235)/100,2))*100</f>
        <v>9676.6907857653259</v>
      </c>
      <c r="F235">
        <f>Portfolio!B$5*'CurrentFact-N10,20,40,60Unchan'!E235</f>
        <v>52143.895533915893</v>
      </c>
      <c r="G235">
        <f>Portfolio!B$6*'CurrentFact-N10,20,40,60Unchan'!F235</f>
        <v>3696.2945087936532</v>
      </c>
      <c r="H235">
        <f>Portfolio!B$7*'CurrentFact-N10,20,40,60Unchan'!J235</f>
        <v>2064.4550337304254</v>
      </c>
      <c r="I235">
        <f t="shared" si="6"/>
        <v>96505.128553694783</v>
      </c>
    </row>
    <row r="236" spans="1:9">
      <c r="A236" s="1">
        <v>45799</v>
      </c>
      <c r="B236">
        <f>(3/(1+('CurrentFact-N10,20,40,60Unchan'!C236)/100)+103/POWER(1+('CurrentFact-N10,20,40,60Unchan'!D236)/100,2))*100</f>
        <v>9707.5857774288397</v>
      </c>
      <c r="C236">
        <f>(3/(1+('CurrentFact-N10,20,40,60Unchan'!C236+'CurrentFact-N10,20,40,60Unchan'!G236)/100)+103/POWER(1+('CurrentFact-N10,20,40,60Unchan'!D236+'CurrentFact-N10,20,40,60Unchan'!G236)/100,2))*100</f>
        <v>9614.9673582483465</v>
      </c>
      <c r="D236">
        <f>(3/(1+('CurrentFact-N10,20,40,60Unchan'!C236+'CurrentFact-N10,20,40,60Unchan'!H236)/100)+103/POWER(1+('CurrentFact-N10,20,40,60Unchan'!D236+'CurrentFact-N10,20,40,60Unchan'!H236)/100,2))*100</f>
        <v>9601.2395558122898</v>
      </c>
      <c r="E236">
        <f>(3/(1+('CurrentFact-N10,20,40,60Unchan'!C236+'CurrentFact-N10,20,40,60Unchan'!I236)/100)+103/POWER(1+('CurrentFact-N10,20,40,60Unchan'!D236+'CurrentFact-N10,20,40,60Unchan'!I236)/100,2))*100</f>
        <v>9676.6907857653259</v>
      </c>
      <c r="F236">
        <f>Portfolio!B$5*'CurrentFact-N10,20,40,60Unchan'!E236</f>
        <v>52143.895533915893</v>
      </c>
      <c r="G236">
        <f>Portfolio!B$6*'CurrentFact-N10,20,40,60Unchan'!F236</f>
        <v>3696.2945087936532</v>
      </c>
      <c r="H236">
        <f>Portfolio!B$7*'CurrentFact-N10,20,40,60Unchan'!J236</f>
        <v>2064.4550337304254</v>
      </c>
      <c r="I236">
        <f t="shared" si="6"/>
        <v>96505.128553694783</v>
      </c>
    </row>
    <row r="237" spans="1:9">
      <c r="A237" s="1">
        <v>45800</v>
      </c>
      <c r="B237">
        <f>(3/(1+('CurrentFact-N10,20,40,60Unchan'!C237)/100)+103/POWER(1+('CurrentFact-N10,20,40,60Unchan'!D237)/100,2))*100</f>
        <v>9707.5857774288397</v>
      </c>
      <c r="C237">
        <f>(3/(1+('CurrentFact-N10,20,40,60Unchan'!C237+'CurrentFact-N10,20,40,60Unchan'!G237)/100)+103/POWER(1+('CurrentFact-N10,20,40,60Unchan'!D237+'CurrentFact-N10,20,40,60Unchan'!G237)/100,2))*100</f>
        <v>9614.9673582483465</v>
      </c>
      <c r="D237">
        <f>(3/(1+('CurrentFact-N10,20,40,60Unchan'!C237+'CurrentFact-N10,20,40,60Unchan'!H237)/100)+103/POWER(1+('CurrentFact-N10,20,40,60Unchan'!D237+'CurrentFact-N10,20,40,60Unchan'!H237)/100,2))*100</f>
        <v>9601.2395558122898</v>
      </c>
      <c r="E237">
        <f>(3/(1+('CurrentFact-N10,20,40,60Unchan'!C237+'CurrentFact-N10,20,40,60Unchan'!I237)/100)+103/POWER(1+('CurrentFact-N10,20,40,60Unchan'!D237+'CurrentFact-N10,20,40,60Unchan'!I237)/100,2))*100</f>
        <v>9676.6907857653259</v>
      </c>
      <c r="F237">
        <f>Portfolio!B$5*'CurrentFact-N10,20,40,60Unchan'!E237</f>
        <v>52143.895533915893</v>
      </c>
      <c r="G237">
        <f>Portfolio!B$6*'CurrentFact-N10,20,40,60Unchan'!F237</f>
        <v>3696.2945087936532</v>
      </c>
      <c r="H237">
        <f>Portfolio!B$7*'CurrentFact-N10,20,40,60Unchan'!J237</f>
        <v>2064.4550337304254</v>
      </c>
      <c r="I237">
        <f t="shared" si="6"/>
        <v>96505.128553694783</v>
      </c>
    </row>
    <row r="238" spans="1:9">
      <c r="A238" s="1">
        <v>45803</v>
      </c>
      <c r="B238">
        <f>(3/(1+('CurrentFact-N10,20,40,60Unchan'!C238)/100)+103/POWER(1+('CurrentFact-N10,20,40,60Unchan'!D238)/100,2))*100</f>
        <v>9707.5857774288397</v>
      </c>
      <c r="C238">
        <f>(3/(1+('CurrentFact-N10,20,40,60Unchan'!C238+'CurrentFact-N10,20,40,60Unchan'!G238)/100)+103/POWER(1+('CurrentFact-N10,20,40,60Unchan'!D238+'CurrentFact-N10,20,40,60Unchan'!G238)/100,2))*100</f>
        <v>9614.9673582483465</v>
      </c>
      <c r="D238">
        <f>(3/(1+('CurrentFact-N10,20,40,60Unchan'!C238+'CurrentFact-N10,20,40,60Unchan'!H238)/100)+103/POWER(1+('CurrentFact-N10,20,40,60Unchan'!D238+'CurrentFact-N10,20,40,60Unchan'!H238)/100,2))*100</f>
        <v>9601.2395558122898</v>
      </c>
      <c r="E238">
        <f>(3/(1+('CurrentFact-N10,20,40,60Unchan'!C238+'CurrentFact-N10,20,40,60Unchan'!I238)/100)+103/POWER(1+('CurrentFact-N10,20,40,60Unchan'!D238+'CurrentFact-N10,20,40,60Unchan'!I238)/100,2))*100</f>
        <v>9676.6907857653259</v>
      </c>
      <c r="F238">
        <f>Portfolio!B$5*'CurrentFact-N10,20,40,60Unchan'!E238</f>
        <v>52143.895533915893</v>
      </c>
      <c r="G238">
        <f>Portfolio!B$6*'CurrentFact-N10,20,40,60Unchan'!F238</f>
        <v>3696.2945087936532</v>
      </c>
      <c r="H238">
        <f>Portfolio!B$7*'CurrentFact-N10,20,40,60Unchan'!J238</f>
        <v>2064.4550337304254</v>
      </c>
      <c r="I238">
        <f t="shared" si="6"/>
        <v>96505.128553694783</v>
      </c>
    </row>
    <row r="239" spans="1:9">
      <c r="A239" s="1">
        <v>45804</v>
      </c>
      <c r="B239">
        <f>(3/(1+('CurrentFact-N10,20,40,60Unchan'!C239)/100)+103/POWER(1+('CurrentFact-N10,20,40,60Unchan'!D239)/100,2))*100</f>
        <v>9707.5857774288397</v>
      </c>
      <c r="C239">
        <f>(3/(1+('CurrentFact-N10,20,40,60Unchan'!C239+'CurrentFact-N10,20,40,60Unchan'!G239)/100)+103/POWER(1+('CurrentFact-N10,20,40,60Unchan'!D239+'CurrentFact-N10,20,40,60Unchan'!G239)/100,2))*100</f>
        <v>9614.9673582483465</v>
      </c>
      <c r="D239">
        <f>(3/(1+('CurrentFact-N10,20,40,60Unchan'!C239+'CurrentFact-N10,20,40,60Unchan'!H239)/100)+103/POWER(1+('CurrentFact-N10,20,40,60Unchan'!D239+'CurrentFact-N10,20,40,60Unchan'!H239)/100,2))*100</f>
        <v>9601.2395558122898</v>
      </c>
      <c r="E239">
        <f>(3/(1+('CurrentFact-N10,20,40,60Unchan'!C239+'CurrentFact-N10,20,40,60Unchan'!I239)/100)+103/POWER(1+('CurrentFact-N10,20,40,60Unchan'!D239+'CurrentFact-N10,20,40,60Unchan'!I239)/100,2))*100</f>
        <v>9676.6907857653259</v>
      </c>
      <c r="F239">
        <f>Portfolio!B$5*'CurrentFact-N10,20,40,60Unchan'!E239</f>
        <v>52143.895533915893</v>
      </c>
      <c r="G239">
        <f>Portfolio!B$6*'CurrentFact-N10,20,40,60Unchan'!F239</f>
        <v>3696.2945087936532</v>
      </c>
      <c r="H239">
        <f>Portfolio!B$7*'CurrentFact-N10,20,40,60Unchan'!J239</f>
        <v>2064.4550337304254</v>
      </c>
      <c r="I239">
        <f t="shared" si="6"/>
        <v>96505.128553694783</v>
      </c>
    </row>
    <row r="240" spans="1:9">
      <c r="A240" s="1">
        <v>45805</v>
      </c>
      <c r="B240">
        <f>(3/(1+('CurrentFact-N10,20,40,60Unchan'!C240)/100)+103/POWER(1+('CurrentFact-N10,20,40,60Unchan'!D240)/100,2))*100</f>
        <v>9707.5857774288397</v>
      </c>
      <c r="C240">
        <f>(3/(1+('CurrentFact-N10,20,40,60Unchan'!C240+'CurrentFact-N10,20,40,60Unchan'!G240)/100)+103/POWER(1+('CurrentFact-N10,20,40,60Unchan'!D240+'CurrentFact-N10,20,40,60Unchan'!G240)/100,2))*100</f>
        <v>9614.9673582483465</v>
      </c>
      <c r="D240">
        <f>(3/(1+('CurrentFact-N10,20,40,60Unchan'!C240+'CurrentFact-N10,20,40,60Unchan'!H240)/100)+103/POWER(1+('CurrentFact-N10,20,40,60Unchan'!D240+'CurrentFact-N10,20,40,60Unchan'!H240)/100,2))*100</f>
        <v>9601.2395558122898</v>
      </c>
      <c r="E240">
        <f>(3/(1+('CurrentFact-N10,20,40,60Unchan'!C240+'CurrentFact-N10,20,40,60Unchan'!I240)/100)+103/POWER(1+('CurrentFact-N10,20,40,60Unchan'!D240+'CurrentFact-N10,20,40,60Unchan'!I240)/100,2))*100</f>
        <v>9676.6907857653259</v>
      </c>
      <c r="F240">
        <f>Portfolio!B$5*'CurrentFact-N10,20,40,60Unchan'!E240</f>
        <v>52143.895533915893</v>
      </c>
      <c r="G240">
        <f>Portfolio!B$6*'CurrentFact-N10,20,40,60Unchan'!F240</f>
        <v>3696.2945087936532</v>
      </c>
      <c r="H240">
        <f>Portfolio!B$7*'CurrentFact-N10,20,40,60Unchan'!J240</f>
        <v>2064.4550337304254</v>
      </c>
      <c r="I240">
        <f t="shared" si="6"/>
        <v>96505.128553694783</v>
      </c>
    </row>
    <row r="241" spans="1:9">
      <c r="A241" s="1">
        <v>45806</v>
      </c>
      <c r="B241">
        <f>(3/(1+('CurrentFact-N10,20,40,60Unchan'!C241)/100)+103/POWER(1+('CurrentFact-N10,20,40,60Unchan'!D241)/100,2))*100</f>
        <v>9707.5857774288397</v>
      </c>
      <c r="C241">
        <f>(3/(1+('CurrentFact-N10,20,40,60Unchan'!C241+'CurrentFact-N10,20,40,60Unchan'!G241)/100)+103/POWER(1+('CurrentFact-N10,20,40,60Unchan'!D241+'CurrentFact-N10,20,40,60Unchan'!G241)/100,2))*100</f>
        <v>9614.9673582483465</v>
      </c>
      <c r="D241">
        <f>(3/(1+('CurrentFact-N10,20,40,60Unchan'!C241+'CurrentFact-N10,20,40,60Unchan'!H241)/100)+103/POWER(1+('CurrentFact-N10,20,40,60Unchan'!D241+'CurrentFact-N10,20,40,60Unchan'!H241)/100,2))*100</f>
        <v>9601.2395558122898</v>
      </c>
      <c r="E241">
        <f>(3/(1+('CurrentFact-N10,20,40,60Unchan'!C241+'CurrentFact-N10,20,40,60Unchan'!I241)/100)+103/POWER(1+('CurrentFact-N10,20,40,60Unchan'!D241+'CurrentFact-N10,20,40,60Unchan'!I241)/100,2))*100</f>
        <v>9676.6907857653259</v>
      </c>
      <c r="F241">
        <f>Portfolio!B$5*'CurrentFact-N10,20,40,60Unchan'!E241</f>
        <v>52143.895533915893</v>
      </c>
      <c r="G241">
        <f>Portfolio!B$6*'CurrentFact-N10,20,40,60Unchan'!F241</f>
        <v>3696.2945087936532</v>
      </c>
      <c r="H241">
        <f>Portfolio!B$7*'CurrentFact-N10,20,40,60Unchan'!J241</f>
        <v>2064.4550337304254</v>
      </c>
      <c r="I241">
        <f t="shared" si="6"/>
        <v>96505.128553694783</v>
      </c>
    </row>
    <row r="242" spans="1:9">
      <c r="A242" s="1">
        <v>45807</v>
      </c>
      <c r="B242">
        <f>(3/(1+('CurrentFact-N10,20,40,60Unchan'!C242)/100)+103/POWER(1+('CurrentFact-N10,20,40,60Unchan'!D242)/100,2))*100</f>
        <v>9707.5857774288397</v>
      </c>
      <c r="C242">
        <f>(3/(1+('CurrentFact-N10,20,40,60Unchan'!C242+'CurrentFact-N10,20,40,60Unchan'!G242)/100)+103/POWER(1+('CurrentFact-N10,20,40,60Unchan'!D242+'CurrentFact-N10,20,40,60Unchan'!G242)/100,2))*100</f>
        <v>9614.9673582483465</v>
      </c>
      <c r="D242">
        <f>(3/(1+('CurrentFact-N10,20,40,60Unchan'!C242+'CurrentFact-N10,20,40,60Unchan'!H242)/100)+103/POWER(1+('CurrentFact-N10,20,40,60Unchan'!D242+'CurrentFact-N10,20,40,60Unchan'!H242)/100,2))*100</f>
        <v>9601.2395558122898</v>
      </c>
      <c r="E242">
        <f>(3/(1+('CurrentFact-N10,20,40,60Unchan'!C242+'CurrentFact-N10,20,40,60Unchan'!I242)/100)+103/POWER(1+('CurrentFact-N10,20,40,60Unchan'!D242+'CurrentFact-N10,20,40,60Unchan'!I242)/100,2))*100</f>
        <v>9676.6907857653259</v>
      </c>
      <c r="F242">
        <f>Portfolio!B$5*'CurrentFact-N10,20,40,60Unchan'!E242</f>
        <v>52143.895533915893</v>
      </c>
      <c r="G242">
        <f>Portfolio!B$6*'CurrentFact-N10,20,40,60Unchan'!F242</f>
        <v>3696.2945087936532</v>
      </c>
      <c r="H242">
        <f>Portfolio!B$7*'CurrentFact-N10,20,40,60Unchan'!J242</f>
        <v>2064.4550337304254</v>
      </c>
      <c r="I242">
        <f t="shared" si="6"/>
        <v>96505.128553694783</v>
      </c>
    </row>
    <row r="243" spans="1:9">
      <c r="A243" s="1">
        <v>45810</v>
      </c>
      <c r="B243">
        <f>(3/(1+('CurrentFact-N10,20,40,60Unchan'!C243)/100)+103/POWER(1+('CurrentFact-N10,20,40,60Unchan'!D243)/100,2))*100</f>
        <v>9707.5857774288397</v>
      </c>
      <c r="C243">
        <f>(3/(1+('CurrentFact-N10,20,40,60Unchan'!C243+'CurrentFact-N10,20,40,60Unchan'!G243)/100)+103/POWER(1+('CurrentFact-N10,20,40,60Unchan'!D243+'CurrentFact-N10,20,40,60Unchan'!G243)/100,2))*100</f>
        <v>9614.9673582483465</v>
      </c>
      <c r="D243">
        <f>(3/(1+('CurrentFact-N10,20,40,60Unchan'!C243+'CurrentFact-N10,20,40,60Unchan'!H243)/100)+103/POWER(1+('CurrentFact-N10,20,40,60Unchan'!D243+'CurrentFact-N10,20,40,60Unchan'!H243)/100,2))*100</f>
        <v>9601.2395558122898</v>
      </c>
      <c r="E243">
        <f>(3/(1+('CurrentFact-N10,20,40,60Unchan'!C243+'CurrentFact-N10,20,40,60Unchan'!I243)/100)+103/POWER(1+('CurrentFact-N10,20,40,60Unchan'!D243+'CurrentFact-N10,20,40,60Unchan'!I243)/100,2))*100</f>
        <v>9676.6907857653259</v>
      </c>
      <c r="F243">
        <f>Portfolio!B$5*'CurrentFact-N10,20,40,60Unchan'!E243</f>
        <v>52143.895533915893</v>
      </c>
      <c r="G243">
        <f>Portfolio!B$6*'CurrentFact-N10,20,40,60Unchan'!F243</f>
        <v>3696.2945087936532</v>
      </c>
      <c r="H243">
        <f>Portfolio!B$7*'CurrentFact-N10,20,40,60Unchan'!J243</f>
        <v>2064.4550337304254</v>
      </c>
      <c r="I243">
        <f t="shared" si="6"/>
        <v>96505.128553694783</v>
      </c>
    </row>
    <row r="244" spans="1:9">
      <c r="A244" s="1">
        <v>45811</v>
      </c>
      <c r="B244">
        <f>(3/(1+('CurrentFact-N10,20,40,60Unchan'!C244)/100)+103/POWER(1+('CurrentFact-N10,20,40,60Unchan'!D244)/100,2))*100</f>
        <v>9707.5857774288397</v>
      </c>
      <c r="C244">
        <f>(3/(1+('CurrentFact-N10,20,40,60Unchan'!C244+'CurrentFact-N10,20,40,60Unchan'!G244)/100)+103/POWER(1+('CurrentFact-N10,20,40,60Unchan'!D244+'CurrentFact-N10,20,40,60Unchan'!G244)/100,2))*100</f>
        <v>9614.9673582483465</v>
      </c>
      <c r="D244">
        <f>(3/(1+('CurrentFact-N10,20,40,60Unchan'!C244+'CurrentFact-N10,20,40,60Unchan'!H244)/100)+103/POWER(1+('CurrentFact-N10,20,40,60Unchan'!D244+'CurrentFact-N10,20,40,60Unchan'!H244)/100,2))*100</f>
        <v>9601.2395558122898</v>
      </c>
      <c r="E244">
        <f>(3/(1+('CurrentFact-N10,20,40,60Unchan'!C244+'CurrentFact-N10,20,40,60Unchan'!I244)/100)+103/POWER(1+('CurrentFact-N10,20,40,60Unchan'!D244+'CurrentFact-N10,20,40,60Unchan'!I244)/100,2))*100</f>
        <v>9676.6907857653259</v>
      </c>
      <c r="F244">
        <f>Portfolio!B$5*'CurrentFact-N10,20,40,60Unchan'!E244</f>
        <v>52143.895533915893</v>
      </c>
      <c r="G244">
        <f>Portfolio!B$6*'CurrentFact-N10,20,40,60Unchan'!F244</f>
        <v>3696.2945087936532</v>
      </c>
      <c r="H244">
        <f>Portfolio!B$7*'CurrentFact-N10,20,40,60Unchan'!J244</f>
        <v>2064.4550337304254</v>
      </c>
      <c r="I244">
        <f t="shared" si="6"/>
        <v>96505.128553694783</v>
      </c>
    </row>
    <row r="245" spans="1:9">
      <c r="A245" s="1">
        <v>45812</v>
      </c>
      <c r="B245">
        <f>(3/(1+('CurrentFact-N10,20,40,60Unchan'!C245)/100)+103/POWER(1+('CurrentFact-N10,20,40,60Unchan'!D245)/100,2))*100</f>
        <v>9707.5857774288397</v>
      </c>
      <c r="C245">
        <f>(3/(1+('CurrentFact-N10,20,40,60Unchan'!C245+'CurrentFact-N10,20,40,60Unchan'!G245)/100)+103/POWER(1+('CurrentFact-N10,20,40,60Unchan'!D245+'CurrentFact-N10,20,40,60Unchan'!G245)/100,2))*100</f>
        <v>9614.9673582483465</v>
      </c>
      <c r="D245">
        <f>(3/(1+('CurrentFact-N10,20,40,60Unchan'!C245+'CurrentFact-N10,20,40,60Unchan'!H245)/100)+103/POWER(1+('CurrentFact-N10,20,40,60Unchan'!D245+'CurrentFact-N10,20,40,60Unchan'!H245)/100,2))*100</f>
        <v>9601.2395558122898</v>
      </c>
      <c r="E245">
        <f>(3/(1+('CurrentFact-N10,20,40,60Unchan'!C245+'CurrentFact-N10,20,40,60Unchan'!I245)/100)+103/POWER(1+('CurrentFact-N10,20,40,60Unchan'!D245+'CurrentFact-N10,20,40,60Unchan'!I245)/100,2))*100</f>
        <v>9676.6907857653259</v>
      </c>
      <c r="F245">
        <f>Portfolio!B$5*'CurrentFact-N10,20,40,60Unchan'!E245</f>
        <v>52143.895533915893</v>
      </c>
      <c r="G245">
        <f>Portfolio!B$6*'CurrentFact-N10,20,40,60Unchan'!F245</f>
        <v>3696.2945087936532</v>
      </c>
      <c r="H245">
        <f>Portfolio!B$7*'CurrentFact-N10,20,40,60Unchan'!J245</f>
        <v>2064.4550337304254</v>
      </c>
      <c r="I245">
        <f t="shared" si="6"/>
        <v>96505.128553694783</v>
      </c>
    </row>
    <row r="246" spans="1:9">
      <c r="A246" s="1">
        <v>45813</v>
      </c>
      <c r="B246">
        <f>(3/(1+('CurrentFact-N10,20,40,60Unchan'!C246)/100)+103/POWER(1+('CurrentFact-N10,20,40,60Unchan'!D246)/100,2))*100</f>
        <v>9707.5857774288397</v>
      </c>
      <c r="C246">
        <f>(3/(1+('CurrentFact-N10,20,40,60Unchan'!C246+'CurrentFact-N10,20,40,60Unchan'!G246)/100)+103/POWER(1+('CurrentFact-N10,20,40,60Unchan'!D246+'CurrentFact-N10,20,40,60Unchan'!G246)/100,2))*100</f>
        <v>9614.9673582483465</v>
      </c>
      <c r="D246">
        <f>(3/(1+('CurrentFact-N10,20,40,60Unchan'!C246+'CurrentFact-N10,20,40,60Unchan'!H246)/100)+103/POWER(1+('CurrentFact-N10,20,40,60Unchan'!D246+'CurrentFact-N10,20,40,60Unchan'!H246)/100,2))*100</f>
        <v>9601.2395558122898</v>
      </c>
      <c r="E246">
        <f>(3/(1+('CurrentFact-N10,20,40,60Unchan'!C246+'CurrentFact-N10,20,40,60Unchan'!I246)/100)+103/POWER(1+('CurrentFact-N10,20,40,60Unchan'!D246+'CurrentFact-N10,20,40,60Unchan'!I246)/100,2))*100</f>
        <v>9676.6907857653259</v>
      </c>
      <c r="F246">
        <f>Portfolio!B$5*'CurrentFact-N10,20,40,60Unchan'!E246</f>
        <v>52143.895533915893</v>
      </c>
      <c r="G246">
        <f>Portfolio!B$6*'CurrentFact-N10,20,40,60Unchan'!F246</f>
        <v>3696.2945087936532</v>
      </c>
      <c r="H246">
        <f>Portfolio!B$7*'CurrentFact-N10,20,40,60Unchan'!J246</f>
        <v>2064.4550337304254</v>
      </c>
      <c r="I246">
        <f t="shared" si="6"/>
        <v>96505.128553694783</v>
      </c>
    </row>
    <row r="247" spans="1:9">
      <c r="A247" s="1">
        <v>45814</v>
      </c>
      <c r="B247">
        <f>(3/(1+('CurrentFact-N10,20,40,60Unchan'!C247)/100)+103/POWER(1+('CurrentFact-N10,20,40,60Unchan'!D247)/100,2))*100</f>
        <v>9707.5857774288397</v>
      </c>
      <c r="C247">
        <f>(3/(1+('CurrentFact-N10,20,40,60Unchan'!C247+'CurrentFact-N10,20,40,60Unchan'!G247)/100)+103/POWER(1+('CurrentFact-N10,20,40,60Unchan'!D247+'CurrentFact-N10,20,40,60Unchan'!G247)/100,2))*100</f>
        <v>9614.9673582483465</v>
      </c>
      <c r="D247">
        <f>(3/(1+('CurrentFact-N10,20,40,60Unchan'!C247+'CurrentFact-N10,20,40,60Unchan'!H247)/100)+103/POWER(1+('CurrentFact-N10,20,40,60Unchan'!D247+'CurrentFact-N10,20,40,60Unchan'!H247)/100,2))*100</f>
        <v>9601.2395558122898</v>
      </c>
      <c r="E247">
        <f>(3/(1+('CurrentFact-N10,20,40,60Unchan'!C247+'CurrentFact-N10,20,40,60Unchan'!I247)/100)+103/POWER(1+('CurrentFact-N10,20,40,60Unchan'!D247+'CurrentFact-N10,20,40,60Unchan'!I247)/100,2))*100</f>
        <v>9676.6907857653259</v>
      </c>
      <c r="F247">
        <f>Portfolio!B$5*'CurrentFact-N10,20,40,60Unchan'!E247</f>
        <v>52143.895533915893</v>
      </c>
      <c r="G247">
        <f>Portfolio!B$6*'CurrentFact-N10,20,40,60Unchan'!F247</f>
        <v>3696.2945087936532</v>
      </c>
      <c r="H247">
        <f>Portfolio!B$7*'CurrentFact-N10,20,40,60Unchan'!J247</f>
        <v>2064.4550337304254</v>
      </c>
      <c r="I247">
        <f t="shared" si="6"/>
        <v>96505.128553694783</v>
      </c>
    </row>
    <row r="248" spans="1:9">
      <c r="A248" s="1">
        <v>45817</v>
      </c>
      <c r="B248">
        <f>(3/(1+('CurrentFact-N10,20,40,60Unchan'!C248)/100)+103/POWER(1+('CurrentFact-N10,20,40,60Unchan'!D248)/100,2))*100</f>
        <v>9707.5857774288397</v>
      </c>
      <c r="C248">
        <f>(3/(1+('CurrentFact-N10,20,40,60Unchan'!C248+'CurrentFact-N10,20,40,60Unchan'!G248)/100)+103/POWER(1+('CurrentFact-N10,20,40,60Unchan'!D248+'CurrentFact-N10,20,40,60Unchan'!G248)/100,2))*100</f>
        <v>9614.9673582483465</v>
      </c>
      <c r="D248">
        <f>(3/(1+('CurrentFact-N10,20,40,60Unchan'!C248+'CurrentFact-N10,20,40,60Unchan'!H248)/100)+103/POWER(1+('CurrentFact-N10,20,40,60Unchan'!D248+'CurrentFact-N10,20,40,60Unchan'!H248)/100,2))*100</f>
        <v>9601.2395558122898</v>
      </c>
      <c r="E248">
        <f>(3/(1+('CurrentFact-N10,20,40,60Unchan'!C248+'CurrentFact-N10,20,40,60Unchan'!I248)/100)+103/POWER(1+('CurrentFact-N10,20,40,60Unchan'!D248+'CurrentFact-N10,20,40,60Unchan'!I248)/100,2))*100</f>
        <v>9676.6907857653259</v>
      </c>
      <c r="F248">
        <f>Portfolio!B$5*'CurrentFact-N10,20,40,60Unchan'!E248</f>
        <v>52143.895533915893</v>
      </c>
      <c r="G248">
        <f>Portfolio!B$6*'CurrentFact-N10,20,40,60Unchan'!F248</f>
        <v>3696.2945087936532</v>
      </c>
      <c r="H248">
        <f>Portfolio!B$7*'CurrentFact-N10,20,40,60Unchan'!J248</f>
        <v>2064.4550337304254</v>
      </c>
      <c r="I248">
        <f t="shared" si="6"/>
        <v>96505.128553694783</v>
      </c>
    </row>
    <row r="249" spans="1:9">
      <c r="A249" s="1">
        <v>45818</v>
      </c>
      <c r="B249">
        <f>(3/(1+('CurrentFact-N10,20,40,60Unchan'!C249)/100)+103/POWER(1+('CurrentFact-N10,20,40,60Unchan'!D249)/100,2))*100</f>
        <v>9707.5857774288397</v>
      </c>
      <c r="C249">
        <f>(3/(1+('CurrentFact-N10,20,40,60Unchan'!C249+'CurrentFact-N10,20,40,60Unchan'!G249)/100)+103/POWER(1+('CurrentFact-N10,20,40,60Unchan'!D249+'CurrentFact-N10,20,40,60Unchan'!G249)/100,2))*100</f>
        <v>9614.9673582483465</v>
      </c>
      <c r="D249">
        <f>(3/(1+('CurrentFact-N10,20,40,60Unchan'!C249+'CurrentFact-N10,20,40,60Unchan'!H249)/100)+103/POWER(1+('CurrentFact-N10,20,40,60Unchan'!D249+'CurrentFact-N10,20,40,60Unchan'!H249)/100,2))*100</f>
        <v>9601.2395558122898</v>
      </c>
      <c r="E249">
        <f>(3/(1+('CurrentFact-N10,20,40,60Unchan'!C249+'CurrentFact-N10,20,40,60Unchan'!I249)/100)+103/POWER(1+('CurrentFact-N10,20,40,60Unchan'!D249+'CurrentFact-N10,20,40,60Unchan'!I249)/100,2))*100</f>
        <v>9676.6907857653259</v>
      </c>
      <c r="F249">
        <f>Portfolio!B$5*'CurrentFact-N10,20,40,60Unchan'!E249</f>
        <v>52143.895533915893</v>
      </c>
      <c r="G249">
        <f>Portfolio!B$6*'CurrentFact-N10,20,40,60Unchan'!F249</f>
        <v>3696.2945087936532</v>
      </c>
      <c r="H249">
        <f>Portfolio!B$7*'CurrentFact-N10,20,40,60Unchan'!J249</f>
        <v>2064.4550337304254</v>
      </c>
      <c r="I249">
        <f t="shared" si="6"/>
        <v>96505.128553694783</v>
      </c>
    </row>
    <row r="250" spans="1:9">
      <c r="A250" s="1">
        <v>45819</v>
      </c>
      <c r="B250">
        <f>(3/(1+('CurrentFact-N10,20,40,60Unchan'!C250)/100)+103/POWER(1+('CurrentFact-N10,20,40,60Unchan'!D250)/100,2))*100</f>
        <v>9707.5857774288397</v>
      </c>
      <c r="C250">
        <f>(3/(1+('CurrentFact-N10,20,40,60Unchan'!C250+'CurrentFact-N10,20,40,60Unchan'!G250)/100)+103/POWER(1+('CurrentFact-N10,20,40,60Unchan'!D250+'CurrentFact-N10,20,40,60Unchan'!G250)/100,2))*100</f>
        <v>9614.9673582483465</v>
      </c>
      <c r="D250">
        <f>(3/(1+('CurrentFact-N10,20,40,60Unchan'!C250+'CurrentFact-N10,20,40,60Unchan'!H250)/100)+103/POWER(1+('CurrentFact-N10,20,40,60Unchan'!D250+'CurrentFact-N10,20,40,60Unchan'!H250)/100,2))*100</f>
        <v>9601.2395558122898</v>
      </c>
      <c r="E250">
        <f>(3/(1+('CurrentFact-N10,20,40,60Unchan'!C250+'CurrentFact-N10,20,40,60Unchan'!I250)/100)+103/POWER(1+('CurrentFact-N10,20,40,60Unchan'!D250+'CurrentFact-N10,20,40,60Unchan'!I250)/100,2))*100</f>
        <v>9676.6907857653259</v>
      </c>
      <c r="F250">
        <f>Portfolio!B$5*'CurrentFact-N10,20,40,60Unchan'!E250</f>
        <v>52143.895533915893</v>
      </c>
      <c r="G250">
        <f>Portfolio!B$6*'CurrentFact-N10,20,40,60Unchan'!F250</f>
        <v>3696.2945087936532</v>
      </c>
      <c r="H250">
        <f>Portfolio!B$7*'CurrentFact-N10,20,40,60Unchan'!J250</f>
        <v>2064.4550337304254</v>
      </c>
      <c r="I250">
        <f t="shared" si="6"/>
        <v>96505.128553694783</v>
      </c>
    </row>
    <row r="251" spans="1:9">
      <c r="A251" s="1">
        <v>45820</v>
      </c>
      <c r="B251">
        <f>(3/(1+('CurrentFact-N10,20,40,60Unchan'!C251)/100)+103/POWER(1+('CurrentFact-N10,20,40,60Unchan'!D251)/100,2))*100</f>
        <v>9707.5857774288397</v>
      </c>
      <c r="C251">
        <f>(3/(1+('CurrentFact-N10,20,40,60Unchan'!C251+'CurrentFact-N10,20,40,60Unchan'!G251)/100)+103/POWER(1+('CurrentFact-N10,20,40,60Unchan'!D251+'CurrentFact-N10,20,40,60Unchan'!G251)/100,2))*100</f>
        <v>9614.9673582483465</v>
      </c>
      <c r="D251">
        <f>(3/(1+('CurrentFact-N10,20,40,60Unchan'!C251+'CurrentFact-N10,20,40,60Unchan'!H251)/100)+103/POWER(1+('CurrentFact-N10,20,40,60Unchan'!D251+'CurrentFact-N10,20,40,60Unchan'!H251)/100,2))*100</f>
        <v>9601.2395558122898</v>
      </c>
      <c r="E251">
        <f>(3/(1+('CurrentFact-N10,20,40,60Unchan'!C251+'CurrentFact-N10,20,40,60Unchan'!I251)/100)+103/POWER(1+('CurrentFact-N10,20,40,60Unchan'!D251+'CurrentFact-N10,20,40,60Unchan'!I251)/100,2))*100</f>
        <v>9676.6907857653259</v>
      </c>
      <c r="F251">
        <f>Portfolio!B$5*'CurrentFact-N10,20,40,60Unchan'!E251</f>
        <v>52143.895533915893</v>
      </c>
      <c r="G251">
        <f>Portfolio!B$6*'CurrentFact-N10,20,40,60Unchan'!F251</f>
        <v>3696.2945087936532</v>
      </c>
      <c r="H251">
        <f>Portfolio!B$7*'CurrentFact-N10,20,40,60Unchan'!J251</f>
        <v>2064.4550337304254</v>
      </c>
      <c r="I251">
        <f t="shared" si="6"/>
        <v>96505.128553694783</v>
      </c>
    </row>
    <row r="252" spans="1:9">
      <c r="A252" s="1">
        <v>45821</v>
      </c>
      <c r="B252">
        <f>(3/(1+('CurrentFact-N10,20,40,60Unchan'!C252)/100)+103/POWER(1+('CurrentFact-N10,20,40,60Unchan'!D252)/100,2))*100</f>
        <v>9707.5857774288397</v>
      </c>
      <c r="C252">
        <f>(3/(1+('CurrentFact-N10,20,40,60Unchan'!C252+'CurrentFact-N10,20,40,60Unchan'!G252)/100)+103/POWER(1+('CurrentFact-N10,20,40,60Unchan'!D252+'CurrentFact-N10,20,40,60Unchan'!G252)/100,2))*100</f>
        <v>9614.9673582483465</v>
      </c>
      <c r="D252">
        <f>(3/(1+('CurrentFact-N10,20,40,60Unchan'!C252+'CurrentFact-N10,20,40,60Unchan'!H252)/100)+103/POWER(1+('CurrentFact-N10,20,40,60Unchan'!D252+'CurrentFact-N10,20,40,60Unchan'!H252)/100,2))*100</f>
        <v>9601.2395558122898</v>
      </c>
      <c r="E252">
        <f>(3/(1+('CurrentFact-N10,20,40,60Unchan'!C252+'CurrentFact-N10,20,40,60Unchan'!I252)/100)+103/POWER(1+('CurrentFact-N10,20,40,60Unchan'!D252+'CurrentFact-N10,20,40,60Unchan'!I252)/100,2))*100</f>
        <v>9676.6907857653259</v>
      </c>
      <c r="F252">
        <f>Portfolio!B$5*'CurrentFact-N10,20,40,60Unchan'!E252</f>
        <v>52143.895533915893</v>
      </c>
      <c r="G252">
        <f>Portfolio!B$6*'CurrentFact-N10,20,40,60Unchan'!F252</f>
        <v>3696.2945087936532</v>
      </c>
      <c r="H252">
        <f>Portfolio!B$7*'CurrentFact-N10,20,40,60Unchan'!J252</f>
        <v>2064.4550337304254</v>
      </c>
      <c r="I252">
        <f t="shared" ref="I252:I263" si="7">SUM(B252:H252)</f>
        <v>96505.128553694783</v>
      </c>
    </row>
    <row r="253" spans="1:9">
      <c r="A253" s="1">
        <v>45824</v>
      </c>
      <c r="B253">
        <f>(3/(1+('CurrentFact-N10,20,40,60Unchan'!C253)/100)+103/POWER(1+('CurrentFact-N10,20,40,60Unchan'!D253)/100,2))*100</f>
        <v>9707.5857774288397</v>
      </c>
      <c r="C253">
        <f>(3/(1+('CurrentFact-N10,20,40,60Unchan'!C253+'CurrentFact-N10,20,40,60Unchan'!G253)/100)+103/POWER(1+('CurrentFact-N10,20,40,60Unchan'!D253+'CurrentFact-N10,20,40,60Unchan'!G253)/100,2))*100</f>
        <v>9614.9673582483465</v>
      </c>
      <c r="D253">
        <f>(3/(1+('CurrentFact-N10,20,40,60Unchan'!C253+'CurrentFact-N10,20,40,60Unchan'!H253)/100)+103/POWER(1+('CurrentFact-N10,20,40,60Unchan'!D253+'CurrentFact-N10,20,40,60Unchan'!H253)/100,2))*100</f>
        <v>9601.2395558122898</v>
      </c>
      <c r="E253">
        <f>(3/(1+('CurrentFact-N10,20,40,60Unchan'!C253+'CurrentFact-N10,20,40,60Unchan'!I253)/100)+103/POWER(1+('CurrentFact-N10,20,40,60Unchan'!D253+'CurrentFact-N10,20,40,60Unchan'!I253)/100,2))*100</f>
        <v>9676.6907857653259</v>
      </c>
      <c r="F253">
        <f>Portfolio!B$5*'CurrentFact-N10,20,40,60Unchan'!E253</f>
        <v>52143.895533915893</v>
      </c>
      <c r="G253">
        <f>Portfolio!B$6*'CurrentFact-N10,20,40,60Unchan'!F253</f>
        <v>3696.2945087936532</v>
      </c>
      <c r="H253">
        <f>Portfolio!B$7*'CurrentFact-N10,20,40,60Unchan'!J253</f>
        <v>2064.4550337304254</v>
      </c>
      <c r="I253">
        <f t="shared" si="7"/>
        <v>96505.128553694783</v>
      </c>
    </row>
    <row r="254" spans="1:9">
      <c r="A254" s="1">
        <v>45825</v>
      </c>
      <c r="B254">
        <f>(3/(1+('CurrentFact-N10,20,40,60Unchan'!C254)/100)+103/POWER(1+('CurrentFact-N10,20,40,60Unchan'!D254)/100,2))*100</f>
        <v>9707.5857774288397</v>
      </c>
      <c r="C254">
        <f>(3/(1+('CurrentFact-N10,20,40,60Unchan'!C254+'CurrentFact-N10,20,40,60Unchan'!G254)/100)+103/POWER(1+('CurrentFact-N10,20,40,60Unchan'!D254+'CurrentFact-N10,20,40,60Unchan'!G254)/100,2))*100</f>
        <v>9614.9673582483465</v>
      </c>
      <c r="D254">
        <f>(3/(1+('CurrentFact-N10,20,40,60Unchan'!C254+'CurrentFact-N10,20,40,60Unchan'!H254)/100)+103/POWER(1+('CurrentFact-N10,20,40,60Unchan'!D254+'CurrentFact-N10,20,40,60Unchan'!H254)/100,2))*100</f>
        <v>9601.2395558122898</v>
      </c>
      <c r="E254">
        <f>(3/(1+('CurrentFact-N10,20,40,60Unchan'!C254+'CurrentFact-N10,20,40,60Unchan'!I254)/100)+103/POWER(1+('CurrentFact-N10,20,40,60Unchan'!D254+'CurrentFact-N10,20,40,60Unchan'!I254)/100,2))*100</f>
        <v>9676.6907857653259</v>
      </c>
      <c r="F254">
        <f>Portfolio!B$5*'CurrentFact-N10,20,40,60Unchan'!E254</f>
        <v>52143.895533915893</v>
      </c>
      <c r="G254">
        <f>Portfolio!B$6*'CurrentFact-N10,20,40,60Unchan'!F254</f>
        <v>3696.2945087936532</v>
      </c>
      <c r="H254">
        <f>Portfolio!B$7*'CurrentFact-N10,20,40,60Unchan'!J254</f>
        <v>2064.4550337304254</v>
      </c>
      <c r="I254">
        <f t="shared" si="7"/>
        <v>96505.128553694783</v>
      </c>
    </row>
    <row r="255" spans="1:9">
      <c r="A255" s="1">
        <v>45826</v>
      </c>
      <c r="B255">
        <f>(3/(1+('CurrentFact-N10,20,40,60Unchan'!C255)/100)+103/POWER(1+('CurrentFact-N10,20,40,60Unchan'!D255)/100,2))*100</f>
        <v>9707.5857774288397</v>
      </c>
      <c r="C255">
        <f>(3/(1+('CurrentFact-N10,20,40,60Unchan'!C255+'CurrentFact-N10,20,40,60Unchan'!G255)/100)+103/POWER(1+('CurrentFact-N10,20,40,60Unchan'!D255+'CurrentFact-N10,20,40,60Unchan'!G255)/100,2))*100</f>
        <v>9614.9673582483465</v>
      </c>
      <c r="D255">
        <f>(3/(1+('CurrentFact-N10,20,40,60Unchan'!C255+'CurrentFact-N10,20,40,60Unchan'!H255)/100)+103/POWER(1+('CurrentFact-N10,20,40,60Unchan'!D255+'CurrentFact-N10,20,40,60Unchan'!H255)/100,2))*100</f>
        <v>9601.2395558122898</v>
      </c>
      <c r="E255">
        <f>(3/(1+('CurrentFact-N10,20,40,60Unchan'!C255+'CurrentFact-N10,20,40,60Unchan'!I255)/100)+103/POWER(1+('CurrentFact-N10,20,40,60Unchan'!D255+'CurrentFact-N10,20,40,60Unchan'!I255)/100,2))*100</f>
        <v>9676.6907857653259</v>
      </c>
      <c r="F255">
        <f>Portfolio!B$5*'CurrentFact-N10,20,40,60Unchan'!E255</f>
        <v>52143.895533915893</v>
      </c>
      <c r="G255">
        <f>Portfolio!B$6*'CurrentFact-N10,20,40,60Unchan'!F255</f>
        <v>3696.2945087936532</v>
      </c>
      <c r="H255">
        <f>Portfolio!B$7*'CurrentFact-N10,20,40,60Unchan'!J255</f>
        <v>2064.4550337304254</v>
      </c>
      <c r="I255">
        <f t="shared" si="7"/>
        <v>96505.128553694783</v>
      </c>
    </row>
    <row r="256" spans="1:9">
      <c r="A256" s="1">
        <v>45827</v>
      </c>
      <c r="B256">
        <f>(3/(1+('CurrentFact-N10,20,40,60Unchan'!C256)/100)+103/POWER(1+('CurrentFact-N10,20,40,60Unchan'!D256)/100,2))*100</f>
        <v>9707.5857774288397</v>
      </c>
      <c r="C256">
        <f>(3/(1+('CurrentFact-N10,20,40,60Unchan'!C256+'CurrentFact-N10,20,40,60Unchan'!G256)/100)+103/POWER(1+('CurrentFact-N10,20,40,60Unchan'!D256+'CurrentFact-N10,20,40,60Unchan'!G256)/100,2))*100</f>
        <v>9614.9673582483465</v>
      </c>
      <c r="D256">
        <f>(3/(1+('CurrentFact-N10,20,40,60Unchan'!C256+'CurrentFact-N10,20,40,60Unchan'!H256)/100)+103/POWER(1+('CurrentFact-N10,20,40,60Unchan'!D256+'CurrentFact-N10,20,40,60Unchan'!H256)/100,2))*100</f>
        <v>9601.2395558122898</v>
      </c>
      <c r="E256">
        <f>(3/(1+('CurrentFact-N10,20,40,60Unchan'!C256+'CurrentFact-N10,20,40,60Unchan'!I256)/100)+103/POWER(1+('CurrentFact-N10,20,40,60Unchan'!D256+'CurrentFact-N10,20,40,60Unchan'!I256)/100,2))*100</f>
        <v>9676.6907857653259</v>
      </c>
      <c r="F256">
        <f>Portfolio!B$5*'CurrentFact-N10,20,40,60Unchan'!E256</f>
        <v>52143.895533915893</v>
      </c>
      <c r="G256">
        <f>Portfolio!B$6*'CurrentFact-N10,20,40,60Unchan'!F256</f>
        <v>3696.2945087936532</v>
      </c>
      <c r="H256">
        <f>Portfolio!B$7*'CurrentFact-N10,20,40,60Unchan'!J256</f>
        <v>2064.4550337304254</v>
      </c>
      <c r="I256">
        <f t="shared" si="7"/>
        <v>96505.128553694783</v>
      </c>
    </row>
    <row r="257" spans="1:9">
      <c r="A257" s="1">
        <v>45828</v>
      </c>
      <c r="B257">
        <f>(3/(1+('CurrentFact-N10,20,40,60Unchan'!C257)/100)+103/POWER(1+('CurrentFact-N10,20,40,60Unchan'!D257)/100,2))*100</f>
        <v>9707.5857774288397</v>
      </c>
      <c r="C257">
        <f>(3/(1+('CurrentFact-N10,20,40,60Unchan'!C257+'CurrentFact-N10,20,40,60Unchan'!G257)/100)+103/POWER(1+('CurrentFact-N10,20,40,60Unchan'!D257+'CurrentFact-N10,20,40,60Unchan'!G257)/100,2))*100</f>
        <v>9614.9673582483465</v>
      </c>
      <c r="D257">
        <f>(3/(1+('CurrentFact-N10,20,40,60Unchan'!C257+'CurrentFact-N10,20,40,60Unchan'!H257)/100)+103/POWER(1+('CurrentFact-N10,20,40,60Unchan'!D257+'CurrentFact-N10,20,40,60Unchan'!H257)/100,2))*100</f>
        <v>9601.2395558122898</v>
      </c>
      <c r="E257">
        <f>(3/(1+('CurrentFact-N10,20,40,60Unchan'!C257+'CurrentFact-N10,20,40,60Unchan'!I257)/100)+103/POWER(1+('CurrentFact-N10,20,40,60Unchan'!D257+'CurrentFact-N10,20,40,60Unchan'!I257)/100,2))*100</f>
        <v>9676.6907857653259</v>
      </c>
      <c r="F257">
        <f>Portfolio!B$5*'CurrentFact-N10,20,40,60Unchan'!E257</f>
        <v>52143.895533915893</v>
      </c>
      <c r="G257">
        <f>Portfolio!B$6*'CurrentFact-N10,20,40,60Unchan'!F257</f>
        <v>3696.2945087936532</v>
      </c>
      <c r="H257">
        <f>Portfolio!B$7*'CurrentFact-N10,20,40,60Unchan'!J257</f>
        <v>2064.4550337304254</v>
      </c>
      <c r="I257">
        <f t="shared" si="7"/>
        <v>96505.128553694783</v>
      </c>
    </row>
    <row r="258" spans="1:9">
      <c r="A258" s="1">
        <v>45831</v>
      </c>
      <c r="B258">
        <f>(3/(1+('CurrentFact-N10,20,40,60Unchan'!C258)/100)+103/POWER(1+('CurrentFact-N10,20,40,60Unchan'!D258)/100,2))*100</f>
        <v>9707.5857774288397</v>
      </c>
      <c r="C258">
        <f>(3/(1+('CurrentFact-N10,20,40,60Unchan'!C258+'CurrentFact-N10,20,40,60Unchan'!G258)/100)+103/POWER(1+('CurrentFact-N10,20,40,60Unchan'!D258+'CurrentFact-N10,20,40,60Unchan'!G258)/100,2))*100</f>
        <v>9614.9673582483465</v>
      </c>
      <c r="D258">
        <f>(3/(1+('CurrentFact-N10,20,40,60Unchan'!C258+'CurrentFact-N10,20,40,60Unchan'!H258)/100)+103/POWER(1+('CurrentFact-N10,20,40,60Unchan'!D258+'CurrentFact-N10,20,40,60Unchan'!H258)/100,2))*100</f>
        <v>9601.2395558122898</v>
      </c>
      <c r="E258">
        <f>(3/(1+('CurrentFact-N10,20,40,60Unchan'!C258+'CurrentFact-N10,20,40,60Unchan'!I258)/100)+103/POWER(1+('CurrentFact-N10,20,40,60Unchan'!D258+'CurrentFact-N10,20,40,60Unchan'!I258)/100,2))*100</f>
        <v>9676.6907857653259</v>
      </c>
      <c r="F258">
        <f>Portfolio!B$5*'CurrentFact-N10,20,40,60Unchan'!E258</f>
        <v>52143.895533915893</v>
      </c>
      <c r="G258">
        <f>Portfolio!B$6*'CurrentFact-N10,20,40,60Unchan'!F258</f>
        <v>3696.2945087936532</v>
      </c>
      <c r="H258">
        <f>Portfolio!B$7*'CurrentFact-N10,20,40,60Unchan'!J258</f>
        <v>2064.4550337304254</v>
      </c>
      <c r="I258">
        <f t="shared" si="7"/>
        <v>96505.128553694783</v>
      </c>
    </row>
    <row r="259" spans="1:9">
      <c r="A259" s="1">
        <v>45832</v>
      </c>
      <c r="B259">
        <f>(3/(1+('CurrentFact-N10,20,40,60Unchan'!C259)/100)+103/POWER(1+('CurrentFact-N10,20,40,60Unchan'!D259)/100,2))*100</f>
        <v>9707.5857774288397</v>
      </c>
      <c r="C259">
        <f>(3/(1+('CurrentFact-N10,20,40,60Unchan'!C259+'CurrentFact-N10,20,40,60Unchan'!G259)/100)+103/POWER(1+('CurrentFact-N10,20,40,60Unchan'!D259+'CurrentFact-N10,20,40,60Unchan'!G259)/100,2))*100</f>
        <v>9614.9673582483465</v>
      </c>
      <c r="D259">
        <f>(3/(1+('CurrentFact-N10,20,40,60Unchan'!C259+'CurrentFact-N10,20,40,60Unchan'!H259)/100)+103/POWER(1+('CurrentFact-N10,20,40,60Unchan'!D259+'CurrentFact-N10,20,40,60Unchan'!H259)/100,2))*100</f>
        <v>9601.2395558122898</v>
      </c>
      <c r="E259">
        <f>(3/(1+('CurrentFact-N10,20,40,60Unchan'!C259+'CurrentFact-N10,20,40,60Unchan'!I259)/100)+103/POWER(1+('CurrentFact-N10,20,40,60Unchan'!D259+'CurrentFact-N10,20,40,60Unchan'!I259)/100,2))*100</f>
        <v>9676.6907857653259</v>
      </c>
      <c r="F259">
        <f>Portfolio!B$5*'CurrentFact-N10,20,40,60Unchan'!E259</f>
        <v>52143.895533915893</v>
      </c>
      <c r="G259">
        <f>Portfolio!B$6*'CurrentFact-N10,20,40,60Unchan'!F259</f>
        <v>3696.2945087936532</v>
      </c>
      <c r="H259">
        <f>Portfolio!B$7*'CurrentFact-N10,20,40,60Unchan'!J259</f>
        <v>2064.4550337304254</v>
      </c>
      <c r="I259">
        <f t="shared" si="7"/>
        <v>96505.128553694783</v>
      </c>
    </row>
    <row r="260" spans="1:9">
      <c r="A260" s="1">
        <v>45833</v>
      </c>
      <c r="B260">
        <f>(3/(1+('CurrentFact-N10,20,40,60Unchan'!C260)/100)+103/POWER(1+('CurrentFact-N10,20,40,60Unchan'!D260)/100,2))*100</f>
        <v>9707.5857774288397</v>
      </c>
      <c r="C260">
        <f>(3/(1+('CurrentFact-N10,20,40,60Unchan'!C260+'CurrentFact-N10,20,40,60Unchan'!G260)/100)+103/POWER(1+('CurrentFact-N10,20,40,60Unchan'!D260+'CurrentFact-N10,20,40,60Unchan'!G260)/100,2))*100</f>
        <v>9614.9673582483465</v>
      </c>
      <c r="D260">
        <f>(3/(1+('CurrentFact-N10,20,40,60Unchan'!C260+'CurrentFact-N10,20,40,60Unchan'!H260)/100)+103/POWER(1+('CurrentFact-N10,20,40,60Unchan'!D260+'CurrentFact-N10,20,40,60Unchan'!H260)/100,2))*100</f>
        <v>9601.2395558122898</v>
      </c>
      <c r="E260">
        <f>(3/(1+('CurrentFact-N10,20,40,60Unchan'!C260+'CurrentFact-N10,20,40,60Unchan'!I260)/100)+103/POWER(1+('CurrentFact-N10,20,40,60Unchan'!D260+'CurrentFact-N10,20,40,60Unchan'!I260)/100,2))*100</f>
        <v>9676.6907857653259</v>
      </c>
      <c r="F260">
        <f>Portfolio!B$5*'CurrentFact-N10,20,40,60Unchan'!E260</f>
        <v>52143.895533915893</v>
      </c>
      <c r="G260">
        <f>Portfolio!B$6*'CurrentFact-N10,20,40,60Unchan'!F260</f>
        <v>3696.2945087936532</v>
      </c>
      <c r="H260">
        <f>Portfolio!B$7*'CurrentFact-N10,20,40,60Unchan'!J260</f>
        <v>2064.4550337304254</v>
      </c>
      <c r="I260">
        <f t="shared" si="7"/>
        <v>96505.128553694783</v>
      </c>
    </row>
    <row r="261" spans="1:9">
      <c r="A261" s="1">
        <v>45834</v>
      </c>
      <c r="B261">
        <f>(3/(1+('CurrentFact-N10,20,40,60Unchan'!C261)/100)+103/POWER(1+('CurrentFact-N10,20,40,60Unchan'!D261)/100,2))*100</f>
        <v>9707.5857774288397</v>
      </c>
      <c r="C261">
        <f>(3/(1+('CurrentFact-N10,20,40,60Unchan'!C261+'CurrentFact-N10,20,40,60Unchan'!G261)/100)+103/POWER(1+('CurrentFact-N10,20,40,60Unchan'!D261+'CurrentFact-N10,20,40,60Unchan'!G261)/100,2))*100</f>
        <v>9614.9673582483465</v>
      </c>
      <c r="D261">
        <f>(3/(1+('CurrentFact-N10,20,40,60Unchan'!C261+'CurrentFact-N10,20,40,60Unchan'!H261)/100)+103/POWER(1+('CurrentFact-N10,20,40,60Unchan'!D261+'CurrentFact-N10,20,40,60Unchan'!H261)/100,2))*100</f>
        <v>9601.2395558122898</v>
      </c>
      <c r="E261">
        <f>(3/(1+('CurrentFact-N10,20,40,60Unchan'!C261+'CurrentFact-N10,20,40,60Unchan'!I261)/100)+103/POWER(1+('CurrentFact-N10,20,40,60Unchan'!D261+'CurrentFact-N10,20,40,60Unchan'!I261)/100,2))*100</f>
        <v>9676.6907857653259</v>
      </c>
      <c r="F261">
        <f>Portfolio!B$5*'CurrentFact-N10,20,40,60Unchan'!E261</f>
        <v>52143.895533915893</v>
      </c>
      <c r="G261">
        <f>Portfolio!B$6*'CurrentFact-N10,20,40,60Unchan'!F261</f>
        <v>3696.2945087936532</v>
      </c>
      <c r="H261">
        <f>Portfolio!B$7*'CurrentFact-N10,20,40,60Unchan'!J261</f>
        <v>2064.4550337304254</v>
      </c>
      <c r="I261">
        <f t="shared" si="7"/>
        <v>96505.128553694783</v>
      </c>
    </row>
    <row r="262" spans="1:9">
      <c r="A262" s="1">
        <v>45835</v>
      </c>
      <c r="B262">
        <f>(3/(1+('CurrentFact-N10,20,40,60Unchan'!C262)/100)+103/POWER(1+('CurrentFact-N10,20,40,60Unchan'!D262)/100,2))*100</f>
        <v>9707.5857774288397</v>
      </c>
      <c r="C262">
        <f>(3/(1+('CurrentFact-N10,20,40,60Unchan'!C262+'CurrentFact-N10,20,40,60Unchan'!G262)/100)+103/POWER(1+('CurrentFact-N10,20,40,60Unchan'!D262+'CurrentFact-N10,20,40,60Unchan'!G262)/100,2))*100</f>
        <v>9614.9673582483465</v>
      </c>
      <c r="D262">
        <f>(3/(1+('CurrentFact-N10,20,40,60Unchan'!C262+'CurrentFact-N10,20,40,60Unchan'!H262)/100)+103/POWER(1+('CurrentFact-N10,20,40,60Unchan'!D262+'CurrentFact-N10,20,40,60Unchan'!H262)/100,2))*100</f>
        <v>9601.2395558122898</v>
      </c>
      <c r="E262">
        <f>(3/(1+('CurrentFact-N10,20,40,60Unchan'!C262+'CurrentFact-N10,20,40,60Unchan'!I262)/100)+103/POWER(1+('CurrentFact-N10,20,40,60Unchan'!D262+'CurrentFact-N10,20,40,60Unchan'!I262)/100,2))*100</f>
        <v>9676.6907857653259</v>
      </c>
      <c r="F262">
        <f>Portfolio!B$5*'CurrentFact-N10,20,40,60Unchan'!E262</f>
        <v>52143.895533915893</v>
      </c>
      <c r="G262">
        <f>Portfolio!B$6*'CurrentFact-N10,20,40,60Unchan'!F262</f>
        <v>3696.2945087936532</v>
      </c>
      <c r="H262">
        <f>Portfolio!B$7*'CurrentFact-N10,20,40,60Unchan'!J262</f>
        <v>2064.4550337304254</v>
      </c>
      <c r="I262">
        <f t="shared" si="7"/>
        <v>96505.128553694783</v>
      </c>
    </row>
    <row r="263" spans="1:9">
      <c r="A263" s="1">
        <v>45838</v>
      </c>
      <c r="B263">
        <f>(3/(1+('CurrentFact-N10,20,40,60Unchan'!C263)/100)+103/POWER(1+('CurrentFact-N10,20,40,60Unchan'!D263)/100,2))*100</f>
        <v>9707.5857774288397</v>
      </c>
      <c r="C263">
        <f>(3/(1+('CurrentFact-N10,20,40,60Unchan'!C263+'CurrentFact-N10,20,40,60Unchan'!G263)/100)+103/POWER(1+('CurrentFact-N10,20,40,60Unchan'!D263+'CurrentFact-N10,20,40,60Unchan'!G263)/100,2))*100</f>
        <v>9614.9673582483465</v>
      </c>
      <c r="D263">
        <f>(3/(1+('CurrentFact-N10,20,40,60Unchan'!C263+'CurrentFact-N10,20,40,60Unchan'!H263)/100)+103/POWER(1+('CurrentFact-N10,20,40,60Unchan'!D263+'CurrentFact-N10,20,40,60Unchan'!H263)/100,2))*100</f>
        <v>9601.2395558122898</v>
      </c>
      <c r="E263">
        <f>(3/(1+('CurrentFact-N10,20,40,60Unchan'!C263+'CurrentFact-N10,20,40,60Unchan'!I263)/100)+103/POWER(1+('CurrentFact-N10,20,40,60Unchan'!D263+'CurrentFact-N10,20,40,60Unchan'!I263)/100,2))*100</f>
        <v>9676.6907857653259</v>
      </c>
      <c r="F263">
        <f>Portfolio!B$5*'CurrentFact-N10,20,40,60Unchan'!E263</f>
        <v>52143.895533915893</v>
      </c>
      <c r="G263">
        <f>Portfolio!B$6*'CurrentFact-N10,20,40,60Unchan'!F263</f>
        <v>3696.2945087936532</v>
      </c>
      <c r="H263">
        <f>Portfolio!B$7*'CurrentFact-N10,20,40,60Unchan'!J263</f>
        <v>2064.4550337304254</v>
      </c>
      <c r="I263">
        <f t="shared" si="7"/>
        <v>96505.128553694783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9E5D-E2F0-4EC0-A8E9-F893AA81EA0D}">
  <dimension ref="A1:A501"/>
  <sheetViews>
    <sheetView topLeftCell="A27" workbookViewId="0">
      <selection activeCell="J39" sqref="J39"/>
    </sheetView>
  </sheetViews>
  <sheetFormatPr defaultRowHeight="14.5"/>
  <cols>
    <col min="1" max="1" width="16.1796875" customWidth="1"/>
  </cols>
  <sheetData>
    <row r="1" spans="1:1" ht="23.5">
      <c r="A1" s="2" t="s">
        <v>3</v>
      </c>
    </row>
    <row r="3" spans="1:1" ht="17.5">
      <c r="A3" s="3" t="s">
        <v>4</v>
      </c>
    </row>
    <row r="4" spans="1:1">
      <c r="A4" s="4"/>
    </row>
    <row r="5" spans="1:1">
      <c r="A5" s="5" t="s">
        <v>5</v>
      </c>
    </row>
    <row r="6" spans="1:1">
      <c r="A6" s="5" t="s">
        <v>6</v>
      </c>
    </row>
    <row r="8" spans="1:1" ht="17.5">
      <c r="A8" s="3" t="s">
        <v>7</v>
      </c>
    </row>
    <row r="9" spans="1:1">
      <c r="A9" s="4"/>
    </row>
    <row r="10" spans="1:1">
      <c r="A10" s="4" t="s">
        <v>8</v>
      </c>
    </row>
    <row r="11" spans="1:1">
      <c r="A11" s="4" t="s">
        <v>9</v>
      </c>
    </row>
    <row r="12" spans="1:1">
      <c r="A12" s="4" t="s">
        <v>10</v>
      </c>
    </row>
    <row r="13" spans="1:1">
      <c r="A13" s="4" t="s">
        <v>11</v>
      </c>
    </row>
    <row r="15" spans="1:1" ht="17.5">
      <c r="A15" s="3" t="s">
        <v>12</v>
      </c>
    </row>
    <row r="16" spans="1:1">
      <c r="A16" s="4"/>
    </row>
    <row r="17" spans="1:1">
      <c r="A17" s="4" t="s">
        <v>13</v>
      </c>
    </row>
    <row r="18" spans="1:1">
      <c r="A18" s="4" t="s">
        <v>14</v>
      </c>
    </row>
    <row r="19" spans="1:1">
      <c r="A19" s="4" t="s">
        <v>15</v>
      </c>
    </row>
    <row r="20" spans="1:1">
      <c r="A20" s="6" t="s">
        <v>16</v>
      </c>
    </row>
    <row r="21" spans="1:1">
      <c r="A21" s="6" t="s">
        <v>17</v>
      </c>
    </row>
    <row r="22" spans="1:1">
      <c r="A22" s="6" t="s">
        <v>18</v>
      </c>
    </row>
    <row r="26" spans="1:1" ht="23.5">
      <c r="A26" s="2" t="s">
        <v>19</v>
      </c>
    </row>
    <row r="28" spans="1:1" ht="17.5">
      <c r="A28" s="3" t="s">
        <v>4</v>
      </c>
    </row>
    <row r="29" spans="1:1">
      <c r="A29" s="4"/>
    </row>
    <row r="30" spans="1:1">
      <c r="A30" s="5" t="s">
        <v>20</v>
      </c>
    </row>
    <row r="32" spans="1:1" ht="17.5">
      <c r="A32" s="3" t="s">
        <v>7</v>
      </c>
    </row>
    <row r="33" spans="1:1">
      <c r="A33" s="4"/>
    </row>
    <row r="34" spans="1:1">
      <c r="A34" s="4" t="s">
        <v>21</v>
      </c>
    </row>
    <row r="35" spans="1:1">
      <c r="A35" s="4" t="s">
        <v>22</v>
      </c>
    </row>
    <row r="36" spans="1:1">
      <c r="A36" s="4" t="s">
        <v>23</v>
      </c>
    </row>
    <row r="37" spans="1:1">
      <c r="A37" s="4" t="s">
        <v>24</v>
      </c>
    </row>
    <row r="38" spans="1:1">
      <c r="A38" s="1"/>
    </row>
    <row r="39" spans="1:1">
      <c r="A39" s="1" t="s">
        <v>25</v>
      </c>
    </row>
    <row r="40" spans="1:1">
      <c r="A40" s="1"/>
    </row>
    <row r="41" spans="1:1">
      <c r="A41" s="1" t="s">
        <v>26</v>
      </c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FB39-AAA9-4D5A-A2CE-896AA4D4A686}">
  <dimension ref="A1:A2"/>
  <sheetViews>
    <sheetView workbookViewId="0">
      <selection activeCell="H11" sqref="H11"/>
    </sheetView>
  </sheetViews>
  <sheetFormatPr defaultRowHeight="14.5"/>
  <sheetData>
    <row r="1" spans="1:1">
      <c r="A1" t="s">
        <v>29</v>
      </c>
    </row>
    <row r="2" spans="1:1">
      <c r="A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CurrentPor-All Factor Movements</vt:lpstr>
      <vt:lpstr>CurrentPor-N10Unchanged</vt:lpstr>
      <vt:lpstr>CurrentFact-N10,20Unchanged</vt:lpstr>
      <vt:lpstr>CurrentFact-N10,20,40Unchanged</vt:lpstr>
      <vt:lpstr>CurrentFact-N10,20,40,60Unchan</vt:lpstr>
      <vt:lpstr>Portfolio</vt:lpstr>
      <vt:lpstr>ES, All factor movement</vt:lpstr>
      <vt:lpstr>ES,N10 unchanged</vt:lpstr>
      <vt:lpstr>ES,N10,20 unchanged</vt:lpstr>
      <vt:lpstr>ES,N10,20,40 unchanged</vt:lpstr>
      <vt:lpstr>ES,N10,20,40,60 unchanged</vt:lpstr>
      <vt:lpstr>NMRF</vt:lpstr>
      <vt:lpstr>formulae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Sharma</dc:creator>
  <cp:lastModifiedBy>Office</cp:lastModifiedBy>
  <dcterms:created xsi:type="dcterms:W3CDTF">2025-10-25T09:15:32Z</dcterms:created>
  <dcterms:modified xsi:type="dcterms:W3CDTF">2025-11-08T15:40:02Z</dcterms:modified>
</cp:coreProperties>
</file>