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IMCC\"/>
    </mc:Choice>
  </mc:AlternateContent>
  <xr:revisionPtr revIDLastSave="0" documentId="13_ncr:1_{DB45C0C0-8BD6-4F52-8462-208484EA200B}" xr6:coauthVersionLast="47" xr6:coauthVersionMax="47" xr10:uidLastSave="{00000000-0000-0000-0000-000000000000}"/>
  <bookViews>
    <workbookView xWindow="0" yWindow="360" windowWidth="19420" windowHeight="10300" tabRatio="928" firstSheet="8" activeTab="8" xr2:uid="{DC1F76F4-8BE6-409E-AD1E-84625C47D90D}"/>
  </bookViews>
  <sheets>
    <sheet name="CurrentPor-All Factor Movements" sheetId="4" r:id="rId1"/>
    <sheet name="CurrentPor-N10Unchanged" sheetId="8" r:id="rId2"/>
    <sheet name="CurrentFact-N10,20Unchanged" sheetId="9" r:id="rId3"/>
    <sheet name="CurrentFact-N10,20,40Unchanged" sheetId="10" r:id="rId4"/>
    <sheet name="CurrentFact-N10,20,40,60Unchan" sheetId="11" r:id="rId5"/>
    <sheet name="Portfolio" sheetId="5" r:id="rId6"/>
    <sheet name="ES, All factor movement" sheetId="7" r:id="rId7"/>
    <sheet name="ES,N10 unchanged" sheetId="16" r:id="rId8"/>
    <sheet name="ES,N10,20 unchanged" sheetId="17" r:id="rId9"/>
    <sheet name="ES,N10,20,40 unchanged" sheetId="18" r:id="rId10"/>
    <sheet name="ES,N10,20,40,60 unchanged" sheetId="1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8" l="1"/>
  <c r="J3" i="18"/>
  <c r="B188" i="18"/>
  <c r="C188" i="18"/>
  <c r="D188" i="18"/>
  <c r="H188" i="18" s="1"/>
  <c r="I188" i="18" s="1"/>
  <c r="E188" i="18"/>
  <c r="F188" i="18"/>
  <c r="G188" i="18"/>
  <c r="B189" i="18"/>
  <c r="C189" i="18"/>
  <c r="D189" i="18"/>
  <c r="E189" i="18"/>
  <c r="F189" i="18"/>
  <c r="G189" i="18"/>
  <c r="H189" i="18"/>
  <c r="I189" i="18" s="1"/>
  <c r="B190" i="18"/>
  <c r="C190" i="18"/>
  <c r="D190" i="18"/>
  <c r="H190" i="18" s="1"/>
  <c r="I190" i="18" s="1"/>
  <c r="E190" i="18"/>
  <c r="F190" i="18"/>
  <c r="G190" i="18"/>
  <c r="B191" i="18"/>
  <c r="C191" i="18"/>
  <c r="D191" i="18"/>
  <c r="E191" i="18"/>
  <c r="F191" i="18"/>
  <c r="G191" i="18"/>
  <c r="H191" i="18"/>
  <c r="I191" i="18" s="1"/>
  <c r="B192" i="18"/>
  <c r="C192" i="18"/>
  <c r="D192" i="18"/>
  <c r="H192" i="18" s="1"/>
  <c r="I192" i="18" s="1"/>
  <c r="E192" i="18"/>
  <c r="F192" i="18"/>
  <c r="G192" i="18"/>
  <c r="B193" i="18"/>
  <c r="C193" i="18"/>
  <c r="D193" i="18"/>
  <c r="E193" i="18"/>
  <c r="F193" i="18"/>
  <c r="G193" i="18"/>
  <c r="H193" i="18"/>
  <c r="I193" i="18" s="1"/>
  <c r="B194" i="18"/>
  <c r="C194" i="18"/>
  <c r="D194" i="18"/>
  <c r="H194" i="18" s="1"/>
  <c r="I194" i="18" s="1"/>
  <c r="E194" i="18"/>
  <c r="F194" i="18"/>
  <c r="G194" i="18"/>
  <c r="B195" i="18"/>
  <c r="C195" i="18"/>
  <c r="D195" i="18"/>
  <c r="E195" i="18"/>
  <c r="F195" i="18"/>
  <c r="G195" i="18"/>
  <c r="H195" i="18"/>
  <c r="I195" i="18" s="1"/>
  <c r="B196" i="18"/>
  <c r="C196" i="18"/>
  <c r="D196" i="18"/>
  <c r="H196" i="18" s="1"/>
  <c r="I196" i="18" s="1"/>
  <c r="E196" i="18"/>
  <c r="F196" i="18"/>
  <c r="G196" i="18"/>
  <c r="B197" i="18"/>
  <c r="C197" i="18"/>
  <c r="D197" i="18"/>
  <c r="E197" i="18"/>
  <c r="F197" i="18"/>
  <c r="G197" i="18"/>
  <c r="H197" i="18"/>
  <c r="I197" i="18" s="1"/>
  <c r="B198" i="18"/>
  <c r="C198" i="18"/>
  <c r="D198" i="18"/>
  <c r="H198" i="18" s="1"/>
  <c r="I198" i="18" s="1"/>
  <c r="E198" i="18"/>
  <c r="F198" i="18"/>
  <c r="G198" i="18"/>
  <c r="B199" i="18"/>
  <c r="C199" i="18"/>
  <c r="D199" i="18"/>
  <c r="E199" i="18"/>
  <c r="F199" i="18"/>
  <c r="G199" i="18"/>
  <c r="H199" i="18"/>
  <c r="I199" i="18" s="1"/>
  <c r="B200" i="18"/>
  <c r="C200" i="18"/>
  <c r="D200" i="18"/>
  <c r="H200" i="18" s="1"/>
  <c r="E200" i="18"/>
  <c r="F200" i="18"/>
  <c r="G200" i="18"/>
  <c r="B201" i="18"/>
  <c r="C201" i="18"/>
  <c r="D201" i="18"/>
  <c r="E201" i="18"/>
  <c r="F201" i="18"/>
  <c r="G201" i="18"/>
  <c r="H201" i="18"/>
  <c r="I201" i="18" s="1"/>
  <c r="B202" i="18"/>
  <c r="C202" i="18"/>
  <c r="D202" i="18"/>
  <c r="H202" i="18" s="1"/>
  <c r="I202" i="18" s="1"/>
  <c r="E202" i="18"/>
  <c r="F202" i="18"/>
  <c r="G202" i="18"/>
  <c r="B203" i="18"/>
  <c r="C203" i="18"/>
  <c r="D203" i="18"/>
  <c r="E203" i="18"/>
  <c r="F203" i="18"/>
  <c r="G203" i="18"/>
  <c r="H203" i="18"/>
  <c r="I203" i="18" s="1"/>
  <c r="B204" i="18"/>
  <c r="H204" i="18" s="1"/>
  <c r="I204" i="18" s="1"/>
  <c r="C204" i="18"/>
  <c r="D204" i="18"/>
  <c r="E204" i="18"/>
  <c r="F204" i="18"/>
  <c r="G204" i="18"/>
  <c r="B205" i="18"/>
  <c r="C205" i="18"/>
  <c r="D205" i="18"/>
  <c r="E205" i="18"/>
  <c r="F205" i="18"/>
  <c r="G205" i="18"/>
  <c r="H205" i="18"/>
  <c r="I205" i="18" s="1"/>
  <c r="B206" i="18"/>
  <c r="H206" i="18" s="1"/>
  <c r="I206" i="18" s="1"/>
  <c r="C206" i="18"/>
  <c r="D206" i="18"/>
  <c r="E206" i="18"/>
  <c r="F206" i="18"/>
  <c r="G206" i="18"/>
  <c r="B207" i="18"/>
  <c r="C207" i="18"/>
  <c r="D207" i="18"/>
  <c r="E207" i="18"/>
  <c r="F207" i="18"/>
  <c r="G207" i="18"/>
  <c r="H207" i="18"/>
  <c r="I207" i="18" s="1"/>
  <c r="B208" i="18"/>
  <c r="H208" i="18" s="1"/>
  <c r="C208" i="18"/>
  <c r="D208" i="18"/>
  <c r="E208" i="18"/>
  <c r="F208" i="18"/>
  <c r="G208" i="18"/>
  <c r="B209" i="18"/>
  <c r="C209" i="18"/>
  <c r="D209" i="18"/>
  <c r="E209" i="18"/>
  <c r="F209" i="18"/>
  <c r="G209" i="18"/>
  <c r="H209" i="18"/>
  <c r="I209" i="18" s="1"/>
  <c r="B210" i="18"/>
  <c r="H210" i="18" s="1"/>
  <c r="I210" i="18" s="1"/>
  <c r="C210" i="18"/>
  <c r="D210" i="18"/>
  <c r="E210" i="18"/>
  <c r="F210" i="18"/>
  <c r="G210" i="18"/>
  <c r="B211" i="18"/>
  <c r="C211" i="18"/>
  <c r="D211" i="18"/>
  <c r="E211" i="18"/>
  <c r="F211" i="18"/>
  <c r="G211" i="18"/>
  <c r="H211" i="18"/>
  <c r="I211" i="18" s="1"/>
  <c r="B212" i="18"/>
  <c r="H212" i="18" s="1"/>
  <c r="C212" i="18"/>
  <c r="D212" i="18"/>
  <c r="E212" i="18"/>
  <c r="F212" i="18"/>
  <c r="G212" i="18"/>
  <c r="B213" i="18"/>
  <c r="C213" i="18"/>
  <c r="D213" i="18"/>
  <c r="E213" i="18"/>
  <c r="F213" i="18"/>
  <c r="G213" i="18"/>
  <c r="H213" i="18"/>
  <c r="I213" i="18" s="1"/>
  <c r="B214" i="18"/>
  <c r="H214" i="18" s="1"/>
  <c r="I214" i="18" s="1"/>
  <c r="C214" i="18"/>
  <c r="D214" i="18"/>
  <c r="E214" i="18"/>
  <c r="F214" i="18"/>
  <c r="G214" i="18"/>
  <c r="B215" i="18"/>
  <c r="C215" i="18"/>
  <c r="D215" i="18"/>
  <c r="E215" i="18"/>
  <c r="F215" i="18"/>
  <c r="G215" i="18"/>
  <c r="H215" i="18"/>
  <c r="I215" i="18" s="1"/>
  <c r="B216" i="18"/>
  <c r="H216" i="18" s="1"/>
  <c r="C216" i="18"/>
  <c r="D216" i="18"/>
  <c r="E216" i="18"/>
  <c r="F216" i="18"/>
  <c r="G216" i="18"/>
  <c r="B217" i="18"/>
  <c r="C217" i="18"/>
  <c r="D217" i="18"/>
  <c r="E217" i="18"/>
  <c r="F217" i="18"/>
  <c r="G217" i="18"/>
  <c r="H217" i="18"/>
  <c r="I217" i="18" s="1"/>
  <c r="B218" i="18"/>
  <c r="H218" i="18" s="1"/>
  <c r="I218" i="18" s="1"/>
  <c r="C218" i="18"/>
  <c r="D218" i="18"/>
  <c r="E218" i="18"/>
  <c r="F218" i="18"/>
  <c r="G218" i="18"/>
  <c r="B219" i="18"/>
  <c r="C219" i="18"/>
  <c r="D219" i="18"/>
  <c r="E219" i="18"/>
  <c r="F219" i="18"/>
  <c r="G219" i="18"/>
  <c r="H219" i="18"/>
  <c r="I219" i="18" s="1"/>
  <c r="B220" i="18"/>
  <c r="H220" i="18" s="1"/>
  <c r="C220" i="18"/>
  <c r="D220" i="18"/>
  <c r="E220" i="18"/>
  <c r="F220" i="18"/>
  <c r="G220" i="18"/>
  <c r="B221" i="18"/>
  <c r="C221" i="18"/>
  <c r="D221" i="18"/>
  <c r="E221" i="18"/>
  <c r="F221" i="18"/>
  <c r="G221" i="18"/>
  <c r="H221" i="18"/>
  <c r="I221" i="18" s="1"/>
  <c r="B222" i="18"/>
  <c r="H222" i="18" s="1"/>
  <c r="I222" i="18" s="1"/>
  <c r="C222" i="18"/>
  <c r="D222" i="18"/>
  <c r="E222" i="18"/>
  <c r="F222" i="18"/>
  <c r="G222" i="18"/>
  <c r="B223" i="18"/>
  <c r="C223" i="18"/>
  <c r="D223" i="18"/>
  <c r="E223" i="18"/>
  <c r="F223" i="18"/>
  <c r="G223" i="18"/>
  <c r="H223" i="18"/>
  <c r="I223" i="18" s="1"/>
  <c r="B224" i="18"/>
  <c r="H224" i="18" s="1"/>
  <c r="I224" i="18" s="1"/>
  <c r="C224" i="18"/>
  <c r="D224" i="18"/>
  <c r="E224" i="18"/>
  <c r="F224" i="18"/>
  <c r="G224" i="18"/>
  <c r="B225" i="18"/>
  <c r="C225" i="18"/>
  <c r="D225" i="18"/>
  <c r="E225" i="18"/>
  <c r="F225" i="18"/>
  <c r="G225" i="18"/>
  <c r="H225" i="18"/>
  <c r="I225" i="18" s="1"/>
  <c r="B226" i="18"/>
  <c r="H226" i="18" s="1"/>
  <c r="C226" i="18"/>
  <c r="D226" i="18"/>
  <c r="E226" i="18"/>
  <c r="F226" i="18"/>
  <c r="G226" i="18"/>
  <c r="B227" i="18"/>
  <c r="C227" i="18"/>
  <c r="D227" i="18"/>
  <c r="E227" i="18"/>
  <c r="F227" i="18"/>
  <c r="G227" i="18"/>
  <c r="H227" i="18"/>
  <c r="I227" i="18" s="1"/>
  <c r="B228" i="18"/>
  <c r="H228" i="18" s="1"/>
  <c r="I228" i="18" s="1"/>
  <c r="C228" i="18"/>
  <c r="D228" i="18"/>
  <c r="E228" i="18"/>
  <c r="F228" i="18"/>
  <c r="G228" i="18"/>
  <c r="B229" i="18"/>
  <c r="C229" i="18"/>
  <c r="D229" i="18"/>
  <c r="E229" i="18"/>
  <c r="F229" i="18"/>
  <c r="G229" i="18"/>
  <c r="H229" i="18"/>
  <c r="I229" i="18" s="1"/>
  <c r="B230" i="18"/>
  <c r="H230" i="18" s="1"/>
  <c r="I230" i="18" s="1"/>
  <c r="C230" i="18"/>
  <c r="D230" i="18"/>
  <c r="E230" i="18"/>
  <c r="F230" i="18"/>
  <c r="G230" i="18"/>
  <c r="B231" i="18"/>
  <c r="C231" i="18"/>
  <c r="D231" i="18"/>
  <c r="E231" i="18"/>
  <c r="F231" i="18"/>
  <c r="G231" i="18"/>
  <c r="H231" i="18"/>
  <c r="I231" i="18" s="1"/>
  <c r="B232" i="18"/>
  <c r="H232" i="18" s="1"/>
  <c r="C232" i="18"/>
  <c r="D232" i="18"/>
  <c r="E232" i="18"/>
  <c r="F232" i="18"/>
  <c r="G232" i="18"/>
  <c r="B233" i="18"/>
  <c r="C233" i="18"/>
  <c r="D233" i="18"/>
  <c r="E233" i="18"/>
  <c r="F233" i="18"/>
  <c r="G233" i="18"/>
  <c r="H233" i="18"/>
  <c r="I233" i="18" s="1"/>
  <c r="B234" i="18"/>
  <c r="H234" i="18" s="1"/>
  <c r="I234" i="18" s="1"/>
  <c r="C234" i="18"/>
  <c r="D234" i="18"/>
  <c r="E234" i="18"/>
  <c r="F234" i="18"/>
  <c r="G234" i="18"/>
  <c r="B235" i="18"/>
  <c r="C235" i="18"/>
  <c r="D235" i="18"/>
  <c r="E235" i="18"/>
  <c r="F235" i="18"/>
  <c r="G235" i="18"/>
  <c r="H235" i="18"/>
  <c r="I235" i="18" s="1"/>
  <c r="B236" i="18"/>
  <c r="H236" i="18" s="1"/>
  <c r="I236" i="18" s="1"/>
  <c r="C236" i="18"/>
  <c r="D236" i="18"/>
  <c r="E236" i="18"/>
  <c r="F236" i="18"/>
  <c r="G236" i="18"/>
  <c r="B237" i="18"/>
  <c r="C237" i="18"/>
  <c r="D237" i="18"/>
  <c r="E237" i="18"/>
  <c r="F237" i="18"/>
  <c r="G237" i="18"/>
  <c r="H237" i="18"/>
  <c r="I237" i="18" s="1"/>
  <c r="B238" i="18"/>
  <c r="H238" i="18" s="1"/>
  <c r="I238" i="18" s="1"/>
  <c r="C238" i="18"/>
  <c r="D238" i="18"/>
  <c r="E238" i="18"/>
  <c r="F238" i="18"/>
  <c r="G238" i="18"/>
  <c r="B239" i="18"/>
  <c r="C239" i="18"/>
  <c r="D239" i="18"/>
  <c r="E239" i="18"/>
  <c r="F239" i="18"/>
  <c r="G239" i="18"/>
  <c r="H239" i="18"/>
  <c r="I239" i="18" s="1"/>
  <c r="B240" i="18"/>
  <c r="H240" i="18" s="1"/>
  <c r="I240" i="18" s="1"/>
  <c r="C240" i="18"/>
  <c r="D240" i="18"/>
  <c r="E240" i="18"/>
  <c r="F240" i="18"/>
  <c r="G240" i="18"/>
  <c r="B241" i="18"/>
  <c r="C241" i="18"/>
  <c r="D241" i="18"/>
  <c r="E241" i="18"/>
  <c r="F241" i="18"/>
  <c r="G241" i="18"/>
  <c r="H241" i="18"/>
  <c r="I241" i="18" s="1"/>
  <c r="B242" i="18"/>
  <c r="H242" i="18" s="1"/>
  <c r="I242" i="18" s="1"/>
  <c r="C242" i="18"/>
  <c r="D242" i="18"/>
  <c r="E242" i="18"/>
  <c r="F242" i="18"/>
  <c r="G242" i="18"/>
  <c r="B243" i="18"/>
  <c r="C243" i="18"/>
  <c r="D243" i="18"/>
  <c r="E243" i="18"/>
  <c r="F243" i="18"/>
  <c r="G243" i="18"/>
  <c r="H243" i="18"/>
  <c r="I243" i="18" s="1"/>
  <c r="B244" i="18"/>
  <c r="H244" i="18" s="1"/>
  <c r="I244" i="18" s="1"/>
  <c r="C244" i="18"/>
  <c r="D244" i="18"/>
  <c r="E244" i="18"/>
  <c r="F244" i="18"/>
  <c r="G244" i="18"/>
  <c r="B245" i="18"/>
  <c r="C245" i="18"/>
  <c r="D245" i="18"/>
  <c r="E245" i="18"/>
  <c r="F245" i="18"/>
  <c r="G245" i="18"/>
  <c r="H245" i="18"/>
  <c r="I245" i="18" s="1"/>
  <c r="B246" i="18"/>
  <c r="H246" i="18" s="1"/>
  <c r="I246" i="18" s="1"/>
  <c r="C246" i="18"/>
  <c r="D246" i="18"/>
  <c r="E246" i="18"/>
  <c r="F246" i="18"/>
  <c r="G246" i="18"/>
  <c r="B247" i="18"/>
  <c r="C247" i="18"/>
  <c r="D247" i="18"/>
  <c r="E247" i="18"/>
  <c r="F247" i="18"/>
  <c r="G247" i="18"/>
  <c r="H247" i="18"/>
  <c r="I247" i="18" s="1"/>
  <c r="B248" i="18"/>
  <c r="H248" i="18" s="1"/>
  <c r="C248" i="18"/>
  <c r="D248" i="18"/>
  <c r="E248" i="18"/>
  <c r="F248" i="18"/>
  <c r="G248" i="18"/>
  <c r="B249" i="18"/>
  <c r="C249" i="18"/>
  <c r="D249" i="18"/>
  <c r="E249" i="18"/>
  <c r="F249" i="18"/>
  <c r="G249" i="18"/>
  <c r="H249" i="18"/>
  <c r="I249" i="18" s="1"/>
  <c r="B250" i="18"/>
  <c r="H250" i="18" s="1"/>
  <c r="I250" i="18" s="1"/>
  <c r="C250" i="18"/>
  <c r="D250" i="18"/>
  <c r="E250" i="18"/>
  <c r="F250" i="18"/>
  <c r="G250" i="18"/>
  <c r="B251" i="18"/>
  <c r="C251" i="18"/>
  <c r="D251" i="18"/>
  <c r="E251" i="18"/>
  <c r="F251" i="18"/>
  <c r="G251" i="18"/>
  <c r="H251" i="18"/>
  <c r="I251" i="18" s="1"/>
  <c r="B252" i="18"/>
  <c r="H252" i="18" s="1"/>
  <c r="C252" i="18"/>
  <c r="D252" i="18"/>
  <c r="E252" i="18"/>
  <c r="F252" i="18"/>
  <c r="G252" i="18"/>
  <c r="B253" i="18"/>
  <c r="C253" i="18"/>
  <c r="D253" i="18"/>
  <c r="E253" i="18"/>
  <c r="F253" i="18"/>
  <c r="G253" i="18"/>
  <c r="H253" i="18"/>
  <c r="I253" i="18" s="1"/>
  <c r="B254" i="18"/>
  <c r="H254" i="18" s="1"/>
  <c r="I254" i="18" s="1"/>
  <c r="C254" i="18"/>
  <c r="D254" i="18"/>
  <c r="E254" i="18"/>
  <c r="F254" i="18"/>
  <c r="G254" i="18"/>
  <c r="B255" i="18"/>
  <c r="C255" i="18"/>
  <c r="D255" i="18"/>
  <c r="E255" i="18"/>
  <c r="F255" i="18"/>
  <c r="G255" i="18"/>
  <c r="H255" i="18"/>
  <c r="I255" i="18" s="1"/>
  <c r="B256" i="18"/>
  <c r="H256" i="18" s="1"/>
  <c r="I256" i="18" s="1"/>
  <c r="C256" i="18"/>
  <c r="D256" i="18"/>
  <c r="E256" i="18"/>
  <c r="F256" i="18"/>
  <c r="G256" i="18"/>
  <c r="B257" i="18"/>
  <c r="C257" i="18"/>
  <c r="D257" i="18"/>
  <c r="E257" i="18"/>
  <c r="F257" i="18"/>
  <c r="G257" i="18"/>
  <c r="H257" i="18"/>
  <c r="I257" i="18" s="1"/>
  <c r="B258" i="18"/>
  <c r="H258" i="18" s="1"/>
  <c r="C258" i="18"/>
  <c r="D258" i="18"/>
  <c r="E258" i="18"/>
  <c r="F258" i="18"/>
  <c r="G258" i="18"/>
  <c r="B259" i="18"/>
  <c r="C259" i="18"/>
  <c r="D259" i="18"/>
  <c r="E259" i="18"/>
  <c r="F259" i="18"/>
  <c r="G259" i="18"/>
  <c r="H259" i="18"/>
  <c r="I259" i="18" s="1"/>
  <c r="B260" i="18"/>
  <c r="H260" i="18" s="1"/>
  <c r="I260" i="18" s="1"/>
  <c r="C260" i="18"/>
  <c r="D260" i="18"/>
  <c r="E260" i="18"/>
  <c r="F260" i="18"/>
  <c r="G260" i="18"/>
  <c r="B261" i="18"/>
  <c r="C261" i="18"/>
  <c r="D261" i="18"/>
  <c r="E261" i="18"/>
  <c r="F261" i="18"/>
  <c r="G261" i="18"/>
  <c r="H261" i="18"/>
  <c r="I261" i="18" s="1"/>
  <c r="B262" i="18"/>
  <c r="H262" i="18" s="1"/>
  <c r="I262" i="18" s="1"/>
  <c r="C262" i="18"/>
  <c r="D262" i="18"/>
  <c r="E262" i="18"/>
  <c r="F262" i="18"/>
  <c r="G262" i="18"/>
  <c r="B263" i="18"/>
  <c r="C263" i="18"/>
  <c r="D263" i="18"/>
  <c r="E263" i="18"/>
  <c r="F263" i="18"/>
  <c r="G263" i="18"/>
  <c r="H263" i="18"/>
  <c r="I263" i="18" s="1"/>
  <c r="B188" i="17"/>
  <c r="C188" i="17"/>
  <c r="D188" i="17"/>
  <c r="H188" i="17" s="1"/>
  <c r="E188" i="17"/>
  <c r="F188" i="17"/>
  <c r="G188" i="17"/>
  <c r="B189" i="17"/>
  <c r="C189" i="17"/>
  <c r="D189" i="17"/>
  <c r="E189" i="17"/>
  <c r="F189" i="17"/>
  <c r="G189" i="17"/>
  <c r="H189" i="17"/>
  <c r="B190" i="17"/>
  <c r="C190" i="17"/>
  <c r="D190" i="17"/>
  <c r="E190" i="17"/>
  <c r="F190" i="17"/>
  <c r="G190" i="17"/>
  <c r="B191" i="17"/>
  <c r="C191" i="17"/>
  <c r="D191" i="17"/>
  <c r="E191" i="17"/>
  <c r="F191" i="17"/>
  <c r="H191" i="17" s="1"/>
  <c r="G191" i="17"/>
  <c r="B192" i="17"/>
  <c r="C192" i="17"/>
  <c r="D192" i="17"/>
  <c r="H192" i="17" s="1"/>
  <c r="E192" i="17"/>
  <c r="F192" i="17"/>
  <c r="G192" i="17"/>
  <c r="B193" i="17"/>
  <c r="C193" i="17"/>
  <c r="D193" i="17"/>
  <c r="E193" i="17"/>
  <c r="F193" i="17"/>
  <c r="G193" i="17"/>
  <c r="H193" i="17"/>
  <c r="B194" i="17"/>
  <c r="C194" i="17"/>
  <c r="D194" i="17"/>
  <c r="E194" i="17"/>
  <c r="F194" i="17"/>
  <c r="G194" i="17"/>
  <c r="B195" i="17"/>
  <c r="C195" i="17"/>
  <c r="D195" i="17"/>
  <c r="H195" i="17" s="1"/>
  <c r="E195" i="17"/>
  <c r="F195" i="17"/>
  <c r="G195" i="17"/>
  <c r="B196" i="17"/>
  <c r="C196" i="17"/>
  <c r="D196" i="17"/>
  <c r="E196" i="17"/>
  <c r="F196" i="17"/>
  <c r="G196" i="17"/>
  <c r="B197" i="17"/>
  <c r="H197" i="17" s="1"/>
  <c r="C197" i="17"/>
  <c r="D197" i="17"/>
  <c r="E197" i="17"/>
  <c r="F197" i="17"/>
  <c r="G197" i="17"/>
  <c r="B198" i="17"/>
  <c r="C198" i="17"/>
  <c r="D198" i="17"/>
  <c r="E198" i="17"/>
  <c r="F198" i="17"/>
  <c r="G198" i="17"/>
  <c r="B199" i="17"/>
  <c r="H199" i="17" s="1"/>
  <c r="I199" i="17" s="1"/>
  <c r="C199" i="17"/>
  <c r="D199" i="17"/>
  <c r="E199" i="17"/>
  <c r="F199" i="17"/>
  <c r="G199" i="17"/>
  <c r="B200" i="17"/>
  <c r="C200" i="17"/>
  <c r="D200" i="17"/>
  <c r="E200" i="17"/>
  <c r="F200" i="17"/>
  <c r="G200" i="17"/>
  <c r="B201" i="17"/>
  <c r="C201" i="17"/>
  <c r="D201" i="17"/>
  <c r="E201" i="17"/>
  <c r="F201" i="17"/>
  <c r="G201" i="17"/>
  <c r="H201" i="17"/>
  <c r="B202" i="17"/>
  <c r="C202" i="17"/>
  <c r="D202" i="17"/>
  <c r="E202" i="17"/>
  <c r="F202" i="17"/>
  <c r="G202" i="17"/>
  <c r="B203" i="17"/>
  <c r="C203" i="17"/>
  <c r="D203" i="17"/>
  <c r="E203" i="17"/>
  <c r="F203" i="17"/>
  <c r="G203" i="17"/>
  <c r="H203" i="17"/>
  <c r="I203" i="17" s="1"/>
  <c r="B204" i="17"/>
  <c r="C204" i="17"/>
  <c r="D204" i="17"/>
  <c r="E204" i="17"/>
  <c r="F204" i="17"/>
  <c r="G204" i="17"/>
  <c r="B205" i="17"/>
  <c r="C205" i="17"/>
  <c r="H205" i="17" s="1"/>
  <c r="I205" i="17" s="1"/>
  <c r="D205" i="17"/>
  <c r="E205" i="17"/>
  <c r="F205" i="17"/>
  <c r="G205" i="17"/>
  <c r="B206" i="17"/>
  <c r="C206" i="17"/>
  <c r="D206" i="17"/>
  <c r="E206" i="17"/>
  <c r="F206" i="17"/>
  <c r="G206" i="17"/>
  <c r="B207" i="17"/>
  <c r="H207" i="17" s="1"/>
  <c r="C207" i="17"/>
  <c r="D207" i="17"/>
  <c r="E207" i="17"/>
  <c r="F207" i="17"/>
  <c r="G207" i="17"/>
  <c r="B208" i="17"/>
  <c r="C208" i="17"/>
  <c r="D208" i="17"/>
  <c r="E208" i="17"/>
  <c r="F208" i="17"/>
  <c r="G208" i="17"/>
  <c r="B209" i="17"/>
  <c r="H209" i="17" s="1"/>
  <c r="C209" i="17"/>
  <c r="D209" i="17"/>
  <c r="E209" i="17"/>
  <c r="F209" i="17"/>
  <c r="G209" i="17"/>
  <c r="B210" i="17"/>
  <c r="C210" i="17"/>
  <c r="D210" i="17"/>
  <c r="E210" i="17"/>
  <c r="F210" i="17"/>
  <c r="G210" i="17"/>
  <c r="B211" i="17"/>
  <c r="C211" i="17"/>
  <c r="D211" i="17"/>
  <c r="E211" i="17"/>
  <c r="F211" i="17"/>
  <c r="G211" i="17"/>
  <c r="H211" i="17"/>
  <c r="I211" i="17" s="1"/>
  <c r="B212" i="17"/>
  <c r="H212" i="17" s="1"/>
  <c r="C212" i="17"/>
  <c r="D212" i="17"/>
  <c r="E212" i="17"/>
  <c r="F212" i="17"/>
  <c r="G212" i="17"/>
  <c r="B213" i="17"/>
  <c r="H213" i="17" s="1"/>
  <c r="I213" i="17" s="1"/>
  <c r="C213" i="17"/>
  <c r="D213" i="17"/>
  <c r="E213" i="17"/>
  <c r="F213" i="17"/>
  <c r="G213" i="17"/>
  <c r="B214" i="17"/>
  <c r="C214" i="17"/>
  <c r="D214" i="17"/>
  <c r="E214" i="17"/>
  <c r="F214" i="17"/>
  <c r="G214" i="17"/>
  <c r="B215" i="17"/>
  <c r="H215" i="17" s="1"/>
  <c r="C215" i="17"/>
  <c r="D215" i="17"/>
  <c r="E215" i="17"/>
  <c r="F215" i="17"/>
  <c r="G215" i="17"/>
  <c r="B216" i="17"/>
  <c r="C216" i="17"/>
  <c r="D216" i="17"/>
  <c r="E216" i="17"/>
  <c r="F216" i="17"/>
  <c r="G216" i="17"/>
  <c r="B217" i="17"/>
  <c r="H217" i="17" s="1"/>
  <c r="C217" i="17"/>
  <c r="D217" i="17"/>
  <c r="E217" i="17"/>
  <c r="F217" i="17"/>
  <c r="G217" i="17"/>
  <c r="B218" i="17"/>
  <c r="C218" i="17"/>
  <c r="D218" i="17"/>
  <c r="E218" i="17"/>
  <c r="F218" i="17"/>
  <c r="G218" i="17"/>
  <c r="B219" i="17"/>
  <c r="H219" i="17" s="1"/>
  <c r="C219" i="17"/>
  <c r="D219" i="17"/>
  <c r="E219" i="17"/>
  <c r="F219" i="17"/>
  <c r="G219" i="17"/>
  <c r="B220" i="17"/>
  <c r="C220" i="17"/>
  <c r="D220" i="17"/>
  <c r="E220" i="17"/>
  <c r="F220" i="17"/>
  <c r="G220" i="17"/>
  <c r="B221" i="17"/>
  <c r="C221" i="17"/>
  <c r="D221" i="17"/>
  <c r="E221" i="17"/>
  <c r="F221" i="17"/>
  <c r="G221" i="17"/>
  <c r="H221" i="17"/>
  <c r="I221" i="17" s="1"/>
  <c r="B222" i="17"/>
  <c r="C222" i="17"/>
  <c r="D222" i="17"/>
  <c r="E222" i="17"/>
  <c r="F222" i="17"/>
  <c r="G222" i="17"/>
  <c r="B223" i="17"/>
  <c r="C223" i="17"/>
  <c r="D223" i="17"/>
  <c r="E223" i="17"/>
  <c r="F223" i="17"/>
  <c r="H223" i="17" s="1"/>
  <c r="G223" i="17"/>
  <c r="B224" i="17"/>
  <c r="C224" i="17"/>
  <c r="D224" i="17"/>
  <c r="E224" i="17"/>
  <c r="F224" i="17"/>
  <c r="G224" i="17"/>
  <c r="B225" i="17"/>
  <c r="C225" i="17"/>
  <c r="D225" i="17"/>
  <c r="E225" i="17"/>
  <c r="F225" i="17"/>
  <c r="G225" i="17"/>
  <c r="H225" i="17"/>
  <c r="B226" i="17"/>
  <c r="C226" i="17"/>
  <c r="D226" i="17"/>
  <c r="E226" i="17"/>
  <c r="F226" i="17"/>
  <c r="G226" i="17"/>
  <c r="B227" i="17"/>
  <c r="C227" i="17"/>
  <c r="D227" i="17"/>
  <c r="E227" i="17"/>
  <c r="H227" i="17" s="1"/>
  <c r="I227" i="17" s="1"/>
  <c r="F227" i="17"/>
  <c r="G227" i="17"/>
  <c r="B228" i="17"/>
  <c r="C228" i="17"/>
  <c r="D228" i="17"/>
  <c r="E228" i="17"/>
  <c r="F228" i="17"/>
  <c r="G228" i="17"/>
  <c r="B229" i="17"/>
  <c r="H229" i="17" s="1"/>
  <c r="I229" i="17" s="1"/>
  <c r="C229" i="17"/>
  <c r="D229" i="17"/>
  <c r="E229" i="17"/>
  <c r="F229" i="17"/>
  <c r="G229" i="17"/>
  <c r="B230" i="17"/>
  <c r="C230" i="17"/>
  <c r="D230" i="17"/>
  <c r="E230" i="17"/>
  <c r="F230" i="17"/>
  <c r="G230" i="17"/>
  <c r="B231" i="17"/>
  <c r="H231" i="17" s="1"/>
  <c r="I231" i="17" s="1"/>
  <c r="C231" i="17"/>
  <c r="D231" i="17"/>
  <c r="E231" i="17"/>
  <c r="F231" i="17"/>
  <c r="G231" i="17"/>
  <c r="B232" i="17"/>
  <c r="C232" i="17"/>
  <c r="D232" i="17"/>
  <c r="E232" i="17"/>
  <c r="F232" i="17"/>
  <c r="G232" i="17"/>
  <c r="B233" i="17"/>
  <c r="C233" i="17"/>
  <c r="D233" i="17"/>
  <c r="E233" i="17"/>
  <c r="F233" i="17"/>
  <c r="G233" i="17"/>
  <c r="H233" i="17"/>
  <c r="B234" i="17"/>
  <c r="C234" i="17"/>
  <c r="D234" i="17"/>
  <c r="E234" i="17"/>
  <c r="F234" i="17"/>
  <c r="G234" i="17"/>
  <c r="B235" i="17"/>
  <c r="C235" i="17"/>
  <c r="D235" i="17"/>
  <c r="E235" i="17"/>
  <c r="F235" i="17"/>
  <c r="G235" i="17"/>
  <c r="H235" i="17"/>
  <c r="I235" i="17" s="1"/>
  <c r="B236" i="17"/>
  <c r="C236" i="17"/>
  <c r="D236" i="17"/>
  <c r="E236" i="17"/>
  <c r="F236" i="17"/>
  <c r="G236" i="17"/>
  <c r="B237" i="17"/>
  <c r="C237" i="17"/>
  <c r="D237" i="17"/>
  <c r="E237" i="17"/>
  <c r="H237" i="17" s="1"/>
  <c r="F237" i="17"/>
  <c r="G237" i="17"/>
  <c r="B238" i="17"/>
  <c r="C238" i="17"/>
  <c r="D238" i="17"/>
  <c r="E238" i="17"/>
  <c r="F238" i="17"/>
  <c r="G238" i="17"/>
  <c r="B239" i="17"/>
  <c r="H239" i="17" s="1"/>
  <c r="I239" i="17" s="1"/>
  <c r="C239" i="17"/>
  <c r="D239" i="17"/>
  <c r="E239" i="17"/>
  <c r="F239" i="17"/>
  <c r="G239" i="17"/>
  <c r="B240" i="17"/>
  <c r="C240" i="17"/>
  <c r="D240" i="17"/>
  <c r="E240" i="17"/>
  <c r="F240" i="17"/>
  <c r="G240" i="17"/>
  <c r="B241" i="17"/>
  <c r="C241" i="17"/>
  <c r="H241" i="17" s="1"/>
  <c r="D241" i="17"/>
  <c r="E241" i="17"/>
  <c r="F241" i="17"/>
  <c r="G241" i="17"/>
  <c r="B242" i="17"/>
  <c r="C242" i="17"/>
  <c r="D242" i="17"/>
  <c r="E242" i="17"/>
  <c r="F242" i="17"/>
  <c r="G242" i="17"/>
  <c r="B243" i="17"/>
  <c r="C243" i="17"/>
  <c r="D243" i="17"/>
  <c r="E243" i="17"/>
  <c r="F243" i="17"/>
  <c r="G243" i="17"/>
  <c r="H243" i="17"/>
  <c r="I243" i="17" s="1"/>
  <c r="B244" i="17"/>
  <c r="H244" i="17" s="1"/>
  <c r="C244" i="17"/>
  <c r="D244" i="17"/>
  <c r="E244" i="17"/>
  <c r="F244" i="17"/>
  <c r="G244" i="17"/>
  <c r="B245" i="17"/>
  <c r="H245" i="17" s="1"/>
  <c r="I245" i="17" s="1"/>
  <c r="C245" i="17"/>
  <c r="D245" i="17"/>
  <c r="E245" i="17"/>
  <c r="F245" i="17"/>
  <c r="G245" i="17"/>
  <c r="B246" i="17"/>
  <c r="C246" i="17"/>
  <c r="D246" i="17"/>
  <c r="E246" i="17"/>
  <c r="F246" i="17"/>
  <c r="G246" i="17"/>
  <c r="B247" i="17"/>
  <c r="H247" i="17" s="1"/>
  <c r="I247" i="17" s="1"/>
  <c r="C247" i="17"/>
  <c r="D247" i="17"/>
  <c r="E247" i="17"/>
  <c r="F247" i="17"/>
  <c r="G247" i="17"/>
  <c r="B248" i="17"/>
  <c r="C248" i="17"/>
  <c r="D248" i="17"/>
  <c r="E248" i="17"/>
  <c r="F248" i="17"/>
  <c r="G248" i="17"/>
  <c r="B249" i="17"/>
  <c r="H249" i="17" s="1"/>
  <c r="C249" i="17"/>
  <c r="D249" i="17"/>
  <c r="E249" i="17"/>
  <c r="F249" i="17"/>
  <c r="G249" i="17"/>
  <c r="B250" i="17"/>
  <c r="C250" i="17"/>
  <c r="D250" i="17"/>
  <c r="E250" i="17"/>
  <c r="F250" i="17"/>
  <c r="G250" i="17"/>
  <c r="B251" i="17"/>
  <c r="H251" i="17" s="1"/>
  <c r="C251" i="17"/>
  <c r="D251" i="17"/>
  <c r="E251" i="17"/>
  <c r="F251" i="17"/>
  <c r="G251" i="17"/>
  <c r="B252" i="17"/>
  <c r="C252" i="17"/>
  <c r="D252" i="17"/>
  <c r="E252" i="17"/>
  <c r="F252" i="17"/>
  <c r="G252" i="17"/>
  <c r="B253" i="17"/>
  <c r="C253" i="17"/>
  <c r="D253" i="17"/>
  <c r="E253" i="17"/>
  <c r="F253" i="17"/>
  <c r="G253" i="17"/>
  <c r="H253" i="17"/>
  <c r="I253" i="17" s="1"/>
  <c r="B254" i="17"/>
  <c r="C254" i="17"/>
  <c r="D254" i="17"/>
  <c r="E254" i="17"/>
  <c r="F254" i="17"/>
  <c r="G254" i="17"/>
  <c r="B255" i="17"/>
  <c r="C255" i="17"/>
  <c r="D255" i="17"/>
  <c r="E255" i="17"/>
  <c r="F255" i="17"/>
  <c r="H255" i="17" s="1"/>
  <c r="I255" i="17" s="1"/>
  <c r="G255" i="17"/>
  <c r="B256" i="17"/>
  <c r="C256" i="17"/>
  <c r="D256" i="17"/>
  <c r="E256" i="17"/>
  <c r="F256" i="17"/>
  <c r="G256" i="17"/>
  <c r="B257" i="17"/>
  <c r="C257" i="17"/>
  <c r="D257" i="17"/>
  <c r="E257" i="17"/>
  <c r="F257" i="17"/>
  <c r="G257" i="17"/>
  <c r="H257" i="17"/>
  <c r="B258" i="17"/>
  <c r="C258" i="17"/>
  <c r="D258" i="17"/>
  <c r="E258" i="17"/>
  <c r="F258" i="17"/>
  <c r="G258" i="17"/>
  <c r="B259" i="17"/>
  <c r="H259" i="17" s="1"/>
  <c r="C259" i="17"/>
  <c r="D259" i="17"/>
  <c r="E259" i="17"/>
  <c r="F259" i="17"/>
  <c r="G259" i="17"/>
  <c r="B260" i="17"/>
  <c r="C260" i="17"/>
  <c r="D260" i="17"/>
  <c r="E260" i="17"/>
  <c r="F260" i="17"/>
  <c r="G260" i="17"/>
  <c r="B261" i="17"/>
  <c r="H261" i="17" s="1"/>
  <c r="C261" i="17"/>
  <c r="D261" i="17"/>
  <c r="E261" i="17"/>
  <c r="F261" i="17"/>
  <c r="G261" i="17"/>
  <c r="B262" i="17"/>
  <c r="C262" i="17"/>
  <c r="D262" i="17"/>
  <c r="E262" i="17"/>
  <c r="F262" i="17"/>
  <c r="G262" i="17"/>
  <c r="B263" i="17"/>
  <c r="H263" i="17" s="1"/>
  <c r="I263" i="17" s="1"/>
  <c r="C263" i="17"/>
  <c r="D263" i="17"/>
  <c r="E263" i="17"/>
  <c r="F263" i="17"/>
  <c r="G263" i="17"/>
  <c r="B188" i="16"/>
  <c r="H188" i="16" s="1"/>
  <c r="C188" i="16"/>
  <c r="D188" i="16"/>
  <c r="E188" i="16"/>
  <c r="F188" i="16"/>
  <c r="G188" i="16"/>
  <c r="B189" i="16"/>
  <c r="H189" i="16" s="1"/>
  <c r="C189" i="16"/>
  <c r="D189" i="16"/>
  <c r="E189" i="16"/>
  <c r="F189" i="16"/>
  <c r="G189" i="16"/>
  <c r="B190" i="16"/>
  <c r="H190" i="16" s="1"/>
  <c r="C190" i="16"/>
  <c r="D190" i="16"/>
  <c r="E190" i="16"/>
  <c r="F190" i="16"/>
  <c r="G190" i="16"/>
  <c r="B191" i="16"/>
  <c r="H191" i="16" s="1"/>
  <c r="C191" i="16"/>
  <c r="D191" i="16"/>
  <c r="E191" i="16"/>
  <c r="F191" i="16"/>
  <c r="G191" i="16"/>
  <c r="B192" i="16"/>
  <c r="H192" i="16" s="1"/>
  <c r="C192" i="16"/>
  <c r="D192" i="16"/>
  <c r="E192" i="16"/>
  <c r="F192" i="16"/>
  <c r="G192" i="16"/>
  <c r="B193" i="16"/>
  <c r="C193" i="16"/>
  <c r="D193" i="16"/>
  <c r="E193" i="16"/>
  <c r="F193" i="16"/>
  <c r="G193" i="16"/>
  <c r="H193" i="16"/>
  <c r="B194" i="16"/>
  <c r="C194" i="16"/>
  <c r="H194" i="16" s="1"/>
  <c r="D194" i="16"/>
  <c r="E194" i="16"/>
  <c r="F194" i="16"/>
  <c r="G194" i="16"/>
  <c r="B195" i="16"/>
  <c r="C195" i="16"/>
  <c r="H195" i="16" s="1"/>
  <c r="D195" i="16"/>
  <c r="E195" i="16"/>
  <c r="F195" i="16"/>
  <c r="G195" i="16"/>
  <c r="B196" i="16"/>
  <c r="H196" i="16" s="1"/>
  <c r="C196" i="16"/>
  <c r="D196" i="16"/>
  <c r="E196" i="16"/>
  <c r="F196" i="16"/>
  <c r="G196" i="16"/>
  <c r="B197" i="16"/>
  <c r="H197" i="16" s="1"/>
  <c r="C197" i="16"/>
  <c r="D197" i="16"/>
  <c r="E197" i="16"/>
  <c r="F197" i="16"/>
  <c r="G197" i="16"/>
  <c r="B198" i="16"/>
  <c r="H198" i="16" s="1"/>
  <c r="I198" i="16" s="1"/>
  <c r="C198" i="16"/>
  <c r="D198" i="16"/>
  <c r="E198" i="16"/>
  <c r="F198" i="16"/>
  <c r="G198" i="16"/>
  <c r="B199" i="16"/>
  <c r="H199" i="16" s="1"/>
  <c r="I199" i="16" s="1"/>
  <c r="C199" i="16"/>
  <c r="D199" i="16"/>
  <c r="E199" i="16"/>
  <c r="F199" i="16"/>
  <c r="G199" i="16"/>
  <c r="B200" i="16"/>
  <c r="C200" i="16"/>
  <c r="D200" i="16"/>
  <c r="H200" i="16" s="1"/>
  <c r="I200" i="16" s="1"/>
  <c r="E200" i="16"/>
  <c r="F200" i="16"/>
  <c r="G200" i="16"/>
  <c r="B201" i="16"/>
  <c r="C201" i="16"/>
  <c r="H201" i="16" s="1"/>
  <c r="D201" i="16"/>
  <c r="E201" i="16"/>
  <c r="F201" i="16"/>
  <c r="G201" i="16"/>
  <c r="B202" i="16"/>
  <c r="C202" i="16"/>
  <c r="D202" i="16"/>
  <c r="E202" i="16"/>
  <c r="H202" i="16" s="1"/>
  <c r="I202" i="16" s="1"/>
  <c r="F202" i="16"/>
  <c r="G202" i="16"/>
  <c r="B203" i="16"/>
  <c r="C203" i="16"/>
  <c r="D203" i="16"/>
  <c r="E203" i="16"/>
  <c r="F203" i="16"/>
  <c r="G203" i="16"/>
  <c r="H203" i="16"/>
  <c r="B204" i="16"/>
  <c r="C204" i="16"/>
  <c r="D204" i="16"/>
  <c r="E204" i="16"/>
  <c r="F204" i="16"/>
  <c r="G204" i="16"/>
  <c r="B205" i="16"/>
  <c r="H205" i="16" s="1"/>
  <c r="I205" i="16" s="1"/>
  <c r="C205" i="16"/>
  <c r="D205" i="16"/>
  <c r="E205" i="16"/>
  <c r="F205" i="16"/>
  <c r="G205" i="16"/>
  <c r="B206" i="16"/>
  <c r="C206" i="16"/>
  <c r="D206" i="16"/>
  <c r="E206" i="16"/>
  <c r="F206" i="16"/>
  <c r="G206" i="16"/>
  <c r="B207" i="16"/>
  <c r="H207" i="16" s="1"/>
  <c r="C207" i="16"/>
  <c r="D207" i="16"/>
  <c r="E207" i="16"/>
  <c r="F207" i="16"/>
  <c r="G207" i="16"/>
  <c r="B208" i="16"/>
  <c r="C208" i="16"/>
  <c r="D208" i="16"/>
  <c r="E208" i="16"/>
  <c r="F208" i="16"/>
  <c r="G208" i="16"/>
  <c r="B209" i="16"/>
  <c r="C209" i="16"/>
  <c r="D209" i="16"/>
  <c r="E209" i="16"/>
  <c r="H209" i="16" s="1"/>
  <c r="I209" i="16" s="1"/>
  <c r="F209" i="16"/>
  <c r="G209" i="16"/>
  <c r="B210" i="16"/>
  <c r="H210" i="16" s="1"/>
  <c r="C210" i="16"/>
  <c r="D210" i="16"/>
  <c r="E210" i="16"/>
  <c r="F210" i="16"/>
  <c r="G210" i="16"/>
  <c r="B211" i="16"/>
  <c r="C211" i="16"/>
  <c r="D211" i="16"/>
  <c r="H211" i="16" s="1"/>
  <c r="E211" i="16"/>
  <c r="F211" i="16"/>
  <c r="G211" i="16"/>
  <c r="B212" i="16"/>
  <c r="H212" i="16" s="1"/>
  <c r="C212" i="16"/>
  <c r="D212" i="16"/>
  <c r="E212" i="16"/>
  <c r="F212" i="16"/>
  <c r="G212" i="16"/>
  <c r="B213" i="16"/>
  <c r="C213" i="16"/>
  <c r="D213" i="16"/>
  <c r="E213" i="16"/>
  <c r="F213" i="16"/>
  <c r="G213" i="16"/>
  <c r="H213" i="16" s="1"/>
  <c r="I213" i="16" s="1"/>
  <c r="B214" i="16"/>
  <c r="C214" i="16"/>
  <c r="D214" i="16"/>
  <c r="E214" i="16"/>
  <c r="F214" i="16"/>
  <c r="G214" i="16"/>
  <c r="B215" i="16"/>
  <c r="H215" i="16" s="1"/>
  <c r="C215" i="16"/>
  <c r="D215" i="16"/>
  <c r="E215" i="16"/>
  <c r="F215" i="16"/>
  <c r="G215" i="16"/>
  <c r="B216" i="16"/>
  <c r="C216" i="16"/>
  <c r="D216" i="16"/>
  <c r="E216" i="16"/>
  <c r="F216" i="16"/>
  <c r="G216" i="16"/>
  <c r="B217" i="16"/>
  <c r="H217" i="16" s="1"/>
  <c r="I217" i="16" s="1"/>
  <c r="C217" i="16"/>
  <c r="D217" i="16"/>
  <c r="E217" i="16"/>
  <c r="F217" i="16"/>
  <c r="G217" i="16"/>
  <c r="B218" i="16"/>
  <c r="C218" i="16"/>
  <c r="D218" i="16"/>
  <c r="E218" i="16"/>
  <c r="F218" i="16"/>
  <c r="G218" i="16"/>
  <c r="B219" i="16"/>
  <c r="C219" i="16"/>
  <c r="D219" i="16"/>
  <c r="E219" i="16"/>
  <c r="H219" i="16" s="1"/>
  <c r="F219" i="16"/>
  <c r="G219" i="16"/>
  <c r="B220" i="16"/>
  <c r="C220" i="16"/>
  <c r="D220" i="16"/>
  <c r="E220" i="16"/>
  <c r="F220" i="16"/>
  <c r="G220" i="16"/>
  <c r="B221" i="16"/>
  <c r="C221" i="16"/>
  <c r="D221" i="16"/>
  <c r="E221" i="16"/>
  <c r="F221" i="16"/>
  <c r="G221" i="16"/>
  <c r="H221" i="16"/>
  <c r="B222" i="16"/>
  <c r="C222" i="16"/>
  <c r="D222" i="16"/>
  <c r="E222" i="16"/>
  <c r="F222" i="16"/>
  <c r="G222" i="16"/>
  <c r="B223" i="16"/>
  <c r="C223" i="16"/>
  <c r="D223" i="16"/>
  <c r="E223" i="16"/>
  <c r="F223" i="16"/>
  <c r="G223" i="16"/>
  <c r="H223" i="16"/>
  <c r="B224" i="16"/>
  <c r="C224" i="16"/>
  <c r="D224" i="16"/>
  <c r="E224" i="16"/>
  <c r="F224" i="16"/>
  <c r="G224" i="16"/>
  <c r="B225" i="16"/>
  <c r="C225" i="16"/>
  <c r="D225" i="16"/>
  <c r="E225" i="16"/>
  <c r="H225" i="16" s="1"/>
  <c r="I225" i="16" s="1"/>
  <c r="F225" i="16"/>
  <c r="G225" i="16"/>
  <c r="B226" i="16"/>
  <c r="C226" i="16"/>
  <c r="D226" i="16"/>
  <c r="E226" i="16"/>
  <c r="F226" i="16"/>
  <c r="G226" i="16"/>
  <c r="B227" i="16"/>
  <c r="C227" i="16"/>
  <c r="D227" i="16"/>
  <c r="H227" i="16" s="1"/>
  <c r="I227" i="16" s="1"/>
  <c r="E227" i="16"/>
  <c r="F227" i="16"/>
  <c r="G227" i="16"/>
  <c r="B228" i="16"/>
  <c r="C228" i="16"/>
  <c r="D228" i="16"/>
  <c r="E228" i="16"/>
  <c r="F228" i="16"/>
  <c r="G228" i="16"/>
  <c r="B229" i="16"/>
  <c r="C229" i="16"/>
  <c r="D229" i="16"/>
  <c r="H229" i="16" s="1"/>
  <c r="I229" i="16" s="1"/>
  <c r="E229" i="16"/>
  <c r="F229" i="16"/>
  <c r="G229" i="16"/>
  <c r="B230" i="16"/>
  <c r="C230" i="16"/>
  <c r="D230" i="16"/>
  <c r="E230" i="16"/>
  <c r="F230" i="16"/>
  <c r="G230" i="16"/>
  <c r="B231" i="16"/>
  <c r="H231" i="16" s="1"/>
  <c r="I231" i="16" s="1"/>
  <c r="C231" i="16"/>
  <c r="D231" i="16"/>
  <c r="E231" i="16"/>
  <c r="F231" i="16"/>
  <c r="G231" i="16"/>
  <c r="B232" i="16"/>
  <c r="C232" i="16"/>
  <c r="D232" i="16"/>
  <c r="E232" i="16"/>
  <c r="F232" i="16"/>
  <c r="G232" i="16"/>
  <c r="B233" i="16"/>
  <c r="H233" i="16" s="1"/>
  <c r="I233" i="16" s="1"/>
  <c r="C233" i="16"/>
  <c r="D233" i="16"/>
  <c r="E233" i="16"/>
  <c r="F233" i="16"/>
  <c r="G233" i="16"/>
  <c r="B234" i="16"/>
  <c r="C234" i="16"/>
  <c r="D234" i="16"/>
  <c r="E234" i="16"/>
  <c r="F234" i="16"/>
  <c r="G234" i="16"/>
  <c r="B235" i="16"/>
  <c r="C235" i="16"/>
  <c r="D235" i="16"/>
  <c r="E235" i="16"/>
  <c r="F235" i="16"/>
  <c r="G235" i="16"/>
  <c r="H235" i="16"/>
  <c r="B236" i="16"/>
  <c r="C236" i="16"/>
  <c r="D236" i="16"/>
  <c r="E236" i="16"/>
  <c r="F236" i="16"/>
  <c r="G236" i="16"/>
  <c r="B237" i="16"/>
  <c r="H237" i="16" s="1"/>
  <c r="C237" i="16"/>
  <c r="D237" i="16"/>
  <c r="E237" i="16"/>
  <c r="F237" i="16"/>
  <c r="G237" i="16"/>
  <c r="B238" i="16"/>
  <c r="C238" i="16"/>
  <c r="D238" i="16"/>
  <c r="E238" i="16"/>
  <c r="F238" i="16"/>
  <c r="G238" i="16"/>
  <c r="B239" i="16"/>
  <c r="H239" i="16" s="1"/>
  <c r="C239" i="16"/>
  <c r="D239" i="16"/>
  <c r="E239" i="16"/>
  <c r="F239" i="16"/>
  <c r="G239" i="16"/>
  <c r="B240" i="16"/>
  <c r="C240" i="16"/>
  <c r="D240" i="16"/>
  <c r="E240" i="16"/>
  <c r="F240" i="16"/>
  <c r="G240" i="16"/>
  <c r="B241" i="16"/>
  <c r="C241" i="16"/>
  <c r="H241" i="16" s="1"/>
  <c r="D241" i="16"/>
  <c r="E241" i="16"/>
  <c r="F241" i="16"/>
  <c r="G241" i="16"/>
  <c r="B242" i="16"/>
  <c r="H242" i="16" s="1"/>
  <c r="C242" i="16"/>
  <c r="D242" i="16"/>
  <c r="E242" i="16"/>
  <c r="F242" i="16"/>
  <c r="G242" i="16"/>
  <c r="B243" i="16"/>
  <c r="C243" i="16"/>
  <c r="D243" i="16"/>
  <c r="H243" i="16" s="1"/>
  <c r="E243" i="16"/>
  <c r="F243" i="16"/>
  <c r="G243" i="16"/>
  <c r="B244" i="16"/>
  <c r="C244" i="16"/>
  <c r="D244" i="16"/>
  <c r="E244" i="16"/>
  <c r="F244" i="16"/>
  <c r="G244" i="16"/>
  <c r="B245" i="16"/>
  <c r="C245" i="16"/>
  <c r="D245" i="16"/>
  <c r="E245" i="16"/>
  <c r="F245" i="16"/>
  <c r="G245" i="16"/>
  <c r="H245" i="16" s="1"/>
  <c r="I245" i="16" s="1"/>
  <c r="B246" i="16"/>
  <c r="C246" i="16"/>
  <c r="D246" i="16"/>
  <c r="E246" i="16"/>
  <c r="F246" i="16"/>
  <c r="G246" i="16"/>
  <c r="B247" i="16"/>
  <c r="H247" i="16" s="1"/>
  <c r="C247" i="16"/>
  <c r="D247" i="16"/>
  <c r="E247" i="16"/>
  <c r="F247" i="16"/>
  <c r="G247" i="16"/>
  <c r="B248" i="16"/>
  <c r="C248" i="16"/>
  <c r="D248" i="16"/>
  <c r="E248" i="16"/>
  <c r="F248" i="16"/>
  <c r="G248" i="16"/>
  <c r="B249" i="16"/>
  <c r="H249" i="16" s="1"/>
  <c r="I249" i="16" s="1"/>
  <c r="C249" i="16"/>
  <c r="D249" i="16"/>
  <c r="E249" i="16"/>
  <c r="F249" i="16"/>
  <c r="G249" i="16"/>
  <c r="B250" i="16"/>
  <c r="C250" i="16"/>
  <c r="D250" i="16"/>
  <c r="E250" i="16"/>
  <c r="F250" i="16"/>
  <c r="G250" i="16"/>
  <c r="B251" i="16"/>
  <c r="C251" i="16"/>
  <c r="D251" i="16"/>
  <c r="E251" i="16"/>
  <c r="F251" i="16"/>
  <c r="G251" i="16"/>
  <c r="H251" i="16"/>
  <c r="B252" i="16"/>
  <c r="C252" i="16"/>
  <c r="D252" i="16"/>
  <c r="E252" i="16"/>
  <c r="F252" i="16"/>
  <c r="G252" i="16"/>
  <c r="B253" i="16"/>
  <c r="C253" i="16"/>
  <c r="D253" i="16"/>
  <c r="E253" i="16"/>
  <c r="H253" i="16" s="1"/>
  <c r="F253" i="16"/>
  <c r="G253" i="16"/>
  <c r="B254" i="16"/>
  <c r="C254" i="16"/>
  <c r="D254" i="16"/>
  <c r="E254" i="16"/>
  <c r="F254" i="16"/>
  <c r="G254" i="16"/>
  <c r="B255" i="16"/>
  <c r="C255" i="16"/>
  <c r="D255" i="16"/>
  <c r="E255" i="16"/>
  <c r="F255" i="16"/>
  <c r="G255" i="16"/>
  <c r="H255" i="16"/>
  <c r="B256" i="16"/>
  <c r="C256" i="16"/>
  <c r="D256" i="16"/>
  <c r="E256" i="16"/>
  <c r="F256" i="16"/>
  <c r="G256" i="16"/>
  <c r="B257" i="16"/>
  <c r="C257" i="16"/>
  <c r="D257" i="16"/>
  <c r="E257" i="16"/>
  <c r="F257" i="16"/>
  <c r="G257" i="16"/>
  <c r="H257" i="16"/>
  <c r="B258" i="16"/>
  <c r="C258" i="16"/>
  <c r="D258" i="16"/>
  <c r="E258" i="16"/>
  <c r="F258" i="16"/>
  <c r="G258" i="16"/>
  <c r="B259" i="16"/>
  <c r="C259" i="16"/>
  <c r="D259" i="16"/>
  <c r="H259" i="16" s="1"/>
  <c r="E259" i="16"/>
  <c r="F259" i="16"/>
  <c r="G259" i="16"/>
  <c r="B260" i="16"/>
  <c r="C260" i="16"/>
  <c r="D260" i="16"/>
  <c r="E260" i="16"/>
  <c r="F260" i="16"/>
  <c r="G260" i="16"/>
  <c r="B261" i="16"/>
  <c r="C261" i="16"/>
  <c r="D261" i="16"/>
  <c r="E261" i="16"/>
  <c r="F261" i="16"/>
  <c r="G261" i="16"/>
  <c r="H261" i="16" s="1"/>
  <c r="I261" i="16" s="1"/>
  <c r="B262" i="16"/>
  <c r="C262" i="16"/>
  <c r="D262" i="16"/>
  <c r="E262" i="16"/>
  <c r="F262" i="16"/>
  <c r="G262" i="16"/>
  <c r="B263" i="16"/>
  <c r="H263" i="16" s="1"/>
  <c r="I263" i="16" s="1"/>
  <c r="C263" i="16"/>
  <c r="D263" i="16"/>
  <c r="E263" i="16"/>
  <c r="F263" i="16"/>
  <c r="G263" i="16"/>
  <c r="B188" i="7"/>
  <c r="C188" i="7"/>
  <c r="D188" i="7"/>
  <c r="E188" i="7"/>
  <c r="H188" i="7" s="1"/>
  <c r="F188" i="7"/>
  <c r="G188" i="7"/>
  <c r="B189" i="7"/>
  <c r="H189" i="7" s="1"/>
  <c r="C189" i="7"/>
  <c r="D189" i="7"/>
  <c r="E189" i="7"/>
  <c r="F189" i="7"/>
  <c r="G189" i="7"/>
  <c r="B190" i="7"/>
  <c r="C190" i="7"/>
  <c r="D190" i="7"/>
  <c r="E190" i="7"/>
  <c r="F190" i="7"/>
  <c r="G190" i="7"/>
  <c r="B191" i="7"/>
  <c r="H191" i="7" s="1"/>
  <c r="C191" i="7"/>
  <c r="D191" i="7"/>
  <c r="E191" i="7"/>
  <c r="F191" i="7"/>
  <c r="G191" i="7"/>
  <c r="B192" i="7"/>
  <c r="C192" i="7"/>
  <c r="D192" i="7"/>
  <c r="E192" i="7"/>
  <c r="F192" i="7"/>
  <c r="G192" i="7"/>
  <c r="B193" i="7"/>
  <c r="H193" i="7" s="1"/>
  <c r="C193" i="7"/>
  <c r="D193" i="7"/>
  <c r="E193" i="7"/>
  <c r="F193" i="7"/>
  <c r="G193" i="7"/>
  <c r="B194" i="7"/>
  <c r="C194" i="7"/>
  <c r="D194" i="7"/>
  <c r="E194" i="7"/>
  <c r="F194" i="7"/>
  <c r="G194" i="7"/>
  <c r="B195" i="7"/>
  <c r="H195" i="7" s="1"/>
  <c r="C195" i="7"/>
  <c r="D195" i="7"/>
  <c r="E195" i="7"/>
  <c r="F195" i="7"/>
  <c r="G195" i="7"/>
  <c r="B196" i="7"/>
  <c r="C196" i="7"/>
  <c r="D196" i="7"/>
  <c r="E196" i="7"/>
  <c r="F196" i="7"/>
  <c r="G196" i="7"/>
  <c r="B197" i="7"/>
  <c r="C197" i="7"/>
  <c r="D197" i="7"/>
  <c r="H197" i="7" s="1"/>
  <c r="E197" i="7"/>
  <c r="F197" i="7"/>
  <c r="G197" i="7"/>
  <c r="B198" i="7"/>
  <c r="C198" i="7"/>
  <c r="D198" i="7"/>
  <c r="E198" i="7"/>
  <c r="F198" i="7"/>
  <c r="G198" i="7"/>
  <c r="B199" i="7"/>
  <c r="C199" i="7"/>
  <c r="D199" i="7"/>
  <c r="H199" i="7" s="1"/>
  <c r="I199" i="7" s="1"/>
  <c r="E199" i="7"/>
  <c r="F199" i="7"/>
  <c r="G199" i="7"/>
  <c r="B200" i="7"/>
  <c r="C200" i="7"/>
  <c r="D200" i="7"/>
  <c r="E200" i="7"/>
  <c r="F200" i="7"/>
  <c r="G200" i="7"/>
  <c r="B201" i="7"/>
  <c r="C201" i="7"/>
  <c r="D201" i="7"/>
  <c r="E201" i="7"/>
  <c r="F201" i="7"/>
  <c r="G201" i="7"/>
  <c r="H201" i="7" s="1"/>
  <c r="B202" i="7"/>
  <c r="C202" i="7"/>
  <c r="D202" i="7"/>
  <c r="E202" i="7"/>
  <c r="F202" i="7"/>
  <c r="G202" i="7"/>
  <c r="B203" i="7"/>
  <c r="C203" i="7"/>
  <c r="D203" i="7"/>
  <c r="H203" i="7" s="1"/>
  <c r="I203" i="7" s="1"/>
  <c r="E203" i="7"/>
  <c r="F203" i="7"/>
  <c r="G203" i="7"/>
  <c r="B204" i="7"/>
  <c r="C204" i="7"/>
  <c r="D204" i="7"/>
  <c r="E204" i="7"/>
  <c r="F204" i="7"/>
  <c r="G204" i="7"/>
  <c r="B205" i="7"/>
  <c r="C205" i="7"/>
  <c r="D205" i="7"/>
  <c r="H205" i="7" s="1"/>
  <c r="E205" i="7"/>
  <c r="F205" i="7"/>
  <c r="G205" i="7"/>
  <c r="B206" i="7"/>
  <c r="C206" i="7"/>
  <c r="D206" i="7"/>
  <c r="E206" i="7"/>
  <c r="F206" i="7"/>
  <c r="G206" i="7"/>
  <c r="B207" i="7"/>
  <c r="C207" i="7"/>
  <c r="H207" i="7" s="1"/>
  <c r="I207" i="7" s="1"/>
  <c r="D207" i="7"/>
  <c r="E207" i="7"/>
  <c r="F207" i="7"/>
  <c r="G207" i="7"/>
  <c r="B208" i="7"/>
  <c r="C208" i="7"/>
  <c r="H208" i="7" s="1"/>
  <c r="D208" i="7"/>
  <c r="E208" i="7"/>
  <c r="F208" i="7"/>
  <c r="G208" i="7"/>
  <c r="B209" i="7"/>
  <c r="C209" i="7"/>
  <c r="H209" i="7" s="1"/>
  <c r="D209" i="7"/>
  <c r="E209" i="7"/>
  <c r="F209" i="7"/>
  <c r="G209" i="7"/>
  <c r="B210" i="7"/>
  <c r="C210" i="7"/>
  <c r="H210" i="7" s="1"/>
  <c r="D210" i="7"/>
  <c r="E210" i="7"/>
  <c r="F210" i="7"/>
  <c r="G210" i="7"/>
  <c r="B211" i="7"/>
  <c r="C211" i="7"/>
  <c r="H211" i="7" s="1"/>
  <c r="I211" i="7" s="1"/>
  <c r="D211" i="7"/>
  <c r="E211" i="7"/>
  <c r="F211" i="7"/>
  <c r="G211" i="7"/>
  <c r="B212" i="7"/>
  <c r="C212" i="7"/>
  <c r="D212" i="7"/>
  <c r="E212" i="7"/>
  <c r="F212" i="7"/>
  <c r="G212" i="7"/>
  <c r="B213" i="7"/>
  <c r="H213" i="7" s="1"/>
  <c r="I213" i="7" s="1"/>
  <c r="C213" i="7"/>
  <c r="D213" i="7"/>
  <c r="E213" i="7"/>
  <c r="F213" i="7"/>
  <c r="G213" i="7"/>
  <c r="B214" i="7"/>
  <c r="C214" i="7"/>
  <c r="D214" i="7"/>
  <c r="E214" i="7"/>
  <c r="F214" i="7"/>
  <c r="G214" i="7"/>
  <c r="B215" i="7"/>
  <c r="H215" i="7" s="1"/>
  <c r="I215" i="7" s="1"/>
  <c r="C215" i="7"/>
  <c r="D215" i="7"/>
  <c r="E215" i="7"/>
  <c r="F215" i="7"/>
  <c r="G215" i="7"/>
  <c r="B216" i="7"/>
  <c r="C216" i="7"/>
  <c r="D216" i="7"/>
  <c r="E216" i="7"/>
  <c r="F216" i="7"/>
  <c r="G216" i="7"/>
  <c r="B217" i="7"/>
  <c r="H217" i="7" s="1"/>
  <c r="I217" i="7" s="1"/>
  <c r="C217" i="7"/>
  <c r="D217" i="7"/>
  <c r="E217" i="7"/>
  <c r="F217" i="7"/>
  <c r="G217" i="7"/>
  <c r="B218" i="7"/>
  <c r="C218" i="7"/>
  <c r="D218" i="7"/>
  <c r="E218" i="7"/>
  <c r="F218" i="7"/>
  <c r="G218" i="7"/>
  <c r="B219" i="7"/>
  <c r="H219" i="7" s="1"/>
  <c r="I219" i="7" s="1"/>
  <c r="C219" i="7"/>
  <c r="D219" i="7"/>
  <c r="E219" i="7"/>
  <c r="F219" i="7"/>
  <c r="G219" i="7"/>
  <c r="B220" i="7"/>
  <c r="C220" i="7"/>
  <c r="D220" i="7"/>
  <c r="E220" i="7"/>
  <c r="F220" i="7"/>
  <c r="G220" i="7"/>
  <c r="B221" i="7"/>
  <c r="C221" i="7"/>
  <c r="D221" i="7"/>
  <c r="E221" i="7"/>
  <c r="H221" i="7" s="1"/>
  <c r="F221" i="7"/>
  <c r="G221" i="7"/>
  <c r="B222" i="7"/>
  <c r="C222" i="7"/>
  <c r="D222" i="7"/>
  <c r="E222" i="7"/>
  <c r="F222" i="7"/>
  <c r="G222" i="7"/>
  <c r="B223" i="7"/>
  <c r="C223" i="7"/>
  <c r="D223" i="7"/>
  <c r="E223" i="7"/>
  <c r="F223" i="7"/>
  <c r="G223" i="7"/>
  <c r="H223" i="7"/>
  <c r="B224" i="7"/>
  <c r="C224" i="7"/>
  <c r="D224" i="7"/>
  <c r="E224" i="7"/>
  <c r="F224" i="7"/>
  <c r="G224" i="7"/>
  <c r="B225" i="7"/>
  <c r="H225" i="7" s="1"/>
  <c r="C225" i="7"/>
  <c r="D225" i="7"/>
  <c r="E225" i="7"/>
  <c r="F225" i="7"/>
  <c r="G225" i="7"/>
  <c r="B226" i="7"/>
  <c r="C226" i="7"/>
  <c r="D226" i="7"/>
  <c r="E226" i="7"/>
  <c r="F226" i="7"/>
  <c r="G226" i="7"/>
  <c r="B227" i="7"/>
  <c r="C227" i="7"/>
  <c r="D227" i="7"/>
  <c r="E227" i="7"/>
  <c r="H227" i="7" s="1"/>
  <c r="I227" i="7" s="1"/>
  <c r="F227" i="7"/>
  <c r="G227" i="7"/>
  <c r="B228" i="7"/>
  <c r="C228" i="7"/>
  <c r="D228" i="7"/>
  <c r="E228" i="7"/>
  <c r="F228" i="7"/>
  <c r="G228" i="7"/>
  <c r="B229" i="7"/>
  <c r="H229" i="7" s="1"/>
  <c r="C229" i="7"/>
  <c r="D229" i="7"/>
  <c r="E229" i="7"/>
  <c r="F229" i="7"/>
  <c r="G229" i="7"/>
  <c r="B230" i="7"/>
  <c r="C230" i="7"/>
  <c r="D230" i="7"/>
  <c r="E230" i="7"/>
  <c r="F230" i="7"/>
  <c r="G230" i="7"/>
  <c r="B231" i="7"/>
  <c r="H231" i="7" s="1"/>
  <c r="I231" i="7" s="1"/>
  <c r="C231" i="7"/>
  <c r="D231" i="7"/>
  <c r="E231" i="7"/>
  <c r="F231" i="7"/>
  <c r="G231" i="7"/>
  <c r="B232" i="7"/>
  <c r="C232" i="7"/>
  <c r="D232" i="7"/>
  <c r="E232" i="7"/>
  <c r="F232" i="7"/>
  <c r="G232" i="7"/>
  <c r="B233" i="7"/>
  <c r="C233" i="7"/>
  <c r="D233" i="7"/>
  <c r="E233" i="7"/>
  <c r="F233" i="7"/>
  <c r="G233" i="7"/>
  <c r="H233" i="7" s="1"/>
  <c r="I233" i="7" s="1"/>
  <c r="B234" i="7"/>
  <c r="C234" i="7"/>
  <c r="D234" i="7"/>
  <c r="E234" i="7"/>
  <c r="F234" i="7"/>
  <c r="G234" i="7"/>
  <c r="B235" i="7"/>
  <c r="H235" i="7" s="1"/>
  <c r="I235" i="7" s="1"/>
  <c r="C235" i="7"/>
  <c r="D235" i="7"/>
  <c r="E235" i="7"/>
  <c r="F235" i="7"/>
  <c r="G235" i="7"/>
  <c r="B236" i="7"/>
  <c r="C236" i="7"/>
  <c r="D236" i="7"/>
  <c r="E236" i="7"/>
  <c r="F236" i="7"/>
  <c r="G236" i="7"/>
  <c r="B237" i="7"/>
  <c r="C237" i="7"/>
  <c r="D237" i="7"/>
  <c r="H237" i="7" s="1"/>
  <c r="E237" i="7"/>
  <c r="F237" i="7"/>
  <c r="G237" i="7"/>
  <c r="B238" i="7"/>
  <c r="C238" i="7"/>
  <c r="D238" i="7"/>
  <c r="E238" i="7"/>
  <c r="F238" i="7"/>
  <c r="G238" i="7"/>
  <c r="B239" i="7"/>
  <c r="C239" i="7"/>
  <c r="H239" i="7" s="1"/>
  <c r="I239" i="7" s="1"/>
  <c r="D239" i="7"/>
  <c r="E239" i="7"/>
  <c r="F239" i="7"/>
  <c r="G239" i="7"/>
  <c r="B240" i="7"/>
  <c r="C240" i="7"/>
  <c r="D240" i="7"/>
  <c r="E240" i="7"/>
  <c r="F240" i="7"/>
  <c r="G240" i="7"/>
  <c r="B241" i="7"/>
  <c r="C241" i="7"/>
  <c r="H241" i="7" s="1"/>
  <c r="D241" i="7"/>
  <c r="E241" i="7"/>
  <c r="F241" i="7"/>
  <c r="G241" i="7"/>
  <c r="B242" i="7"/>
  <c r="C242" i="7"/>
  <c r="D242" i="7"/>
  <c r="E242" i="7"/>
  <c r="F242" i="7"/>
  <c r="G242" i="7"/>
  <c r="B243" i="7"/>
  <c r="C243" i="7"/>
  <c r="D243" i="7"/>
  <c r="H243" i="7" s="1"/>
  <c r="I243" i="7" s="1"/>
  <c r="E243" i="7"/>
  <c r="F243" i="7"/>
  <c r="G243" i="7"/>
  <c r="B244" i="7"/>
  <c r="C244" i="7"/>
  <c r="D244" i="7"/>
  <c r="E244" i="7"/>
  <c r="F244" i="7"/>
  <c r="G244" i="7"/>
  <c r="B245" i="7"/>
  <c r="H245" i="7" s="1"/>
  <c r="C245" i="7"/>
  <c r="D245" i="7"/>
  <c r="E245" i="7"/>
  <c r="F245" i="7"/>
  <c r="G245" i="7"/>
  <c r="B246" i="7"/>
  <c r="H246" i="7" s="1"/>
  <c r="C246" i="7"/>
  <c r="D246" i="7"/>
  <c r="E246" i="7"/>
  <c r="F246" i="7"/>
  <c r="G246" i="7"/>
  <c r="B247" i="7"/>
  <c r="H247" i="7" s="1"/>
  <c r="I247" i="7" s="1"/>
  <c r="C247" i="7"/>
  <c r="D247" i="7"/>
  <c r="E247" i="7"/>
  <c r="F247" i="7"/>
  <c r="G247" i="7"/>
  <c r="B248" i="7"/>
  <c r="C248" i="7"/>
  <c r="D248" i="7"/>
  <c r="E248" i="7"/>
  <c r="F248" i="7"/>
  <c r="G248" i="7"/>
  <c r="B249" i="7"/>
  <c r="H249" i="7" s="1"/>
  <c r="C249" i="7"/>
  <c r="D249" i="7"/>
  <c r="E249" i="7"/>
  <c r="F249" i="7"/>
  <c r="G249" i="7"/>
  <c r="B250" i="7"/>
  <c r="C250" i="7"/>
  <c r="D250" i="7"/>
  <c r="E250" i="7"/>
  <c r="F250" i="7"/>
  <c r="G250" i="7"/>
  <c r="B251" i="7"/>
  <c r="H251" i="7" s="1"/>
  <c r="I251" i="7" s="1"/>
  <c r="C251" i="7"/>
  <c r="D251" i="7"/>
  <c r="E251" i="7"/>
  <c r="F251" i="7"/>
  <c r="G251" i="7"/>
  <c r="B252" i="7"/>
  <c r="H252" i="7" s="1"/>
  <c r="C252" i="7"/>
  <c r="D252" i="7"/>
  <c r="E252" i="7"/>
  <c r="F252" i="7"/>
  <c r="G252" i="7"/>
  <c r="B253" i="7"/>
  <c r="C253" i="7"/>
  <c r="D253" i="7"/>
  <c r="E253" i="7"/>
  <c r="H253" i="7" s="1"/>
  <c r="I253" i="7" s="1"/>
  <c r="F253" i="7"/>
  <c r="G253" i="7"/>
  <c r="B254" i="7"/>
  <c r="C254" i="7"/>
  <c r="D254" i="7"/>
  <c r="E254" i="7"/>
  <c r="F254" i="7"/>
  <c r="G254" i="7"/>
  <c r="B255" i="7"/>
  <c r="C255" i="7"/>
  <c r="D255" i="7"/>
  <c r="E255" i="7"/>
  <c r="F255" i="7"/>
  <c r="G255" i="7"/>
  <c r="H255" i="7"/>
  <c r="B256" i="7"/>
  <c r="C256" i="7"/>
  <c r="D256" i="7"/>
  <c r="E256" i="7"/>
  <c r="F256" i="7"/>
  <c r="G256" i="7"/>
  <c r="B257" i="7"/>
  <c r="H257" i="7" s="1"/>
  <c r="C257" i="7"/>
  <c r="D257" i="7"/>
  <c r="E257" i="7"/>
  <c r="F257" i="7"/>
  <c r="G257" i="7"/>
  <c r="B258" i="7"/>
  <c r="C258" i="7"/>
  <c r="D258" i="7"/>
  <c r="E258" i="7"/>
  <c r="F258" i="7"/>
  <c r="G258" i="7"/>
  <c r="B259" i="7"/>
  <c r="C259" i="7"/>
  <c r="D259" i="7"/>
  <c r="E259" i="7"/>
  <c r="H259" i="7" s="1"/>
  <c r="I259" i="7" s="1"/>
  <c r="F259" i="7"/>
  <c r="G259" i="7"/>
  <c r="B260" i="7"/>
  <c r="C260" i="7"/>
  <c r="D260" i="7"/>
  <c r="E260" i="7"/>
  <c r="F260" i="7"/>
  <c r="G260" i="7"/>
  <c r="B261" i="7"/>
  <c r="H261" i="7" s="1"/>
  <c r="C261" i="7"/>
  <c r="D261" i="7"/>
  <c r="E261" i="7"/>
  <c r="F261" i="7"/>
  <c r="G261" i="7"/>
  <c r="B262" i="7"/>
  <c r="C262" i="7"/>
  <c r="D262" i="7"/>
  <c r="E262" i="7"/>
  <c r="F262" i="7"/>
  <c r="G262" i="7"/>
  <c r="B263" i="7"/>
  <c r="H263" i="7" s="1"/>
  <c r="C263" i="7"/>
  <c r="D263" i="7"/>
  <c r="E263" i="7"/>
  <c r="F263" i="7"/>
  <c r="G263" i="7"/>
  <c r="F7" i="5"/>
  <c r="F6" i="5"/>
  <c r="F5" i="5"/>
  <c r="F3" i="5"/>
  <c r="F4" i="5"/>
  <c r="F2" i="5"/>
  <c r="F8" i="5" s="1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F187" i="19"/>
  <c r="E187" i="19"/>
  <c r="D187" i="19"/>
  <c r="C187" i="19"/>
  <c r="B187" i="19"/>
  <c r="F186" i="19"/>
  <c r="E186" i="19"/>
  <c r="D186" i="19"/>
  <c r="C186" i="19"/>
  <c r="B186" i="19"/>
  <c r="F185" i="19"/>
  <c r="E185" i="19"/>
  <c r="D185" i="19"/>
  <c r="C185" i="19"/>
  <c r="B185" i="19"/>
  <c r="F184" i="19"/>
  <c r="E184" i="19"/>
  <c r="D184" i="19"/>
  <c r="C184" i="19"/>
  <c r="B184" i="19"/>
  <c r="F183" i="19"/>
  <c r="E183" i="19"/>
  <c r="D183" i="19"/>
  <c r="C183" i="19"/>
  <c r="B183" i="19"/>
  <c r="F182" i="19"/>
  <c r="E182" i="19"/>
  <c r="D182" i="19"/>
  <c r="C182" i="19"/>
  <c r="B182" i="19"/>
  <c r="F181" i="19"/>
  <c r="E181" i="19"/>
  <c r="D181" i="19"/>
  <c r="C181" i="19"/>
  <c r="B181" i="19"/>
  <c r="F180" i="19"/>
  <c r="E180" i="19"/>
  <c r="D180" i="19"/>
  <c r="C180" i="19"/>
  <c r="B180" i="19"/>
  <c r="F179" i="19"/>
  <c r="E179" i="19"/>
  <c r="D179" i="19"/>
  <c r="C179" i="19"/>
  <c r="B179" i="19"/>
  <c r="F178" i="19"/>
  <c r="E178" i="19"/>
  <c r="D178" i="19"/>
  <c r="C178" i="19"/>
  <c r="B178" i="19"/>
  <c r="F177" i="19"/>
  <c r="E177" i="19"/>
  <c r="D177" i="19"/>
  <c r="C177" i="19"/>
  <c r="B177" i="19"/>
  <c r="F176" i="19"/>
  <c r="E176" i="19"/>
  <c r="D176" i="19"/>
  <c r="C176" i="19"/>
  <c r="B176" i="19"/>
  <c r="F175" i="19"/>
  <c r="E175" i="19"/>
  <c r="D175" i="19"/>
  <c r="C175" i="19"/>
  <c r="B175" i="19"/>
  <c r="F174" i="19"/>
  <c r="E174" i="19"/>
  <c r="D174" i="19"/>
  <c r="C174" i="19"/>
  <c r="B174" i="19"/>
  <c r="F173" i="19"/>
  <c r="E173" i="19"/>
  <c r="D173" i="19"/>
  <c r="C173" i="19"/>
  <c r="B173" i="19"/>
  <c r="F172" i="19"/>
  <c r="E172" i="19"/>
  <c r="D172" i="19"/>
  <c r="C172" i="19"/>
  <c r="B172" i="19"/>
  <c r="F171" i="19"/>
  <c r="E171" i="19"/>
  <c r="D171" i="19"/>
  <c r="C171" i="19"/>
  <c r="B171" i="19"/>
  <c r="F170" i="19"/>
  <c r="E170" i="19"/>
  <c r="D170" i="19"/>
  <c r="C170" i="19"/>
  <c r="B170" i="19"/>
  <c r="F169" i="19"/>
  <c r="E169" i="19"/>
  <c r="D169" i="19"/>
  <c r="C169" i="19"/>
  <c r="B169" i="19"/>
  <c r="F168" i="19"/>
  <c r="E168" i="19"/>
  <c r="D168" i="19"/>
  <c r="C168" i="19"/>
  <c r="B168" i="19"/>
  <c r="F167" i="19"/>
  <c r="E167" i="19"/>
  <c r="D167" i="19"/>
  <c r="C167" i="19"/>
  <c r="B167" i="19"/>
  <c r="F166" i="19"/>
  <c r="E166" i="19"/>
  <c r="D166" i="19"/>
  <c r="C166" i="19"/>
  <c r="B166" i="19"/>
  <c r="F165" i="19"/>
  <c r="E165" i="19"/>
  <c r="D165" i="19"/>
  <c r="C165" i="19"/>
  <c r="B165" i="19"/>
  <c r="F164" i="19"/>
  <c r="E164" i="19"/>
  <c r="D164" i="19"/>
  <c r="C164" i="19"/>
  <c r="B164" i="19"/>
  <c r="F163" i="19"/>
  <c r="E163" i="19"/>
  <c r="D163" i="19"/>
  <c r="C163" i="19"/>
  <c r="B163" i="19"/>
  <c r="F162" i="19"/>
  <c r="E162" i="19"/>
  <c r="D162" i="19"/>
  <c r="C162" i="19"/>
  <c r="B162" i="19"/>
  <c r="F161" i="19"/>
  <c r="E161" i="19"/>
  <c r="D161" i="19"/>
  <c r="C161" i="19"/>
  <c r="B161" i="19"/>
  <c r="F160" i="19"/>
  <c r="E160" i="19"/>
  <c r="D160" i="19"/>
  <c r="C160" i="19"/>
  <c r="B160" i="19"/>
  <c r="F159" i="19"/>
  <c r="E159" i="19"/>
  <c r="D159" i="19"/>
  <c r="C159" i="19"/>
  <c r="B159" i="19"/>
  <c r="F158" i="19"/>
  <c r="E158" i="19"/>
  <c r="D158" i="19"/>
  <c r="C158" i="19"/>
  <c r="B158" i="19"/>
  <c r="F157" i="19"/>
  <c r="E157" i="19"/>
  <c r="D157" i="19"/>
  <c r="C157" i="19"/>
  <c r="B157" i="19"/>
  <c r="F156" i="19"/>
  <c r="E156" i="19"/>
  <c r="D156" i="19"/>
  <c r="C156" i="19"/>
  <c r="B156" i="19"/>
  <c r="F155" i="19"/>
  <c r="E155" i="19"/>
  <c r="D155" i="19"/>
  <c r="C155" i="19"/>
  <c r="B155" i="19"/>
  <c r="F154" i="19"/>
  <c r="E154" i="19"/>
  <c r="D154" i="19"/>
  <c r="C154" i="19"/>
  <c r="B154" i="19"/>
  <c r="F153" i="19"/>
  <c r="E153" i="19"/>
  <c r="D153" i="19"/>
  <c r="C153" i="19"/>
  <c r="B153" i="19"/>
  <c r="F152" i="19"/>
  <c r="E152" i="19"/>
  <c r="D152" i="19"/>
  <c r="C152" i="19"/>
  <c r="B152" i="19"/>
  <c r="F151" i="19"/>
  <c r="E151" i="19"/>
  <c r="D151" i="19"/>
  <c r="C151" i="19"/>
  <c r="B151" i="19"/>
  <c r="F150" i="19"/>
  <c r="E150" i="19"/>
  <c r="D150" i="19"/>
  <c r="C150" i="19"/>
  <c r="B150" i="19"/>
  <c r="F149" i="19"/>
  <c r="E149" i="19"/>
  <c r="D149" i="19"/>
  <c r="C149" i="19"/>
  <c r="B149" i="19"/>
  <c r="F148" i="19"/>
  <c r="E148" i="19"/>
  <c r="D148" i="19"/>
  <c r="C148" i="19"/>
  <c r="B148" i="19"/>
  <c r="F147" i="19"/>
  <c r="E147" i="19"/>
  <c r="D147" i="19"/>
  <c r="C147" i="19"/>
  <c r="B147" i="19"/>
  <c r="F146" i="19"/>
  <c r="E146" i="19"/>
  <c r="D146" i="19"/>
  <c r="C146" i="19"/>
  <c r="B146" i="19"/>
  <c r="F145" i="19"/>
  <c r="E145" i="19"/>
  <c r="D145" i="19"/>
  <c r="C145" i="19"/>
  <c r="B145" i="19"/>
  <c r="F144" i="19"/>
  <c r="E144" i="19"/>
  <c r="D144" i="19"/>
  <c r="C144" i="19"/>
  <c r="B144" i="19"/>
  <c r="F143" i="19"/>
  <c r="E143" i="19"/>
  <c r="D143" i="19"/>
  <c r="C143" i="19"/>
  <c r="B143" i="19"/>
  <c r="F142" i="19"/>
  <c r="E142" i="19"/>
  <c r="D142" i="19"/>
  <c r="C142" i="19"/>
  <c r="B142" i="19"/>
  <c r="F141" i="19"/>
  <c r="E141" i="19"/>
  <c r="D141" i="19"/>
  <c r="C141" i="19"/>
  <c r="B141" i="19"/>
  <c r="F140" i="19"/>
  <c r="E140" i="19"/>
  <c r="D140" i="19"/>
  <c r="C140" i="19"/>
  <c r="B140" i="19"/>
  <c r="F139" i="19"/>
  <c r="E139" i="19"/>
  <c r="D139" i="19"/>
  <c r="C139" i="19"/>
  <c r="B139" i="19"/>
  <c r="F138" i="19"/>
  <c r="E138" i="19"/>
  <c r="D138" i="19"/>
  <c r="C138" i="19"/>
  <c r="B138" i="19"/>
  <c r="F137" i="19"/>
  <c r="E137" i="19"/>
  <c r="D137" i="19"/>
  <c r="C137" i="19"/>
  <c r="B137" i="19"/>
  <c r="F136" i="19"/>
  <c r="E136" i="19"/>
  <c r="D136" i="19"/>
  <c r="C136" i="19"/>
  <c r="B136" i="19"/>
  <c r="F135" i="19"/>
  <c r="E135" i="19"/>
  <c r="D135" i="19"/>
  <c r="C135" i="19"/>
  <c r="B135" i="19"/>
  <c r="F134" i="19"/>
  <c r="E134" i="19"/>
  <c r="D134" i="19"/>
  <c r="C134" i="19"/>
  <c r="B134" i="19"/>
  <c r="F133" i="19"/>
  <c r="E133" i="19"/>
  <c r="D133" i="19"/>
  <c r="C133" i="19"/>
  <c r="B133" i="19"/>
  <c r="F132" i="19"/>
  <c r="E132" i="19"/>
  <c r="D132" i="19"/>
  <c r="C132" i="19"/>
  <c r="B132" i="19"/>
  <c r="F131" i="19"/>
  <c r="E131" i="19"/>
  <c r="D131" i="19"/>
  <c r="C131" i="19"/>
  <c r="B131" i="19"/>
  <c r="F130" i="19"/>
  <c r="E130" i="19"/>
  <c r="D130" i="19"/>
  <c r="C130" i="19"/>
  <c r="B130" i="19"/>
  <c r="F129" i="19"/>
  <c r="E129" i="19"/>
  <c r="D129" i="19"/>
  <c r="C129" i="19"/>
  <c r="B129" i="19"/>
  <c r="F128" i="19"/>
  <c r="E128" i="19"/>
  <c r="D128" i="19"/>
  <c r="C128" i="19"/>
  <c r="B128" i="19"/>
  <c r="F127" i="19"/>
  <c r="E127" i="19"/>
  <c r="D127" i="19"/>
  <c r="C127" i="19"/>
  <c r="B127" i="19"/>
  <c r="F126" i="19"/>
  <c r="E126" i="19"/>
  <c r="D126" i="19"/>
  <c r="C126" i="19"/>
  <c r="B126" i="19"/>
  <c r="F125" i="19"/>
  <c r="E125" i="19"/>
  <c r="D125" i="19"/>
  <c r="C125" i="19"/>
  <c r="B125" i="19"/>
  <c r="F124" i="19"/>
  <c r="E124" i="19"/>
  <c r="D124" i="19"/>
  <c r="C124" i="19"/>
  <c r="B124" i="19"/>
  <c r="F123" i="19"/>
  <c r="E123" i="19"/>
  <c r="D123" i="19"/>
  <c r="C123" i="19"/>
  <c r="B123" i="19"/>
  <c r="F122" i="19"/>
  <c r="E122" i="19"/>
  <c r="D122" i="19"/>
  <c r="C122" i="19"/>
  <c r="B122" i="19"/>
  <c r="F121" i="19"/>
  <c r="E121" i="19"/>
  <c r="D121" i="19"/>
  <c r="C121" i="19"/>
  <c r="B121" i="19"/>
  <c r="F120" i="19"/>
  <c r="E120" i="19"/>
  <c r="D120" i="19"/>
  <c r="C120" i="19"/>
  <c r="B120" i="19"/>
  <c r="F119" i="19"/>
  <c r="E119" i="19"/>
  <c r="D119" i="19"/>
  <c r="C119" i="19"/>
  <c r="B119" i="19"/>
  <c r="F118" i="19"/>
  <c r="E118" i="19"/>
  <c r="D118" i="19"/>
  <c r="C118" i="19"/>
  <c r="B118" i="19"/>
  <c r="F117" i="19"/>
  <c r="E117" i="19"/>
  <c r="D117" i="19"/>
  <c r="C117" i="19"/>
  <c r="B117" i="19"/>
  <c r="F116" i="19"/>
  <c r="E116" i="19"/>
  <c r="D116" i="19"/>
  <c r="C116" i="19"/>
  <c r="B116" i="19"/>
  <c r="F115" i="19"/>
  <c r="E115" i="19"/>
  <c r="D115" i="19"/>
  <c r="C115" i="19"/>
  <c r="B115" i="19"/>
  <c r="F114" i="19"/>
  <c r="E114" i="19"/>
  <c r="D114" i="19"/>
  <c r="C114" i="19"/>
  <c r="B114" i="19"/>
  <c r="F113" i="19"/>
  <c r="E113" i="19"/>
  <c r="D113" i="19"/>
  <c r="C113" i="19"/>
  <c r="B113" i="19"/>
  <c r="F112" i="19"/>
  <c r="E112" i="19"/>
  <c r="D112" i="19"/>
  <c r="C112" i="19"/>
  <c r="B112" i="19"/>
  <c r="F111" i="19"/>
  <c r="E111" i="19"/>
  <c r="D111" i="19"/>
  <c r="C111" i="19"/>
  <c r="B111" i="19"/>
  <c r="F110" i="19"/>
  <c r="E110" i="19"/>
  <c r="D110" i="19"/>
  <c r="C110" i="19"/>
  <c r="B110" i="19"/>
  <c r="F109" i="19"/>
  <c r="E109" i="19"/>
  <c r="D109" i="19"/>
  <c r="C109" i="19"/>
  <c r="B109" i="19"/>
  <c r="F108" i="19"/>
  <c r="E108" i="19"/>
  <c r="D108" i="19"/>
  <c r="C108" i="19"/>
  <c r="B108" i="19"/>
  <c r="F107" i="19"/>
  <c r="E107" i="19"/>
  <c r="D107" i="19"/>
  <c r="C107" i="19"/>
  <c r="B107" i="19"/>
  <c r="F106" i="19"/>
  <c r="E106" i="19"/>
  <c r="D106" i="19"/>
  <c r="C106" i="19"/>
  <c r="B106" i="19"/>
  <c r="F105" i="19"/>
  <c r="E105" i="19"/>
  <c r="D105" i="19"/>
  <c r="C105" i="19"/>
  <c r="B105" i="19"/>
  <c r="F104" i="19"/>
  <c r="E104" i="19"/>
  <c r="D104" i="19"/>
  <c r="C104" i="19"/>
  <c r="B104" i="19"/>
  <c r="F103" i="19"/>
  <c r="E103" i="19"/>
  <c r="D103" i="19"/>
  <c r="C103" i="19"/>
  <c r="B103" i="19"/>
  <c r="F102" i="19"/>
  <c r="E102" i="19"/>
  <c r="D102" i="19"/>
  <c r="C102" i="19"/>
  <c r="B102" i="19"/>
  <c r="F101" i="19"/>
  <c r="E101" i="19"/>
  <c r="D101" i="19"/>
  <c r="C101" i="19"/>
  <c r="B101" i="19"/>
  <c r="F100" i="19"/>
  <c r="E100" i="19"/>
  <c r="D100" i="19"/>
  <c r="C100" i="19"/>
  <c r="B100" i="19"/>
  <c r="F99" i="19"/>
  <c r="E99" i="19"/>
  <c r="D99" i="19"/>
  <c r="C99" i="19"/>
  <c r="B99" i="19"/>
  <c r="F98" i="19"/>
  <c r="E98" i="19"/>
  <c r="D98" i="19"/>
  <c r="C98" i="19"/>
  <c r="B98" i="19"/>
  <c r="F97" i="19"/>
  <c r="E97" i="19"/>
  <c r="D97" i="19"/>
  <c r="C97" i="19"/>
  <c r="B97" i="19"/>
  <c r="F96" i="19"/>
  <c r="E96" i="19"/>
  <c r="D96" i="19"/>
  <c r="C96" i="19"/>
  <c r="B96" i="19"/>
  <c r="F95" i="19"/>
  <c r="E95" i="19"/>
  <c r="D95" i="19"/>
  <c r="C95" i="19"/>
  <c r="B95" i="19"/>
  <c r="F94" i="19"/>
  <c r="E94" i="19"/>
  <c r="D94" i="19"/>
  <c r="C94" i="19"/>
  <c r="B94" i="19"/>
  <c r="F93" i="19"/>
  <c r="E93" i="19"/>
  <c r="D93" i="19"/>
  <c r="C93" i="19"/>
  <c r="B93" i="19"/>
  <c r="F92" i="19"/>
  <c r="E92" i="19"/>
  <c r="D92" i="19"/>
  <c r="C92" i="19"/>
  <c r="B92" i="19"/>
  <c r="F91" i="19"/>
  <c r="E91" i="19"/>
  <c r="D91" i="19"/>
  <c r="C91" i="19"/>
  <c r="B91" i="19"/>
  <c r="F90" i="19"/>
  <c r="E90" i="19"/>
  <c r="D90" i="19"/>
  <c r="C90" i="19"/>
  <c r="B90" i="19"/>
  <c r="F89" i="19"/>
  <c r="E89" i="19"/>
  <c r="D89" i="19"/>
  <c r="C89" i="19"/>
  <c r="B89" i="19"/>
  <c r="F88" i="19"/>
  <c r="E88" i="19"/>
  <c r="D88" i="19"/>
  <c r="C88" i="19"/>
  <c r="B88" i="19"/>
  <c r="F87" i="19"/>
  <c r="E87" i="19"/>
  <c r="D87" i="19"/>
  <c r="C87" i="19"/>
  <c r="B87" i="19"/>
  <c r="F86" i="19"/>
  <c r="E86" i="19"/>
  <c r="D86" i="19"/>
  <c r="C86" i="19"/>
  <c r="B86" i="19"/>
  <c r="F85" i="19"/>
  <c r="E85" i="19"/>
  <c r="D85" i="19"/>
  <c r="C85" i="19"/>
  <c r="B85" i="19"/>
  <c r="F84" i="19"/>
  <c r="E84" i="19"/>
  <c r="D84" i="19"/>
  <c r="C84" i="19"/>
  <c r="B84" i="19"/>
  <c r="F83" i="19"/>
  <c r="E83" i="19"/>
  <c r="D83" i="19"/>
  <c r="C83" i="19"/>
  <c r="B83" i="19"/>
  <c r="F82" i="19"/>
  <c r="E82" i="19"/>
  <c r="D82" i="19"/>
  <c r="C82" i="19"/>
  <c r="B82" i="19"/>
  <c r="F81" i="19"/>
  <c r="E81" i="19"/>
  <c r="D81" i="19"/>
  <c r="C81" i="19"/>
  <c r="B81" i="19"/>
  <c r="F80" i="19"/>
  <c r="E80" i="19"/>
  <c r="D80" i="19"/>
  <c r="C80" i="19"/>
  <c r="B80" i="19"/>
  <c r="F79" i="19"/>
  <c r="E79" i="19"/>
  <c r="D79" i="19"/>
  <c r="C79" i="19"/>
  <c r="B79" i="19"/>
  <c r="F78" i="19"/>
  <c r="E78" i="19"/>
  <c r="D78" i="19"/>
  <c r="C78" i="19"/>
  <c r="B78" i="19"/>
  <c r="F77" i="19"/>
  <c r="E77" i="19"/>
  <c r="D77" i="19"/>
  <c r="C77" i="19"/>
  <c r="B77" i="19"/>
  <c r="F76" i="19"/>
  <c r="E76" i="19"/>
  <c r="D76" i="19"/>
  <c r="C76" i="19"/>
  <c r="B76" i="19"/>
  <c r="F75" i="19"/>
  <c r="E75" i="19"/>
  <c r="D75" i="19"/>
  <c r="C75" i="19"/>
  <c r="B75" i="19"/>
  <c r="F74" i="19"/>
  <c r="E74" i="19"/>
  <c r="D74" i="19"/>
  <c r="C74" i="19"/>
  <c r="B74" i="19"/>
  <c r="F73" i="19"/>
  <c r="E73" i="19"/>
  <c r="D73" i="19"/>
  <c r="C73" i="19"/>
  <c r="B73" i="19"/>
  <c r="F72" i="19"/>
  <c r="E72" i="19"/>
  <c r="D72" i="19"/>
  <c r="C72" i="19"/>
  <c r="B72" i="19"/>
  <c r="F71" i="19"/>
  <c r="E71" i="19"/>
  <c r="D71" i="19"/>
  <c r="C71" i="19"/>
  <c r="B71" i="19"/>
  <c r="F70" i="19"/>
  <c r="E70" i="19"/>
  <c r="D70" i="19"/>
  <c r="C70" i="19"/>
  <c r="B70" i="19"/>
  <c r="F69" i="19"/>
  <c r="E69" i="19"/>
  <c r="D69" i="19"/>
  <c r="C69" i="19"/>
  <c r="B69" i="19"/>
  <c r="F68" i="19"/>
  <c r="E68" i="19"/>
  <c r="D68" i="19"/>
  <c r="C68" i="19"/>
  <c r="B68" i="19"/>
  <c r="F67" i="19"/>
  <c r="E67" i="19"/>
  <c r="D67" i="19"/>
  <c r="C67" i="19"/>
  <c r="B67" i="19"/>
  <c r="F66" i="19"/>
  <c r="E66" i="19"/>
  <c r="D66" i="19"/>
  <c r="C66" i="19"/>
  <c r="B66" i="19"/>
  <c r="F65" i="19"/>
  <c r="E65" i="19"/>
  <c r="D65" i="19"/>
  <c r="C65" i="19"/>
  <c r="B65" i="19"/>
  <c r="F64" i="19"/>
  <c r="E64" i="19"/>
  <c r="D64" i="19"/>
  <c r="C64" i="19"/>
  <c r="B64" i="19"/>
  <c r="F63" i="19"/>
  <c r="E63" i="19"/>
  <c r="D63" i="19"/>
  <c r="C63" i="19"/>
  <c r="B63" i="19"/>
  <c r="F62" i="19"/>
  <c r="E62" i="19"/>
  <c r="D62" i="19"/>
  <c r="C62" i="19"/>
  <c r="B62" i="19"/>
  <c r="F61" i="19"/>
  <c r="E61" i="19"/>
  <c r="D61" i="19"/>
  <c r="C61" i="19"/>
  <c r="B61" i="19"/>
  <c r="F60" i="19"/>
  <c r="E60" i="19"/>
  <c r="D60" i="19"/>
  <c r="C60" i="19"/>
  <c r="B60" i="19"/>
  <c r="F59" i="19"/>
  <c r="E59" i="19"/>
  <c r="D59" i="19"/>
  <c r="C59" i="19"/>
  <c r="B59" i="19"/>
  <c r="F58" i="19"/>
  <c r="E58" i="19"/>
  <c r="D58" i="19"/>
  <c r="C58" i="19"/>
  <c r="B58" i="19"/>
  <c r="F57" i="19"/>
  <c r="E57" i="19"/>
  <c r="D57" i="19"/>
  <c r="C57" i="19"/>
  <c r="B57" i="19"/>
  <c r="F56" i="19"/>
  <c r="E56" i="19"/>
  <c r="D56" i="19"/>
  <c r="C56" i="19"/>
  <c r="B56" i="19"/>
  <c r="F55" i="19"/>
  <c r="E55" i="19"/>
  <c r="D55" i="19"/>
  <c r="C55" i="19"/>
  <c r="B55" i="19"/>
  <c r="F54" i="19"/>
  <c r="E54" i="19"/>
  <c r="D54" i="19"/>
  <c r="C54" i="19"/>
  <c r="B54" i="19"/>
  <c r="F53" i="19"/>
  <c r="E53" i="19"/>
  <c r="D53" i="19"/>
  <c r="C53" i="19"/>
  <c r="B53" i="19"/>
  <c r="F52" i="19"/>
  <c r="E52" i="19"/>
  <c r="D52" i="19"/>
  <c r="C52" i="19"/>
  <c r="B52" i="19"/>
  <c r="F51" i="19"/>
  <c r="E51" i="19"/>
  <c r="D51" i="19"/>
  <c r="C51" i="19"/>
  <c r="B51" i="19"/>
  <c r="F50" i="19"/>
  <c r="E50" i="19"/>
  <c r="D50" i="19"/>
  <c r="C50" i="19"/>
  <c r="B50" i="19"/>
  <c r="F49" i="19"/>
  <c r="E49" i="19"/>
  <c r="D49" i="19"/>
  <c r="C49" i="19"/>
  <c r="B49" i="19"/>
  <c r="F48" i="19"/>
  <c r="E48" i="19"/>
  <c r="D48" i="19"/>
  <c r="C48" i="19"/>
  <c r="B48" i="19"/>
  <c r="F47" i="19"/>
  <c r="E47" i="19"/>
  <c r="D47" i="19"/>
  <c r="C47" i="19"/>
  <c r="B47" i="19"/>
  <c r="F46" i="19"/>
  <c r="E46" i="19"/>
  <c r="D46" i="19"/>
  <c r="C46" i="19"/>
  <c r="B46" i="19"/>
  <c r="F45" i="19"/>
  <c r="E45" i="19"/>
  <c r="D45" i="19"/>
  <c r="C45" i="19"/>
  <c r="B45" i="19"/>
  <c r="F44" i="19"/>
  <c r="E44" i="19"/>
  <c r="D44" i="19"/>
  <c r="C44" i="19"/>
  <c r="B44" i="19"/>
  <c r="F43" i="19"/>
  <c r="E43" i="19"/>
  <c r="D43" i="19"/>
  <c r="C43" i="19"/>
  <c r="B43" i="19"/>
  <c r="F42" i="19"/>
  <c r="E42" i="19"/>
  <c r="D42" i="19"/>
  <c r="C42" i="19"/>
  <c r="B42" i="19"/>
  <c r="F41" i="19"/>
  <c r="E41" i="19"/>
  <c r="D41" i="19"/>
  <c r="C41" i="19"/>
  <c r="B41" i="19"/>
  <c r="F40" i="19"/>
  <c r="E40" i="19"/>
  <c r="D40" i="19"/>
  <c r="C40" i="19"/>
  <c r="B40" i="19"/>
  <c r="F39" i="19"/>
  <c r="E39" i="19"/>
  <c r="D39" i="19"/>
  <c r="C39" i="19"/>
  <c r="B39" i="19"/>
  <c r="F38" i="19"/>
  <c r="E38" i="19"/>
  <c r="D38" i="19"/>
  <c r="C38" i="19"/>
  <c r="B38" i="19"/>
  <c r="F37" i="19"/>
  <c r="E37" i="19"/>
  <c r="D37" i="19"/>
  <c r="C37" i="19"/>
  <c r="B37" i="19"/>
  <c r="F36" i="19"/>
  <c r="E36" i="19"/>
  <c r="D36" i="19"/>
  <c r="C36" i="19"/>
  <c r="B36" i="19"/>
  <c r="F35" i="19"/>
  <c r="E35" i="19"/>
  <c r="D35" i="19"/>
  <c r="C35" i="19"/>
  <c r="B35" i="19"/>
  <c r="F34" i="19"/>
  <c r="E34" i="19"/>
  <c r="D34" i="19"/>
  <c r="C34" i="19"/>
  <c r="B34" i="19"/>
  <c r="F33" i="19"/>
  <c r="E33" i="19"/>
  <c r="D33" i="19"/>
  <c r="C33" i="19"/>
  <c r="B33" i="19"/>
  <c r="F32" i="19"/>
  <c r="E32" i="19"/>
  <c r="D32" i="19"/>
  <c r="C32" i="19"/>
  <c r="B32" i="19"/>
  <c r="F31" i="19"/>
  <c r="E31" i="19"/>
  <c r="D31" i="19"/>
  <c r="C31" i="19"/>
  <c r="B31" i="19"/>
  <c r="F30" i="19"/>
  <c r="E30" i="19"/>
  <c r="D30" i="19"/>
  <c r="C30" i="19"/>
  <c r="B30" i="19"/>
  <c r="F29" i="19"/>
  <c r="E29" i="19"/>
  <c r="D29" i="19"/>
  <c r="C29" i="19"/>
  <c r="B29" i="19"/>
  <c r="F28" i="19"/>
  <c r="E28" i="19"/>
  <c r="D28" i="19"/>
  <c r="C28" i="19"/>
  <c r="B28" i="19"/>
  <c r="F27" i="19"/>
  <c r="E27" i="19"/>
  <c r="D27" i="19"/>
  <c r="C27" i="19"/>
  <c r="B27" i="19"/>
  <c r="F26" i="19"/>
  <c r="E26" i="19"/>
  <c r="D26" i="19"/>
  <c r="C26" i="19"/>
  <c r="B26" i="19"/>
  <c r="F25" i="19"/>
  <c r="E25" i="19"/>
  <c r="D25" i="19"/>
  <c r="C25" i="19"/>
  <c r="B25" i="19"/>
  <c r="F24" i="19"/>
  <c r="E24" i="19"/>
  <c r="D24" i="19"/>
  <c r="C24" i="19"/>
  <c r="B24" i="19"/>
  <c r="F23" i="19"/>
  <c r="E23" i="19"/>
  <c r="D23" i="19"/>
  <c r="C23" i="19"/>
  <c r="B23" i="19"/>
  <c r="F22" i="19"/>
  <c r="E22" i="19"/>
  <c r="D22" i="19"/>
  <c r="C22" i="19"/>
  <c r="B22" i="19"/>
  <c r="F21" i="19"/>
  <c r="E21" i="19"/>
  <c r="D21" i="19"/>
  <c r="C21" i="19"/>
  <c r="B21" i="19"/>
  <c r="F20" i="19"/>
  <c r="E20" i="19"/>
  <c r="D20" i="19"/>
  <c r="C20" i="19"/>
  <c r="B20" i="19"/>
  <c r="F19" i="19"/>
  <c r="E19" i="19"/>
  <c r="D19" i="19"/>
  <c r="C19" i="19"/>
  <c r="B19" i="19"/>
  <c r="F18" i="19"/>
  <c r="E18" i="19"/>
  <c r="D18" i="19"/>
  <c r="C18" i="19"/>
  <c r="B18" i="19"/>
  <c r="F17" i="19"/>
  <c r="E17" i="19"/>
  <c r="D17" i="19"/>
  <c r="C17" i="19"/>
  <c r="B17" i="19"/>
  <c r="F16" i="19"/>
  <c r="E16" i="19"/>
  <c r="D16" i="19"/>
  <c r="C16" i="19"/>
  <c r="B16" i="19"/>
  <c r="F15" i="19"/>
  <c r="E15" i="19"/>
  <c r="D15" i="19"/>
  <c r="C15" i="19"/>
  <c r="B15" i="19"/>
  <c r="F14" i="19"/>
  <c r="E14" i="19"/>
  <c r="D14" i="19"/>
  <c r="C14" i="19"/>
  <c r="B14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G3" i="19"/>
  <c r="F3" i="19"/>
  <c r="E3" i="19"/>
  <c r="D3" i="19"/>
  <c r="C3" i="19"/>
  <c r="B3" i="19"/>
  <c r="F187" i="18"/>
  <c r="E187" i="18"/>
  <c r="D187" i="18"/>
  <c r="C187" i="18"/>
  <c r="B187" i="18"/>
  <c r="F186" i="18"/>
  <c r="E186" i="18"/>
  <c r="D186" i="18"/>
  <c r="C186" i="18"/>
  <c r="B186" i="18"/>
  <c r="F185" i="18"/>
  <c r="E185" i="18"/>
  <c r="D185" i="18"/>
  <c r="C185" i="18"/>
  <c r="B185" i="18"/>
  <c r="F184" i="18"/>
  <c r="E184" i="18"/>
  <c r="D184" i="18"/>
  <c r="C184" i="18"/>
  <c r="B184" i="18"/>
  <c r="F183" i="18"/>
  <c r="E183" i="18"/>
  <c r="D183" i="18"/>
  <c r="C183" i="18"/>
  <c r="B183" i="18"/>
  <c r="F182" i="18"/>
  <c r="E182" i="18"/>
  <c r="D182" i="18"/>
  <c r="C182" i="18"/>
  <c r="B182" i="18"/>
  <c r="F181" i="18"/>
  <c r="E181" i="18"/>
  <c r="D181" i="18"/>
  <c r="C181" i="18"/>
  <c r="B181" i="18"/>
  <c r="F180" i="18"/>
  <c r="E180" i="18"/>
  <c r="D180" i="18"/>
  <c r="C180" i="18"/>
  <c r="B180" i="18"/>
  <c r="F179" i="18"/>
  <c r="E179" i="18"/>
  <c r="D179" i="18"/>
  <c r="C179" i="18"/>
  <c r="B179" i="18"/>
  <c r="F178" i="18"/>
  <c r="E178" i="18"/>
  <c r="D178" i="18"/>
  <c r="C178" i="18"/>
  <c r="B178" i="18"/>
  <c r="F177" i="18"/>
  <c r="E177" i="18"/>
  <c r="D177" i="18"/>
  <c r="C177" i="18"/>
  <c r="B177" i="18"/>
  <c r="F176" i="18"/>
  <c r="E176" i="18"/>
  <c r="D176" i="18"/>
  <c r="C176" i="18"/>
  <c r="B176" i="18"/>
  <c r="F175" i="18"/>
  <c r="E175" i="18"/>
  <c r="D175" i="18"/>
  <c r="C175" i="18"/>
  <c r="B175" i="18"/>
  <c r="F174" i="18"/>
  <c r="E174" i="18"/>
  <c r="D174" i="18"/>
  <c r="C174" i="18"/>
  <c r="B174" i="18"/>
  <c r="F173" i="18"/>
  <c r="E173" i="18"/>
  <c r="D173" i="18"/>
  <c r="C173" i="18"/>
  <c r="B173" i="18"/>
  <c r="F172" i="18"/>
  <c r="E172" i="18"/>
  <c r="D172" i="18"/>
  <c r="C172" i="18"/>
  <c r="B172" i="18"/>
  <c r="F171" i="18"/>
  <c r="E171" i="18"/>
  <c r="D171" i="18"/>
  <c r="C171" i="18"/>
  <c r="B171" i="18"/>
  <c r="F170" i="18"/>
  <c r="E170" i="18"/>
  <c r="D170" i="18"/>
  <c r="C170" i="18"/>
  <c r="B170" i="18"/>
  <c r="F169" i="18"/>
  <c r="E169" i="18"/>
  <c r="D169" i="18"/>
  <c r="C169" i="18"/>
  <c r="B169" i="18"/>
  <c r="F168" i="18"/>
  <c r="E168" i="18"/>
  <c r="D168" i="18"/>
  <c r="C168" i="18"/>
  <c r="B168" i="18"/>
  <c r="F167" i="18"/>
  <c r="E167" i="18"/>
  <c r="D167" i="18"/>
  <c r="C167" i="18"/>
  <c r="B167" i="18"/>
  <c r="F166" i="18"/>
  <c r="E166" i="18"/>
  <c r="D166" i="18"/>
  <c r="C166" i="18"/>
  <c r="B166" i="18"/>
  <c r="F165" i="18"/>
  <c r="E165" i="18"/>
  <c r="D165" i="18"/>
  <c r="C165" i="18"/>
  <c r="B165" i="18"/>
  <c r="F164" i="18"/>
  <c r="E164" i="18"/>
  <c r="D164" i="18"/>
  <c r="C164" i="18"/>
  <c r="B164" i="18"/>
  <c r="F163" i="18"/>
  <c r="E163" i="18"/>
  <c r="D163" i="18"/>
  <c r="C163" i="18"/>
  <c r="B163" i="18"/>
  <c r="F162" i="18"/>
  <c r="E162" i="18"/>
  <c r="D162" i="18"/>
  <c r="C162" i="18"/>
  <c r="B162" i="18"/>
  <c r="F161" i="18"/>
  <c r="E161" i="18"/>
  <c r="D161" i="18"/>
  <c r="C161" i="18"/>
  <c r="B161" i="18"/>
  <c r="F160" i="18"/>
  <c r="E160" i="18"/>
  <c r="D160" i="18"/>
  <c r="C160" i="18"/>
  <c r="B160" i="18"/>
  <c r="F159" i="18"/>
  <c r="E159" i="18"/>
  <c r="D159" i="18"/>
  <c r="C159" i="18"/>
  <c r="B159" i="18"/>
  <c r="F158" i="18"/>
  <c r="E158" i="18"/>
  <c r="D158" i="18"/>
  <c r="C158" i="18"/>
  <c r="B158" i="18"/>
  <c r="F157" i="18"/>
  <c r="E157" i="18"/>
  <c r="D157" i="18"/>
  <c r="C157" i="18"/>
  <c r="B157" i="18"/>
  <c r="F156" i="18"/>
  <c r="E156" i="18"/>
  <c r="D156" i="18"/>
  <c r="C156" i="18"/>
  <c r="B156" i="18"/>
  <c r="F155" i="18"/>
  <c r="E155" i="18"/>
  <c r="D155" i="18"/>
  <c r="C155" i="18"/>
  <c r="B155" i="18"/>
  <c r="F154" i="18"/>
  <c r="E154" i="18"/>
  <c r="D154" i="18"/>
  <c r="C154" i="18"/>
  <c r="B154" i="18"/>
  <c r="F153" i="18"/>
  <c r="E153" i="18"/>
  <c r="D153" i="18"/>
  <c r="C153" i="18"/>
  <c r="B153" i="18"/>
  <c r="F152" i="18"/>
  <c r="E152" i="18"/>
  <c r="D152" i="18"/>
  <c r="C152" i="18"/>
  <c r="B152" i="18"/>
  <c r="F151" i="18"/>
  <c r="E151" i="18"/>
  <c r="D151" i="18"/>
  <c r="C151" i="18"/>
  <c r="B151" i="18"/>
  <c r="F150" i="18"/>
  <c r="E150" i="18"/>
  <c r="D150" i="18"/>
  <c r="C150" i="18"/>
  <c r="B150" i="18"/>
  <c r="F149" i="18"/>
  <c r="E149" i="18"/>
  <c r="D149" i="18"/>
  <c r="C149" i="18"/>
  <c r="B149" i="18"/>
  <c r="F148" i="18"/>
  <c r="E148" i="18"/>
  <c r="D148" i="18"/>
  <c r="C148" i="18"/>
  <c r="B148" i="18"/>
  <c r="F147" i="18"/>
  <c r="E147" i="18"/>
  <c r="D147" i="18"/>
  <c r="C147" i="18"/>
  <c r="B147" i="18"/>
  <c r="F146" i="18"/>
  <c r="E146" i="18"/>
  <c r="D146" i="18"/>
  <c r="C146" i="18"/>
  <c r="B146" i="18"/>
  <c r="F145" i="18"/>
  <c r="E145" i="18"/>
  <c r="D145" i="18"/>
  <c r="C145" i="18"/>
  <c r="B145" i="18"/>
  <c r="F144" i="18"/>
  <c r="E144" i="18"/>
  <c r="D144" i="18"/>
  <c r="C144" i="18"/>
  <c r="B144" i="18"/>
  <c r="F143" i="18"/>
  <c r="E143" i="18"/>
  <c r="D143" i="18"/>
  <c r="C143" i="18"/>
  <c r="B143" i="18"/>
  <c r="F142" i="18"/>
  <c r="E142" i="18"/>
  <c r="D142" i="18"/>
  <c r="C142" i="18"/>
  <c r="B142" i="18"/>
  <c r="F141" i="18"/>
  <c r="E141" i="18"/>
  <c r="D141" i="18"/>
  <c r="C141" i="18"/>
  <c r="B141" i="18"/>
  <c r="F140" i="18"/>
  <c r="E140" i="18"/>
  <c r="D140" i="18"/>
  <c r="C140" i="18"/>
  <c r="B140" i="18"/>
  <c r="F139" i="18"/>
  <c r="E139" i="18"/>
  <c r="D139" i="18"/>
  <c r="C139" i="18"/>
  <c r="B139" i="18"/>
  <c r="F138" i="18"/>
  <c r="E138" i="18"/>
  <c r="D138" i="18"/>
  <c r="C138" i="18"/>
  <c r="B138" i="18"/>
  <c r="F137" i="18"/>
  <c r="E137" i="18"/>
  <c r="D137" i="18"/>
  <c r="C137" i="18"/>
  <c r="B137" i="18"/>
  <c r="F136" i="18"/>
  <c r="E136" i="18"/>
  <c r="D136" i="18"/>
  <c r="C136" i="18"/>
  <c r="B136" i="18"/>
  <c r="F135" i="18"/>
  <c r="E135" i="18"/>
  <c r="D135" i="18"/>
  <c r="C135" i="18"/>
  <c r="B135" i="18"/>
  <c r="F134" i="18"/>
  <c r="E134" i="18"/>
  <c r="D134" i="18"/>
  <c r="C134" i="18"/>
  <c r="B134" i="18"/>
  <c r="F133" i="18"/>
  <c r="E133" i="18"/>
  <c r="D133" i="18"/>
  <c r="C133" i="18"/>
  <c r="B133" i="18"/>
  <c r="F132" i="18"/>
  <c r="E132" i="18"/>
  <c r="D132" i="18"/>
  <c r="C132" i="18"/>
  <c r="B132" i="18"/>
  <c r="F131" i="18"/>
  <c r="E131" i="18"/>
  <c r="D131" i="18"/>
  <c r="C131" i="18"/>
  <c r="B131" i="18"/>
  <c r="F130" i="18"/>
  <c r="E130" i="18"/>
  <c r="D130" i="18"/>
  <c r="C130" i="18"/>
  <c r="B130" i="18"/>
  <c r="F129" i="18"/>
  <c r="E129" i="18"/>
  <c r="D129" i="18"/>
  <c r="C129" i="18"/>
  <c r="B129" i="18"/>
  <c r="F128" i="18"/>
  <c r="E128" i="18"/>
  <c r="D128" i="18"/>
  <c r="C128" i="18"/>
  <c r="B128" i="18"/>
  <c r="F127" i="18"/>
  <c r="E127" i="18"/>
  <c r="D127" i="18"/>
  <c r="C127" i="18"/>
  <c r="B127" i="18"/>
  <c r="F126" i="18"/>
  <c r="E126" i="18"/>
  <c r="D126" i="18"/>
  <c r="C126" i="18"/>
  <c r="B126" i="18"/>
  <c r="F125" i="18"/>
  <c r="E125" i="18"/>
  <c r="D125" i="18"/>
  <c r="C125" i="18"/>
  <c r="B125" i="18"/>
  <c r="F124" i="18"/>
  <c r="E124" i="18"/>
  <c r="D124" i="18"/>
  <c r="C124" i="18"/>
  <c r="B124" i="18"/>
  <c r="F123" i="18"/>
  <c r="E123" i="18"/>
  <c r="D123" i="18"/>
  <c r="C123" i="18"/>
  <c r="B123" i="18"/>
  <c r="F122" i="18"/>
  <c r="E122" i="18"/>
  <c r="D122" i="18"/>
  <c r="C122" i="18"/>
  <c r="B122" i="18"/>
  <c r="F121" i="18"/>
  <c r="E121" i="18"/>
  <c r="D121" i="18"/>
  <c r="C121" i="18"/>
  <c r="B121" i="18"/>
  <c r="F120" i="18"/>
  <c r="E120" i="18"/>
  <c r="D120" i="18"/>
  <c r="C120" i="18"/>
  <c r="B120" i="18"/>
  <c r="F119" i="18"/>
  <c r="E119" i="18"/>
  <c r="D119" i="18"/>
  <c r="C119" i="18"/>
  <c r="B119" i="18"/>
  <c r="F118" i="18"/>
  <c r="E118" i="18"/>
  <c r="D118" i="18"/>
  <c r="C118" i="18"/>
  <c r="B118" i="18"/>
  <c r="F117" i="18"/>
  <c r="E117" i="18"/>
  <c r="D117" i="18"/>
  <c r="C117" i="18"/>
  <c r="B117" i="18"/>
  <c r="F116" i="18"/>
  <c r="E116" i="18"/>
  <c r="D116" i="18"/>
  <c r="C116" i="18"/>
  <c r="B116" i="18"/>
  <c r="F115" i="18"/>
  <c r="E115" i="18"/>
  <c r="D115" i="18"/>
  <c r="C115" i="18"/>
  <c r="B115" i="18"/>
  <c r="F114" i="18"/>
  <c r="E114" i="18"/>
  <c r="D114" i="18"/>
  <c r="C114" i="18"/>
  <c r="B114" i="18"/>
  <c r="F113" i="18"/>
  <c r="E113" i="18"/>
  <c r="D113" i="18"/>
  <c r="C113" i="18"/>
  <c r="B113" i="18"/>
  <c r="F112" i="18"/>
  <c r="E112" i="18"/>
  <c r="D112" i="18"/>
  <c r="C112" i="18"/>
  <c r="B112" i="18"/>
  <c r="F111" i="18"/>
  <c r="E111" i="18"/>
  <c r="D111" i="18"/>
  <c r="C111" i="18"/>
  <c r="B111" i="18"/>
  <c r="F110" i="18"/>
  <c r="E110" i="18"/>
  <c r="D110" i="18"/>
  <c r="C110" i="18"/>
  <c r="B110" i="18"/>
  <c r="F109" i="18"/>
  <c r="E109" i="18"/>
  <c r="D109" i="18"/>
  <c r="C109" i="18"/>
  <c r="B109" i="18"/>
  <c r="F108" i="18"/>
  <c r="E108" i="18"/>
  <c r="D108" i="18"/>
  <c r="C108" i="18"/>
  <c r="B108" i="18"/>
  <c r="F107" i="18"/>
  <c r="E107" i="18"/>
  <c r="D107" i="18"/>
  <c r="C107" i="18"/>
  <c r="B107" i="18"/>
  <c r="F106" i="18"/>
  <c r="E106" i="18"/>
  <c r="D106" i="18"/>
  <c r="C106" i="18"/>
  <c r="B106" i="18"/>
  <c r="F105" i="18"/>
  <c r="E105" i="18"/>
  <c r="D105" i="18"/>
  <c r="C105" i="18"/>
  <c r="B105" i="18"/>
  <c r="F104" i="18"/>
  <c r="E104" i="18"/>
  <c r="D104" i="18"/>
  <c r="C104" i="18"/>
  <c r="B104" i="18"/>
  <c r="F103" i="18"/>
  <c r="E103" i="18"/>
  <c r="D103" i="18"/>
  <c r="C103" i="18"/>
  <c r="B103" i="18"/>
  <c r="F102" i="18"/>
  <c r="E102" i="18"/>
  <c r="D102" i="18"/>
  <c r="C102" i="18"/>
  <c r="B102" i="18"/>
  <c r="F101" i="18"/>
  <c r="E101" i="18"/>
  <c r="D101" i="18"/>
  <c r="C101" i="18"/>
  <c r="B101" i="18"/>
  <c r="F100" i="18"/>
  <c r="E100" i="18"/>
  <c r="D100" i="18"/>
  <c r="C100" i="18"/>
  <c r="B100" i="18"/>
  <c r="F99" i="18"/>
  <c r="E99" i="18"/>
  <c r="D99" i="18"/>
  <c r="C99" i="18"/>
  <c r="B99" i="18"/>
  <c r="F98" i="18"/>
  <c r="E98" i="18"/>
  <c r="D98" i="18"/>
  <c r="C98" i="18"/>
  <c r="B98" i="18"/>
  <c r="F97" i="18"/>
  <c r="E97" i="18"/>
  <c r="D97" i="18"/>
  <c r="C97" i="18"/>
  <c r="B97" i="18"/>
  <c r="F96" i="18"/>
  <c r="E96" i="18"/>
  <c r="D96" i="18"/>
  <c r="C96" i="18"/>
  <c r="B96" i="18"/>
  <c r="F95" i="18"/>
  <c r="E95" i="18"/>
  <c r="D95" i="18"/>
  <c r="C95" i="18"/>
  <c r="B95" i="18"/>
  <c r="F94" i="18"/>
  <c r="E94" i="18"/>
  <c r="D94" i="18"/>
  <c r="C94" i="18"/>
  <c r="B94" i="18"/>
  <c r="F93" i="18"/>
  <c r="E93" i="18"/>
  <c r="D93" i="18"/>
  <c r="C93" i="18"/>
  <c r="B93" i="18"/>
  <c r="F92" i="18"/>
  <c r="E92" i="18"/>
  <c r="D92" i="18"/>
  <c r="C92" i="18"/>
  <c r="B92" i="18"/>
  <c r="F91" i="18"/>
  <c r="E91" i="18"/>
  <c r="D91" i="18"/>
  <c r="C91" i="18"/>
  <c r="B91" i="18"/>
  <c r="F90" i="18"/>
  <c r="E90" i="18"/>
  <c r="D90" i="18"/>
  <c r="C90" i="18"/>
  <c r="B90" i="18"/>
  <c r="F89" i="18"/>
  <c r="E89" i="18"/>
  <c r="D89" i="18"/>
  <c r="C89" i="18"/>
  <c r="B89" i="18"/>
  <c r="F88" i="18"/>
  <c r="E88" i="18"/>
  <c r="D88" i="18"/>
  <c r="C88" i="18"/>
  <c r="B88" i="18"/>
  <c r="F87" i="18"/>
  <c r="E87" i="18"/>
  <c r="D87" i="18"/>
  <c r="C87" i="18"/>
  <c r="B87" i="18"/>
  <c r="F86" i="18"/>
  <c r="E86" i="18"/>
  <c r="D86" i="18"/>
  <c r="C86" i="18"/>
  <c r="B86" i="18"/>
  <c r="F85" i="18"/>
  <c r="E85" i="18"/>
  <c r="D85" i="18"/>
  <c r="C85" i="18"/>
  <c r="B85" i="18"/>
  <c r="F84" i="18"/>
  <c r="E84" i="18"/>
  <c r="D84" i="18"/>
  <c r="C84" i="18"/>
  <c r="B84" i="18"/>
  <c r="F83" i="18"/>
  <c r="E83" i="18"/>
  <c r="D83" i="18"/>
  <c r="C83" i="18"/>
  <c r="B83" i="18"/>
  <c r="F82" i="18"/>
  <c r="E82" i="18"/>
  <c r="D82" i="18"/>
  <c r="C82" i="18"/>
  <c r="B82" i="18"/>
  <c r="F81" i="18"/>
  <c r="E81" i="18"/>
  <c r="D81" i="18"/>
  <c r="C81" i="18"/>
  <c r="B81" i="18"/>
  <c r="F80" i="18"/>
  <c r="E80" i="18"/>
  <c r="D80" i="18"/>
  <c r="C80" i="18"/>
  <c r="B80" i="18"/>
  <c r="F79" i="18"/>
  <c r="E79" i="18"/>
  <c r="D79" i="18"/>
  <c r="C79" i="18"/>
  <c r="B79" i="18"/>
  <c r="F78" i="18"/>
  <c r="E78" i="18"/>
  <c r="D78" i="18"/>
  <c r="C78" i="18"/>
  <c r="B78" i="18"/>
  <c r="F77" i="18"/>
  <c r="E77" i="18"/>
  <c r="D77" i="18"/>
  <c r="C77" i="18"/>
  <c r="B77" i="18"/>
  <c r="F76" i="18"/>
  <c r="E76" i="18"/>
  <c r="D76" i="18"/>
  <c r="C76" i="18"/>
  <c r="B76" i="18"/>
  <c r="F75" i="18"/>
  <c r="E75" i="18"/>
  <c r="D75" i="18"/>
  <c r="C75" i="18"/>
  <c r="B75" i="18"/>
  <c r="F74" i="18"/>
  <c r="E74" i="18"/>
  <c r="D74" i="18"/>
  <c r="C74" i="18"/>
  <c r="B74" i="18"/>
  <c r="F73" i="18"/>
  <c r="E73" i="18"/>
  <c r="D73" i="18"/>
  <c r="C73" i="18"/>
  <c r="B73" i="18"/>
  <c r="F72" i="18"/>
  <c r="E72" i="18"/>
  <c r="D72" i="18"/>
  <c r="C72" i="18"/>
  <c r="B72" i="18"/>
  <c r="F71" i="18"/>
  <c r="E71" i="18"/>
  <c r="D71" i="18"/>
  <c r="C71" i="18"/>
  <c r="B71" i="18"/>
  <c r="F70" i="18"/>
  <c r="E70" i="18"/>
  <c r="D70" i="18"/>
  <c r="C70" i="18"/>
  <c r="B70" i="18"/>
  <c r="F69" i="18"/>
  <c r="E69" i="18"/>
  <c r="D69" i="18"/>
  <c r="C69" i="18"/>
  <c r="B69" i="18"/>
  <c r="F68" i="18"/>
  <c r="E68" i="18"/>
  <c r="D68" i="18"/>
  <c r="C68" i="18"/>
  <c r="B68" i="18"/>
  <c r="F67" i="18"/>
  <c r="E67" i="18"/>
  <c r="D67" i="18"/>
  <c r="C67" i="18"/>
  <c r="B67" i="18"/>
  <c r="F66" i="18"/>
  <c r="E66" i="18"/>
  <c r="D66" i="18"/>
  <c r="C66" i="18"/>
  <c r="B66" i="18"/>
  <c r="F65" i="18"/>
  <c r="E65" i="18"/>
  <c r="D65" i="18"/>
  <c r="C65" i="18"/>
  <c r="B65" i="18"/>
  <c r="F64" i="18"/>
  <c r="E64" i="18"/>
  <c r="D64" i="18"/>
  <c r="C64" i="18"/>
  <c r="B64" i="18"/>
  <c r="F63" i="18"/>
  <c r="E63" i="18"/>
  <c r="D63" i="18"/>
  <c r="C63" i="18"/>
  <c r="B63" i="18"/>
  <c r="F62" i="18"/>
  <c r="E62" i="18"/>
  <c r="D62" i="18"/>
  <c r="C62" i="18"/>
  <c r="B62" i="18"/>
  <c r="F61" i="18"/>
  <c r="E61" i="18"/>
  <c r="D61" i="18"/>
  <c r="C61" i="18"/>
  <c r="B61" i="18"/>
  <c r="F60" i="18"/>
  <c r="E60" i="18"/>
  <c r="D60" i="18"/>
  <c r="C60" i="18"/>
  <c r="B60" i="18"/>
  <c r="F59" i="18"/>
  <c r="E59" i="18"/>
  <c r="D59" i="18"/>
  <c r="C59" i="18"/>
  <c r="B59" i="18"/>
  <c r="F58" i="18"/>
  <c r="E58" i="18"/>
  <c r="D58" i="18"/>
  <c r="C58" i="18"/>
  <c r="B58" i="18"/>
  <c r="F57" i="18"/>
  <c r="E57" i="18"/>
  <c r="D57" i="18"/>
  <c r="C57" i="18"/>
  <c r="B57" i="18"/>
  <c r="F56" i="18"/>
  <c r="E56" i="18"/>
  <c r="D56" i="18"/>
  <c r="C56" i="18"/>
  <c r="B56" i="18"/>
  <c r="F55" i="18"/>
  <c r="E55" i="18"/>
  <c r="D55" i="18"/>
  <c r="C55" i="18"/>
  <c r="B55" i="18"/>
  <c r="F54" i="18"/>
  <c r="E54" i="18"/>
  <c r="D54" i="18"/>
  <c r="C54" i="18"/>
  <c r="B54" i="18"/>
  <c r="F53" i="18"/>
  <c r="E53" i="18"/>
  <c r="D53" i="18"/>
  <c r="C53" i="18"/>
  <c r="B53" i="18"/>
  <c r="F52" i="18"/>
  <c r="E52" i="18"/>
  <c r="D52" i="18"/>
  <c r="C52" i="18"/>
  <c r="B52" i="18"/>
  <c r="F51" i="18"/>
  <c r="E51" i="18"/>
  <c r="D51" i="18"/>
  <c r="C51" i="18"/>
  <c r="B51" i="18"/>
  <c r="F50" i="18"/>
  <c r="E50" i="18"/>
  <c r="D50" i="18"/>
  <c r="C50" i="18"/>
  <c r="B50" i="18"/>
  <c r="F49" i="18"/>
  <c r="E49" i="18"/>
  <c r="D49" i="18"/>
  <c r="C49" i="18"/>
  <c r="B49" i="18"/>
  <c r="F48" i="18"/>
  <c r="E48" i="18"/>
  <c r="D48" i="18"/>
  <c r="C48" i="18"/>
  <c r="B48" i="18"/>
  <c r="F47" i="18"/>
  <c r="E47" i="18"/>
  <c r="D47" i="18"/>
  <c r="C47" i="18"/>
  <c r="B47" i="18"/>
  <c r="F46" i="18"/>
  <c r="E46" i="18"/>
  <c r="D46" i="18"/>
  <c r="C46" i="18"/>
  <c r="B46" i="18"/>
  <c r="F45" i="18"/>
  <c r="E45" i="18"/>
  <c r="D45" i="18"/>
  <c r="C45" i="18"/>
  <c r="B45" i="18"/>
  <c r="F44" i="18"/>
  <c r="E44" i="18"/>
  <c r="D44" i="18"/>
  <c r="C44" i="18"/>
  <c r="B44" i="18"/>
  <c r="F43" i="18"/>
  <c r="E43" i="18"/>
  <c r="D43" i="18"/>
  <c r="C43" i="18"/>
  <c r="B43" i="18"/>
  <c r="F42" i="18"/>
  <c r="E42" i="18"/>
  <c r="D42" i="18"/>
  <c r="C42" i="18"/>
  <c r="B42" i="18"/>
  <c r="F41" i="18"/>
  <c r="E41" i="18"/>
  <c r="D41" i="18"/>
  <c r="C41" i="18"/>
  <c r="B41" i="18"/>
  <c r="F40" i="18"/>
  <c r="E40" i="18"/>
  <c r="D40" i="18"/>
  <c r="C40" i="18"/>
  <c r="B40" i="18"/>
  <c r="F39" i="18"/>
  <c r="E39" i="18"/>
  <c r="D39" i="18"/>
  <c r="C39" i="18"/>
  <c r="B39" i="18"/>
  <c r="F38" i="18"/>
  <c r="E38" i="18"/>
  <c r="D38" i="18"/>
  <c r="C38" i="18"/>
  <c r="B38" i="18"/>
  <c r="F37" i="18"/>
  <c r="E37" i="18"/>
  <c r="D37" i="18"/>
  <c r="C37" i="18"/>
  <c r="B37" i="18"/>
  <c r="F36" i="18"/>
  <c r="E36" i="18"/>
  <c r="D36" i="18"/>
  <c r="C36" i="18"/>
  <c r="B36" i="18"/>
  <c r="F35" i="18"/>
  <c r="E35" i="18"/>
  <c r="D35" i="18"/>
  <c r="C35" i="18"/>
  <c r="B35" i="18"/>
  <c r="F34" i="18"/>
  <c r="E34" i="18"/>
  <c r="D34" i="18"/>
  <c r="C34" i="18"/>
  <c r="B34" i="18"/>
  <c r="F33" i="18"/>
  <c r="E33" i="18"/>
  <c r="D33" i="18"/>
  <c r="C33" i="18"/>
  <c r="B33" i="18"/>
  <c r="F32" i="18"/>
  <c r="E32" i="18"/>
  <c r="D32" i="18"/>
  <c r="C32" i="18"/>
  <c r="B32" i="18"/>
  <c r="F31" i="18"/>
  <c r="E31" i="18"/>
  <c r="D31" i="18"/>
  <c r="C31" i="18"/>
  <c r="B31" i="18"/>
  <c r="F30" i="18"/>
  <c r="E30" i="18"/>
  <c r="D30" i="18"/>
  <c r="C30" i="18"/>
  <c r="B30" i="18"/>
  <c r="F29" i="18"/>
  <c r="E29" i="18"/>
  <c r="D29" i="18"/>
  <c r="C29" i="18"/>
  <c r="B29" i="18"/>
  <c r="F28" i="18"/>
  <c r="E28" i="18"/>
  <c r="D28" i="18"/>
  <c r="C28" i="18"/>
  <c r="B28" i="18"/>
  <c r="F27" i="18"/>
  <c r="E27" i="18"/>
  <c r="D27" i="18"/>
  <c r="C27" i="18"/>
  <c r="B27" i="18"/>
  <c r="F26" i="18"/>
  <c r="E26" i="18"/>
  <c r="D26" i="18"/>
  <c r="C26" i="18"/>
  <c r="B26" i="18"/>
  <c r="F25" i="18"/>
  <c r="E25" i="18"/>
  <c r="D25" i="18"/>
  <c r="C25" i="18"/>
  <c r="B25" i="18"/>
  <c r="F24" i="18"/>
  <c r="E24" i="18"/>
  <c r="D24" i="18"/>
  <c r="C24" i="18"/>
  <c r="B24" i="18"/>
  <c r="F23" i="18"/>
  <c r="E23" i="18"/>
  <c r="D23" i="18"/>
  <c r="C23" i="18"/>
  <c r="B23" i="18"/>
  <c r="F22" i="18"/>
  <c r="E22" i="18"/>
  <c r="D22" i="18"/>
  <c r="C22" i="18"/>
  <c r="B22" i="18"/>
  <c r="F21" i="18"/>
  <c r="E21" i="18"/>
  <c r="D21" i="18"/>
  <c r="C21" i="18"/>
  <c r="B21" i="18"/>
  <c r="F20" i="18"/>
  <c r="E20" i="18"/>
  <c r="D20" i="18"/>
  <c r="C20" i="18"/>
  <c r="B20" i="18"/>
  <c r="F19" i="18"/>
  <c r="E19" i="18"/>
  <c r="D19" i="18"/>
  <c r="C19" i="18"/>
  <c r="B19" i="18"/>
  <c r="F18" i="18"/>
  <c r="E18" i="18"/>
  <c r="D18" i="18"/>
  <c r="C18" i="18"/>
  <c r="B18" i="18"/>
  <c r="F17" i="18"/>
  <c r="E17" i="18"/>
  <c r="D17" i="18"/>
  <c r="C17" i="18"/>
  <c r="B17" i="18"/>
  <c r="F16" i="18"/>
  <c r="E16" i="18"/>
  <c r="D16" i="18"/>
  <c r="C16" i="18"/>
  <c r="B16" i="18"/>
  <c r="F15" i="18"/>
  <c r="E15" i="18"/>
  <c r="D15" i="18"/>
  <c r="C15" i="18"/>
  <c r="B15" i="18"/>
  <c r="F14" i="18"/>
  <c r="E14" i="18"/>
  <c r="D14" i="18"/>
  <c r="C14" i="18"/>
  <c r="B14" i="18"/>
  <c r="F13" i="18"/>
  <c r="E13" i="18"/>
  <c r="D13" i="18"/>
  <c r="C13" i="18"/>
  <c r="B13" i="18"/>
  <c r="F12" i="18"/>
  <c r="E12" i="18"/>
  <c r="D12" i="18"/>
  <c r="C12" i="18"/>
  <c r="B12" i="18"/>
  <c r="F11" i="18"/>
  <c r="E11" i="18"/>
  <c r="D11" i="18"/>
  <c r="C11" i="18"/>
  <c r="B11" i="18"/>
  <c r="F10" i="18"/>
  <c r="E10" i="18"/>
  <c r="D10" i="18"/>
  <c r="C10" i="18"/>
  <c r="B10" i="18"/>
  <c r="F9" i="18"/>
  <c r="E9" i="18"/>
  <c r="D9" i="18"/>
  <c r="C9" i="18"/>
  <c r="B9" i="18"/>
  <c r="F8" i="18"/>
  <c r="E8" i="18"/>
  <c r="D8" i="18"/>
  <c r="C8" i="18"/>
  <c r="B8" i="18"/>
  <c r="F7" i="18"/>
  <c r="E7" i="18"/>
  <c r="D7" i="18"/>
  <c r="C7" i="18"/>
  <c r="B7" i="18"/>
  <c r="F6" i="18"/>
  <c r="E6" i="18"/>
  <c r="D6" i="18"/>
  <c r="C6" i="18"/>
  <c r="B6" i="18"/>
  <c r="F5" i="18"/>
  <c r="E5" i="18"/>
  <c r="D5" i="18"/>
  <c r="C5" i="18"/>
  <c r="B5" i="18"/>
  <c r="F4" i="18"/>
  <c r="E4" i="18"/>
  <c r="D4" i="18"/>
  <c r="C4" i="18"/>
  <c r="B4" i="18"/>
  <c r="G3" i="18"/>
  <c r="F3" i="18"/>
  <c r="E3" i="18"/>
  <c r="D3" i="18"/>
  <c r="C3" i="18"/>
  <c r="B3" i="18"/>
  <c r="F187" i="17"/>
  <c r="E187" i="17"/>
  <c r="D187" i="17"/>
  <c r="C187" i="17"/>
  <c r="B187" i="17"/>
  <c r="F186" i="17"/>
  <c r="E186" i="17"/>
  <c r="D186" i="17"/>
  <c r="C186" i="17"/>
  <c r="B186" i="17"/>
  <c r="F185" i="17"/>
  <c r="E185" i="17"/>
  <c r="D185" i="17"/>
  <c r="C185" i="17"/>
  <c r="B185" i="17"/>
  <c r="F184" i="17"/>
  <c r="E184" i="17"/>
  <c r="D184" i="17"/>
  <c r="C184" i="17"/>
  <c r="B184" i="17"/>
  <c r="F183" i="17"/>
  <c r="E183" i="17"/>
  <c r="D183" i="17"/>
  <c r="C183" i="17"/>
  <c r="B183" i="17"/>
  <c r="F182" i="17"/>
  <c r="E182" i="17"/>
  <c r="D182" i="17"/>
  <c r="C182" i="17"/>
  <c r="B182" i="17"/>
  <c r="F181" i="17"/>
  <c r="E181" i="17"/>
  <c r="D181" i="17"/>
  <c r="C181" i="17"/>
  <c r="B181" i="17"/>
  <c r="F180" i="17"/>
  <c r="E180" i="17"/>
  <c r="D180" i="17"/>
  <c r="C180" i="17"/>
  <c r="B180" i="17"/>
  <c r="F179" i="17"/>
  <c r="E179" i="17"/>
  <c r="D179" i="17"/>
  <c r="C179" i="17"/>
  <c r="B179" i="17"/>
  <c r="F178" i="17"/>
  <c r="E178" i="17"/>
  <c r="D178" i="17"/>
  <c r="C178" i="17"/>
  <c r="B178" i="17"/>
  <c r="F177" i="17"/>
  <c r="E177" i="17"/>
  <c r="D177" i="17"/>
  <c r="C177" i="17"/>
  <c r="B177" i="17"/>
  <c r="F176" i="17"/>
  <c r="E176" i="17"/>
  <c r="D176" i="17"/>
  <c r="C176" i="17"/>
  <c r="B176" i="17"/>
  <c r="F175" i="17"/>
  <c r="E175" i="17"/>
  <c r="D175" i="17"/>
  <c r="C175" i="17"/>
  <c r="B175" i="17"/>
  <c r="F174" i="17"/>
  <c r="E174" i="17"/>
  <c r="D174" i="17"/>
  <c r="C174" i="17"/>
  <c r="B174" i="17"/>
  <c r="F173" i="17"/>
  <c r="E173" i="17"/>
  <c r="D173" i="17"/>
  <c r="C173" i="17"/>
  <c r="B173" i="17"/>
  <c r="F172" i="17"/>
  <c r="E172" i="17"/>
  <c r="D172" i="17"/>
  <c r="C172" i="17"/>
  <c r="B172" i="17"/>
  <c r="F171" i="17"/>
  <c r="E171" i="17"/>
  <c r="D171" i="17"/>
  <c r="C171" i="17"/>
  <c r="B171" i="17"/>
  <c r="F170" i="17"/>
  <c r="E170" i="17"/>
  <c r="D170" i="17"/>
  <c r="C170" i="17"/>
  <c r="B170" i="17"/>
  <c r="F169" i="17"/>
  <c r="E169" i="17"/>
  <c r="D169" i="17"/>
  <c r="C169" i="17"/>
  <c r="B169" i="17"/>
  <c r="F168" i="17"/>
  <c r="E168" i="17"/>
  <c r="D168" i="17"/>
  <c r="C168" i="17"/>
  <c r="B168" i="17"/>
  <c r="F167" i="17"/>
  <c r="E167" i="17"/>
  <c r="D167" i="17"/>
  <c r="C167" i="17"/>
  <c r="B167" i="17"/>
  <c r="F166" i="17"/>
  <c r="E166" i="17"/>
  <c r="D166" i="17"/>
  <c r="C166" i="17"/>
  <c r="B166" i="17"/>
  <c r="F165" i="17"/>
  <c r="E165" i="17"/>
  <c r="D165" i="17"/>
  <c r="C165" i="17"/>
  <c r="B165" i="17"/>
  <c r="F164" i="17"/>
  <c r="E164" i="17"/>
  <c r="D164" i="17"/>
  <c r="C164" i="17"/>
  <c r="B164" i="17"/>
  <c r="F163" i="17"/>
  <c r="E163" i="17"/>
  <c r="D163" i="17"/>
  <c r="C163" i="17"/>
  <c r="B163" i="17"/>
  <c r="F162" i="17"/>
  <c r="E162" i="17"/>
  <c r="D162" i="17"/>
  <c r="C162" i="17"/>
  <c r="B162" i="17"/>
  <c r="F161" i="17"/>
  <c r="E161" i="17"/>
  <c r="D161" i="17"/>
  <c r="C161" i="17"/>
  <c r="B161" i="17"/>
  <c r="F160" i="17"/>
  <c r="E160" i="17"/>
  <c r="D160" i="17"/>
  <c r="C160" i="17"/>
  <c r="B160" i="17"/>
  <c r="F159" i="17"/>
  <c r="E159" i="17"/>
  <c r="D159" i="17"/>
  <c r="C159" i="17"/>
  <c r="B159" i="17"/>
  <c r="F158" i="17"/>
  <c r="E158" i="17"/>
  <c r="D158" i="17"/>
  <c r="C158" i="17"/>
  <c r="B158" i="17"/>
  <c r="F157" i="17"/>
  <c r="E157" i="17"/>
  <c r="D157" i="17"/>
  <c r="C157" i="17"/>
  <c r="B157" i="17"/>
  <c r="F156" i="17"/>
  <c r="E156" i="17"/>
  <c r="D156" i="17"/>
  <c r="C156" i="17"/>
  <c r="B156" i="17"/>
  <c r="F155" i="17"/>
  <c r="E155" i="17"/>
  <c r="D155" i="17"/>
  <c r="C155" i="17"/>
  <c r="B155" i="17"/>
  <c r="F154" i="17"/>
  <c r="E154" i="17"/>
  <c r="D154" i="17"/>
  <c r="C154" i="17"/>
  <c r="B154" i="17"/>
  <c r="F153" i="17"/>
  <c r="E153" i="17"/>
  <c r="D153" i="17"/>
  <c r="C153" i="17"/>
  <c r="B153" i="17"/>
  <c r="F152" i="17"/>
  <c r="E152" i="17"/>
  <c r="D152" i="17"/>
  <c r="C152" i="17"/>
  <c r="B152" i="17"/>
  <c r="F151" i="17"/>
  <c r="E151" i="17"/>
  <c r="D151" i="17"/>
  <c r="C151" i="17"/>
  <c r="B151" i="17"/>
  <c r="F150" i="17"/>
  <c r="E150" i="17"/>
  <c r="D150" i="17"/>
  <c r="C150" i="17"/>
  <c r="B150" i="17"/>
  <c r="F149" i="17"/>
  <c r="E149" i="17"/>
  <c r="D149" i="17"/>
  <c r="C149" i="17"/>
  <c r="B149" i="17"/>
  <c r="F148" i="17"/>
  <c r="E148" i="17"/>
  <c r="D148" i="17"/>
  <c r="C148" i="17"/>
  <c r="B148" i="17"/>
  <c r="F147" i="17"/>
  <c r="E147" i="17"/>
  <c r="D147" i="17"/>
  <c r="C147" i="17"/>
  <c r="B147" i="17"/>
  <c r="F146" i="17"/>
  <c r="E146" i="17"/>
  <c r="D146" i="17"/>
  <c r="C146" i="17"/>
  <c r="B146" i="17"/>
  <c r="F145" i="17"/>
  <c r="E145" i="17"/>
  <c r="D145" i="17"/>
  <c r="C145" i="17"/>
  <c r="B145" i="17"/>
  <c r="F144" i="17"/>
  <c r="E144" i="17"/>
  <c r="D144" i="17"/>
  <c r="C144" i="17"/>
  <c r="B144" i="17"/>
  <c r="F143" i="17"/>
  <c r="E143" i="17"/>
  <c r="D143" i="17"/>
  <c r="C143" i="17"/>
  <c r="B143" i="17"/>
  <c r="F142" i="17"/>
  <c r="E142" i="17"/>
  <c r="D142" i="17"/>
  <c r="C142" i="17"/>
  <c r="B142" i="17"/>
  <c r="F141" i="17"/>
  <c r="E141" i="17"/>
  <c r="D141" i="17"/>
  <c r="C141" i="17"/>
  <c r="B141" i="17"/>
  <c r="F140" i="17"/>
  <c r="E140" i="17"/>
  <c r="D140" i="17"/>
  <c r="C140" i="17"/>
  <c r="B140" i="17"/>
  <c r="F139" i="17"/>
  <c r="E139" i="17"/>
  <c r="D139" i="17"/>
  <c r="C139" i="17"/>
  <c r="B139" i="17"/>
  <c r="F138" i="17"/>
  <c r="E138" i="17"/>
  <c r="D138" i="17"/>
  <c r="C138" i="17"/>
  <c r="B138" i="17"/>
  <c r="F137" i="17"/>
  <c r="E137" i="17"/>
  <c r="D137" i="17"/>
  <c r="C137" i="17"/>
  <c r="B137" i="17"/>
  <c r="F136" i="17"/>
  <c r="E136" i="17"/>
  <c r="D136" i="17"/>
  <c r="C136" i="17"/>
  <c r="B136" i="17"/>
  <c r="F135" i="17"/>
  <c r="E135" i="17"/>
  <c r="D135" i="17"/>
  <c r="C135" i="17"/>
  <c r="B135" i="17"/>
  <c r="F134" i="17"/>
  <c r="E134" i="17"/>
  <c r="D134" i="17"/>
  <c r="C134" i="17"/>
  <c r="B134" i="17"/>
  <c r="F133" i="17"/>
  <c r="E133" i="17"/>
  <c r="D133" i="17"/>
  <c r="C133" i="17"/>
  <c r="B133" i="17"/>
  <c r="F132" i="17"/>
  <c r="E132" i="17"/>
  <c r="D132" i="17"/>
  <c r="C132" i="17"/>
  <c r="B132" i="17"/>
  <c r="F131" i="17"/>
  <c r="E131" i="17"/>
  <c r="D131" i="17"/>
  <c r="C131" i="17"/>
  <c r="B131" i="17"/>
  <c r="F130" i="17"/>
  <c r="E130" i="17"/>
  <c r="D130" i="17"/>
  <c r="C130" i="17"/>
  <c r="B130" i="17"/>
  <c r="F129" i="17"/>
  <c r="E129" i="17"/>
  <c r="D129" i="17"/>
  <c r="C129" i="17"/>
  <c r="B129" i="17"/>
  <c r="F128" i="17"/>
  <c r="E128" i="17"/>
  <c r="D128" i="17"/>
  <c r="C128" i="17"/>
  <c r="B128" i="17"/>
  <c r="F127" i="17"/>
  <c r="E127" i="17"/>
  <c r="D127" i="17"/>
  <c r="C127" i="17"/>
  <c r="B127" i="17"/>
  <c r="F126" i="17"/>
  <c r="E126" i="17"/>
  <c r="D126" i="17"/>
  <c r="C126" i="17"/>
  <c r="B126" i="17"/>
  <c r="F125" i="17"/>
  <c r="E125" i="17"/>
  <c r="D125" i="17"/>
  <c r="C125" i="17"/>
  <c r="B125" i="17"/>
  <c r="F124" i="17"/>
  <c r="E124" i="17"/>
  <c r="D124" i="17"/>
  <c r="C124" i="17"/>
  <c r="B124" i="17"/>
  <c r="F123" i="17"/>
  <c r="E123" i="17"/>
  <c r="D123" i="17"/>
  <c r="C123" i="17"/>
  <c r="B123" i="17"/>
  <c r="F122" i="17"/>
  <c r="E122" i="17"/>
  <c r="D122" i="17"/>
  <c r="C122" i="17"/>
  <c r="B122" i="17"/>
  <c r="F121" i="17"/>
  <c r="E121" i="17"/>
  <c r="D121" i="17"/>
  <c r="C121" i="17"/>
  <c r="B121" i="17"/>
  <c r="F120" i="17"/>
  <c r="E120" i="17"/>
  <c r="D120" i="17"/>
  <c r="C120" i="17"/>
  <c r="B120" i="17"/>
  <c r="F119" i="17"/>
  <c r="E119" i="17"/>
  <c r="D119" i="17"/>
  <c r="C119" i="17"/>
  <c r="B119" i="17"/>
  <c r="F118" i="17"/>
  <c r="E118" i="17"/>
  <c r="D118" i="17"/>
  <c r="C118" i="17"/>
  <c r="B118" i="17"/>
  <c r="F117" i="17"/>
  <c r="E117" i="17"/>
  <c r="D117" i="17"/>
  <c r="C117" i="17"/>
  <c r="B117" i="17"/>
  <c r="F116" i="17"/>
  <c r="E116" i="17"/>
  <c r="D116" i="17"/>
  <c r="C116" i="17"/>
  <c r="B116" i="17"/>
  <c r="F115" i="17"/>
  <c r="E115" i="17"/>
  <c r="D115" i="17"/>
  <c r="C115" i="17"/>
  <c r="B115" i="17"/>
  <c r="F114" i="17"/>
  <c r="E114" i="17"/>
  <c r="D114" i="17"/>
  <c r="C114" i="17"/>
  <c r="B114" i="17"/>
  <c r="F113" i="17"/>
  <c r="E113" i="17"/>
  <c r="D113" i="17"/>
  <c r="C113" i="17"/>
  <c r="B113" i="17"/>
  <c r="F112" i="17"/>
  <c r="E112" i="17"/>
  <c r="D112" i="17"/>
  <c r="C112" i="17"/>
  <c r="B112" i="17"/>
  <c r="F111" i="17"/>
  <c r="E111" i="17"/>
  <c r="D111" i="17"/>
  <c r="C111" i="17"/>
  <c r="B111" i="17"/>
  <c r="F110" i="17"/>
  <c r="E110" i="17"/>
  <c r="D110" i="17"/>
  <c r="C110" i="17"/>
  <c r="B110" i="17"/>
  <c r="F109" i="17"/>
  <c r="E109" i="17"/>
  <c r="D109" i="17"/>
  <c r="C109" i="17"/>
  <c r="B109" i="17"/>
  <c r="F108" i="17"/>
  <c r="E108" i="17"/>
  <c r="D108" i="17"/>
  <c r="C108" i="17"/>
  <c r="B108" i="17"/>
  <c r="F107" i="17"/>
  <c r="E107" i="17"/>
  <c r="D107" i="17"/>
  <c r="C107" i="17"/>
  <c r="B107" i="17"/>
  <c r="F106" i="17"/>
  <c r="E106" i="17"/>
  <c r="D106" i="17"/>
  <c r="C106" i="17"/>
  <c r="B106" i="17"/>
  <c r="F105" i="17"/>
  <c r="E105" i="17"/>
  <c r="D105" i="17"/>
  <c r="C105" i="17"/>
  <c r="B105" i="17"/>
  <c r="F104" i="17"/>
  <c r="E104" i="17"/>
  <c r="D104" i="17"/>
  <c r="C104" i="17"/>
  <c r="B104" i="17"/>
  <c r="F103" i="17"/>
  <c r="E103" i="17"/>
  <c r="D103" i="17"/>
  <c r="C103" i="17"/>
  <c r="B103" i="17"/>
  <c r="F102" i="17"/>
  <c r="E102" i="17"/>
  <c r="D102" i="17"/>
  <c r="C102" i="17"/>
  <c r="B102" i="17"/>
  <c r="F101" i="17"/>
  <c r="E101" i="17"/>
  <c r="D101" i="17"/>
  <c r="C101" i="17"/>
  <c r="B101" i="17"/>
  <c r="F100" i="17"/>
  <c r="E100" i="17"/>
  <c r="D100" i="17"/>
  <c r="C100" i="17"/>
  <c r="B100" i="17"/>
  <c r="F99" i="17"/>
  <c r="E99" i="17"/>
  <c r="D99" i="17"/>
  <c r="C99" i="17"/>
  <c r="B99" i="17"/>
  <c r="F98" i="17"/>
  <c r="E98" i="17"/>
  <c r="D98" i="17"/>
  <c r="C98" i="17"/>
  <c r="B98" i="17"/>
  <c r="F97" i="17"/>
  <c r="E97" i="17"/>
  <c r="D97" i="17"/>
  <c r="C97" i="17"/>
  <c r="B97" i="17"/>
  <c r="F96" i="17"/>
  <c r="E96" i="17"/>
  <c r="D96" i="17"/>
  <c r="C96" i="17"/>
  <c r="B96" i="17"/>
  <c r="F95" i="17"/>
  <c r="E95" i="17"/>
  <c r="D95" i="17"/>
  <c r="C95" i="17"/>
  <c r="B95" i="17"/>
  <c r="F94" i="17"/>
  <c r="E94" i="17"/>
  <c r="D94" i="17"/>
  <c r="C94" i="17"/>
  <c r="B94" i="17"/>
  <c r="F93" i="17"/>
  <c r="E93" i="17"/>
  <c r="D93" i="17"/>
  <c r="C93" i="17"/>
  <c r="B93" i="17"/>
  <c r="F92" i="17"/>
  <c r="E92" i="17"/>
  <c r="D92" i="17"/>
  <c r="C92" i="17"/>
  <c r="B92" i="17"/>
  <c r="F91" i="17"/>
  <c r="E91" i="17"/>
  <c r="D91" i="17"/>
  <c r="C91" i="17"/>
  <c r="B91" i="17"/>
  <c r="F90" i="17"/>
  <c r="E90" i="17"/>
  <c r="D90" i="17"/>
  <c r="C90" i="17"/>
  <c r="B90" i="17"/>
  <c r="F89" i="17"/>
  <c r="E89" i="17"/>
  <c r="D89" i="17"/>
  <c r="C89" i="17"/>
  <c r="B89" i="17"/>
  <c r="F88" i="17"/>
  <c r="E88" i="17"/>
  <c r="D88" i="17"/>
  <c r="C88" i="17"/>
  <c r="B88" i="17"/>
  <c r="F87" i="17"/>
  <c r="E87" i="17"/>
  <c r="D87" i="17"/>
  <c r="C87" i="17"/>
  <c r="B87" i="17"/>
  <c r="F86" i="17"/>
  <c r="E86" i="17"/>
  <c r="D86" i="17"/>
  <c r="C86" i="17"/>
  <c r="B86" i="17"/>
  <c r="F85" i="17"/>
  <c r="E85" i="17"/>
  <c r="D85" i="17"/>
  <c r="C85" i="17"/>
  <c r="B85" i="17"/>
  <c r="F84" i="17"/>
  <c r="E84" i="17"/>
  <c r="D84" i="17"/>
  <c r="C84" i="17"/>
  <c r="B84" i="17"/>
  <c r="F83" i="17"/>
  <c r="E83" i="17"/>
  <c r="D83" i="17"/>
  <c r="C83" i="17"/>
  <c r="B83" i="17"/>
  <c r="F82" i="17"/>
  <c r="E82" i="17"/>
  <c r="D82" i="17"/>
  <c r="C82" i="17"/>
  <c r="B82" i="17"/>
  <c r="F81" i="17"/>
  <c r="E81" i="17"/>
  <c r="D81" i="17"/>
  <c r="C81" i="17"/>
  <c r="B81" i="17"/>
  <c r="F80" i="17"/>
  <c r="E80" i="17"/>
  <c r="D80" i="17"/>
  <c r="C80" i="17"/>
  <c r="B80" i="17"/>
  <c r="F79" i="17"/>
  <c r="E79" i="17"/>
  <c r="D79" i="17"/>
  <c r="C79" i="17"/>
  <c r="B79" i="17"/>
  <c r="F78" i="17"/>
  <c r="E78" i="17"/>
  <c r="D78" i="17"/>
  <c r="C78" i="17"/>
  <c r="B78" i="17"/>
  <c r="F77" i="17"/>
  <c r="E77" i="17"/>
  <c r="D77" i="17"/>
  <c r="C77" i="17"/>
  <c r="B77" i="17"/>
  <c r="F76" i="17"/>
  <c r="E76" i="17"/>
  <c r="D76" i="17"/>
  <c r="C76" i="17"/>
  <c r="B76" i="17"/>
  <c r="F75" i="17"/>
  <c r="E75" i="17"/>
  <c r="D75" i="17"/>
  <c r="C75" i="17"/>
  <c r="B75" i="17"/>
  <c r="F74" i="17"/>
  <c r="E74" i="17"/>
  <c r="D74" i="17"/>
  <c r="C74" i="17"/>
  <c r="B74" i="17"/>
  <c r="F73" i="17"/>
  <c r="E73" i="17"/>
  <c r="D73" i="17"/>
  <c r="C73" i="17"/>
  <c r="B73" i="17"/>
  <c r="F72" i="17"/>
  <c r="E72" i="17"/>
  <c r="D72" i="17"/>
  <c r="C72" i="17"/>
  <c r="B72" i="17"/>
  <c r="F71" i="17"/>
  <c r="E71" i="17"/>
  <c r="D71" i="17"/>
  <c r="C71" i="17"/>
  <c r="B71" i="17"/>
  <c r="F70" i="17"/>
  <c r="E70" i="17"/>
  <c r="D70" i="17"/>
  <c r="C70" i="17"/>
  <c r="B70" i="17"/>
  <c r="F69" i="17"/>
  <c r="E69" i="17"/>
  <c r="D69" i="17"/>
  <c r="C69" i="17"/>
  <c r="B69" i="17"/>
  <c r="F68" i="17"/>
  <c r="E68" i="17"/>
  <c r="D68" i="17"/>
  <c r="C68" i="17"/>
  <c r="B68" i="17"/>
  <c r="F67" i="17"/>
  <c r="E67" i="17"/>
  <c r="D67" i="17"/>
  <c r="C67" i="17"/>
  <c r="B67" i="17"/>
  <c r="F66" i="17"/>
  <c r="E66" i="17"/>
  <c r="D66" i="17"/>
  <c r="C66" i="17"/>
  <c r="B66" i="17"/>
  <c r="F65" i="17"/>
  <c r="E65" i="17"/>
  <c r="D65" i="17"/>
  <c r="C65" i="17"/>
  <c r="B65" i="17"/>
  <c r="F64" i="17"/>
  <c r="E64" i="17"/>
  <c r="D64" i="17"/>
  <c r="C64" i="17"/>
  <c r="B64" i="17"/>
  <c r="F63" i="17"/>
  <c r="E63" i="17"/>
  <c r="D63" i="17"/>
  <c r="C63" i="17"/>
  <c r="B63" i="17"/>
  <c r="F62" i="17"/>
  <c r="E62" i="17"/>
  <c r="D62" i="17"/>
  <c r="C62" i="17"/>
  <c r="B62" i="17"/>
  <c r="F61" i="17"/>
  <c r="E61" i="17"/>
  <c r="D61" i="17"/>
  <c r="C61" i="17"/>
  <c r="B61" i="17"/>
  <c r="F60" i="17"/>
  <c r="E60" i="17"/>
  <c r="D60" i="17"/>
  <c r="C60" i="17"/>
  <c r="B60" i="17"/>
  <c r="F59" i="17"/>
  <c r="E59" i="17"/>
  <c r="D59" i="17"/>
  <c r="C59" i="17"/>
  <c r="B59" i="17"/>
  <c r="F58" i="17"/>
  <c r="E58" i="17"/>
  <c r="D58" i="17"/>
  <c r="C58" i="17"/>
  <c r="B58" i="17"/>
  <c r="F57" i="17"/>
  <c r="E57" i="17"/>
  <c r="D57" i="17"/>
  <c r="C57" i="17"/>
  <c r="B57" i="17"/>
  <c r="F56" i="17"/>
  <c r="E56" i="17"/>
  <c r="D56" i="17"/>
  <c r="C56" i="17"/>
  <c r="B56" i="17"/>
  <c r="F55" i="17"/>
  <c r="E55" i="17"/>
  <c r="D55" i="17"/>
  <c r="C55" i="17"/>
  <c r="B55" i="17"/>
  <c r="F54" i="17"/>
  <c r="E54" i="17"/>
  <c r="D54" i="17"/>
  <c r="C54" i="17"/>
  <c r="B54" i="17"/>
  <c r="F53" i="17"/>
  <c r="E53" i="17"/>
  <c r="D53" i="17"/>
  <c r="C53" i="17"/>
  <c r="B53" i="17"/>
  <c r="F52" i="17"/>
  <c r="E52" i="17"/>
  <c r="D52" i="17"/>
  <c r="C52" i="17"/>
  <c r="B52" i="17"/>
  <c r="F51" i="17"/>
  <c r="E51" i="17"/>
  <c r="D51" i="17"/>
  <c r="C51" i="17"/>
  <c r="B51" i="17"/>
  <c r="F50" i="17"/>
  <c r="E50" i="17"/>
  <c r="D50" i="17"/>
  <c r="C50" i="17"/>
  <c r="B50" i="17"/>
  <c r="F49" i="17"/>
  <c r="E49" i="17"/>
  <c r="D49" i="17"/>
  <c r="C49" i="17"/>
  <c r="B49" i="17"/>
  <c r="F48" i="17"/>
  <c r="E48" i="17"/>
  <c r="D48" i="17"/>
  <c r="C48" i="17"/>
  <c r="B48" i="17"/>
  <c r="F47" i="17"/>
  <c r="E47" i="17"/>
  <c r="D47" i="17"/>
  <c r="C47" i="17"/>
  <c r="B47" i="17"/>
  <c r="F46" i="17"/>
  <c r="E46" i="17"/>
  <c r="D46" i="17"/>
  <c r="C46" i="17"/>
  <c r="B46" i="17"/>
  <c r="F45" i="17"/>
  <c r="E45" i="17"/>
  <c r="D45" i="17"/>
  <c r="C45" i="17"/>
  <c r="B45" i="17"/>
  <c r="F44" i="17"/>
  <c r="E44" i="17"/>
  <c r="D44" i="17"/>
  <c r="C44" i="17"/>
  <c r="B44" i="17"/>
  <c r="F43" i="17"/>
  <c r="E43" i="17"/>
  <c r="D43" i="17"/>
  <c r="C43" i="17"/>
  <c r="B43" i="17"/>
  <c r="F42" i="17"/>
  <c r="E42" i="17"/>
  <c r="D42" i="17"/>
  <c r="C42" i="17"/>
  <c r="B42" i="17"/>
  <c r="F41" i="17"/>
  <c r="E41" i="17"/>
  <c r="D41" i="17"/>
  <c r="C41" i="17"/>
  <c r="B41" i="17"/>
  <c r="F40" i="17"/>
  <c r="E40" i="17"/>
  <c r="D40" i="17"/>
  <c r="C40" i="17"/>
  <c r="B40" i="17"/>
  <c r="F39" i="17"/>
  <c r="E39" i="17"/>
  <c r="D39" i="17"/>
  <c r="C39" i="17"/>
  <c r="B39" i="17"/>
  <c r="F38" i="17"/>
  <c r="E38" i="17"/>
  <c r="D38" i="17"/>
  <c r="C38" i="17"/>
  <c r="B38" i="17"/>
  <c r="F37" i="17"/>
  <c r="E37" i="17"/>
  <c r="D37" i="17"/>
  <c r="C37" i="17"/>
  <c r="B37" i="17"/>
  <c r="F36" i="17"/>
  <c r="E36" i="17"/>
  <c r="D36" i="17"/>
  <c r="C36" i="17"/>
  <c r="B36" i="17"/>
  <c r="F35" i="17"/>
  <c r="E35" i="17"/>
  <c r="D35" i="17"/>
  <c r="C35" i="17"/>
  <c r="B35" i="17"/>
  <c r="F34" i="17"/>
  <c r="E34" i="17"/>
  <c r="D34" i="17"/>
  <c r="C34" i="17"/>
  <c r="B34" i="17"/>
  <c r="F33" i="17"/>
  <c r="E33" i="17"/>
  <c r="D33" i="17"/>
  <c r="C33" i="17"/>
  <c r="B33" i="17"/>
  <c r="F32" i="17"/>
  <c r="E32" i="17"/>
  <c r="D32" i="17"/>
  <c r="C32" i="17"/>
  <c r="B32" i="17"/>
  <c r="F31" i="17"/>
  <c r="E31" i="17"/>
  <c r="D31" i="17"/>
  <c r="C31" i="17"/>
  <c r="B31" i="17"/>
  <c r="F30" i="17"/>
  <c r="E30" i="17"/>
  <c r="D30" i="17"/>
  <c r="C30" i="17"/>
  <c r="B30" i="17"/>
  <c r="F29" i="17"/>
  <c r="E29" i="17"/>
  <c r="D29" i="17"/>
  <c r="C29" i="17"/>
  <c r="B29" i="17"/>
  <c r="F28" i="17"/>
  <c r="E28" i="17"/>
  <c r="D28" i="17"/>
  <c r="C28" i="17"/>
  <c r="B28" i="17"/>
  <c r="F27" i="17"/>
  <c r="E27" i="17"/>
  <c r="D27" i="17"/>
  <c r="C27" i="17"/>
  <c r="B27" i="17"/>
  <c r="F26" i="17"/>
  <c r="E26" i="17"/>
  <c r="D26" i="17"/>
  <c r="C26" i="17"/>
  <c r="B26" i="17"/>
  <c r="F25" i="17"/>
  <c r="E25" i="17"/>
  <c r="D25" i="17"/>
  <c r="C25" i="17"/>
  <c r="B25" i="17"/>
  <c r="F24" i="17"/>
  <c r="E24" i="17"/>
  <c r="D24" i="17"/>
  <c r="C24" i="17"/>
  <c r="B24" i="17"/>
  <c r="F23" i="17"/>
  <c r="E23" i="17"/>
  <c r="D23" i="17"/>
  <c r="C23" i="17"/>
  <c r="B23" i="17"/>
  <c r="F22" i="17"/>
  <c r="E22" i="17"/>
  <c r="D22" i="17"/>
  <c r="C22" i="17"/>
  <c r="B22" i="17"/>
  <c r="F21" i="17"/>
  <c r="E21" i="17"/>
  <c r="D21" i="17"/>
  <c r="C21" i="17"/>
  <c r="B21" i="17"/>
  <c r="F20" i="17"/>
  <c r="E20" i="17"/>
  <c r="D20" i="17"/>
  <c r="C20" i="17"/>
  <c r="B20" i="17"/>
  <c r="F19" i="17"/>
  <c r="E19" i="17"/>
  <c r="D19" i="17"/>
  <c r="C19" i="17"/>
  <c r="B19" i="17"/>
  <c r="F18" i="17"/>
  <c r="E18" i="17"/>
  <c r="D18" i="17"/>
  <c r="C18" i="17"/>
  <c r="B18" i="17"/>
  <c r="F17" i="17"/>
  <c r="E17" i="17"/>
  <c r="D17" i="17"/>
  <c r="C17" i="17"/>
  <c r="B17" i="17"/>
  <c r="F16" i="17"/>
  <c r="E16" i="17"/>
  <c r="D16" i="17"/>
  <c r="C16" i="17"/>
  <c r="B16" i="17"/>
  <c r="F15" i="17"/>
  <c r="E15" i="17"/>
  <c r="D15" i="17"/>
  <c r="C15" i="17"/>
  <c r="B15" i="17"/>
  <c r="F14" i="17"/>
  <c r="E14" i="17"/>
  <c r="D14" i="17"/>
  <c r="C14" i="17"/>
  <c r="B14" i="17"/>
  <c r="F13" i="17"/>
  <c r="E13" i="17"/>
  <c r="D13" i="17"/>
  <c r="C13" i="17"/>
  <c r="B13" i="17"/>
  <c r="F12" i="17"/>
  <c r="E12" i="17"/>
  <c r="D12" i="17"/>
  <c r="C12" i="17"/>
  <c r="B12" i="17"/>
  <c r="F11" i="17"/>
  <c r="E11" i="17"/>
  <c r="D11" i="17"/>
  <c r="C11" i="17"/>
  <c r="B11" i="17"/>
  <c r="F10" i="17"/>
  <c r="E10" i="17"/>
  <c r="D10" i="17"/>
  <c r="C10" i="17"/>
  <c r="B10" i="17"/>
  <c r="F9" i="17"/>
  <c r="E9" i="17"/>
  <c r="D9" i="17"/>
  <c r="C9" i="17"/>
  <c r="B9" i="17"/>
  <c r="F8" i="17"/>
  <c r="E8" i="17"/>
  <c r="D8" i="17"/>
  <c r="C8" i="17"/>
  <c r="B8" i="17"/>
  <c r="F7" i="17"/>
  <c r="E7" i="17"/>
  <c r="D7" i="17"/>
  <c r="C7" i="17"/>
  <c r="B7" i="17"/>
  <c r="F6" i="17"/>
  <c r="E6" i="17"/>
  <c r="D6" i="17"/>
  <c r="C6" i="17"/>
  <c r="B6" i="17"/>
  <c r="F5" i="17"/>
  <c r="E5" i="17"/>
  <c r="D5" i="17"/>
  <c r="C5" i="17"/>
  <c r="B5" i="17"/>
  <c r="F4" i="17"/>
  <c r="E4" i="17"/>
  <c r="D4" i="17"/>
  <c r="C4" i="17"/>
  <c r="B4" i="17"/>
  <c r="G3" i="17"/>
  <c r="F3" i="17"/>
  <c r="E3" i="17"/>
  <c r="D3" i="17"/>
  <c r="C3" i="17"/>
  <c r="B3" i="17"/>
  <c r="F187" i="16"/>
  <c r="E187" i="16"/>
  <c r="D187" i="16"/>
  <c r="C187" i="16"/>
  <c r="B187" i="16"/>
  <c r="F186" i="16"/>
  <c r="E186" i="16"/>
  <c r="D186" i="16"/>
  <c r="C186" i="16"/>
  <c r="B186" i="16"/>
  <c r="F185" i="16"/>
  <c r="E185" i="16"/>
  <c r="D185" i="16"/>
  <c r="C185" i="16"/>
  <c r="B185" i="16"/>
  <c r="F184" i="16"/>
  <c r="E184" i="16"/>
  <c r="D184" i="16"/>
  <c r="C184" i="16"/>
  <c r="B184" i="16"/>
  <c r="F183" i="16"/>
  <c r="E183" i="16"/>
  <c r="D183" i="16"/>
  <c r="C183" i="16"/>
  <c r="B183" i="16"/>
  <c r="F182" i="16"/>
  <c r="E182" i="16"/>
  <c r="D182" i="16"/>
  <c r="C182" i="16"/>
  <c r="B182" i="16"/>
  <c r="F181" i="16"/>
  <c r="E181" i="16"/>
  <c r="D181" i="16"/>
  <c r="C181" i="16"/>
  <c r="B181" i="16"/>
  <c r="F180" i="16"/>
  <c r="E180" i="16"/>
  <c r="D180" i="16"/>
  <c r="C180" i="16"/>
  <c r="B180" i="16"/>
  <c r="F179" i="16"/>
  <c r="E179" i="16"/>
  <c r="D179" i="16"/>
  <c r="C179" i="16"/>
  <c r="B179" i="16"/>
  <c r="F178" i="16"/>
  <c r="E178" i="16"/>
  <c r="D178" i="16"/>
  <c r="C178" i="16"/>
  <c r="B178" i="16"/>
  <c r="F177" i="16"/>
  <c r="E177" i="16"/>
  <c r="D177" i="16"/>
  <c r="C177" i="16"/>
  <c r="B177" i="16"/>
  <c r="F176" i="16"/>
  <c r="E176" i="16"/>
  <c r="D176" i="16"/>
  <c r="C176" i="16"/>
  <c r="B176" i="16"/>
  <c r="F175" i="16"/>
  <c r="E175" i="16"/>
  <c r="D175" i="16"/>
  <c r="C175" i="16"/>
  <c r="B175" i="16"/>
  <c r="F174" i="16"/>
  <c r="E174" i="16"/>
  <c r="D174" i="16"/>
  <c r="C174" i="16"/>
  <c r="B174" i="16"/>
  <c r="F173" i="16"/>
  <c r="E173" i="16"/>
  <c r="D173" i="16"/>
  <c r="C173" i="16"/>
  <c r="B173" i="16"/>
  <c r="F172" i="16"/>
  <c r="E172" i="16"/>
  <c r="D172" i="16"/>
  <c r="C172" i="16"/>
  <c r="B172" i="16"/>
  <c r="F171" i="16"/>
  <c r="E171" i="16"/>
  <c r="D171" i="16"/>
  <c r="C171" i="16"/>
  <c r="B171" i="16"/>
  <c r="F170" i="16"/>
  <c r="E170" i="16"/>
  <c r="D170" i="16"/>
  <c r="C170" i="16"/>
  <c r="B170" i="16"/>
  <c r="F169" i="16"/>
  <c r="E169" i="16"/>
  <c r="D169" i="16"/>
  <c r="C169" i="16"/>
  <c r="B169" i="16"/>
  <c r="F168" i="16"/>
  <c r="E168" i="16"/>
  <c r="D168" i="16"/>
  <c r="C168" i="16"/>
  <c r="B168" i="16"/>
  <c r="F167" i="16"/>
  <c r="E167" i="16"/>
  <c r="D167" i="16"/>
  <c r="C167" i="16"/>
  <c r="B167" i="16"/>
  <c r="F166" i="16"/>
  <c r="E166" i="16"/>
  <c r="D166" i="16"/>
  <c r="C166" i="16"/>
  <c r="B166" i="16"/>
  <c r="F165" i="16"/>
  <c r="E165" i="16"/>
  <c r="D165" i="16"/>
  <c r="C165" i="16"/>
  <c r="B165" i="16"/>
  <c r="F164" i="16"/>
  <c r="E164" i="16"/>
  <c r="D164" i="16"/>
  <c r="C164" i="16"/>
  <c r="B164" i="16"/>
  <c r="F163" i="16"/>
  <c r="E163" i="16"/>
  <c r="D163" i="16"/>
  <c r="C163" i="16"/>
  <c r="B163" i="16"/>
  <c r="F162" i="16"/>
  <c r="E162" i="16"/>
  <c r="D162" i="16"/>
  <c r="C162" i="16"/>
  <c r="B162" i="16"/>
  <c r="F161" i="16"/>
  <c r="E161" i="16"/>
  <c r="D161" i="16"/>
  <c r="C161" i="16"/>
  <c r="B161" i="16"/>
  <c r="F160" i="16"/>
  <c r="E160" i="16"/>
  <c r="D160" i="16"/>
  <c r="C160" i="16"/>
  <c r="B160" i="16"/>
  <c r="F159" i="16"/>
  <c r="E159" i="16"/>
  <c r="D159" i="16"/>
  <c r="C159" i="16"/>
  <c r="B159" i="16"/>
  <c r="F158" i="16"/>
  <c r="E158" i="16"/>
  <c r="D158" i="16"/>
  <c r="C158" i="16"/>
  <c r="B158" i="16"/>
  <c r="F157" i="16"/>
  <c r="E157" i="16"/>
  <c r="D157" i="16"/>
  <c r="C157" i="16"/>
  <c r="B157" i="16"/>
  <c r="F156" i="16"/>
  <c r="E156" i="16"/>
  <c r="D156" i="16"/>
  <c r="C156" i="16"/>
  <c r="B156" i="16"/>
  <c r="F155" i="16"/>
  <c r="E155" i="16"/>
  <c r="D155" i="16"/>
  <c r="C155" i="16"/>
  <c r="B155" i="16"/>
  <c r="F154" i="16"/>
  <c r="E154" i="16"/>
  <c r="D154" i="16"/>
  <c r="C154" i="16"/>
  <c r="B154" i="16"/>
  <c r="F153" i="16"/>
  <c r="E153" i="16"/>
  <c r="D153" i="16"/>
  <c r="C153" i="16"/>
  <c r="B153" i="16"/>
  <c r="F152" i="16"/>
  <c r="E152" i="16"/>
  <c r="D152" i="16"/>
  <c r="C152" i="16"/>
  <c r="B152" i="16"/>
  <c r="F151" i="16"/>
  <c r="E151" i="16"/>
  <c r="D151" i="16"/>
  <c r="C151" i="16"/>
  <c r="B151" i="16"/>
  <c r="F150" i="16"/>
  <c r="E150" i="16"/>
  <c r="D150" i="16"/>
  <c r="C150" i="16"/>
  <c r="B150" i="16"/>
  <c r="F149" i="16"/>
  <c r="E149" i="16"/>
  <c r="D149" i="16"/>
  <c r="C149" i="16"/>
  <c r="B149" i="16"/>
  <c r="F148" i="16"/>
  <c r="E148" i="16"/>
  <c r="D148" i="16"/>
  <c r="C148" i="16"/>
  <c r="B148" i="16"/>
  <c r="F147" i="16"/>
  <c r="E147" i="16"/>
  <c r="D147" i="16"/>
  <c r="C147" i="16"/>
  <c r="B147" i="16"/>
  <c r="F146" i="16"/>
  <c r="E146" i="16"/>
  <c r="D146" i="16"/>
  <c r="C146" i="16"/>
  <c r="B146" i="16"/>
  <c r="F145" i="16"/>
  <c r="E145" i="16"/>
  <c r="D145" i="16"/>
  <c r="C145" i="16"/>
  <c r="B145" i="16"/>
  <c r="F144" i="16"/>
  <c r="E144" i="16"/>
  <c r="D144" i="16"/>
  <c r="C144" i="16"/>
  <c r="B144" i="16"/>
  <c r="F143" i="16"/>
  <c r="E143" i="16"/>
  <c r="D143" i="16"/>
  <c r="C143" i="16"/>
  <c r="B143" i="16"/>
  <c r="F142" i="16"/>
  <c r="E142" i="16"/>
  <c r="D142" i="16"/>
  <c r="C142" i="16"/>
  <c r="B142" i="16"/>
  <c r="F141" i="16"/>
  <c r="E141" i="16"/>
  <c r="D141" i="16"/>
  <c r="C141" i="16"/>
  <c r="B141" i="16"/>
  <c r="F140" i="16"/>
  <c r="E140" i="16"/>
  <c r="D140" i="16"/>
  <c r="C140" i="16"/>
  <c r="B140" i="16"/>
  <c r="F139" i="16"/>
  <c r="E139" i="16"/>
  <c r="D139" i="16"/>
  <c r="C139" i="16"/>
  <c r="B139" i="16"/>
  <c r="F138" i="16"/>
  <c r="E138" i="16"/>
  <c r="D138" i="16"/>
  <c r="C138" i="16"/>
  <c r="B138" i="16"/>
  <c r="F137" i="16"/>
  <c r="E137" i="16"/>
  <c r="D137" i="16"/>
  <c r="C137" i="16"/>
  <c r="B137" i="16"/>
  <c r="F136" i="16"/>
  <c r="E136" i="16"/>
  <c r="D136" i="16"/>
  <c r="C136" i="16"/>
  <c r="B136" i="16"/>
  <c r="F135" i="16"/>
  <c r="E135" i="16"/>
  <c r="D135" i="16"/>
  <c r="C135" i="16"/>
  <c r="B135" i="16"/>
  <c r="F134" i="16"/>
  <c r="E134" i="16"/>
  <c r="D134" i="16"/>
  <c r="C134" i="16"/>
  <c r="B134" i="16"/>
  <c r="F133" i="16"/>
  <c r="E133" i="16"/>
  <c r="D133" i="16"/>
  <c r="C133" i="16"/>
  <c r="B133" i="16"/>
  <c r="F132" i="16"/>
  <c r="E132" i="16"/>
  <c r="D132" i="16"/>
  <c r="C132" i="16"/>
  <c r="B132" i="16"/>
  <c r="F131" i="16"/>
  <c r="E131" i="16"/>
  <c r="D131" i="16"/>
  <c r="C131" i="16"/>
  <c r="B131" i="16"/>
  <c r="F130" i="16"/>
  <c r="E130" i="16"/>
  <c r="D130" i="16"/>
  <c r="C130" i="16"/>
  <c r="B130" i="16"/>
  <c r="F129" i="16"/>
  <c r="E129" i="16"/>
  <c r="D129" i="16"/>
  <c r="C129" i="16"/>
  <c r="B129" i="16"/>
  <c r="F128" i="16"/>
  <c r="E128" i="16"/>
  <c r="D128" i="16"/>
  <c r="C128" i="16"/>
  <c r="B128" i="16"/>
  <c r="F127" i="16"/>
  <c r="E127" i="16"/>
  <c r="D127" i="16"/>
  <c r="C127" i="16"/>
  <c r="B127" i="16"/>
  <c r="F126" i="16"/>
  <c r="E126" i="16"/>
  <c r="D126" i="16"/>
  <c r="C126" i="16"/>
  <c r="B126" i="16"/>
  <c r="F125" i="16"/>
  <c r="E125" i="16"/>
  <c r="D125" i="16"/>
  <c r="C125" i="16"/>
  <c r="B125" i="16"/>
  <c r="F124" i="16"/>
  <c r="E124" i="16"/>
  <c r="D124" i="16"/>
  <c r="C124" i="16"/>
  <c r="B124" i="16"/>
  <c r="F123" i="16"/>
  <c r="E123" i="16"/>
  <c r="D123" i="16"/>
  <c r="C123" i="16"/>
  <c r="B123" i="16"/>
  <c r="F122" i="16"/>
  <c r="E122" i="16"/>
  <c r="D122" i="16"/>
  <c r="C122" i="16"/>
  <c r="B122" i="16"/>
  <c r="F121" i="16"/>
  <c r="E121" i="16"/>
  <c r="D121" i="16"/>
  <c r="C121" i="16"/>
  <c r="B121" i="16"/>
  <c r="F120" i="16"/>
  <c r="E120" i="16"/>
  <c r="D120" i="16"/>
  <c r="C120" i="16"/>
  <c r="B120" i="16"/>
  <c r="F119" i="16"/>
  <c r="E119" i="16"/>
  <c r="D119" i="16"/>
  <c r="C119" i="16"/>
  <c r="B119" i="16"/>
  <c r="F118" i="16"/>
  <c r="E118" i="16"/>
  <c r="D118" i="16"/>
  <c r="C118" i="16"/>
  <c r="B118" i="16"/>
  <c r="F117" i="16"/>
  <c r="E117" i="16"/>
  <c r="D117" i="16"/>
  <c r="C117" i="16"/>
  <c r="B117" i="16"/>
  <c r="F116" i="16"/>
  <c r="E116" i="16"/>
  <c r="D116" i="16"/>
  <c r="C116" i="16"/>
  <c r="B116" i="16"/>
  <c r="F115" i="16"/>
  <c r="E115" i="16"/>
  <c r="D115" i="16"/>
  <c r="C115" i="16"/>
  <c r="B115" i="16"/>
  <c r="F114" i="16"/>
  <c r="E114" i="16"/>
  <c r="D114" i="16"/>
  <c r="C114" i="16"/>
  <c r="B114" i="16"/>
  <c r="F113" i="16"/>
  <c r="E113" i="16"/>
  <c r="D113" i="16"/>
  <c r="C113" i="16"/>
  <c r="B113" i="16"/>
  <c r="F112" i="16"/>
  <c r="E112" i="16"/>
  <c r="D112" i="16"/>
  <c r="C112" i="16"/>
  <c r="B112" i="16"/>
  <c r="F111" i="16"/>
  <c r="E111" i="16"/>
  <c r="D111" i="16"/>
  <c r="C111" i="16"/>
  <c r="B111" i="16"/>
  <c r="F110" i="16"/>
  <c r="E110" i="16"/>
  <c r="D110" i="16"/>
  <c r="C110" i="16"/>
  <c r="B110" i="16"/>
  <c r="F109" i="16"/>
  <c r="E109" i="16"/>
  <c r="D109" i="16"/>
  <c r="C109" i="16"/>
  <c r="B109" i="16"/>
  <c r="F108" i="16"/>
  <c r="E108" i="16"/>
  <c r="D108" i="16"/>
  <c r="C108" i="16"/>
  <c r="B108" i="16"/>
  <c r="F107" i="16"/>
  <c r="E107" i="16"/>
  <c r="D107" i="16"/>
  <c r="C107" i="16"/>
  <c r="B107" i="16"/>
  <c r="F106" i="16"/>
  <c r="E106" i="16"/>
  <c r="D106" i="16"/>
  <c r="C106" i="16"/>
  <c r="B106" i="16"/>
  <c r="F105" i="16"/>
  <c r="E105" i="16"/>
  <c r="D105" i="16"/>
  <c r="C105" i="16"/>
  <c r="B105" i="16"/>
  <c r="F104" i="16"/>
  <c r="E104" i="16"/>
  <c r="D104" i="16"/>
  <c r="C104" i="16"/>
  <c r="B104" i="16"/>
  <c r="F103" i="16"/>
  <c r="E103" i="16"/>
  <c r="D103" i="16"/>
  <c r="C103" i="16"/>
  <c r="B103" i="16"/>
  <c r="F102" i="16"/>
  <c r="E102" i="16"/>
  <c r="D102" i="16"/>
  <c r="C102" i="16"/>
  <c r="B102" i="16"/>
  <c r="F101" i="16"/>
  <c r="E101" i="16"/>
  <c r="D101" i="16"/>
  <c r="C101" i="16"/>
  <c r="B101" i="16"/>
  <c r="F100" i="16"/>
  <c r="E100" i="16"/>
  <c r="D100" i="16"/>
  <c r="C100" i="16"/>
  <c r="B100" i="16"/>
  <c r="F99" i="16"/>
  <c r="E99" i="16"/>
  <c r="D99" i="16"/>
  <c r="C99" i="16"/>
  <c r="B99" i="16"/>
  <c r="F98" i="16"/>
  <c r="E98" i="16"/>
  <c r="D98" i="16"/>
  <c r="C98" i="16"/>
  <c r="B98" i="16"/>
  <c r="F97" i="16"/>
  <c r="E97" i="16"/>
  <c r="D97" i="16"/>
  <c r="C97" i="16"/>
  <c r="B97" i="16"/>
  <c r="F96" i="16"/>
  <c r="E96" i="16"/>
  <c r="D96" i="16"/>
  <c r="C96" i="16"/>
  <c r="B96" i="16"/>
  <c r="F95" i="16"/>
  <c r="E95" i="16"/>
  <c r="D95" i="16"/>
  <c r="C95" i="16"/>
  <c r="B95" i="16"/>
  <c r="F94" i="16"/>
  <c r="E94" i="16"/>
  <c r="D94" i="16"/>
  <c r="C94" i="16"/>
  <c r="B94" i="16"/>
  <c r="F93" i="16"/>
  <c r="E93" i="16"/>
  <c r="D93" i="16"/>
  <c r="C93" i="16"/>
  <c r="B93" i="16"/>
  <c r="F92" i="16"/>
  <c r="E92" i="16"/>
  <c r="D92" i="16"/>
  <c r="C92" i="16"/>
  <c r="B92" i="16"/>
  <c r="F91" i="16"/>
  <c r="E91" i="16"/>
  <c r="D91" i="16"/>
  <c r="C91" i="16"/>
  <c r="B91" i="16"/>
  <c r="F90" i="16"/>
  <c r="E90" i="16"/>
  <c r="D90" i="16"/>
  <c r="C90" i="16"/>
  <c r="B90" i="16"/>
  <c r="F89" i="16"/>
  <c r="E89" i="16"/>
  <c r="D89" i="16"/>
  <c r="C89" i="16"/>
  <c r="B89" i="16"/>
  <c r="F88" i="16"/>
  <c r="E88" i="16"/>
  <c r="D88" i="16"/>
  <c r="C88" i="16"/>
  <c r="B88" i="16"/>
  <c r="F87" i="16"/>
  <c r="E87" i="16"/>
  <c r="D87" i="16"/>
  <c r="C87" i="16"/>
  <c r="B87" i="16"/>
  <c r="F86" i="16"/>
  <c r="E86" i="16"/>
  <c r="D86" i="16"/>
  <c r="C86" i="16"/>
  <c r="B86" i="16"/>
  <c r="F85" i="16"/>
  <c r="E85" i="16"/>
  <c r="D85" i="16"/>
  <c r="C85" i="16"/>
  <c r="B85" i="16"/>
  <c r="F84" i="16"/>
  <c r="E84" i="16"/>
  <c r="D84" i="16"/>
  <c r="C84" i="16"/>
  <c r="B84" i="16"/>
  <c r="F83" i="16"/>
  <c r="E83" i="16"/>
  <c r="D83" i="16"/>
  <c r="C83" i="16"/>
  <c r="B83" i="16"/>
  <c r="F82" i="16"/>
  <c r="E82" i="16"/>
  <c r="D82" i="16"/>
  <c r="C82" i="16"/>
  <c r="B82" i="16"/>
  <c r="F81" i="16"/>
  <c r="E81" i="16"/>
  <c r="D81" i="16"/>
  <c r="C81" i="16"/>
  <c r="B81" i="16"/>
  <c r="F80" i="16"/>
  <c r="E80" i="16"/>
  <c r="D80" i="16"/>
  <c r="C80" i="16"/>
  <c r="B80" i="16"/>
  <c r="F79" i="16"/>
  <c r="E79" i="16"/>
  <c r="D79" i="16"/>
  <c r="C79" i="16"/>
  <c r="B79" i="16"/>
  <c r="F78" i="16"/>
  <c r="E78" i="16"/>
  <c r="D78" i="16"/>
  <c r="C78" i="16"/>
  <c r="B78" i="16"/>
  <c r="F77" i="16"/>
  <c r="E77" i="16"/>
  <c r="D77" i="16"/>
  <c r="C77" i="16"/>
  <c r="B77" i="16"/>
  <c r="F76" i="16"/>
  <c r="E76" i="16"/>
  <c r="D76" i="16"/>
  <c r="C76" i="16"/>
  <c r="B76" i="16"/>
  <c r="F75" i="16"/>
  <c r="E75" i="16"/>
  <c r="D75" i="16"/>
  <c r="C75" i="16"/>
  <c r="B75" i="16"/>
  <c r="F74" i="16"/>
  <c r="E74" i="16"/>
  <c r="D74" i="16"/>
  <c r="C74" i="16"/>
  <c r="B74" i="16"/>
  <c r="F73" i="16"/>
  <c r="E73" i="16"/>
  <c r="D73" i="16"/>
  <c r="C73" i="16"/>
  <c r="B73" i="16"/>
  <c r="F72" i="16"/>
  <c r="E72" i="16"/>
  <c r="D72" i="16"/>
  <c r="C72" i="16"/>
  <c r="B72" i="16"/>
  <c r="F71" i="16"/>
  <c r="E71" i="16"/>
  <c r="D71" i="16"/>
  <c r="C71" i="16"/>
  <c r="B71" i="16"/>
  <c r="F70" i="16"/>
  <c r="E70" i="16"/>
  <c r="D70" i="16"/>
  <c r="C70" i="16"/>
  <c r="B70" i="16"/>
  <c r="F69" i="16"/>
  <c r="E69" i="16"/>
  <c r="D69" i="16"/>
  <c r="C69" i="16"/>
  <c r="B69" i="16"/>
  <c r="F68" i="16"/>
  <c r="E68" i="16"/>
  <c r="D68" i="16"/>
  <c r="C68" i="16"/>
  <c r="B68" i="16"/>
  <c r="F67" i="16"/>
  <c r="E67" i="16"/>
  <c r="D67" i="16"/>
  <c r="C67" i="16"/>
  <c r="B67" i="16"/>
  <c r="F66" i="16"/>
  <c r="E66" i="16"/>
  <c r="D66" i="16"/>
  <c r="C66" i="16"/>
  <c r="B66" i="16"/>
  <c r="F65" i="16"/>
  <c r="E65" i="16"/>
  <c r="D65" i="16"/>
  <c r="C65" i="16"/>
  <c r="B65" i="16"/>
  <c r="F64" i="16"/>
  <c r="E64" i="16"/>
  <c r="D64" i="16"/>
  <c r="C64" i="16"/>
  <c r="B64" i="16"/>
  <c r="F63" i="16"/>
  <c r="E63" i="16"/>
  <c r="D63" i="16"/>
  <c r="C63" i="16"/>
  <c r="B63" i="16"/>
  <c r="F62" i="16"/>
  <c r="E62" i="16"/>
  <c r="D62" i="16"/>
  <c r="C62" i="16"/>
  <c r="B62" i="16"/>
  <c r="F61" i="16"/>
  <c r="E61" i="16"/>
  <c r="D61" i="16"/>
  <c r="C61" i="16"/>
  <c r="B61" i="16"/>
  <c r="F60" i="16"/>
  <c r="E60" i="16"/>
  <c r="D60" i="16"/>
  <c r="C60" i="16"/>
  <c r="B60" i="16"/>
  <c r="F59" i="16"/>
  <c r="E59" i="16"/>
  <c r="D59" i="16"/>
  <c r="C59" i="16"/>
  <c r="B59" i="16"/>
  <c r="F58" i="16"/>
  <c r="E58" i="16"/>
  <c r="D58" i="16"/>
  <c r="C58" i="16"/>
  <c r="B58" i="16"/>
  <c r="F57" i="16"/>
  <c r="E57" i="16"/>
  <c r="D57" i="16"/>
  <c r="C57" i="16"/>
  <c r="B57" i="16"/>
  <c r="F56" i="16"/>
  <c r="E56" i="16"/>
  <c r="D56" i="16"/>
  <c r="C56" i="16"/>
  <c r="B56" i="16"/>
  <c r="F55" i="16"/>
  <c r="E55" i="16"/>
  <c r="D55" i="16"/>
  <c r="C55" i="16"/>
  <c r="B55" i="16"/>
  <c r="F54" i="16"/>
  <c r="E54" i="16"/>
  <c r="D54" i="16"/>
  <c r="C54" i="16"/>
  <c r="B54" i="16"/>
  <c r="F53" i="16"/>
  <c r="E53" i="16"/>
  <c r="D53" i="16"/>
  <c r="C53" i="16"/>
  <c r="B53" i="16"/>
  <c r="F52" i="16"/>
  <c r="E52" i="16"/>
  <c r="D52" i="16"/>
  <c r="C52" i="16"/>
  <c r="B52" i="16"/>
  <c r="F51" i="16"/>
  <c r="E51" i="16"/>
  <c r="D51" i="16"/>
  <c r="C51" i="16"/>
  <c r="B51" i="16"/>
  <c r="F50" i="16"/>
  <c r="E50" i="16"/>
  <c r="D50" i="16"/>
  <c r="C50" i="16"/>
  <c r="B50" i="16"/>
  <c r="F49" i="16"/>
  <c r="E49" i="16"/>
  <c r="D49" i="16"/>
  <c r="C49" i="16"/>
  <c r="B49" i="16"/>
  <c r="F48" i="16"/>
  <c r="E48" i="16"/>
  <c r="D48" i="16"/>
  <c r="C48" i="16"/>
  <c r="B48" i="16"/>
  <c r="F47" i="16"/>
  <c r="E47" i="16"/>
  <c r="D47" i="16"/>
  <c r="C47" i="16"/>
  <c r="B47" i="16"/>
  <c r="F46" i="16"/>
  <c r="E46" i="16"/>
  <c r="D46" i="16"/>
  <c r="C46" i="16"/>
  <c r="B46" i="16"/>
  <c r="F45" i="16"/>
  <c r="E45" i="16"/>
  <c r="D45" i="16"/>
  <c r="C45" i="16"/>
  <c r="B45" i="16"/>
  <c r="F44" i="16"/>
  <c r="E44" i="16"/>
  <c r="D44" i="16"/>
  <c r="C44" i="16"/>
  <c r="B44" i="16"/>
  <c r="F43" i="16"/>
  <c r="E43" i="16"/>
  <c r="D43" i="16"/>
  <c r="C43" i="16"/>
  <c r="B43" i="16"/>
  <c r="F42" i="16"/>
  <c r="E42" i="16"/>
  <c r="D42" i="16"/>
  <c r="C42" i="16"/>
  <c r="B42" i="16"/>
  <c r="F41" i="16"/>
  <c r="E41" i="16"/>
  <c r="D41" i="16"/>
  <c r="C41" i="16"/>
  <c r="B41" i="16"/>
  <c r="F40" i="16"/>
  <c r="E40" i="16"/>
  <c r="D40" i="16"/>
  <c r="C40" i="16"/>
  <c r="B40" i="16"/>
  <c r="F39" i="16"/>
  <c r="E39" i="16"/>
  <c r="D39" i="16"/>
  <c r="C39" i="16"/>
  <c r="B39" i="16"/>
  <c r="F38" i="16"/>
  <c r="E38" i="16"/>
  <c r="D38" i="16"/>
  <c r="C38" i="16"/>
  <c r="B38" i="16"/>
  <c r="F37" i="16"/>
  <c r="E37" i="16"/>
  <c r="D37" i="16"/>
  <c r="C37" i="16"/>
  <c r="B37" i="16"/>
  <c r="F36" i="16"/>
  <c r="E36" i="16"/>
  <c r="D36" i="16"/>
  <c r="C36" i="16"/>
  <c r="B36" i="16"/>
  <c r="F35" i="16"/>
  <c r="E35" i="16"/>
  <c r="D35" i="16"/>
  <c r="C35" i="16"/>
  <c r="B35" i="16"/>
  <c r="F34" i="16"/>
  <c r="E34" i="16"/>
  <c r="D34" i="16"/>
  <c r="C34" i="16"/>
  <c r="B34" i="16"/>
  <c r="F33" i="16"/>
  <c r="E33" i="16"/>
  <c r="D33" i="16"/>
  <c r="C33" i="16"/>
  <c r="B33" i="16"/>
  <c r="F32" i="16"/>
  <c r="E32" i="16"/>
  <c r="D32" i="16"/>
  <c r="C32" i="16"/>
  <c r="B32" i="16"/>
  <c r="F31" i="16"/>
  <c r="E31" i="16"/>
  <c r="D31" i="16"/>
  <c r="C31" i="16"/>
  <c r="B31" i="16"/>
  <c r="F30" i="16"/>
  <c r="E30" i="16"/>
  <c r="D30" i="16"/>
  <c r="C30" i="16"/>
  <c r="B30" i="16"/>
  <c r="F29" i="16"/>
  <c r="E29" i="16"/>
  <c r="D29" i="16"/>
  <c r="C29" i="16"/>
  <c r="B29" i="16"/>
  <c r="F28" i="16"/>
  <c r="E28" i="16"/>
  <c r="D28" i="16"/>
  <c r="C28" i="16"/>
  <c r="B28" i="16"/>
  <c r="F27" i="16"/>
  <c r="E27" i="16"/>
  <c r="D27" i="16"/>
  <c r="C27" i="16"/>
  <c r="B27" i="16"/>
  <c r="F26" i="16"/>
  <c r="E26" i="16"/>
  <c r="D26" i="16"/>
  <c r="C26" i="16"/>
  <c r="B26" i="16"/>
  <c r="F25" i="16"/>
  <c r="E25" i="16"/>
  <c r="D25" i="16"/>
  <c r="C25" i="16"/>
  <c r="B25" i="16"/>
  <c r="F24" i="16"/>
  <c r="E24" i="16"/>
  <c r="D24" i="16"/>
  <c r="C24" i="16"/>
  <c r="B24" i="16"/>
  <c r="F23" i="16"/>
  <c r="E23" i="16"/>
  <c r="D23" i="16"/>
  <c r="C23" i="16"/>
  <c r="B23" i="16"/>
  <c r="F22" i="16"/>
  <c r="E22" i="16"/>
  <c r="D22" i="16"/>
  <c r="C22" i="16"/>
  <c r="B22" i="16"/>
  <c r="F21" i="16"/>
  <c r="E21" i="16"/>
  <c r="D21" i="16"/>
  <c r="C21" i="16"/>
  <c r="B21" i="16"/>
  <c r="F20" i="16"/>
  <c r="E20" i="16"/>
  <c r="D20" i="16"/>
  <c r="C20" i="16"/>
  <c r="B20" i="16"/>
  <c r="F19" i="16"/>
  <c r="E19" i="16"/>
  <c r="D19" i="16"/>
  <c r="C19" i="16"/>
  <c r="B19" i="16"/>
  <c r="F18" i="16"/>
  <c r="E18" i="16"/>
  <c r="D18" i="16"/>
  <c r="C18" i="16"/>
  <c r="B18" i="16"/>
  <c r="F17" i="16"/>
  <c r="E17" i="16"/>
  <c r="D17" i="16"/>
  <c r="C17" i="16"/>
  <c r="B17" i="16"/>
  <c r="F16" i="16"/>
  <c r="E16" i="16"/>
  <c r="D16" i="16"/>
  <c r="C16" i="16"/>
  <c r="B16" i="16"/>
  <c r="F15" i="16"/>
  <c r="E15" i="16"/>
  <c r="D15" i="16"/>
  <c r="C15" i="16"/>
  <c r="B15" i="16"/>
  <c r="F14" i="16"/>
  <c r="E14" i="16"/>
  <c r="D14" i="16"/>
  <c r="C14" i="16"/>
  <c r="B14" i="16"/>
  <c r="F13" i="16"/>
  <c r="E13" i="16"/>
  <c r="D13" i="16"/>
  <c r="C13" i="16"/>
  <c r="B13" i="16"/>
  <c r="F12" i="16"/>
  <c r="E12" i="16"/>
  <c r="D12" i="16"/>
  <c r="C12" i="16"/>
  <c r="B12" i="16"/>
  <c r="F11" i="16"/>
  <c r="E11" i="16"/>
  <c r="D11" i="16"/>
  <c r="C11" i="16"/>
  <c r="B11" i="16"/>
  <c r="F10" i="16"/>
  <c r="E10" i="16"/>
  <c r="D10" i="16"/>
  <c r="C10" i="16"/>
  <c r="B10" i="16"/>
  <c r="F9" i="16"/>
  <c r="E9" i="16"/>
  <c r="D9" i="16"/>
  <c r="C9" i="16"/>
  <c r="B9" i="16"/>
  <c r="F8" i="16"/>
  <c r="E8" i="16"/>
  <c r="D8" i="16"/>
  <c r="C8" i="16"/>
  <c r="B8" i="16"/>
  <c r="F7" i="16"/>
  <c r="E7" i="16"/>
  <c r="D7" i="16"/>
  <c r="C7" i="16"/>
  <c r="B7" i="16"/>
  <c r="F6" i="16"/>
  <c r="E6" i="16"/>
  <c r="D6" i="16"/>
  <c r="C6" i="16"/>
  <c r="B6" i="16"/>
  <c r="F5" i="16"/>
  <c r="E5" i="16"/>
  <c r="D5" i="16"/>
  <c r="C5" i="16"/>
  <c r="B5" i="16"/>
  <c r="F4" i="16"/>
  <c r="E4" i="16"/>
  <c r="D4" i="16"/>
  <c r="C4" i="16"/>
  <c r="B4" i="16"/>
  <c r="G3" i="16"/>
  <c r="F3" i="16"/>
  <c r="E3" i="16"/>
  <c r="D3" i="16"/>
  <c r="C3" i="16"/>
  <c r="B3" i="16"/>
  <c r="H143" i="16"/>
  <c r="H127" i="16"/>
  <c r="H95" i="16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B187" i="11" a="1"/>
  <c r="B187" i="11" s="1"/>
  <c r="B186" i="11" a="1"/>
  <c r="B186" i="11" s="1"/>
  <c r="B185" i="11" a="1"/>
  <c r="B185" i="11" s="1"/>
  <c r="B184" i="11" a="1"/>
  <c r="B184" i="11" s="1"/>
  <c r="B183" i="11" a="1"/>
  <c r="B183" i="11" s="1"/>
  <c r="B182" i="11" a="1"/>
  <c r="B182" i="11" s="1"/>
  <c r="B181" i="11" a="1"/>
  <c r="B181" i="11" s="1"/>
  <c r="B180" i="11" a="1"/>
  <c r="B180" i="11" s="1"/>
  <c r="B179" i="11" a="1"/>
  <c r="B179" i="11" s="1"/>
  <c r="B178" i="11" a="1"/>
  <c r="B178" i="11" s="1"/>
  <c r="B177" i="11" a="1"/>
  <c r="B177" i="11" s="1"/>
  <c r="B176" i="11" a="1"/>
  <c r="B176" i="11" s="1"/>
  <c r="B175" i="11" a="1"/>
  <c r="B175" i="11" s="1"/>
  <c r="B174" i="11" a="1"/>
  <c r="B174" i="11" s="1"/>
  <c r="B173" i="11" a="1"/>
  <c r="B173" i="11" s="1"/>
  <c r="B172" i="11" a="1"/>
  <c r="B172" i="11" s="1"/>
  <c r="B171" i="11" a="1"/>
  <c r="B171" i="11" s="1"/>
  <c r="B170" i="11" a="1"/>
  <c r="B170" i="11" s="1"/>
  <c r="B169" i="11" a="1"/>
  <c r="B169" i="11" s="1"/>
  <c r="B168" i="11" a="1"/>
  <c r="B168" i="11" s="1"/>
  <c r="B167" i="11" a="1"/>
  <c r="B167" i="11" s="1"/>
  <c r="B166" i="11" a="1"/>
  <c r="B166" i="11" s="1"/>
  <c r="B165" i="11" a="1"/>
  <c r="B165" i="11" s="1"/>
  <c r="B164" i="11" a="1"/>
  <c r="B164" i="11" s="1"/>
  <c r="B163" i="11" a="1"/>
  <c r="B163" i="11" s="1"/>
  <c r="B162" i="11" a="1"/>
  <c r="B162" i="11" s="1"/>
  <c r="B161" i="11" a="1"/>
  <c r="B161" i="11" s="1"/>
  <c r="B160" i="11" a="1"/>
  <c r="B160" i="11" s="1"/>
  <c r="B159" i="11" a="1"/>
  <c r="B159" i="11" s="1"/>
  <c r="B158" i="11" a="1"/>
  <c r="B158" i="11" s="1"/>
  <c r="B157" i="11" a="1"/>
  <c r="B157" i="11" s="1"/>
  <c r="B156" i="11" a="1"/>
  <c r="B156" i="11" s="1"/>
  <c r="B155" i="11" a="1"/>
  <c r="B155" i="11" s="1"/>
  <c r="B154" i="11" a="1"/>
  <c r="B154" i="11" s="1"/>
  <c r="B153" i="11" a="1"/>
  <c r="B153" i="11" s="1"/>
  <c r="B152" i="11" a="1"/>
  <c r="B152" i="11" s="1"/>
  <c r="B151" i="11" a="1"/>
  <c r="B151" i="11" s="1"/>
  <c r="B150" i="11" a="1"/>
  <c r="B150" i="11" s="1"/>
  <c r="B149" i="11" a="1"/>
  <c r="B149" i="11" s="1"/>
  <c r="B148" i="11" a="1"/>
  <c r="B148" i="11" s="1"/>
  <c r="B147" i="11" a="1"/>
  <c r="B147" i="11" s="1"/>
  <c r="B146" i="11" a="1"/>
  <c r="B146" i="11" s="1"/>
  <c r="B145" i="11" a="1"/>
  <c r="B145" i="11" s="1"/>
  <c r="B144" i="11" a="1"/>
  <c r="B144" i="11" s="1"/>
  <c r="B143" i="11" a="1"/>
  <c r="B143" i="11" s="1"/>
  <c r="B142" i="11" a="1"/>
  <c r="B142" i="11" s="1"/>
  <c r="B141" i="11" a="1"/>
  <c r="B141" i="11" s="1"/>
  <c r="B140" i="11" a="1"/>
  <c r="B140" i="11" s="1"/>
  <c r="B139" i="11" a="1"/>
  <c r="B139" i="11" s="1"/>
  <c r="B138" i="11" a="1"/>
  <c r="B138" i="11" s="1"/>
  <c r="B137" i="11" a="1"/>
  <c r="B137" i="11" s="1"/>
  <c r="B136" i="11" a="1"/>
  <c r="B136" i="11" s="1"/>
  <c r="B135" i="11" a="1"/>
  <c r="B135" i="11" s="1"/>
  <c r="B134" i="11" a="1"/>
  <c r="B134" i="11" s="1"/>
  <c r="B133" i="11" a="1"/>
  <c r="B133" i="11" s="1"/>
  <c r="B132" i="11" a="1"/>
  <c r="B132" i="11" s="1"/>
  <c r="B131" i="11" a="1"/>
  <c r="B131" i="11" s="1"/>
  <c r="B130" i="11" a="1"/>
  <c r="B130" i="11" s="1"/>
  <c r="B129" i="11" a="1"/>
  <c r="B129" i="11" s="1"/>
  <c r="B128" i="11" a="1"/>
  <c r="B128" i="11" s="1"/>
  <c r="B127" i="11" a="1"/>
  <c r="B127" i="11" s="1"/>
  <c r="B126" i="11" a="1"/>
  <c r="B126" i="11" s="1"/>
  <c r="B125" i="11" a="1"/>
  <c r="B125" i="11" s="1"/>
  <c r="B124" i="11" a="1"/>
  <c r="B124" i="11" s="1"/>
  <c r="B123" i="11" a="1"/>
  <c r="B123" i="11" s="1"/>
  <c r="B122" i="11" a="1"/>
  <c r="B122" i="11" s="1"/>
  <c r="B121" i="11" a="1"/>
  <c r="B121" i="11" s="1"/>
  <c r="B120" i="11" a="1"/>
  <c r="B120" i="11" s="1"/>
  <c r="B119" i="11" a="1"/>
  <c r="B119" i="11" s="1"/>
  <c r="B118" i="11" a="1"/>
  <c r="B118" i="11" s="1"/>
  <c r="B117" i="11" a="1"/>
  <c r="B117" i="11" s="1"/>
  <c r="B116" i="11" a="1"/>
  <c r="B116" i="11" s="1"/>
  <c r="B115" i="11" a="1"/>
  <c r="B115" i="11" s="1"/>
  <c r="B114" i="11" a="1"/>
  <c r="B114" i="11" s="1"/>
  <c r="B113" i="11" a="1"/>
  <c r="B113" i="11" s="1"/>
  <c r="B112" i="11" a="1"/>
  <c r="B112" i="11" s="1"/>
  <c r="B111" i="11" a="1"/>
  <c r="B111" i="11" s="1"/>
  <c r="B110" i="11" a="1"/>
  <c r="B110" i="11" s="1"/>
  <c r="B109" i="11" a="1"/>
  <c r="B109" i="11" s="1"/>
  <c r="B108" i="11" a="1"/>
  <c r="B108" i="11" s="1"/>
  <c r="B107" i="11" a="1"/>
  <c r="B107" i="11" s="1"/>
  <c r="B106" i="11" a="1"/>
  <c r="B106" i="11" s="1"/>
  <c r="B105" i="11" a="1"/>
  <c r="B105" i="11" s="1"/>
  <c r="B104" i="11" a="1"/>
  <c r="B104" i="11" s="1"/>
  <c r="B103" i="11" a="1"/>
  <c r="B103" i="11" s="1"/>
  <c r="B102" i="11" a="1"/>
  <c r="B102" i="11" s="1"/>
  <c r="B101" i="11" a="1"/>
  <c r="B101" i="11" s="1"/>
  <c r="B100" i="11" a="1"/>
  <c r="B100" i="11" s="1"/>
  <c r="B99" i="11" a="1"/>
  <c r="B99" i="11" s="1"/>
  <c r="B98" i="11" a="1"/>
  <c r="B98" i="11" s="1"/>
  <c r="B97" i="11" a="1"/>
  <c r="B97" i="11" s="1"/>
  <c r="B96" i="11" a="1"/>
  <c r="B96" i="11" s="1"/>
  <c r="B95" i="11" a="1"/>
  <c r="B95" i="11" s="1"/>
  <c r="B94" i="11" a="1"/>
  <c r="B94" i="11" s="1"/>
  <c r="B93" i="11" a="1"/>
  <c r="B93" i="11" s="1"/>
  <c r="B92" i="11" a="1"/>
  <c r="B92" i="11" s="1"/>
  <c r="B91" i="11" a="1"/>
  <c r="B91" i="11" s="1"/>
  <c r="B90" i="11" a="1"/>
  <c r="B90" i="11" s="1"/>
  <c r="B89" i="11" a="1"/>
  <c r="B89" i="11" s="1"/>
  <c r="B88" i="11" a="1"/>
  <c r="B88" i="11" s="1"/>
  <c r="B87" i="11" a="1"/>
  <c r="B87" i="11" s="1"/>
  <c r="B86" i="11" a="1"/>
  <c r="B86" i="11" s="1"/>
  <c r="B85" i="11" a="1"/>
  <c r="B85" i="11" s="1"/>
  <c r="B84" i="11" a="1"/>
  <c r="B84" i="11" s="1"/>
  <c r="B83" i="11" a="1"/>
  <c r="B83" i="11" s="1"/>
  <c r="B82" i="11" a="1"/>
  <c r="B82" i="11" s="1"/>
  <c r="B81" i="11" a="1"/>
  <c r="B81" i="11" s="1"/>
  <c r="B80" i="11" a="1"/>
  <c r="B80" i="11" s="1"/>
  <c r="B79" i="11" a="1"/>
  <c r="B79" i="11" s="1"/>
  <c r="B78" i="11" a="1"/>
  <c r="B78" i="11" s="1"/>
  <c r="B77" i="11" a="1"/>
  <c r="B77" i="11" s="1"/>
  <c r="B76" i="11" a="1"/>
  <c r="B76" i="11" s="1"/>
  <c r="B75" i="11" a="1"/>
  <c r="B75" i="11" s="1"/>
  <c r="B74" i="11" a="1"/>
  <c r="B74" i="11" s="1"/>
  <c r="B73" i="11" a="1"/>
  <c r="B73" i="11" s="1"/>
  <c r="B72" i="11" a="1"/>
  <c r="B72" i="11" s="1"/>
  <c r="B71" i="11" a="1"/>
  <c r="B71" i="11" s="1"/>
  <c r="B70" i="11" a="1"/>
  <c r="B70" i="11" s="1"/>
  <c r="B69" i="11" a="1"/>
  <c r="B69" i="11" s="1"/>
  <c r="B68" i="11" a="1"/>
  <c r="B68" i="11" s="1"/>
  <c r="B67" i="11" a="1"/>
  <c r="B67" i="11" s="1"/>
  <c r="B66" i="11" a="1"/>
  <c r="B66" i="11" s="1"/>
  <c r="B65" i="11" a="1"/>
  <c r="B65" i="11" s="1"/>
  <c r="B64" i="11" a="1"/>
  <c r="B64" i="11" s="1"/>
  <c r="B63" i="11" a="1"/>
  <c r="B63" i="11" s="1"/>
  <c r="B62" i="11" a="1"/>
  <c r="B62" i="11" s="1"/>
  <c r="B61" i="11" a="1"/>
  <c r="B61" i="11" s="1"/>
  <c r="B60" i="11" a="1"/>
  <c r="B60" i="11" s="1"/>
  <c r="B59" i="11" a="1"/>
  <c r="B59" i="11" s="1"/>
  <c r="B58" i="11" a="1"/>
  <c r="B58" i="11" s="1"/>
  <c r="B57" i="11" a="1"/>
  <c r="B57" i="11" s="1"/>
  <c r="B56" i="11" a="1"/>
  <c r="B56" i="11" s="1"/>
  <c r="B55" i="11" a="1"/>
  <c r="B55" i="11" s="1"/>
  <c r="B54" i="11" a="1"/>
  <c r="B54" i="11" s="1"/>
  <c r="B53" i="11" a="1"/>
  <c r="B53" i="11" s="1"/>
  <c r="B52" i="11" a="1"/>
  <c r="B52" i="11" s="1"/>
  <c r="B51" i="11" a="1"/>
  <c r="B51" i="11" s="1"/>
  <c r="B50" i="11" a="1"/>
  <c r="B50" i="11" s="1"/>
  <c r="B49" i="11" a="1"/>
  <c r="B49" i="11" s="1"/>
  <c r="B48" i="11" a="1"/>
  <c r="B48" i="11" s="1"/>
  <c r="B47" i="11" a="1"/>
  <c r="B47" i="11" s="1"/>
  <c r="B46" i="11" a="1"/>
  <c r="B46" i="11" s="1"/>
  <c r="B45" i="11" a="1"/>
  <c r="B45" i="11" s="1"/>
  <c r="B44" i="11" a="1"/>
  <c r="B44" i="11" s="1"/>
  <c r="B43" i="11" a="1"/>
  <c r="B43" i="11" s="1"/>
  <c r="B42" i="11" a="1"/>
  <c r="B42" i="11" s="1"/>
  <c r="B41" i="11" a="1"/>
  <c r="B41" i="11" s="1"/>
  <c r="B40" i="11" a="1"/>
  <c r="B40" i="11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30" i="11" a="1"/>
  <c r="B30" i="11" s="1"/>
  <c r="B29" i="11" a="1"/>
  <c r="B29" i="11" s="1"/>
  <c r="B28" i="11" a="1"/>
  <c r="B28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2" i="11" a="1"/>
  <c r="B22" i="11" s="1"/>
  <c r="B21" i="11" a="1"/>
  <c r="B21" i="11" s="1"/>
  <c r="B20" i="11" a="1"/>
  <c r="B20" i="11" s="1"/>
  <c r="B19" i="11" a="1"/>
  <c r="B19" i="11" s="1"/>
  <c r="B18" i="11" a="1"/>
  <c r="B18" i="11" s="1"/>
  <c r="B17" i="11" a="1"/>
  <c r="B17" i="11" s="1"/>
  <c r="B16" i="11" a="1"/>
  <c r="B16" i="11" s="1"/>
  <c r="B15" i="11" a="1"/>
  <c r="B15" i="11" s="1"/>
  <c r="B14" i="11" a="1"/>
  <c r="B14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187" i="10" a="1"/>
  <c r="B187" i="10" s="1"/>
  <c r="B186" i="10" a="1"/>
  <c r="B186" i="10" s="1"/>
  <c r="B185" i="10" a="1"/>
  <c r="B185" i="10" s="1"/>
  <c r="B184" i="10" a="1"/>
  <c r="B184" i="10" s="1"/>
  <c r="B183" i="10" a="1"/>
  <c r="B183" i="10" s="1"/>
  <c r="B182" i="10" a="1"/>
  <c r="B182" i="10" s="1"/>
  <c r="B181" i="10" a="1"/>
  <c r="B181" i="10" s="1"/>
  <c r="B180" i="10" a="1"/>
  <c r="B180" i="10" s="1"/>
  <c r="B179" i="10" a="1"/>
  <c r="B179" i="10" s="1"/>
  <c r="B178" i="10" a="1"/>
  <c r="B178" i="10" s="1"/>
  <c r="B177" i="10" a="1"/>
  <c r="B177" i="10" s="1"/>
  <c r="B176" i="10" a="1"/>
  <c r="B176" i="10" s="1"/>
  <c r="B175" i="10" a="1"/>
  <c r="B175" i="10" s="1"/>
  <c r="B174" i="10" a="1"/>
  <c r="B174" i="10" s="1"/>
  <c r="B173" i="10" a="1"/>
  <c r="B173" i="10" s="1"/>
  <c r="B172" i="10" a="1"/>
  <c r="B172" i="10" s="1"/>
  <c r="B171" i="10" a="1"/>
  <c r="B171" i="10" s="1"/>
  <c r="B170" i="10" a="1"/>
  <c r="B170" i="10" s="1"/>
  <c r="B169" i="10" a="1"/>
  <c r="B169" i="10" s="1"/>
  <c r="B168" i="10" a="1"/>
  <c r="B168" i="10" s="1"/>
  <c r="B167" i="10" a="1"/>
  <c r="B167" i="10" s="1"/>
  <c r="B166" i="10" a="1"/>
  <c r="B166" i="10" s="1"/>
  <c r="B165" i="10" a="1"/>
  <c r="B165" i="10" s="1"/>
  <c r="B164" i="10" a="1"/>
  <c r="B164" i="10" s="1"/>
  <c r="B163" i="10" a="1"/>
  <c r="B163" i="10" s="1"/>
  <c r="B162" i="10" a="1"/>
  <c r="B162" i="10" s="1"/>
  <c r="B161" i="10" a="1"/>
  <c r="B161" i="10" s="1"/>
  <c r="B160" i="10" a="1"/>
  <c r="B160" i="10" s="1"/>
  <c r="B159" i="10" a="1"/>
  <c r="B159" i="10" s="1"/>
  <c r="B158" i="10" a="1"/>
  <c r="B158" i="10" s="1"/>
  <c r="B157" i="10" a="1"/>
  <c r="B157" i="10" s="1"/>
  <c r="B156" i="10" a="1"/>
  <c r="B156" i="10" s="1"/>
  <c r="B155" i="10" a="1"/>
  <c r="B155" i="10" s="1"/>
  <c r="B154" i="10" a="1"/>
  <c r="B154" i="10" s="1"/>
  <c r="B153" i="10" a="1"/>
  <c r="B153" i="10" s="1"/>
  <c r="B152" i="10" a="1"/>
  <c r="B152" i="10" s="1"/>
  <c r="B151" i="10" a="1"/>
  <c r="B151" i="10" s="1"/>
  <c r="B150" i="10" a="1"/>
  <c r="B150" i="10" s="1"/>
  <c r="B149" i="10" a="1"/>
  <c r="B149" i="10" s="1"/>
  <c r="B148" i="10" a="1"/>
  <c r="B148" i="10" s="1"/>
  <c r="B147" i="10" a="1"/>
  <c r="B147" i="10" s="1"/>
  <c r="B146" i="10" a="1"/>
  <c r="B146" i="10" s="1"/>
  <c r="B145" i="10" a="1"/>
  <c r="B145" i="10" s="1"/>
  <c r="B144" i="10" a="1"/>
  <c r="B144" i="10" s="1"/>
  <c r="B143" i="10" a="1"/>
  <c r="B143" i="10" s="1"/>
  <c r="B142" i="10" a="1"/>
  <c r="B142" i="10" s="1"/>
  <c r="B141" i="10" a="1"/>
  <c r="B141" i="10" s="1"/>
  <c r="B140" i="10" a="1"/>
  <c r="B140" i="10" s="1"/>
  <c r="B139" i="10" a="1"/>
  <c r="B139" i="10" s="1"/>
  <c r="B138" i="10" a="1"/>
  <c r="B138" i="10" s="1"/>
  <c r="B137" i="10" a="1"/>
  <c r="B137" i="10" s="1"/>
  <c r="B136" i="10" a="1"/>
  <c r="B136" i="10" s="1"/>
  <c r="B135" i="10" a="1"/>
  <c r="B135" i="10" s="1"/>
  <c r="B134" i="10" a="1"/>
  <c r="B134" i="10" s="1"/>
  <c r="B133" i="10" a="1"/>
  <c r="B133" i="10" s="1"/>
  <c r="B132" i="10" a="1"/>
  <c r="B132" i="10" s="1"/>
  <c r="B131" i="10" a="1"/>
  <c r="B131" i="10" s="1"/>
  <c r="B130" i="10" a="1"/>
  <c r="B130" i="10" s="1"/>
  <c r="B129" i="10" a="1"/>
  <c r="B129" i="10" s="1"/>
  <c r="B128" i="10" a="1"/>
  <c r="B128" i="10" s="1"/>
  <c r="B127" i="10" a="1"/>
  <c r="B127" i="10" s="1"/>
  <c r="B126" i="10" a="1"/>
  <c r="B126" i="10" s="1"/>
  <c r="B125" i="10" a="1"/>
  <c r="B125" i="10" s="1"/>
  <c r="B124" i="10" a="1"/>
  <c r="B124" i="10" s="1"/>
  <c r="B123" i="10" a="1"/>
  <c r="B123" i="10" s="1"/>
  <c r="B122" i="10" a="1"/>
  <c r="B122" i="10" s="1"/>
  <c r="B121" i="10" a="1"/>
  <c r="B121" i="10" s="1"/>
  <c r="B120" i="10" a="1"/>
  <c r="B120" i="10" s="1"/>
  <c r="B119" i="10" a="1"/>
  <c r="B119" i="10" s="1"/>
  <c r="B118" i="10" a="1"/>
  <c r="B118" i="10" s="1"/>
  <c r="B117" i="10" a="1"/>
  <c r="B117" i="10" s="1"/>
  <c r="B116" i="10" a="1"/>
  <c r="B116" i="10" s="1"/>
  <c r="B115" i="10" a="1"/>
  <c r="B115" i="10" s="1"/>
  <c r="B114" i="10" a="1"/>
  <c r="B114" i="10" s="1"/>
  <c r="B113" i="10" a="1"/>
  <c r="B113" i="10" s="1"/>
  <c r="B112" i="10" a="1"/>
  <c r="B112" i="10" s="1"/>
  <c r="B111" i="10" a="1"/>
  <c r="B111" i="10" s="1"/>
  <c r="B110" i="10" a="1"/>
  <c r="B110" i="10" s="1"/>
  <c r="B109" i="10" a="1"/>
  <c r="B109" i="10" s="1"/>
  <c r="B108" i="10" a="1"/>
  <c r="B108" i="10" s="1"/>
  <c r="B107" i="10" a="1"/>
  <c r="B107" i="10" s="1"/>
  <c r="B106" i="10" a="1"/>
  <c r="B106" i="10" s="1"/>
  <c r="B105" i="10" a="1"/>
  <c r="B105" i="10" s="1"/>
  <c r="B104" i="10" a="1"/>
  <c r="B104" i="10" s="1"/>
  <c r="B103" i="10" a="1"/>
  <c r="B103" i="10" s="1"/>
  <c r="B102" i="10" a="1"/>
  <c r="B102" i="10" s="1"/>
  <c r="B101" i="10" a="1"/>
  <c r="B101" i="10" s="1"/>
  <c r="B100" i="10" a="1"/>
  <c r="B100" i="10" s="1"/>
  <c r="B99" i="10" a="1"/>
  <c r="B99" i="10" s="1"/>
  <c r="B98" i="10" a="1"/>
  <c r="B98" i="10" s="1"/>
  <c r="B97" i="10" a="1"/>
  <c r="B97" i="10" s="1"/>
  <c r="B96" i="10" a="1"/>
  <c r="B96" i="10" s="1"/>
  <c r="B95" i="10" a="1"/>
  <c r="B95" i="10" s="1"/>
  <c r="B94" i="10" a="1"/>
  <c r="B94" i="10" s="1"/>
  <c r="B93" i="10" a="1"/>
  <c r="B93" i="10" s="1"/>
  <c r="B92" i="10" a="1"/>
  <c r="B92" i="10" s="1"/>
  <c r="B91" i="10" a="1"/>
  <c r="B91" i="10" s="1"/>
  <c r="B90" i="10" a="1"/>
  <c r="B90" i="10" s="1"/>
  <c r="B89" i="10" a="1"/>
  <c r="B89" i="10" s="1"/>
  <c r="B88" i="10" a="1"/>
  <c r="B88" i="10" s="1"/>
  <c r="B87" i="10" a="1"/>
  <c r="B87" i="10" s="1"/>
  <c r="B86" i="10" a="1"/>
  <c r="B86" i="10" s="1"/>
  <c r="B85" i="10" a="1"/>
  <c r="B85" i="10" s="1"/>
  <c r="B84" i="10" a="1"/>
  <c r="B84" i="10" s="1"/>
  <c r="B83" i="10" a="1"/>
  <c r="B83" i="10" s="1"/>
  <c r="B82" i="10" a="1"/>
  <c r="B82" i="10" s="1"/>
  <c r="B81" i="10" a="1"/>
  <c r="B81" i="10" s="1"/>
  <c r="B80" i="10" a="1"/>
  <c r="B80" i="10" s="1"/>
  <c r="B79" i="10" a="1"/>
  <c r="B79" i="10" s="1"/>
  <c r="B78" i="10" a="1"/>
  <c r="B78" i="10" s="1"/>
  <c r="B77" i="10" a="1"/>
  <c r="B77" i="10" s="1"/>
  <c r="B76" i="10" a="1"/>
  <c r="B76" i="10" s="1"/>
  <c r="B75" i="10" a="1"/>
  <c r="B75" i="10" s="1"/>
  <c r="B74" i="10" a="1"/>
  <c r="B74" i="10" s="1"/>
  <c r="B73" i="10" a="1"/>
  <c r="B73" i="10" s="1"/>
  <c r="B72" i="10" a="1"/>
  <c r="B72" i="10" s="1"/>
  <c r="B71" i="10" a="1"/>
  <c r="B71" i="10" s="1"/>
  <c r="B70" i="10" a="1"/>
  <c r="B70" i="10" s="1"/>
  <c r="B69" i="10" a="1"/>
  <c r="B69" i="10" s="1"/>
  <c r="B68" i="10" a="1"/>
  <c r="B68" i="10" s="1"/>
  <c r="B67" i="10" a="1"/>
  <c r="B67" i="10" s="1"/>
  <c r="B66" i="10" a="1"/>
  <c r="B66" i="10" s="1"/>
  <c r="B65" i="10" a="1"/>
  <c r="B65" i="10" s="1"/>
  <c r="B64" i="10" a="1"/>
  <c r="B64" i="10" s="1"/>
  <c r="B63" i="10" a="1"/>
  <c r="B63" i="10" s="1"/>
  <c r="B62" i="10" a="1"/>
  <c r="B62" i="10" s="1"/>
  <c r="B61" i="10" a="1"/>
  <c r="B61" i="10" s="1"/>
  <c r="B60" i="10" a="1"/>
  <c r="B60" i="10" s="1"/>
  <c r="B59" i="10" a="1"/>
  <c r="B59" i="10" s="1"/>
  <c r="B58" i="10" a="1"/>
  <c r="B58" i="10" s="1"/>
  <c r="B57" i="10" a="1"/>
  <c r="B57" i="10" s="1"/>
  <c r="B56" i="10" a="1"/>
  <c r="B56" i="10" s="1"/>
  <c r="B55" i="10" a="1"/>
  <c r="B55" i="10" s="1"/>
  <c r="B54" i="10" a="1"/>
  <c r="B54" i="10" s="1"/>
  <c r="B53" i="10" a="1"/>
  <c r="B53" i="10" s="1"/>
  <c r="B52" i="10" a="1"/>
  <c r="B52" i="10" s="1"/>
  <c r="B51" i="10" a="1"/>
  <c r="B51" i="10" s="1"/>
  <c r="B50" i="10" a="1"/>
  <c r="B50" i="10" s="1"/>
  <c r="B49" i="10" a="1"/>
  <c r="B49" i="10" s="1"/>
  <c r="B48" i="10" a="1"/>
  <c r="B48" i="10" s="1"/>
  <c r="B47" i="10" a="1"/>
  <c r="B47" i="10" s="1"/>
  <c r="B46" i="10" a="1"/>
  <c r="B46" i="10" s="1"/>
  <c r="B45" i="10" a="1"/>
  <c r="B45" i="10" s="1"/>
  <c r="B44" i="10" a="1"/>
  <c r="B44" i="10" s="1"/>
  <c r="B43" i="10" a="1"/>
  <c r="B43" i="10" s="1"/>
  <c r="B42" i="10" a="1"/>
  <c r="B42" i="10" s="1"/>
  <c r="B41" i="10" a="1"/>
  <c r="B41" i="10" s="1"/>
  <c r="B40" i="10" a="1"/>
  <c r="B40" i="10" s="1"/>
  <c r="B39" i="10" a="1"/>
  <c r="B39" i="10" s="1"/>
  <c r="B38" i="10" a="1"/>
  <c r="B38" i="10" s="1"/>
  <c r="B37" i="10" a="1"/>
  <c r="B37" i="10" s="1"/>
  <c r="B36" i="10" a="1"/>
  <c r="B36" i="10" s="1"/>
  <c r="B35" i="10" a="1"/>
  <c r="B35" i="10" s="1"/>
  <c r="B34" i="10" a="1"/>
  <c r="B34" i="10" s="1"/>
  <c r="B33" i="10" a="1"/>
  <c r="B33" i="10" s="1"/>
  <c r="B32" i="10" a="1"/>
  <c r="B32" i="10" s="1"/>
  <c r="B31" i="10" a="1"/>
  <c r="B31" i="10" s="1"/>
  <c r="B30" i="10" a="1"/>
  <c r="B30" i="10" s="1"/>
  <c r="B29" i="10" a="1"/>
  <c r="B29" i="10" s="1"/>
  <c r="B28" i="10" a="1"/>
  <c r="B28" i="10" s="1"/>
  <c r="B27" i="10" a="1"/>
  <c r="B27" i="10" s="1"/>
  <c r="B26" i="10" a="1"/>
  <c r="B26" i="10" s="1"/>
  <c r="B25" i="10" a="1"/>
  <c r="B25" i="10" s="1"/>
  <c r="B24" i="10" a="1"/>
  <c r="B24" i="10" s="1"/>
  <c r="B23" i="10" a="1"/>
  <c r="B23" i="10" s="1"/>
  <c r="B22" i="10" a="1"/>
  <c r="B22" i="10" s="1"/>
  <c r="B21" i="10" a="1"/>
  <c r="B21" i="10" s="1"/>
  <c r="B20" i="10" a="1"/>
  <c r="B20" i="10" s="1"/>
  <c r="B19" i="10" a="1"/>
  <c r="B19" i="10" s="1"/>
  <c r="B18" i="10" a="1"/>
  <c r="B18" i="10" s="1"/>
  <c r="B17" i="10" a="1"/>
  <c r="B17" i="10" s="1"/>
  <c r="B16" i="10" a="1"/>
  <c r="B16" i="10" s="1"/>
  <c r="B15" i="10" a="1"/>
  <c r="B15" i="10" s="1"/>
  <c r="B14" i="10" a="1"/>
  <c r="B14" i="10" s="1"/>
  <c r="B13" i="10" a="1"/>
  <c r="B13" i="10" s="1"/>
  <c r="B12" i="10" a="1"/>
  <c r="B12" i="10" s="1"/>
  <c r="B11" i="10" a="1"/>
  <c r="B11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I223" i="17" l="1"/>
  <c r="I249" i="17"/>
  <c r="I241" i="17"/>
  <c r="I215" i="17"/>
  <c r="I259" i="17"/>
  <c r="I207" i="17"/>
  <c r="I251" i="17"/>
  <c r="I217" i="17"/>
  <c r="I261" i="17"/>
  <c r="I237" i="17"/>
  <c r="I209" i="17"/>
  <c r="I219" i="17"/>
  <c r="I192" i="17"/>
  <c r="H204" i="17"/>
  <c r="I201" i="17"/>
  <c r="I244" i="17"/>
  <c r="H256" i="17"/>
  <c r="H246" i="17"/>
  <c r="H214" i="17"/>
  <c r="I214" i="17" s="1"/>
  <c r="H194" i="17"/>
  <c r="H236" i="17"/>
  <c r="I236" i="17" s="1"/>
  <c r="I225" i="17"/>
  <c r="H148" i="17"/>
  <c r="H180" i="17"/>
  <c r="H238" i="17"/>
  <c r="H258" i="17"/>
  <c r="I258" i="17" s="1"/>
  <c r="H196" i="17"/>
  <c r="I196" i="17" s="1"/>
  <c r="H260" i="17"/>
  <c r="I260" i="17" s="1"/>
  <c r="H228" i="17"/>
  <c r="I228" i="17" s="1"/>
  <c r="H234" i="17"/>
  <c r="I233" i="17"/>
  <c r="H206" i="17"/>
  <c r="H250" i="17"/>
  <c r="H218" i="17"/>
  <c r="H198" i="17"/>
  <c r="I198" i="17" s="1"/>
  <c r="H216" i="17"/>
  <c r="H240" i="17"/>
  <c r="H208" i="17"/>
  <c r="I188" i="17"/>
  <c r="H262" i="17"/>
  <c r="H230" i="17"/>
  <c r="I230" i="17" s="1"/>
  <c r="I189" i="17"/>
  <c r="H224" i="17"/>
  <c r="I224" i="17" s="1"/>
  <c r="I257" i="17"/>
  <c r="H252" i="17"/>
  <c r="H220" i="17"/>
  <c r="H200" i="17"/>
  <c r="H226" i="17"/>
  <c r="H242" i="17"/>
  <c r="H210" i="17"/>
  <c r="I210" i="17" s="1"/>
  <c r="H190" i="17"/>
  <c r="H248" i="17"/>
  <c r="H232" i="17"/>
  <c r="H254" i="17"/>
  <c r="I254" i="17" s="1"/>
  <c r="H222" i="17"/>
  <c r="I222" i="17" s="1"/>
  <c r="H202" i="17"/>
  <c r="I202" i="17" s="1"/>
  <c r="I211" i="16"/>
  <c r="I237" i="16"/>
  <c r="I247" i="16"/>
  <c r="I239" i="16"/>
  <c r="I194" i="16"/>
  <c r="I259" i="16"/>
  <c r="I241" i="16"/>
  <c r="I215" i="16"/>
  <c r="I207" i="16"/>
  <c r="I243" i="16"/>
  <c r="I201" i="16"/>
  <c r="I253" i="16"/>
  <c r="I219" i="16"/>
  <c r="H254" i="16"/>
  <c r="H222" i="16"/>
  <c r="I222" i="16" s="1"/>
  <c r="H244" i="16"/>
  <c r="I221" i="16"/>
  <c r="I212" i="16"/>
  <c r="I193" i="16"/>
  <c r="H234" i="16"/>
  <c r="H256" i="16"/>
  <c r="H224" i="16"/>
  <c r="I255" i="16"/>
  <c r="H246" i="16"/>
  <c r="I246" i="16" s="1"/>
  <c r="I223" i="16"/>
  <c r="H214" i="16"/>
  <c r="I214" i="16" s="1"/>
  <c r="H204" i="16"/>
  <c r="I204" i="16" s="1"/>
  <c r="H236" i="16"/>
  <c r="I236" i="16" s="1"/>
  <c r="H258" i="16"/>
  <c r="I235" i="16"/>
  <c r="H226" i="16"/>
  <c r="I203" i="16"/>
  <c r="I257" i="16"/>
  <c r="H248" i="16"/>
  <c r="H216" i="16"/>
  <c r="H206" i="16"/>
  <c r="I206" i="16" s="1"/>
  <c r="H238" i="16"/>
  <c r="H260" i="16"/>
  <c r="H228" i="16"/>
  <c r="I228" i="16" s="1"/>
  <c r="H250" i="16"/>
  <c r="I250" i="16" s="1"/>
  <c r="H218" i="16"/>
  <c r="H208" i="16"/>
  <c r="I208" i="16" s="1"/>
  <c r="H240" i="16"/>
  <c r="H262" i="16"/>
  <c r="I262" i="16" s="1"/>
  <c r="H230" i="16"/>
  <c r="I230" i="16" s="1"/>
  <c r="H252" i="16"/>
  <c r="I252" i="16" s="1"/>
  <c r="H220" i="16"/>
  <c r="I220" i="16" s="1"/>
  <c r="I251" i="16"/>
  <c r="I210" i="16"/>
  <c r="H232" i="16"/>
  <c r="I232" i="16" s="1"/>
  <c r="I249" i="7"/>
  <c r="I225" i="7"/>
  <c r="I209" i="7"/>
  <c r="I193" i="7"/>
  <c r="I237" i="7"/>
  <c r="I221" i="7"/>
  <c r="I261" i="7"/>
  <c r="I205" i="7"/>
  <c r="I245" i="7"/>
  <c r="I229" i="7"/>
  <c r="I263" i="7"/>
  <c r="I201" i="7"/>
  <c r="I257" i="7"/>
  <c r="I241" i="7"/>
  <c r="H254" i="7"/>
  <c r="I254" i="7" s="1"/>
  <c r="H212" i="7"/>
  <c r="I212" i="7" s="1"/>
  <c r="H192" i="7"/>
  <c r="H244" i="7"/>
  <c r="H234" i="7"/>
  <c r="I234" i="7" s="1"/>
  <c r="H224" i="7"/>
  <c r="I224" i="7" s="1"/>
  <c r="H204" i="7"/>
  <c r="H256" i="7"/>
  <c r="I256" i="7" s="1"/>
  <c r="H214" i="7"/>
  <c r="I214" i="7" s="1"/>
  <c r="H194" i="7"/>
  <c r="I194" i="7" s="1"/>
  <c r="I255" i="7"/>
  <c r="I246" i="7"/>
  <c r="I223" i="7"/>
  <c r="H236" i="7"/>
  <c r="I236" i="7" s="1"/>
  <c r="H226" i="7"/>
  <c r="H258" i="7"/>
  <c r="H216" i="7"/>
  <c r="I216" i="7" s="1"/>
  <c r="H196" i="7"/>
  <c r="H248" i="7"/>
  <c r="H206" i="7"/>
  <c r="H238" i="7"/>
  <c r="H260" i="7"/>
  <c r="H228" i="7"/>
  <c r="I228" i="7" s="1"/>
  <c r="H218" i="7"/>
  <c r="I218" i="7" s="1"/>
  <c r="H198" i="7"/>
  <c r="I198" i="7" s="1"/>
  <c r="H250" i="7"/>
  <c r="I250" i="7" s="1"/>
  <c r="H240" i="7"/>
  <c r="I240" i="7" s="1"/>
  <c r="H262" i="7"/>
  <c r="I262" i="7" s="1"/>
  <c r="H230" i="7"/>
  <c r="I230" i="7" s="1"/>
  <c r="H220" i="7"/>
  <c r="I220" i="7" s="1"/>
  <c r="H200" i="7"/>
  <c r="H190" i="7"/>
  <c r="I190" i="7" s="1"/>
  <c r="H242" i="7"/>
  <c r="H232" i="7"/>
  <c r="H222" i="7"/>
  <c r="I222" i="7" s="1"/>
  <c r="H202" i="7"/>
  <c r="I232" i="18"/>
  <c r="I212" i="18"/>
  <c r="I258" i="18"/>
  <c r="I226" i="18"/>
  <c r="I248" i="18"/>
  <c r="I216" i="18"/>
  <c r="I208" i="18"/>
  <c r="I252" i="18"/>
  <c r="I220" i="18"/>
  <c r="I200" i="18"/>
  <c r="I216" i="17"/>
  <c r="I208" i="17"/>
  <c r="I252" i="17"/>
  <c r="I224" i="16"/>
  <c r="I242" i="7"/>
  <c r="I204" i="7"/>
  <c r="I238" i="7"/>
  <c r="I252" i="7"/>
  <c r="I210" i="7"/>
  <c r="H139" i="18"/>
  <c r="H138" i="18"/>
  <c r="H122" i="18"/>
  <c r="H107" i="18"/>
  <c r="H187" i="18"/>
  <c r="H154" i="17"/>
  <c r="H72" i="19"/>
  <c r="H40" i="19"/>
  <c r="H8" i="19"/>
  <c r="H168" i="18"/>
  <c r="H127" i="17"/>
  <c r="H159" i="17"/>
  <c r="H135" i="17"/>
  <c r="H151" i="17"/>
  <c r="H183" i="17"/>
  <c r="I193" i="17" s="1"/>
  <c r="H93" i="16"/>
  <c r="H129" i="16"/>
  <c r="H22" i="16"/>
  <c r="H108" i="19"/>
  <c r="H124" i="19"/>
  <c r="H140" i="19"/>
  <c r="H156" i="19"/>
  <c r="H166" i="19"/>
  <c r="H182" i="19"/>
  <c r="H17" i="17"/>
  <c r="H49" i="17"/>
  <c r="H177" i="17"/>
  <c r="H44" i="17"/>
  <c r="H24" i="19"/>
  <c r="H56" i="19"/>
  <c r="I56" i="19" s="1"/>
  <c r="H14" i="19"/>
  <c r="I24" i="19" s="1"/>
  <c r="H62" i="19"/>
  <c r="I72" i="19" s="1"/>
  <c r="H137" i="19"/>
  <c r="H4" i="19"/>
  <c r="H28" i="19"/>
  <c r="H36" i="19"/>
  <c r="H60" i="19"/>
  <c r="H68" i="19"/>
  <c r="H116" i="19"/>
  <c r="H164" i="19"/>
  <c r="H172" i="19"/>
  <c r="H69" i="19"/>
  <c r="H3" i="19"/>
  <c r="H168" i="19"/>
  <c r="I168" i="19" s="1"/>
  <c r="H88" i="19"/>
  <c r="H104" i="19"/>
  <c r="H120" i="19"/>
  <c r="H136" i="19"/>
  <c r="H91" i="19"/>
  <c r="H139" i="19"/>
  <c r="H145" i="19"/>
  <c r="H171" i="19"/>
  <c r="H187" i="19"/>
  <c r="H17" i="18"/>
  <c r="H49" i="18"/>
  <c r="H65" i="18"/>
  <c r="H81" i="18"/>
  <c r="H84" i="18"/>
  <c r="H97" i="18"/>
  <c r="I107" i="18" s="1"/>
  <c r="H159" i="18"/>
  <c r="H175" i="18"/>
  <c r="H180" i="18"/>
  <c r="H9" i="18"/>
  <c r="H16" i="18"/>
  <c r="H24" i="18"/>
  <c r="H32" i="18"/>
  <c r="H136" i="18"/>
  <c r="H144" i="18"/>
  <c r="H152" i="18"/>
  <c r="H160" i="18"/>
  <c r="H102" i="17"/>
  <c r="I102" i="17" s="1"/>
  <c r="H134" i="17"/>
  <c r="H4" i="17"/>
  <c r="H12" i="17"/>
  <c r="H52" i="17"/>
  <c r="H60" i="17"/>
  <c r="H68" i="17"/>
  <c r="H76" i="17"/>
  <c r="H100" i="17"/>
  <c r="H108" i="17"/>
  <c r="H164" i="17"/>
  <c r="H172" i="17"/>
  <c r="H7" i="17"/>
  <c r="H15" i="17"/>
  <c r="H55" i="17"/>
  <c r="H77" i="17"/>
  <c r="H87" i="17"/>
  <c r="H103" i="17"/>
  <c r="H8" i="16"/>
  <c r="H155" i="16"/>
  <c r="H171" i="16"/>
  <c r="H184" i="16"/>
  <c r="H187" i="16"/>
  <c r="I197" i="16" s="1"/>
  <c r="H65" i="16"/>
  <c r="H81" i="16"/>
  <c r="I91" i="16" s="1"/>
  <c r="H97" i="16"/>
  <c r="H13" i="16"/>
  <c r="H29" i="16"/>
  <c r="H158" i="16"/>
  <c r="H94" i="19"/>
  <c r="I94" i="19" s="1"/>
  <c r="H110" i="19"/>
  <c r="H134" i="19"/>
  <c r="H142" i="19"/>
  <c r="H150" i="19"/>
  <c r="H158" i="19"/>
  <c r="H91" i="17"/>
  <c r="H130" i="16"/>
  <c r="H60" i="16"/>
  <c r="H148" i="16"/>
  <c r="H156" i="16"/>
  <c r="H172" i="16"/>
  <c r="H16" i="16"/>
  <c r="H76" i="19"/>
  <c r="H84" i="19"/>
  <c r="H92" i="19"/>
  <c r="H100" i="19"/>
  <c r="H106" i="17"/>
  <c r="H122" i="17"/>
  <c r="H138" i="17"/>
  <c r="I148" i="17" s="1"/>
  <c r="H154" i="16"/>
  <c r="H170" i="16"/>
  <c r="H45" i="18"/>
  <c r="H93" i="18"/>
  <c r="H109" i="18"/>
  <c r="H8" i="18"/>
  <c r="H143" i="19"/>
  <c r="H127" i="19"/>
  <c r="H111" i="19"/>
  <c r="H79" i="19"/>
  <c r="H15" i="19"/>
  <c r="H22" i="17"/>
  <c r="H102" i="16"/>
  <c r="H182" i="16"/>
  <c r="I192" i="16" s="1"/>
  <c r="H73" i="18"/>
  <c r="H89" i="18"/>
  <c r="H113" i="18"/>
  <c r="H121" i="18"/>
  <c r="H129" i="18"/>
  <c r="H137" i="18"/>
  <c r="H161" i="18"/>
  <c r="H169" i="18"/>
  <c r="I169" i="18" s="1"/>
  <c r="H76" i="18"/>
  <c r="H116" i="18"/>
  <c r="H124" i="18"/>
  <c r="I134" i="18" s="1"/>
  <c r="H148" i="18"/>
  <c r="I148" i="18" s="1"/>
  <c r="H156" i="18"/>
  <c r="H164" i="18"/>
  <c r="H172" i="18"/>
  <c r="H44" i="18"/>
  <c r="H52" i="18"/>
  <c r="H92" i="18"/>
  <c r="H15" i="18"/>
  <c r="H31" i="18"/>
  <c r="H47" i="18"/>
  <c r="H79" i="18"/>
  <c r="I89" i="18" s="1"/>
  <c r="H95" i="18"/>
  <c r="H127" i="18"/>
  <c r="H58" i="18"/>
  <c r="H90" i="18"/>
  <c r="I90" i="18" s="1"/>
  <c r="H106" i="18"/>
  <c r="I106" i="18" s="1"/>
  <c r="H154" i="18"/>
  <c r="H170" i="18"/>
  <c r="H186" i="18"/>
  <c r="H125" i="18"/>
  <c r="H141" i="18"/>
  <c r="H157" i="18"/>
  <c r="H40" i="18"/>
  <c r="H48" i="18"/>
  <c r="H64" i="18"/>
  <c r="H80" i="18"/>
  <c r="H96" i="18"/>
  <c r="H112" i="18"/>
  <c r="I122" i="18" s="1"/>
  <c r="H120" i="18"/>
  <c r="I130" i="18" s="1"/>
  <c r="H128" i="18"/>
  <c r="H184" i="18"/>
  <c r="H91" i="18"/>
  <c r="I91" i="18" s="1"/>
  <c r="H123" i="18"/>
  <c r="H155" i="18"/>
  <c r="H171" i="18"/>
  <c r="H30" i="18"/>
  <c r="H110" i="18"/>
  <c r="H158" i="18"/>
  <c r="H54" i="18"/>
  <c r="H118" i="18"/>
  <c r="H166" i="18"/>
  <c r="H182" i="18"/>
  <c r="H10" i="17"/>
  <c r="H26" i="17"/>
  <c r="H53" i="17"/>
  <c r="H58" i="17"/>
  <c r="H69" i="17"/>
  <c r="H74" i="17"/>
  <c r="I74" i="17" s="1"/>
  <c r="H85" i="17"/>
  <c r="H101" i="17"/>
  <c r="H186" i="17"/>
  <c r="H29" i="17"/>
  <c r="H45" i="17"/>
  <c r="H8" i="17"/>
  <c r="H16" i="17"/>
  <c r="H24" i="17"/>
  <c r="H40" i="17"/>
  <c r="H48" i="17"/>
  <c r="H56" i="17"/>
  <c r="H64" i="17"/>
  <c r="H72" i="17"/>
  <c r="H88" i="17"/>
  <c r="H96" i="17"/>
  <c r="H120" i="17"/>
  <c r="H128" i="17"/>
  <c r="H136" i="17"/>
  <c r="H168" i="17"/>
  <c r="H176" i="17"/>
  <c r="I186" i="17" s="1"/>
  <c r="H184" i="17"/>
  <c r="H11" i="17"/>
  <c r="H27" i="17"/>
  <c r="H43" i="17"/>
  <c r="H59" i="17"/>
  <c r="H107" i="17"/>
  <c r="H139" i="17"/>
  <c r="H171" i="17"/>
  <c r="H187" i="17"/>
  <c r="I187" i="17" s="1"/>
  <c r="H54" i="17"/>
  <c r="I54" i="17" s="1"/>
  <c r="H86" i="17"/>
  <c r="H150" i="17"/>
  <c r="H182" i="17"/>
  <c r="H65" i="17"/>
  <c r="H97" i="17"/>
  <c r="H113" i="17"/>
  <c r="H145" i="17"/>
  <c r="I145" i="17" s="1"/>
  <c r="H161" i="17"/>
  <c r="H175" i="17"/>
  <c r="H143" i="17"/>
  <c r="I143" i="17" s="1"/>
  <c r="H47" i="17"/>
  <c r="H24" i="16"/>
  <c r="H32" i="16"/>
  <c r="H56" i="16"/>
  <c r="H64" i="16"/>
  <c r="H72" i="16"/>
  <c r="H80" i="16"/>
  <c r="H104" i="16"/>
  <c r="H112" i="16"/>
  <c r="H120" i="16"/>
  <c r="H128" i="16"/>
  <c r="H144" i="16"/>
  <c r="H152" i="16"/>
  <c r="H160" i="16"/>
  <c r="H168" i="16"/>
  <c r="H176" i="16"/>
  <c r="H75" i="16"/>
  <c r="H91" i="16"/>
  <c r="H123" i="16"/>
  <c r="H139" i="16"/>
  <c r="H6" i="16"/>
  <c r="H126" i="16"/>
  <c r="I136" i="16" s="1"/>
  <c r="H38" i="16"/>
  <c r="H54" i="16"/>
  <c r="H86" i="16"/>
  <c r="H9" i="16"/>
  <c r="H17" i="16"/>
  <c r="H49" i="16"/>
  <c r="H145" i="16"/>
  <c r="I155" i="16" s="1"/>
  <c r="H177" i="16"/>
  <c r="H89" i="16"/>
  <c r="H113" i="16"/>
  <c r="I113" i="16" s="1"/>
  <c r="H137" i="16"/>
  <c r="I137" i="16" s="1"/>
  <c r="H161" i="16"/>
  <c r="H169" i="16"/>
  <c r="H30" i="16"/>
  <c r="H110" i="16"/>
  <c r="H92" i="16"/>
  <c r="H108" i="16"/>
  <c r="I118" i="16" s="1"/>
  <c r="H116" i="16"/>
  <c r="H124" i="16"/>
  <c r="H132" i="16"/>
  <c r="H31" i="16"/>
  <c r="H47" i="16"/>
  <c r="H63" i="16"/>
  <c r="H175" i="16"/>
  <c r="H138" i="16"/>
  <c r="H146" i="16"/>
  <c r="H178" i="16"/>
  <c r="I188" i="16" s="1"/>
  <c r="H61" i="16"/>
  <c r="H125" i="16"/>
  <c r="H141" i="16"/>
  <c r="H157" i="16"/>
  <c r="H77" i="16"/>
  <c r="H45" i="16"/>
  <c r="H109" i="16"/>
  <c r="H122" i="16"/>
  <c r="I122" i="16" s="1"/>
  <c r="H162" i="16"/>
  <c r="H186" i="16"/>
  <c r="I196" i="16" s="1"/>
  <c r="H43" i="18"/>
  <c r="H59" i="18"/>
  <c r="H67" i="18"/>
  <c r="H77" i="18"/>
  <c r="H43" i="19"/>
  <c r="H136" i="16"/>
  <c r="H88" i="16"/>
  <c r="H40" i="16"/>
  <c r="H160" i="17"/>
  <c r="H144" i="17"/>
  <c r="H112" i="17"/>
  <c r="H80" i="17"/>
  <c r="H32" i="17"/>
  <c r="H104" i="18"/>
  <c r="H88" i="18"/>
  <c r="H72" i="18"/>
  <c r="H56" i="18"/>
  <c r="H48" i="16"/>
  <c r="H104" i="17"/>
  <c r="H152" i="17"/>
  <c r="H184" i="19"/>
  <c r="H166" i="16"/>
  <c r="H150" i="16"/>
  <c r="H134" i="16"/>
  <c r="H118" i="16"/>
  <c r="H70" i="16"/>
  <c r="H150" i="18"/>
  <c r="H134" i="18"/>
  <c r="H102" i="18"/>
  <c r="I112" i="18" s="1"/>
  <c r="H70" i="18"/>
  <c r="H38" i="18"/>
  <c r="H22" i="18"/>
  <c r="H6" i="18"/>
  <c r="H174" i="19"/>
  <c r="I174" i="19" s="1"/>
  <c r="H126" i="19"/>
  <c r="H78" i="19"/>
  <c r="H46" i="19"/>
  <c r="H30" i="19"/>
  <c r="I40" i="19" s="1"/>
  <c r="H96" i="16"/>
  <c r="H173" i="16"/>
  <c r="H173" i="18"/>
  <c r="H173" i="17"/>
  <c r="I183" i="17" s="1"/>
  <c r="H157" i="17"/>
  <c r="H141" i="17"/>
  <c r="H125" i="17"/>
  <c r="I135" i="17" s="1"/>
  <c r="H109" i="17"/>
  <c r="H93" i="17"/>
  <c r="H61" i="17"/>
  <c r="H13" i="17"/>
  <c r="I23" i="17" s="1"/>
  <c r="H75" i="17"/>
  <c r="H123" i="17"/>
  <c r="H155" i="17"/>
  <c r="H107" i="16"/>
  <c r="H176" i="18"/>
  <c r="I176" i="18" s="1"/>
  <c r="H71" i="19"/>
  <c r="H103" i="19"/>
  <c r="I113" i="19" s="1"/>
  <c r="H118" i="19"/>
  <c r="H6" i="17"/>
  <c r="H38" i="17"/>
  <c r="H70" i="17"/>
  <c r="I70" i="17" s="1"/>
  <c r="H118" i="17"/>
  <c r="I118" i="17" s="1"/>
  <c r="H166" i="17"/>
  <c r="H86" i="18"/>
  <c r="H12" i="19"/>
  <c r="H20" i="19"/>
  <c r="H42" i="19"/>
  <c r="H44" i="19"/>
  <c r="H52" i="19"/>
  <c r="H119" i="19"/>
  <c r="H52" i="16"/>
  <c r="H74" i="19"/>
  <c r="I84" i="19" s="1"/>
  <c r="H90" i="19"/>
  <c r="H12" i="16"/>
  <c r="H33" i="16"/>
  <c r="H41" i="16"/>
  <c r="H68" i="16"/>
  <c r="H9" i="17"/>
  <c r="H33" i="17"/>
  <c r="H41" i="17"/>
  <c r="H57" i="17"/>
  <c r="H81" i="17"/>
  <c r="H89" i="17"/>
  <c r="H105" i="17"/>
  <c r="H129" i="17"/>
  <c r="H137" i="17"/>
  <c r="H185" i="17"/>
  <c r="H33" i="18"/>
  <c r="H41" i="18"/>
  <c r="H21" i="19"/>
  <c r="H31" i="19"/>
  <c r="H47" i="19"/>
  <c r="H63" i="19"/>
  <c r="H132" i="19"/>
  <c r="I142" i="19" s="1"/>
  <c r="H148" i="19"/>
  <c r="H18" i="16"/>
  <c r="I18" i="16" s="1"/>
  <c r="H26" i="16"/>
  <c r="H28" i="16"/>
  <c r="H34" i="16"/>
  <c r="H42" i="16"/>
  <c r="H44" i="16"/>
  <c r="H20" i="17"/>
  <c r="H28" i="17"/>
  <c r="H36" i="17"/>
  <c r="H84" i="17"/>
  <c r="H92" i="17"/>
  <c r="H116" i="17"/>
  <c r="H124" i="17"/>
  <c r="H132" i="17"/>
  <c r="H140" i="17"/>
  <c r="I140" i="17" s="1"/>
  <c r="H28" i="18"/>
  <c r="H60" i="18"/>
  <c r="H37" i="19"/>
  <c r="H95" i="19"/>
  <c r="H180" i="19"/>
  <c r="H7" i="16"/>
  <c r="H15" i="16"/>
  <c r="H76" i="16"/>
  <c r="H68" i="18"/>
  <c r="H100" i="18"/>
  <c r="H108" i="18"/>
  <c r="H145" i="18"/>
  <c r="H177" i="18"/>
  <c r="H39" i="16"/>
  <c r="H55" i="16"/>
  <c r="I65" i="16" s="1"/>
  <c r="H63" i="17"/>
  <c r="H95" i="17"/>
  <c r="I95" i="17" s="1"/>
  <c r="H111" i="17"/>
  <c r="I111" i="17" s="1"/>
  <c r="H39" i="18"/>
  <c r="H159" i="19"/>
  <c r="H175" i="19"/>
  <c r="H87" i="16"/>
  <c r="H140" i="16"/>
  <c r="H31" i="17"/>
  <c r="H79" i="17"/>
  <c r="H63" i="18"/>
  <c r="I73" i="18" s="1"/>
  <c r="H87" i="18"/>
  <c r="I97" i="18" s="1"/>
  <c r="H132" i="18"/>
  <c r="I132" i="18" s="1"/>
  <c r="H140" i="18"/>
  <c r="I140" i="18" s="1"/>
  <c r="H79" i="16"/>
  <c r="H111" i="16"/>
  <c r="H119" i="16"/>
  <c r="I119" i="16" s="1"/>
  <c r="H164" i="16"/>
  <c r="H180" i="16"/>
  <c r="I180" i="16" s="1"/>
  <c r="H111" i="18"/>
  <c r="H119" i="18"/>
  <c r="H135" i="18"/>
  <c r="I135" i="18" s="1"/>
  <c r="H143" i="18"/>
  <c r="H167" i="16"/>
  <c r="H3" i="17"/>
  <c r="H34" i="17"/>
  <c r="H42" i="17"/>
  <c r="H90" i="17"/>
  <c r="H170" i="17"/>
  <c r="H13" i="18"/>
  <c r="H85" i="18"/>
  <c r="I95" i="18" s="1"/>
  <c r="H101" i="18"/>
  <c r="H167" i="18"/>
  <c r="H183" i="18"/>
  <c r="H159" i="16"/>
  <c r="I159" i="16" s="1"/>
  <c r="H19" i="17"/>
  <c r="H35" i="17"/>
  <c r="H19" i="18"/>
  <c r="H29" i="18"/>
  <c r="H51" i="18"/>
  <c r="H61" i="18"/>
  <c r="I61" i="18" s="1"/>
  <c r="H74" i="18"/>
  <c r="H11" i="19"/>
  <c r="H43" i="16"/>
  <c r="H85" i="16"/>
  <c r="I95" i="16" s="1"/>
  <c r="H78" i="17"/>
  <c r="I78" i="17" s="1"/>
  <c r="H147" i="17"/>
  <c r="I157" i="17" s="1"/>
  <c r="H181" i="17"/>
  <c r="I181" i="17" s="1"/>
  <c r="H26" i="18"/>
  <c r="I26" i="18" s="1"/>
  <c r="H179" i="18"/>
  <c r="H9" i="19"/>
  <c r="H70" i="19"/>
  <c r="H93" i="19"/>
  <c r="H133" i="19"/>
  <c r="H59" i="16"/>
  <c r="H101" i="16"/>
  <c r="H135" i="16"/>
  <c r="H185" i="16"/>
  <c r="I195" i="16" s="1"/>
  <c r="H25" i="17"/>
  <c r="H94" i="17"/>
  <c r="I94" i="17" s="1"/>
  <c r="H163" i="17"/>
  <c r="H7" i="18"/>
  <c r="H42" i="18"/>
  <c r="H57" i="18"/>
  <c r="I57" i="18" s="1"/>
  <c r="H126" i="18"/>
  <c r="I136" i="18" s="1"/>
  <c r="H25" i="19"/>
  <c r="I25" i="19" s="1"/>
  <c r="H59" i="19"/>
  <c r="H86" i="19"/>
  <c r="H109" i="19"/>
  <c r="H149" i="19"/>
  <c r="I149" i="19" s="1"/>
  <c r="H14" i="16"/>
  <c r="H117" i="16"/>
  <c r="I117" i="16" s="1"/>
  <c r="H151" i="16"/>
  <c r="H110" i="17"/>
  <c r="H179" i="17"/>
  <c r="H23" i="18"/>
  <c r="H142" i="18"/>
  <c r="H7" i="19"/>
  <c r="H75" i="19"/>
  <c r="H133" i="16"/>
  <c r="I133" i="16" s="1"/>
  <c r="H126" i="17"/>
  <c r="H5" i="18"/>
  <c r="H23" i="19"/>
  <c r="H57" i="19"/>
  <c r="H97" i="19"/>
  <c r="H141" i="19"/>
  <c r="H163" i="19"/>
  <c r="H181" i="19"/>
  <c r="H57" i="16"/>
  <c r="H46" i="16"/>
  <c r="H149" i="16"/>
  <c r="H183" i="16"/>
  <c r="H23" i="17"/>
  <c r="H73" i="17"/>
  <c r="H142" i="17"/>
  <c r="H3" i="18"/>
  <c r="I13" i="18" s="1"/>
  <c r="H21" i="18"/>
  <c r="I21" i="18" s="1"/>
  <c r="H55" i="18"/>
  <c r="H105" i="18"/>
  <c r="H174" i="18"/>
  <c r="H10" i="19"/>
  <c r="I20" i="19" s="1"/>
  <c r="H39" i="19"/>
  <c r="H73" i="19"/>
  <c r="H107" i="19"/>
  <c r="H113" i="19"/>
  <c r="H157" i="19"/>
  <c r="H179" i="19"/>
  <c r="H178" i="17"/>
  <c r="H162" i="17"/>
  <c r="H146" i="17"/>
  <c r="H130" i="17"/>
  <c r="H114" i="17"/>
  <c r="H98" i="17"/>
  <c r="I108" i="17" s="1"/>
  <c r="H82" i="17"/>
  <c r="I82" i="17" s="1"/>
  <c r="H66" i="17"/>
  <c r="I76" i="17" s="1"/>
  <c r="H50" i="17"/>
  <c r="H18" i="17"/>
  <c r="H4" i="16"/>
  <c r="H62" i="16"/>
  <c r="H165" i="16"/>
  <c r="I165" i="16" s="1"/>
  <c r="H5" i="17"/>
  <c r="H39" i="17"/>
  <c r="H158" i="17"/>
  <c r="H11" i="18"/>
  <c r="H37" i="18"/>
  <c r="I47" i="18" s="1"/>
  <c r="H71" i="18"/>
  <c r="H26" i="19"/>
  <c r="H55" i="19"/>
  <c r="H89" i="19"/>
  <c r="H123" i="19"/>
  <c r="H129" i="19"/>
  <c r="I139" i="19" s="1"/>
  <c r="H173" i="19"/>
  <c r="H20" i="16"/>
  <c r="H78" i="16"/>
  <c r="H181" i="16"/>
  <c r="I181" i="16" s="1"/>
  <c r="H21" i="17"/>
  <c r="H174" i="17"/>
  <c r="H53" i="18"/>
  <c r="H105" i="19"/>
  <c r="H10" i="16"/>
  <c r="H25" i="16"/>
  <c r="H36" i="16"/>
  <c r="H94" i="16"/>
  <c r="H37" i="17"/>
  <c r="H71" i="17"/>
  <c r="H121" i="17"/>
  <c r="H156" i="17"/>
  <c r="H27" i="18"/>
  <c r="H35" i="18"/>
  <c r="H69" i="18"/>
  <c r="H103" i="18"/>
  <c r="H153" i="18"/>
  <c r="I153" i="18" s="1"/>
  <c r="H5" i="19"/>
  <c r="H58" i="19"/>
  <c r="I68" i="19" s="1"/>
  <c r="H87" i="19"/>
  <c r="H121" i="19"/>
  <c r="H155" i="19"/>
  <c r="H23" i="16"/>
  <c r="H50" i="16"/>
  <c r="I50" i="16" s="1"/>
  <c r="H58" i="16"/>
  <c r="H73" i="16"/>
  <c r="H84" i="16"/>
  <c r="H142" i="16"/>
  <c r="I142" i="16" s="1"/>
  <c r="H51" i="17"/>
  <c r="I61" i="17" s="1"/>
  <c r="H119" i="17"/>
  <c r="H169" i="17"/>
  <c r="I169" i="17" s="1"/>
  <c r="H14" i="18"/>
  <c r="H75" i="18"/>
  <c r="I75" i="18" s="1"/>
  <c r="H83" i="18"/>
  <c r="I83" i="18" s="1"/>
  <c r="H117" i="18"/>
  <c r="I117" i="18" s="1"/>
  <c r="H151" i="18"/>
  <c r="H53" i="19"/>
  <c r="H106" i="19"/>
  <c r="I116" i="19" s="1"/>
  <c r="H5" i="16"/>
  <c r="H66" i="16"/>
  <c r="I66" i="16" s="1"/>
  <c r="H74" i="16"/>
  <c r="I74" i="16" s="1"/>
  <c r="H100" i="16"/>
  <c r="H67" i="17"/>
  <c r="H99" i="18"/>
  <c r="H133" i="18"/>
  <c r="H13" i="19"/>
  <c r="H35" i="19"/>
  <c r="H122" i="19"/>
  <c r="H3" i="16"/>
  <c r="H21" i="16"/>
  <c r="H82" i="16"/>
  <c r="H90" i="16"/>
  <c r="H105" i="16"/>
  <c r="H174" i="16"/>
  <c r="H14" i="17"/>
  <c r="H83" i="17"/>
  <c r="H117" i="17"/>
  <c r="I127" i="17" s="1"/>
  <c r="H12" i="18"/>
  <c r="I22" i="18" s="1"/>
  <c r="H46" i="18"/>
  <c r="H115" i="18"/>
  <c r="I115" i="18" s="1"/>
  <c r="H149" i="18"/>
  <c r="I149" i="18" s="1"/>
  <c r="H6" i="19"/>
  <c r="H29" i="19"/>
  <c r="I39" i="19" s="1"/>
  <c r="H138" i="19"/>
  <c r="H178" i="18"/>
  <c r="I178" i="18" s="1"/>
  <c r="H162" i="18"/>
  <c r="H146" i="18"/>
  <c r="I146" i="18" s="1"/>
  <c r="H130" i="18"/>
  <c r="H114" i="18"/>
  <c r="H98" i="18"/>
  <c r="H82" i="18"/>
  <c r="H66" i="18"/>
  <c r="I76" i="18" s="1"/>
  <c r="H50" i="18"/>
  <c r="H185" i="18"/>
  <c r="I185" i="18" s="1"/>
  <c r="H37" i="16"/>
  <c r="H71" i="16"/>
  <c r="H98" i="16"/>
  <c r="H106" i="16"/>
  <c r="H121" i="16"/>
  <c r="H30" i="17"/>
  <c r="H99" i="17"/>
  <c r="H133" i="17"/>
  <c r="H167" i="17"/>
  <c r="I177" i="17" s="1"/>
  <c r="H4" i="18"/>
  <c r="H62" i="18"/>
  <c r="H131" i="18"/>
  <c r="I131" i="18" s="1"/>
  <c r="H165" i="18"/>
  <c r="I175" i="18" s="1"/>
  <c r="H22" i="19"/>
  <c r="H45" i="19"/>
  <c r="H67" i="19"/>
  <c r="H80" i="19"/>
  <c r="H85" i="19"/>
  <c r="H154" i="19"/>
  <c r="H183" i="19"/>
  <c r="H11" i="16"/>
  <c r="H53" i="16"/>
  <c r="H114" i="16"/>
  <c r="H46" i="17"/>
  <c r="H115" i="17"/>
  <c r="H149" i="17"/>
  <c r="H20" i="18"/>
  <c r="H78" i="18"/>
  <c r="H147" i="18"/>
  <c r="H181" i="18"/>
  <c r="I181" i="18" s="1"/>
  <c r="H17" i="19"/>
  <c r="H38" i="19"/>
  <c r="H61" i="19"/>
  <c r="H83" i="19"/>
  <c r="H96" i="19"/>
  <c r="I96" i="19" s="1"/>
  <c r="H101" i="19"/>
  <c r="H170" i="19"/>
  <c r="H152" i="19"/>
  <c r="I152" i="19" s="1"/>
  <c r="H153" i="17"/>
  <c r="H27" i="16"/>
  <c r="H69" i="16"/>
  <c r="H103" i="16"/>
  <c r="I103" i="16" s="1"/>
  <c r="H153" i="16"/>
  <c r="I153" i="16" s="1"/>
  <c r="H62" i="17"/>
  <c r="I62" i="17" s="1"/>
  <c r="H131" i="17"/>
  <c r="H165" i="17"/>
  <c r="H10" i="18"/>
  <c r="I20" i="18" s="1"/>
  <c r="H25" i="18"/>
  <c r="H36" i="18"/>
  <c r="H94" i="18"/>
  <c r="H163" i="18"/>
  <c r="H27" i="19"/>
  <c r="I37" i="19" s="1"/>
  <c r="H33" i="19"/>
  <c r="H54" i="19"/>
  <c r="I54" i="19" s="1"/>
  <c r="H77" i="19"/>
  <c r="H99" i="19"/>
  <c r="H112" i="19"/>
  <c r="H117" i="19"/>
  <c r="H186" i="19"/>
  <c r="H176" i="19"/>
  <c r="I176" i="19" s="1"/>
  <c r="H18" i="19"/>
  <c r="I18" i="19" s="1"/>
  <c r="H161" i="19"/>
  <c r="I161" i="19" s="1"/>
  <c r="H34" i="19"/>
  <c r="H177" i="19"/>
  <c r="H16" i="19"/>
  <c r="H50" i="19"/>
  <c r="I50" i="19" s="1"/>
  <c r="H153" i="19"/>
  <c r="H19" i="19"/>
  <c r="H32" i="19"/>
  <c r="H66" i="19"/>
  <c r="H135" i="19"/>
  <c r="H169" i="19"/>
  <c r="H48" i="19"/>
  <c r="I58" i="19" s="1"/>
  <c r="H82" i="19"/>
  <c r="H151" i="19"/>
  <c r="H185" i="19"/>
  <c r="H51" i="19"/>
  <c r="H64" i="19"/>
  <c r="H98" i="19"/>
  <c r="H167" i="19"/>
  <c r="H114" i="19"/>
  <c r="H130" i="19"/>
  <c r="H146" i="19"/>
  <c r="H49" i="19"/>
  <c r="H115" i="19"/>
  <c r="H128" i="19"/>
  <c r="H162" i="19"/>
  <c r="H65" i="19"/>
  <c r="H131" i="19"/>
  <c r="H144" i="19"/>
  <c r="I144" i="19" s="1"/>
  <c r="H178" i="19"/>
  <c r="I178" i="19" s="1"/>
  <c r="H41" i="19"/>
  <c r="H81" i="19"/>
  <c r="H102" i="19"/>
  <c r="H125" i="19"/>
  <c r="H147" i="19"/>
  <c r="I147" i="19" s="1"/>
  <c r="H160" i="19"/>
  <c r="H165" i="19"/>
  <c r="H18" i="18"/>
  <c r="H34" i="18"/>
  <c r="H147" i="16"/>
  <c r="I157" i="16" s="1"/>
  <c r="H163" i="16"/>
  <c r="H179" i="16"/>
  <c r="I179" i="16" s="1"/>
  <c r="I105" i="16"/>
  <c r="H131" i="16"/>
  <c r="H19" i="16"/>
  <c r="H35" i="16"/>
  <c r="H51" i="16"/>
  <c r="I61" i="16" s="1"/>
  <c r="H67" i="16"/>
  <c r="H83" i="16"/>
  <c r="H99" i="16"/>
  <c r="H115" i="16"/>
  <c r="I125" i="16" s="1"/>
  <c r="I183" i="16"/>
  <c r="I166" i="19"/>
  <c r="I182" i="19"/>
  <c r="I83" i="19"/>
  <c r="I139" i="18"/>
  <c r="I74" i="18"/>
  <c r="I93" i="18"/>
  <c r="I121" i="18"/>
  <c r="I142" i="18"/>
  <c r="I187" i="18"/>
  <c r="I41" i="18"/>
  <c r="I170" i="17"/>
  <c r="I180" i="17"/>
  <c r="I68" i="17"/>
  <c r="I130" i="16"/>
  <c r="I187" i="16"/>
  <c r="I120" i="16"/>
  <c r="I158" i="16"/>
  <c r="I170" i="16"/>
  <c r="H115" i="7"/>
  <c r="H56" i="7"/>
  <c r="H179" i="7"/>
  <c r="I189" i="7" s="1"/>
  <c r="H163" i="7"/>
  <c r="H147" i="7"/>
  <c r="H131" i="7"/>
  <c r="H99" i="7"/>
  <c r="H67" i="7"/>
  <c r="H51" i="7"/>
  <c r="H35" i="7"/>
  <c r="H19" i="7"/>
  <c r="H130" i="7"/>
  <c r="H177" i="7"/>
  <c r="H161" i="7"/>
  <c r="H145" i="7"/>
  <c r="H129" i="7"/>
  <c r="H113" i="7"/>
  <c r="H97" i="7"/>
  <c r="H81" i="7"/>
  <c r="H187" i="7"/>
  <c r="I197" i="7" s="1"/>
  <c r="H171" i="7"/>
  <c r="H155" i="7"/>
  <c r="H139" i="7"/>
  <c r="H123" i="7"/>
  <c r="H107" i="7"/>
  <c r="H91" i="7"/>
  <c r="H75" i="7"/>
  <c r="H59" i="7"/>
  <c r="H43" i="7"/>
  <c r="H27" i="7"/>
  <c r="H11" i="7"/>
  <c r="H185" i="7"/>
  <c r="I195" i="7" s="1"/>
  <c r="H169" i="7"/>
  <c r="H153" i="7"/>
  <c r="H137" i="7"/>
  <c r="H121" i="7"/>
  <c r="H105" i="7"/>
  <c r="H89" i="7"/>
  <c r="H73" i="7"/>
  <c r="H57" i="7"/>
  <c r="H41" i="7"/>
  <c r="H25" i="7"/>
  <c r="H9" i="7"/>
  <c r="H83" i="7"/>
  <c r="H174" i="7"/>
  <c r="H158" i="7"/>
  <c r="H142" i="7"/>
  <c r="H126" i="7"/>
  <c r="H110" i="7"/>
  <c r="H94" i="7"/>
  <c r="H78" i="7"/>
  <c r="H62" i="7"/>
  <c r="H46" i="7"/>
  <c r="H30" i="7"/>
  <c r="H14" i="7"/>
  <c r="H162" i="7"/>
  <c r="H173" i="7"/>
  <c r="H157" i="7"/>
  <c r="H141" i="7"/>
  <c r="H125" i="7"/>
  <c r="H109" i="7"/>
  <c r="H93" i="7"/>
  <c r="H77" i="7"/>
  <c r="H61" i="7"/>
  <c r="H45" i="7"/>
  <c r="H29" i="7"/>
  <c r="H13" i="7"/>
  <c r="H178" i="7"/>
  <c r="I188" i="7" s="1"/>
  <c r="H3" i="7"/>
  <c r="H172" i="7"/>
  <c r="H156" i="7"/>
  <c r="H140" i="7"/>
  <c r="H124" i="7"/>
  <c r="H108" i="7"/>
  <c r="H92" i="7"/>
  <c r="H76" i="7"/>
  <c r="H60" i="7"/>
  <c r="H44" i="7"/>
  <c r="H28" i="7"/>
  <c r="H12" i="7"/>
  <c r="H186" i="7"/>
  <c r="H170" i="7"/>
  <c r="H154" i="7"/>
  <c r="H138" i="7"/>
  <c r="H122" i="7"/>
  <c r="H106" i="7"/>
  <c r="H90" i="7"/>
  <c r="H74" i="7"/>
  <c r="H58" i="7"/>
  <c r="H42" i="7"/>
  <c r="H26" i="7"/>
  <c r="H10" i="7"/>
  <c r="H40" i="7"/>
  <c r="H24" i="7"/>
  <c r="H8" i="7"/>
  <c r="H152" i="7"/>
  <c r="H120" i="7"/>
  <c r="H72" i="7"/>
  <c r="H183" i="7"/>
  <c r="H167" i="7"/>
  <c r="H151" i="7"/>
  <c r="H135" i="7"/>
  <c r="H119" i="7"/>
  <c r="H103" i="7"/>
  <c r="H87" i="7"/>
  <c r="H71" i="7"/>
  <c r="H55" i="7"/>
  <c r="H39" i="7"/>
  <c r="H23" i="7"/>
  <c r="H7" i="7"/>
  <c r="H168" i="7"/>
  <c r="H136" i="7"/>
  <c r="H88" i="7"/>
  <c r="H182" i="7"/>
  <c r="H166" i="7"/>
  <c r="H150" i="7"/>
  <c r="H134" i="7"/>
  <c r="H118" i="7"/>
  <c r="H102" i="7"/>
  <c r="H86" i="7"/>
  <c r="H70" i="7"/>
  <c r="H54" i="7"/>
  <c r="H38" i="7"/>
  <c r="H22" i="7"/>
  <c r="H6" i="7"/>
  <c r="H181" i="7"/>
  <c r="I191" i="7" s="1"/>
  <c r="H165" i="7"/>
  <c r="H149" i="7"/>
  <c r="H133" i="7"/>
  <c r="H117" i="7"/>
  <c r="H101" i="7"/>
  <c r="H85" i="7"/>
  <c r="H69" i="7"/>
  <c r="H53" i="7"/>
  <c r="H37" i="7"/>
  <c r="H21" i="7"/>
  <c r="H5" i="7"/>
  <c r="H184" i="7"/>
  <c r="H104" i="7"/>
  <c r="H180" i="7"/>
  <c r="H164" i="7"/>
  <c r="H148" i="7"/>
  <c r="H132" i="7"/>
  <c r="H116" i="7"/>
  <c r="H100" i="7"/>
  <c r="H84" i="7"/>
  <c r="H68" i="7"/>
  <c r="H52" i="7"/>
  <c r="H36" i="7"/>
  <c r="H20" i="7"/>
  <c r="H4" i="7"/>
  <c r="H114" i="7"/>
  <c r="H98" i="7"/>
  <c r="H82" i="7"/>
  <c r="H66" i="7"/>
  <c r="H50" i="7"/>
  <c r="H34" i="7"/>
  <c r="H18" i="7"/>
  <c r="H65" i="7"/>
  <c r="H49" i="7"/>
  <c r="H33" i="7"/>
  <c r="H17" i="7"/>
  <c r="H176" i="7"/>
  <c r="H160" i="7"/>
  <c r="H144" i="7"/>
  <c r="H128" i="7"/>
  <c r="H112" i="7"/>
  <c r="H96" i="7"/>
  <c r="H80" i="7"/>
  <c r="H64" i="7"/>
  <c r="H48" i="7"/>
  <c r="H32" i="7"/>
  <c r="H16" i="7"/>
  <c r="H146" i="7"/>
  <c r="H175" i="7"/>
  <c r="H159" i="7"/>
  <c r="H143" i="7"/>
  <c r="H127" i="7"/>
  <c r="H111" i="7"/>
  <c r="H95" i="7"/>
  <c r="H79" i="7"/>
  <c r="H63" i="7"/>
  <c r="H47" i="7"/>
  <c r="H31" i="7"/>
  <c r="H15" i="7"/>
  <c r="I212" i="17" l="1"/>
  <c r="I262" i="17"/>
  <c r="I65" i="17"/>
  <c r="I164" i="17"/>
  <c r="I232" i="17"/>
  <c r="I113" i="17"/>
  <c r="I73" i="17"/>
  <c r="I248" i="17"/>
  <c r="I240" i="17"/>
  <c r="I190" i="17"/>
  <c r="I194" i="17"/>
  <c r="I191" i="17"/>
  <c r="I16" i="17"/>
  <c r="I154" i="17"/>
  <c r="I242" i="17"/>
  <c r="I218" i="17"/>
  <c r="I246" i="17"/>
  <c r="I197" i="17"/>
  <c r="I250" i="17"/>
  <c r="I256" i="17"/>
  <c r="I238" i="17"/>
  <c r="I226" i="17"/>
  <c r="I206" i="17"/>
  <c r="I158" i="17"/>
  <c r="I200" i="17"/>
  <c r="I34" i="17"/>
  <c r="I185" i="17"/>
  <c r="I220" i="17"/>
  <c r="I234" i="17"/>
  <c r="I204" i="17"/>
  <c r="I195" i="17"/>
  <c r="I191" i="16"/>
  <c r="I260" i="16"/>
  <c r="I238" i="16"/>
  <c r="I256" i="16"/>
  <c r="I154" i="16"/>
  <c r="I234" i="16"/>
  <c r="I216" i="16"/>
  <c r="I248" i="16"/>
  <c r="I189" i="16"/>
  <c r="I164" i="16"/>
  <c r="I242" i="16"/>
  <c r="I244" i="16"/>
  <c r="I226" i="16"/>
  <c r="I254" i="16"/>
  <c r="I67" i="16"/>
  <c r="I258" i="16"/>
  <c r="I43" i="16"/>
  <c r="I40" i="16"/>
  <c r="I240" i="16"/>
  <c r="I190" i="16"/>
  <c r="I21" i="16"/>
  <c r="I161" i="16"/>
  <c r="I218" i="16"/>
  <c r="I208" i="7"/>
  <c r="I260" i="7"/>
  <c r="I232" i="7"/>
  <c r="I206" i="7"/>
  <c r="I244" i="7"/>
  <c r="I248" i="7"/>
  <c r="I192" i="7"/>
  <c r="I196" i="7"/>
  <c r="I200" i="7"/>
  <c r="I258" i="7"/>
  <c r="I202" i="7"/>
  <c r="I226" i="7"/>
  <c r="I121" i="19"/>
  <c r="I126" i="19"/>
  <c r="I183" i="19"/>
  <c r="I13" i="19"/>
  <c r="I160" i="19"/>
  <c r="I128" i="19"/>
  <c r="I66" i="19"/>
  <c r="I78" i="19"/>
  <c r="I115" i="19"/>
  <c r="I52" i="19"/>
  <c r="I110" i="19"/>
  <c r="I150" i="19"/>
  <c r="I100" i="19"/>
  <c r="I46" i="19"/>
  <c r="I134" i="19"/>
  <c r="I118" i="19"/>
  <c r="I15" i="19"/>
  <c r="I79" i="19"/>
  <c r="I137" i="19"/>
  <c r="I137" i="18"/>
  <c r="I161" i="18"/>
  <c r="I63" i="18"/>
  <c r="I84" i="18"/>
  <c r="I103" i="18"/>
  <c r="I79" i="18"/>
  <c r="I36" i="18"/>
  <c r="I179" i="18"/>
  <c r="I183" i="18"/>
  <c r="I80" i="18"/>
  <c r="I154" i="18"/>
  <c r="I118" i="18"/>
  <c r="I58" i="18"/>
  <c r="I113" i="18"/>
  <c r="I87" i="18"/>
  <c r="I51" i="18"/>
  <c r="I77" i="18"/>
  <c r="I64" i="18"/>
  <c r="I168" i="18"/>
  <c r="I17" i="18"/>
  <c r="I18" i="18"/>
  <c r="I109" i="18"/>
  <c r="I105" i="18"/>
  <c r="I180" i="18"/>
  <c r="I172" i="17"/>
  <c r="I151" i="17"/>
  <c r="I86" i="17"/>
  <c r="I75" i="17"/>
  <c r="I55" i="17"/>
  <c r="I182" i="17"/>
  <c r="I88" i="17"/>
  <c r="I124" i="17"/>
  <c r="I90" i="17"/>
  <c r="I173" i="17"/>
  <c r="I64" i="17"/>
  <c r="I149" i="17"/>
  <c r="I25" i="17"/>
  <c r="I58" i="17"/>
  <c r="I22" i="17"/>
  <c r="I17" i="17"/>
  <c r="I144" i="17"/>
  <c r="I56" i="17"/>
  <c r="I20" i="17"/>
  <c r="I30" i="17"/>
  <c r="I123" i="17"/>
  <c r="I161" i="17"/>
  <c r="I17" i="16"/>
  <c r="I47" i="16"/>
  <c r="I112" i="16"/>
  <c r="I90" i="16"/>
  <c r="I172" i="16"/>
  <c r="I39" i="16"/>
  <c r="I77" i="16"/>
  <c r="I102" i="16"/>
  <c r="I75" i="16"/>
  <c r="I33" i="16"/>
  <c r="I22" i="16"/>
  <c r="I151" i="16"/>
  <c r="I139" i="16"/>
  <c r="I56" i="16"/>
  <c r="I70" i="16"/>
  <c r="I184" i="16"/>
  <c r="I32" i="16"/>
  <c r="I171" i="16"/>
  <c r="I57" i="16"/>
  <c r="I138" i="16"/>
  <c r="I168" i="16"/>
  <c r="I47" i="7"/>
  <c r="I120" i="7"/>
  <c r="I143" i="7"/>
  <c r="I163" i="19"/>
  <c r="I49" i="19"/>
  <c r="I86" i="19"/>
  <c r="I187" i="19"/>
  <c r="I38" i="19"/>
  <c r="I67" i="19"/>
  <c r="I124" i="19"/>
  <c r="I108" i="19"/>
  <c r="I120" i="19"/>
  <c r="I102" i="19"/>
  <c r="I22" i="19"/>
  <c r="I36" i="19"/>
  <c r="I47" i="19"/>
  <c r="I93" i="19"/>
  <c r="I155" i="19"/>
  <c r="I21" i="19"/>
  <c r="I70" i="19"/>
  <c r="I104" i="19"/>
  <c r="I185" i="19"/>
  <c r="I103" i="19"/>
  <c r="I92" i="19"/>
  <c r="I184" i="19"/>
  <c r="I172" i="19"/>
  <c r="I145" i="19"/>
  <c r="I107" i="19"/>
  <c r="I181" i="19"/>
  <c r="I59" i="18"/>
  <c r="I27" i="18"/>
  <c r="I49" i="18"/>
  <c r="I48" i="18"/>
  <c r="I166" i="18"/>
  <c r="I65" i="18"/>
  <c r="I123" i="18"/>
  <c r="I167" i="18"/>
  <c r="I15" i="18"/>
  <c r="I116" i="18"/>
  <c r="I52" i="18"/>
  <c r="I160" i="18"/>
  <c r="I128" i="18"/>
  <c r="I25" i="18"/>
  <c r="I157" i="18"/>
  <c r="I71" i="18"/>
  <c r="I78" i="18"/>
  <c r="I62" i="18"/>
  <c r="I23" i="18"/>
  <c r="I49" i="17"/>
  <c r="I27" i="17"/>
  <c r="I168" i="17"/>
  <c r="I91" i="17"/>
  <c r="I59" i="17"/>
  <c r="I103" i="17"/>
  <c r="I101" i="17"/>
  <c r="I166" i="17"/>
  <c r="I138" i="17"/>
  <c r="I150" i="17"/>
  <c r="I142" i="17"/>
  <c r="I96" i="17"/>
  <c r="I100" i="17"/>
  <c r="I175" i="17"/>
  <c r="I134" i="17"/>
  <c r="I112" i="17"/>
  <c r="I14" i="17"/>
  <c r="I146" i="17"/>
  <c r="I44" i="17"/>
  <c r="I162" i="17"/>
  <c r="I159" i="17"/>
  <c r="I178" i="17"/>
  <c r="I85" i="16"/>
  <c r="I167" i="16"/>
  <c r="I150" i="16"/>
  <c r="I42" i="16"/>
  <c r="I88" i="16"/>
  <c r="I34" i="16"/>
  <c r="I68" i="16"/>
  <c r="I29" i="16"/>
  <c r="I30" i="16"/>
  <c r="I53" i="16"/>
  <c r="I45" i="16"/>
  <c r="I141" i="16"/>
  <c r="I98" i="16"/>
  <c r="I23" i="16"/>
  <c r="I84" i="16"/>
  <c r="I134" i="16"/>
  <c r="I173" i="16"/>
  <c r="I110" i="16"/>
  <c r="I109" i="16"/>
  <c r="I126" i="16"/>
  <c r="I64" i="16"/>
  <c r="I14" i="19"/>
  <c r="I130" i="19"/>
  <c r="I104" i="18"/>
  <c r="I81" i="16"/>
  <c r="I86" i="18"/>
  <c r="I88" i="18"/>
  <c r="I165" i="18"/>
  <c r="I174" i="17"/>
  <c r="I84" i="17"/>
  <c r="I31" i="19"/>
  <c r="I88" i="19"/>
  <c r="I62" i="19"/>
  <c r="I129" i="16"/>
  <c r="I124" i="18"/>
  <c r="I131" i="19"/>
  <c r="I127" i="19"/>
  <c r="I149" i="16"/>
  <c r="I42" i="17"/>
  <c r="I36" i="17"/>
  <c r="I132" i="16"/>
  <c r="I169" i="16"/>
  <c r="I186" i="19"/>
  <c r="I63" i="19"/>
  <c r="I53" i="19"/>
  <c r="I112" i="19"/>
  <c r="I79" i="16"/>
  <c r="I82" i="16"/>
  <c r="I157" i="19"/>
  <c r="I166" i="16"/>
  <c r="I63" i="17"/>
  <c r="I150" i="18"/>
  <c r="I138" i="18"/>
  <c r="I100" i="18"/>
  <c r="I176" i="17"/>
  <c r="I135" i="16"/>
  <c r="I119" i="19"/>
  <c r="I107" i="16"/>
  <c r="I156" i="16"/>
  <c r="I124" i="16"/>
  <c r="I13" i="16"/>
  <c r="I25" i="16"/>
  <c r="I54" i="16"/>
  <c r="I132" i="19"/>
  <c r="I72" i="16"/>
  <c r="I73" i="19"/>
  <c r="I87" i="16"/>
  <c r="I105" i="17"/>
  <c r="I136" i="19"/>
  <c r="I104" i="17"/>
  <c r="I160" i="16"/>
  <c r="I122" i="17"/>
  <c r="I87" i="17"/>
  <c r="I130" i="17"/>
  <c r="I80" i="16"/>
  <c r="I33" i="19"/>
  <c r="I19" i="18"/>
  <c r="I145" i="16"/>
  <c r="I162" i="16"/>
  <c r="I54" i="18"/>
  <c r="I182" i="16"/>
  <c r="I106" i="17"/>
  <c r="I116" i="16"/>
  <c r="I119" i="18"/>
  <c r="I38" i="16"/>
  <c r="I16" i="18"/>
  <c r="I49" i="16"/>
  <c r="I144" i="16"/>
  <c r="I29" i="17"/>
  <c r="I40" i="18"/>
  <c r="I144" i="18"/>
  <c r="I19" i="19"/>
  <c r="I101" i="19"/>
  <c r="I60" i="16"/>
  <c r="I175" i="19"/>
  <c r="I146" i="19"/>
  <c r="I184" i="18"/>
  <c r="I19" i="17"/>
  <c r="I26" i="16"/>
  <c r="I57" i="17"/>
  <c r="I41" i="16"/>
  <c r="I128" i="16"/>
  <c r="I97" i="17"/>
  <c r="I186" i="18"/>
  <c r="I82" i="19"/>
  <c r="I179" i="19"/>
  <c r="I153" i="19"/>
  <c r="I164" i="19"/>
  <c r="I30" i="19"/>
  <c r="I125" i="19"/>
  <c r="I114" i="19"/>
  <c r="I69" i="19"/>
  <c r="I26" i="19"/>
  <c r="I61" i="19"/>
  <c r="I90" i="19"/>
  <c r="I123" i="19"/>
  <c r="I81" i="19"/>
  <c r="I167" i="19"/>
  <c r="I41" i="19"/>
  <c r="I44" i="19"/>
  <c r="I17" i="19"/>
  <c r="I45" i="19"/>
  <c r="I133" i="18"/>
  <c r="I32" i="18"/>
  <c r="I60" i="18"/>
  <c r="I101" i="18"/>
  <c r="I42" i="18"/>
  <c r="I29" i="18"/>
  <c r="I102" i="18"/>
  <c r="I98" i="18"/>
  <c r="I152" i="18"/>
  <c r="I114" i="18"/>
  <c r="I158" i="18"/>
  <c r="I159" i="18"/>
  <c r="I96" i="18"/>
  <c r="I33" i="18"/>
  <c r="I53" i="18"/>
  <c r="I162" i="18"/>
  <c r="I170" i="18"/>
  <c r="I24" i="18"/>
  <c r="I77" i="17"/>
  <c r="I121" i="17"/>
  <c r="I128" i="17"/>
  <c r="I71" i="17"/>
  <c r="I32" i="17"/>
  <c r="I52" i="17"/>
  <c r="I171" i="17"/>
  <c r="I116" i="17"/>
  <c r="I120" i="17"/>
  <c r="I79" i="17"/>
  <c r="I38" i="17"/>
  <c r="I85" i="17"/>
  <c r="I132" i="17"/>
  <c r="I133" i="17"/>
  <c r="I15" i="17"/>
  <c r="I163" i="17"/>
  <c r="I99" i="17"/>
  <c r="I21" i="17"/>
  <c r="I139" i="17"/>
  <c r="I155" i="17"/>
  <c r="I26" i="17"/>
  <c r="I140" i="16"/>
  <c r="I114" i="16"/>
  <c r="I104" i="16"/>
  <c r="I97" i="16"/>
  <c r="I16" i="16"/>
  <c r="I178" i="16"/>
  <c r="I183" i="7"/>
  <c r="I55" i="16"/>
  <c r="I167" i="17"/>
  <c r="I70" i="18"/>
  <c r="I136" i="17"/>
  <c r="I155" i="18"/>
  <c r="I148" i="19"/>
  <c r="I33" i="17"/>
  <c r="I92" i="16"/>
  <c r="I98" i="19"/>
  <c r="I99" i="19"/>
  <c r="I177" i="18"/>
  <c r="I75" i="19"/>
  <c r="I72" i="17"/>
  <c r="I67" i="18"/>
  <c r="I55" i="19"/>
  <c r="I140" i="19"/>
  <c r="I28" i="16"/>
  <c r="I143" i="16"/>
  <c r="I107" i="17"/>
  <c r="I48" i="17"/>
  <c r="I40" i="17"/>
  <c r="I127" i="18"/>
  <c r="I13" i="17"/>
  <c r="J3" i="17" s="1"/>
  <c r="K3" i="17" s="1"/>
  <c r="I41" i="17"/>
  <c r="I86" i="16"/>
  <c r="I147" i="17"/>
  <c r="I123" i="16"/>
  <c r="I176" i="16"/>
  <c r="I43" i="17"/>
  <c r="I35" i="16"/>
  <c r="I111" i="18"/>
  <c r="I111" i="16"/>
  <c r="I152" i="17"/>
  <c r="I89" i="16"/>
  <c r="I59" i="16"/>
  <c r="I115" i="17"/>
  <c r="I114" i="17"/>
  <c r="I175" i="16"/>
  <c r="I177" i="16"/>
  <c r="I170" i="19"/>
  <c r="I121" i="16"/>
  <c r="I29" i="19"/>
  <c r="I151" i="19"/>
  <c r="I180" i="19"/>
  <c r="I89" i="17"/>
  <c r="I48" i="16"/>
  <c r="I63" i="16"/>
  <c r="I184" i="17"/>
  <c r="I110" i="18"/>
  <c r="I151" i="18"/>
  <c r="I43" i="18"/>
  <c r="I30" i="18"/>
  <c r="I125" i="18"/>
  <c r="I172" i="18"/>
  <c r="I80" i="17"/>
  <c r="I72" i="18"/>
  <c r="I31" i="16"/>
  <c r="I171" i="18"/>
  <c r="I164" i="18"/>
  <c r="I182" i="18"/>
  <c r="I46" i="18"/>
  <c r="I28" i="18"/>
  <c r="I37" i="18"/>
  <c r="I55" i="18"/>
  <c r="I82" i="18"/>
  <c r="I39" i="18"/>
  <c r="I141" i="18"/>
  <c r="I38" i="18"/>
  <c r="I143" i="18"/>
  <c r="I66" i="18"/>
  <c r="I156" i="18"/>
  <c r="I85" i="18"/>
  <c r="I68" i="18"/>
  <c r="I147" i="18"/>
  <c r="I44" i="18"/>
  <c r="I120" i="18"/>
  <c r="I53" i="17"/>
  <c r="I69" i="17"/>
  <c r="I109" i="17"/>
  <c r="I129" i="17"/>
  <c r="I28" i="17"/>
  <c r="I45" i="17"/>
  <c r="I179" i="17"/>
  <c r="I117" i="17"/>
  <c r="I47" i="17"/>
  <c r="I126" i="17"/>
  <c r="I50" i="17"/>
  <c r="I165" i="17"/>
  <c r="I31" i="17"/>
  <c r="I46" i="17"/>
  <c r="I131" i="17"/>
  <c r="I37" i="17"/>
  <c r="I137" i="17"/>
  <c r="I110" i="17"/>
  <c r="I160" i="17"/>
  <c r="I92" i="17"/>
  <c r="I125" i="17"/>
  <c r="I39" i="17"/>
  <c r="I146" i="16"/>
  <c r="I52" i="16"/>
  <c r="I73" i="16"/>
  <c r="I37" i="16"/>
  <c r="I101" i="16"/>
  <c r="I78" i="16"/>
  <c r="I58" i="16"/>
  <c r="I127" i="16"/>
  <c r="I163" i="16"/>
  <c r="I15" i="16"/>
  <c r="I36" i="16"/>
  <c r="I62" i="16"/>
  <c r="I71" i="16"/>
  <c r="I186" i="16"/>
  <c r="I99" i="16"/>
  <c r="I76" i="16"/>
  <c r="I148" i="16"/>
  <c r="I44" i="16"/>
  <c r="I51" i="16"/>
  <c r="I27" i="16"/>
  <c r="I185" i="16"/>
  <c r="I96" i="16"/>
  <c r="I158" i="19"/>
  <c r="I19" i="16"/>
  <c r="I35" i="17"/>
  <c r="I174" i="16"/>
  <c r="I145" i="18"/>
  <c r="I69" i="18"/>
  <c r="I162" i="19"/>
  <c r="I117" i="19"/>
  <c r="I87" i="19"/>
  <c r="I105" i="19"/>
  <c r="I100" i="16"/>
  <c r="I81" i="18"/>
  <c r="I182" i="7"/>
  <c r="I113" i="7"/>
  <c r="I50" i="18"/>
  <c r="I56" i="18"/>
  <c r="I92" i="18"/>
  <c r="I71" i="19"/>
  <c r="I129" i="18"/>
  <c r="I14" i="16"/>
  <c r="I116" i="7"/>
  <c r="I165" i="19"/>
  <c r="I35" i="18"/>
  <c r="I115" i="16"/>
  <c r="I98" i="17"/>
  <c r="I35" i="19"/>
  <c r="I156" i="19"/>
  <c r="I59" i="19"/>
  <c r="I163" i="18"/>
  <c r="I173" i="19"/>
  <c r="I97" i="19"/>
  <c r="I109" i="19"/>
  <c r="I133" i="19"/>
  <c r="I31" i="7"/>
  <c r="I147" i="16"/>
  <c r="I153" i="17"/>
  <c r="I24" i="17"/>
  <c r="I66" i="7"/>
  <c r="I104" i="7"/>
  <c r="I46" i="16"/>
  <c r="I126" i="18"/>
  <c r="I122" i="19"/>
  <c r="I85" i="19"/>
  <c r="I156" i="17"/>
  <c r="I57" i="19"/>
  <c r="I64" i="19"/>
  <c r="I83" i="17"/>
  <c r="I94" i="16"/>
  <c r="I51" i="19"/>
  <c r="I83" i="16"/>
  <c r="I65" i="19"/>
  <c r="I31" i="18"/>
  <c r="I43" i="19"/>
  <c r="I108" i="18"/>
  <c r="I141" i="17"/>
  <c r="I34" i="19"/>
  <c r="I131" i="16"/>
  <c r="I23" i="19"/>
  <c r="I106" i="16"/>
  <c r="I174" i="18"/>
  <c r="I99" i="18"/>
  <c r="I129" i="19"/>
  <c r="I28" i="19"/>
  <c r="I143" i="19"/>
  <c r="I152" i="16"/>
  <c r="I51" i="17"/>
  <c r="I89" i="19"/>
  <c r="I20" i="16"/>
  <c r="I80" i="19"/>
  <c r="I95" i="19"/>
  <c r="I45" i="18"/>
  <c r="I159" i="19"/>
  <c r="I119" i="17"/>
  <c r="I125" i="7"/>
  <c r="I83" i="7"/>
  <c r="I59" i="7"/>
  <c r="I111" i="19"/>
  <c r="I24" i="16"/>
  <c r="I108" i="16"/>
  <c r="I93" i="17"/>
  <c r="I74" i="19"/>
  <c r="I94" i="18"/>
  <c r="I159" i="7"/>
  <c r="I93" i="16"/>
  <c r="I18" i="17"/>
  <c r="I27" i="19"/>
  <c r="I66" i="17"/>
  <c r="I138" i="19"/>
  <c r="I141" i="19"/>
  <c r="I77" i="19"/>
  <c r="I48" i="19"/>
  <c r="I106" i="19"/>
  <c r="I69" i="16"/>
  <c r="I81" i="17"/>
  <c r="I173" i="18"/>
  <c r="I171" i="19"/>
  <c r="I60" i="17"/>
  <c r="I34" i="18"/>
  <c r="I55" i="7"/>
  <c r="I115" i="7"/>
  <c r="I163" i="7"/>
  <c r="I67" i="17"/>
  <c r="I32" i="19"/>
  <c r="I179" i="7"/>
  <c r="I169" i="19"/>
  <c r="I135" i="19"/>
  <c r="I14" i="18"/>
  <c r="I76" i="19"/>
  <c r="I177" i="19"/>
  <c r="I60" i="19"/>
  <c r="I154" i="19"/>
  <c r="I91" i="19"/>
  <c r="I42" i="19"/>
  <c r="I16" i="19"/>
  <c r="I181" i="7"/>
  <c r="I77" i="7"/>
  <c r="I145" i="7"/>
  <c r="I105" i="7"/>
  <c r="I42" i="7"/>
  <c r="I43" i="7"/>
  <c r="I141" i="7"/>
  <c r="I107" i="7"/>
  <c r="I100" i="7"/>
  <c r="I132" i="7"/>
  <c r="I165" i="7"/>
  <c r="I109" i="7"/>
  <c r="I157" i="7"/>
  <c r="I123" i="7"/>
  <c r="I146" i="7"/>
  <c r="I93" i="7"/>
  <c r="I27" i="7"/>
  <c r="I177" i="7"/>
  <c r="I91" i="7"/>
  <c r="I75" i="7"/>
  <c r="I144" i="7"/>
  <c r="I68" i="7"/>
  <c r="I84" i="7"/>
  <c r="I117" i="7"/>
  <c r="I26" i="7"/>
  <c r="I19" i="7"/>
  <c r="I99" i="7"/>
  <c r="I69" i="7"/>
  <c r="I101" i="7"/>
  <c r="I150" i="7"/>
  <c r="I167" i="7"/>
  <c r="I138" i="7"/>
  <c r="I166" i="7"/>
  <c r="I175" i="7"/>
  <c r="I32" i="7"/>
  <c r="I185" i="7"/>
  <c r="I23" i="7"/>
  <c r="I54" i="7"/>
  <c r="I81" i="7"/>
  <c r="I35" i="7"/>
  <c r="I114" i="7"/>
  <c r="I21" i="7"/>
  <c r="I70" i="7"/>
  <c r="I87" i="7"/>
  <c r="I58" i="7"/>
  <c r="I173" i="7"/>
  <c r="I41" i="7"/>
  <c r="I158" i="7"/>
  <c r="I121" i="7"/>
  <c r="I160" i="7"/>
  <c r="I37" i="7"/>
  <c r="I86" i="7"/>
  <c r="I74" i="7"/>
  <c r="I162" i="7"/>
  <c r="I137" i="7"/>
  <c r="I176" i="7"/>
  <c r="I63" i="7"/>
  <c r="I102" i="7"/>
  <c r="I90" i="7"/>
  <c r="I73" i="7"/>
  <c r="I36" i="7"/>
  <c r="I118" i="7"/>
  <c r="I131" i="7"/>
  <c r="I57" i="7"/>
  <c r="I52" i="7"/>
  <c r="I85" i="7"/>
  <c r="I134" i="7"/>
  <c r="I147" i="7"/>
  <c r="I103" i="7"/>
  <c r="I133" i="7"/>
  <c r="I33" i="7"/>
  <c r="I149" i="7"/>
  <c r="I129" i="7"/>
  <c r="I20" i="7"/>
  <c r="I97" i="7"/>
  <c r="I135" i="7"/>
  <c r="I140" i="7"/>
  <c r="I161" i="7"/>
  <c r="I51" i="7"/>
  <c r="I80" i="7"/>
  <c r="I119" i="7"/>
  <c r="I67" i="7"/>
  <c r="I14" i="7"/>
  <c r="I139" i="7"/>
  <c r="I53" i="7"/>
  <c r="I25" i="7"/>
  <c r="I168" i="7"/>
  <c r="I154" i="7"/>
  <c r="I178" i="7"/>
  <c r="I30" i="7"/>
  <c r="I155" i="7"/>
  <c r="I152" i="7"/>
  <c r="I170" i="7"/>
  <c r="I46" i="7"/>
  <c r="I171" i="7"/>
  <c r="I50" i="7"/>
  <c r="I180" i="7"/>
  <c r="I16" i="7"/>
  <c r="I186" i="7"/>
  <c r="I13" i="7"/>
  <c r="I62" i="7"/>
  <c r="I187" i="7"/>
  <c r="I71" i="7"/>
  <c r="I151" i="7"/>
  <c r="I106" i="7"/>
  <c r="I22" i="7"/>
  <c r="I29" i="7"/>
  <c r="I79" i="7"/>
  <c r="I122" i="7"/>
  <c r="I82" i="7"/>
  <c r="I184" i="7"/>
  <c r="I48" i="7"/>
  <c r="I18" i="7"/>
  <c r="I28" i="7"/>
  <c r="I45" i="7"/>
  <c r="I111" i="7"/>
  <c r="I95" i="7"/>
  <c r="I128" i="7"/>
  <c r="I98" i="7"/>
  <c r="I15" i="7"/>
  <c r="I39" i="7"/>
  <c r="I44" i="7"/>
  <c r="I61" i="7"/>
  <c r="I96" i="7"/>
  <c r="I169" i="7"/>
  <c r="I89" i="7"/>
  <c r="I112" i="7"/>
  <c r="I153" i="7"/>
  <c r="I148" i="7"/>
  <c r="I56" i="7"/>
  <c r="I60" i="7"/>
  <c r="I78" i="7"/>
  <c r="I24" i="7"/>
  <c r="I164" i="7"/>
  <c r="I76" i="7"/>
  <c r="I94" i="7"/>
  <c r="I127" i="7"/>
  <c r="I17" i="7"/>
  <c r="I92" i="7"/>
  <c r="I110" i="7"/>
  <c r="I40" i="7"/>
  <c r="I38" i="7"/>
  <c r="I108" i="7"/>
  <c r="I126" i="7"/>
  <c r="I49" i="7"/>
  <c r="I124" i="7"/>
  <c r="I142" i="7"/>
  <c r="I130" i="7"/>
  <c r="I65" i="7"/>
  <c r="I88" i="7"/>
  <c r="I156" i="7"/>
  <c r="I174" i="7"/>
  <c r="I64" i="7"/>
  <c r="I136" i="7"/>
  <c r="I172" i="7"/>
  <c r="I34" i="7"/>
  <c r="I72" i="7"/>
  <c r="J3" i="16" l="1"/>
  <c r="K3" i="16" s="1"/>
  <c r="O3" i="5" s="1"/>
  <c r="P3" i="5" s="1"/>
  <c r="Q3" i="5" s="1"/>
  <c r="J3" i="7"/>
  <c r="K3" i="7" s="1"/>
  <c r="O2" i="5" s="1"/>
  <c r="P2" i="5" s="1"/>
  <c r="Q2" i="5" s="1"/>
  <c r="O4" i="5"/>
  <c r="P4" i="5" s="1"/>
  <c r="Q4" i="5" s="1"/>
  <c r="O5" i="5"/>
  <c r="P5" i="5" s="1"/>
  <c r="Q5" i="5" s="1"/>
  <c r="J3" i="19"/>
  <c r="K3" i="19" s="1"/>
  <c r="Q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<sst xmlns="http://schemas.openxmlformats.org/spreadsheetml/2006/main" count="161" uniqueCount="50">
  <si>
    <t>DATE</t>
  </si>
  <si>
    <t>1Y_Treasury</t>
  </si>
  <si>
    <t>2Y_Treasury</t>
  </si>
  <si>
    <t>MSFT price</t>
  </si>
  <si>
    <t>Intel price</t>
  </si>
  <si>
    <t>Coupon</t>
  </si>
  <si>
    <t>Credit Spread: Corporate(HY)</t>
  </si>
  <si>
    <t>Credit spread: sovereign (high yield, or HY)</t>
  </si>
  <si>
    <t>Credit spread: sovereign (investment grade, or IG)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</si>
  <si>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</si>
  <si>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</si>
  <si>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</si>
  <si>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</si>
  <si>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</si>
  <si>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</si>
  <si>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</si>
  <si>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</si>
  <si>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</si>
  <si>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</si>
  <si>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</si>
  <si>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</si>
  <si>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</si>
  <si>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Portfolio value</t>
  </si>
  <si>
    <t>10 day PnL</t>
  </si>
  <si>
    <t>ES</t>
  </si>
  <si>
    <t>VaR</t>
  </si>
  <si>
    <t>n=10</t>
  </si>
  <si>
    <t>n=10, 20</t>
  </si>
  <si>
    <t>n=10, 40</t>
  </si>
  <si>
    <t>Credit Spread:Corporate HY</t>
  </si>
  <si>
    <t>Credit Spread Corporate HY</t>
  </si>
  <si>
    <t>n=10, 60</t>
  </si>
  <si>
    <t>ES, Q(pi,4)</t>
  </si>
  <si>
    <t>ES, Q(pi,3)</t>
  </si>
  <si>
    <t>ES, Q(pi,2)</t>
  </si>
  <si>
    <t>ES, Q(pi,1)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</si>
  <si>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(P,1)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</si>
  <si>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(P,2)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</si>
  <si>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(P,3)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</si>
  <si>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(P,4)</t>
    </r>
  </si>
  <si>
    <t>LH  = 10</t>
  </si>
  <si>
    <t>LH  = 20</t>
  </si>
  <si>
    <t>LH  = 40</t>
  </si>
  <si>
    <t>LH  = 60</t>
  </si>
  <si>
    <t>Absolute ES</t>
  </si>
  <si>
    <t>Calculated value</t>
  </si>
  <si>
    <t>LH</t>
  </si>
  <si>
    <t>Total</t>
  </si>
  <si>
    <t>T</t>
  </si>
  <si>
    <r>
      <t>ES</t>
    </r>
    <r>
      <rPr>
        <vertAlign val="subscript"/>
        <sz val="14"/>
        <color theme="1"/>
        <rFont val="Aptos Narrow"/>
        <family val="2"/>
        <scheme val="minor"/>
      </rPr>
      <t>R,S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</si>
</sst>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 applyAlignment="1">
      <alignment vertical="center"/>
    </xf>
    <xf numFmtId="43" fontId="0" fillId="0" borderId="0" xfId="42" applyFont="1"/>
    <xf numFmtId="0" fontId="22" fillId="0" borderId="0" xfId="0" applyFont="1"/>
    <xf numFmtId="43" fontId="0" fillId="33" borderId="0" xfId="0" applyNumberFormat="1" applyFill="1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11</xdr:col>
      <xdr:colOff>286125</xdr:colOff>
      <xdr:row>31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H264"/>
  <sheetViews>
    <sheetView topLeftCell="A239" workbookViewId="0">
      <selection activeCell="A3" sqref="A3:A263"/>
    </sheetView>
  </sheetViews>
  <sheetFormatPr defaultColWidth="14.36328125" defaultRowHeight="14.5"/>
  <cols>
    <col min="2" max="2" width="25.08984375" customWidth="1"/>
    <col min="3" max="3" width="18.81640625" customWidth="1"/>
    <col min="4" max="4" width="15.7265625" customWidth="1"/>
    <col min="6" max="7" width="10.54296875" customWidth="1"/>
    <col min="8" max="8" width="17.453125" customWidth="1"/>
  </cols>
  <sheetData>
    <row r="1" spans="1:8">
      <c r="B1" s="8" t="s">
        <v>40</v>
      </c>
      <c r="C1" s="8"/>
      <c r="D1" s="8"/>
      <c r="E1" s="8"/>
      <c r="F1" t="s">
        <v>41</v>
      </c>
      <c r="G1" t="s">
        <v>42</v>
      </c>
      <c r="H1" t="s">
        <v>43</v>
      </c>
    </row>
    <row r="2" spans="1:8" ht="69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8</v>
      </c>
      <c r="G2" s="2" t="s">
        <v>7</v>
      </c>
      <c r="H2" s="2" t="s">
        <v>6</v>
      </c>
    </row>
    <row r="3" spans="1:8">
      <c r="A3" s="1">
        <v>39261</v>
      </c>
      <c r="B3">
        <v>5.0827211288239251</v>
      </c>
      <c r="C3">
        <v>3.7576009604626011</v>
      </c>
      <c r="D3">
        <v>530.06710240945392</v>
      </c>
      <c r="E3">
        <v>38.486313274164083</v>
      </c>
      <c r="F3">
        <v>0.54698983977569471</v>
      </c>
      <c r="G3">
        <v>0.54598364674256294</v>
      </c>
      <c r="H3">
        <v>0.73149659209099549</v>
      </c>
    </row>
    <row r="4" spans="1:8">
      <c r="A4" s="1">
        <v>39262</v>
      </c>
      <c r="B4">
        <v>4.3206271256466966</v>
      </c>
      <c r="C4">
        <v>4.3032671430898626</v>
      </c>
      <c r="D4">
        <v>522.82800367758841</v>
      </c>
      <c r="E4">
        <v>35.525855533449466</v>
      </c>
      <c r="F4">
        <v>0.47683079655407573</v>
      </c>
      <c r="G4">
        <v>0.69977849035198381</v>
      </c>
      <c r="H4">
        <v>0.54770033707044519</v>
      </c>
    </row>
    <row r="5" spans="1:8">
      <c r="A5" s="1">
        <v>39265</v>
      </c>
      <c r="B5">
        <v>3.7975784479381183</v>
      </c>
      <c r="C5">
        <v>4.694441546542544</v>
      </c>
      <c r="D5">
        <v>510.11849651987478</v>
      </c>
      <c r="E5">
        <v>36.378867997537618</v>
      </c>
      <c r="F5">
        <v>0.5067878342967328</v>
      </c>
      <c r="G5">
        <v>0.58631369988237547</v>
      </c>
      <c r="H5">
        <v>0.75066501533346264</v>
      </c>
    </row>
    <row r="6" spans="1:8">
      <c r="A6" s="1">
        <v>39266</v>
      </c>
      <c r="B6">
        <v>3.6141194125960885</v>
      </c>
      <c r="C6">
        <v>4.1556962172402629</v>
      </c>
      <c r="D6">
        <v>516.68968050493095</v>
      </c>
      <c r="E6">
        <v>36.138275735084527</v>
      </c>
      <c r="F6">
        <v>0.47000133714948222</v>
      </c>
      <c r="G6">
        <v>0.61756550978057045</v>
      </c>
      <c r="H6">
        <v>0.74260380194140441</v>
      </c>
    </row>
    <row r="7" spans="1:8">
      <c r="A7" s="1">
        <v>39267</v>
      </c>
      <c r="B7">
        <v>3.6710364585936244</v>
      </c>
      <c r="C7">
        <v>4.4072511299404917</v>
      </c>
      <c r="D7">
        <v>511.90515501946436</v>
      </c>
      <c r="E7">
        <v>35.611753551103661</v>
      </c>
      <c r="F7">
        <v>0.53750178640694368</v>
      </c>
      <c r="G7">
        <v>0.58417944445984404</v>
      </c>
      <c r="H7">
        <v>0.59754414220504348</v>
      </c>
    </row>
    <row r="8" spans="1:8">
      <c r="A8" s="1">
        <v>39268</v>
      </c>
      <c r="B8">
        <v>3.931379102036578</v>
      </c>
      <c r="C8">
        <v>5.1639098453922365</v>
      </c>
      <c r="D8">
        <v>513.45231464911365</v>
      </c>
      <c r="E8">
        <v>37.709248469977197</v>
      </c>
      <c r="F8">
        <v>0.46807659538602198</v>
      </c>
      <c r="G8">
        <v>0.63677567920417444</v>
      </c>
      <c r="H8">
        <v>0.68369645333897555</v>
      </c>
    </row>
    <row r="9" spans="1:8">
      <c r="A9" s="1">
        <v>39269</v>
      </c>
      <c r="B9">
        <v>3.0612982892719858</v>
      </c>
      <c r="C9">
        <v>5.3991582936272629</v>
      </c>
      <c r="D9">
        <v>519.33854022642618</v>
      </c>
      <c r="E9">
        <v>36.256977751499669</v>
      </c>
      <c r="F9">
        <v>0.51467052207071373</v>
      </c>
      <c r="G9">
        <v>0.56761298665810267</v>
      </c>
      <c r="H9">
        <v>0.67972678014595111</v>
      </c>
    </row>
    <row r="10" spans="1:8">
      <c r="A10" s="1">
        <v>39272</v>
      </c>
      <c r="B10">
        <v>4.7294171322764944</v>
      </c>
      <c r="C10">
        <v>4.8137239983944715</v>
      </c>
      <c r="D10">
        <v>515.82191972998794</v>
      </c>
      <c r="E10">
        <v>35.112746324286967</v>
      </c>
      <c r="F10">
        <v>0.49766367415763646</v>
      </c>
      <c r="G10">
        <v>0.52563262889806317</v>
      </c>
      <c r="H10">
        <v>0.69548422492498785</v>
      </c>
    </row>
    <row r="11" spans="1:8">
      <c r="A11" s="1">
        <v>39273</v>
      </c>
      <c r="B11">
        <v>3.8815718601009168</v>
      </c>
      <c r="C11">
        <v>4.5487413003998629</v>
      </c>
      <c r="D11">
        <v>529.18294628763749</v>
      </c>
      <c r="E11">
        <v>35.866392214103513</v>
      </c>
      <c r="F11">
        <v>0.46665380740818757</v>
      </c>
      <c r="G11">
        <v>0.64183150436734115</v>
      </c>
      <c r="H11">
        <v>0.68681552800507095</v>
      </c>
    </row>
    <row r="12" spans="1:8">
      <c r="A12" s="1">
        <v>39274</v>
      </c>
      <c r="B12">
        <v>4.8060443957787937</v>
      </c>
      <c r="C12">
        <v>4.3212833181559898</v>
      </c>
      <c r="D12">
        <v>528.7717561498846</v>
      </c>
      <c r="E12">
        <v>34.840449833649842</v>
      </c>
      <c r="F12">
        <v>0.51901745503467211</v>
      </c>
      <c r="G12">
        <v>0.57409270111085708</v>
      </c>
      <c r="H12">
        <v>0.75370084920670277</v>
      </c>
    </row>
    <row r="13" spans="1:8">
      <c r="A13" s="1">
        <v>39275</v>
      </c>
      <c r="B13">
        <v>3.5245764889556463</v>
      </c>
      <c r="C13">
        <v>5.344463658338813</v>
      </c>
      <c r="D13">
        <v>509.46564220321653</v>
      </c>
      <c r="E13">
        <v>38.812221022818335</v>
      </c>
      <c r="F13">
        <v>0.54636882281571864</v>
      </c>
      <c r="G13">
        <v>0.57967180810424068</v>
      </c>
      <c r="H13">
        <v>0.67532012189222457</v>
      </c>
    </row>
    <row r="14" spans="1:8">
      <c r="A14" s="1">
        <v>39276</v>
      </c>
      <c r="B14">
        <v>3.7644957399215913</v>
      </c>
      <c r="C14">
        <v>4.4495092747802651</v>
      </c>
      <c r="D14">
        <v>544.08626392776182</v>
      </c>
      <c r="E14">
        <v>36.566971116933892</v>
      </c>
      <c r="F14">
        <v>0.55817954271211356</v>
      </c>
      <c r="G14">
        <v>0.66068467873274395</v>
      </c>
      <c r="H14">
        <v>0.65013774963590876</v>
      </c>
    </row>
    <row r="15" spans="1:8">
      <c r="A15" s="1">
        <v>39279</v>
      </c>
      <c r="B15">
        <v>4.827260146290886</v>
      </c>
      <c r="C15">
        <v>4.7877465563747723</v>
      </c>
      <c r="D15">
        <v>539.48766051215932</v>
      </c>
      <c r="E15">
        <v>33.921064986889213</v>
      </c>
      <c r="F15">
        <v>0.48930551252755639</v>
      </c>
      <c r="G15">
        <v>0.56434785415684419</v>
      </c>
      <c r="H15">
        <v>0.66690285973796892</v>
      </c>
    </row>
    <row r="16" spans="1:8">
      <c r="A16" s="1">
        <v>39280</v>
      </c>
      <c r="B16">
        <v>3.6223765648201676</v>
      </c>
      <c r="C16">
        <v>5.1347730885430778</v>
      </c>
      <c r="D16">
        <v>526.47210168309402</v>
      </c>
      <c r="E16">
        <v>38.706259864512511</v>
      </c>
      <c r="F16">
        <v>0.50552517886042037</v>
      </c>
      <c r="G16">
        <v>0.63391768740724896</v>
      </c>
      <c r="H16">
        <v>0.6848501289237412</v>
      </c>
    </row>
    <row r="17" spans="1:8">
      <c r="A17" s="1">
        <v>39281</v>
      </c>
      <c r="B17">
        <v>5.2593983451724888</v>
      </c>
      <c r="C17">
        <v>4.9354633475726049</v>
      </c>
      <c r="D17">
        <v>520.06071289457861</v>
      </c>
      <c r="E17">
        <v>36.498394129436889</v>
      </c>
      <c r="F17">
        <v>0.52817032607602066</v>
      </c>
      <c r="G17">
        <v>0.48578218134880302</v>
      </c>
      <c r="H17">
        <v>0.73972006337713569</v>
      </c>
    </row>
    <row r="18" spans="1:8">
      <c r="A18" s="1">
        <v>39282</v>
      </c>
      <c r="B18">
        <v>4.1130986525861157</v>
      </c>
      <c r="C18">
        <v>3.0610765759820584</v>
      </c>
      <c r="D18">
        <v>521.9567672888254</v>
      </c>
      <c r="E18">
        <v>35.046739376390832</v>
      </c>
      <c r="F18">
        <v>0.51398651268848805</v>
      </c>
      <c r="G18">
        <v>0.64757993110156831</v>
      </c>
      <c r="H18">
        <v>0.8435251105522783</v>
      </c>
    </row>
    <row r="19" spans="1:8">
      <c r="A19" s="1">
        <v>39283</v>
      </c>
      <c r="B19">
        <v>4.2722969062740237</v>
      </c>
      <c r="C19">
        <v>5.7003745372142882</v>
      </c>
      <c r="D19">
        <v>523.57378087324673</v>
      </c>
      <c r="E19">
        <v>37.036453570394855</v>
      </c>
      <c r="F19">
        <v>0.46979985813202219</v>
      </c>
      <c r="G19">
        <v>0.52044295775949978</v>
      </c>
      <c r="H19">
        <v>0.7222312753557304</v>
      </c>
    </row>
    <row r="20" spans="1:8">
      <c r="A20" s="1">
        <v>39286</v>
      </c>
      <c r="B20">
        <v>4.5790718964036001</v>
      </c>
      <c r="C20">
        <v>4.8196159950004196</v>
      </c>
      <c r="D20">
        <v>519.42921215497142</v>
      </c>
      <c r="E20">
        <v>33.472185914688595</v>
      </c>
      <c r="F20">
        <v>0.43653932044898858</v>
      </c>
      <c r="G20">
        <v>0.59624253163722862</v>
      </c>
      <c r="H20">
        <v>0.6575675962809775</v>
      </c>
    </row>
    <row r="21" spans="1:8">
      <c r="A21" s="1">
        <v>39287</v>
      </c>
      <c r="B21">
        <v>4.8215715954025153</v>
      </c>
      <c r="C21">
        <v>3.8123753883587401</v>
      </c>
      <c r="D21">
        <v>534.6100388932349</v>
      </c>
      <c r="E21">
        <v>36.681116720145369</v>
      </c>
      <c r="F21">
        <v>0.50996736728862191</v>
      </c>
      <c r="G21">
        <v>0.68430075834240034</v>
      </c>
      <c r="H21">
        <v>0.72367212688938176</v>
      </c>
    </row>
    <row r="22" spans="1:8">
      <c r="A22" s="1">
        <v>39288</v>
      </c>
      <c r="B22">
        <v>2.8428523030554946</v>
      </c>
      <c r="C22">
        <v>4.3474580792735908</v>
      </c>
      <c r="D22">
        <v>523.96808143775911</v>
      </c>
      <c r="E22">
        <v>35.078559509999771</v>
      </c>
      <c r="F22">
        <v>0.57225256010683656</v>
      </c>
      <c r="G22">
        <v>0.56941574656872151</v>
      </c>
      <c r="H22">
        <v>0.72755380191515351</v>
      </c>
    </row>
    <row r="23" spans="1:8">
      <c r="A23" s="1">
        <v>39289</v>
      </c>
      <c r="B23">
        <v>4.7078502243757265</v>
      </c>
      <c r="C23">
        <v>4.3206703522274585</v>
      </c>
      <c r="D23">
        <v>514.93500370123991</v>
      </c>
      <c r="E23">
        <v>34.683565700839701</v>
      </c>
      <c r="F23">
        <v>0.57104713189018463</v>
      </c>
      <c r="G23">
        <v>0.6722674878961542</v>
      </c>
      <c r="H23">
        <v>0.56037346041327574</v>
      </c>
    </row>
    <row r="24" spans="1:8">
      <c r="A24" s="1">
        <v>39290</v>
      </c>
      <c r="B24">
        <v>4.3238665763901887</v>
      </c>
      <c r="C24">
        <v>4.2319007593201201</v>
      </c>
      <c r="D24">
        <v>517.37828023041425</v>
      </c>
      <c r="E24">
        <v>36.697268945337463</v>
      </c>
      <c r="F24">
        <v>0.49477581514586882</v>
      </c>
      <c r="G24">
        <v>0.66133433612700554</v>
      </c>
      <c r="H24">
        <v>0.7582021859695478</v>
      </c>
    </row>
    <row r="25" spans="1:8">
      <c r="A25" s="1">
        <v>39293</v>
      </c>
      <c r="B25">
        <v>3.8230494723269821</v>
      </c>
      <c r="C25">
        <v>4.2374424727791169</v>
      </c>
      <c r="D25">
        <v>529.3542029700601</v>
      </c>
      <c r="E25">
        <v>35.357722761455612</v>
      </c>
      <c r="F25">
        <v>0.53815180899585036</v>
      </c>
      <c r="G25">
        <v>0.66532120498391112</v>
      </c>
      <c r="H25">
        <v>0.67537614777302413</v>
      </c>
    </row>
    <row r="26" spans="1:8">
      <c r="A26" s="1">
        <v>39294</v>
      </c>
      <c r="B26">
        <v>3.6851083853620015</v>
      </c>
      <c r="C26">
        <v>4.8316872293681321</v>
      </c>
      <c r="D26">
        <v>510.78987651258888</v>
      </c>
      <c r="E26">
        <v>34.208132480182599</v>
      </c>
      <c r="F26">
        <v>0.52543613050131655</v>
      </c>
      <c r="G26">
        <v>0.60098135034932065</v>
      </c>
      <c r="H26">
        <v>0.63909848521108659</v>
      </c>
    </row>
    <row r="27" spans="1:8">
      <c r="A27" s="1">
        <v>39295</v>
      </c>
      <c r="B27">
        <v>4.0089016663426245</v>
      </c>
      <c r="C27">
        <v>4.6974946588671855</v>
      </c>
      <c r="D27">
        <v>530.94745862151194</v>
      </c>
      <c r="E27">
        <v>35.601389290231204</v>
      </c>
      <c r="F27">
        <v>0.44893155871825946</v>
      </c>
      <c r="G27">
        <v>0.57168056366647702</v>
      </c>
      <c r="H27">
        <v>0.72024526616119189</v>
      </c>
    </row>
    <row r="28" spans="1:8">
      <c r="A28" s="1">
        <v>39296</v>
      </c>
      <c r="B28">
        <v>4.4376303830550761</v>
      </c>
      <c r="C28">
        <v>5.2792595355279346</v>
      </c>
      <c r="D28">
        <v>533.06791892536637</v>
      </c>
      <c r="E28">
        <v>31.314446936067924</v>
      </c>
      <c r="F28">
        <v>0.53537410933431362</v>
      </c>
      <c r="G28">
        <v>0.59707946153516578</v>
      </c>
      <c r="H28">
        <v>0.63189521247543401</v>
      </c>
    </row>
    <row r="29" spans="1:8">
      <c r="A29" s="1">
        <v>39297</v>
      </c>
      <c r="B29">
        <v>3.9338799834361415</v>
      </c>
      <c r="C29">
        <v>2.8356004227367029</v>
      </c>
      <c r="D29">
        <v>499.45735904042186</v>
      </c>
      <c r="E29">
        <v>38.365307324004185</v>
      </c>
      <c r="F29">
        <v>0.53289512324612376</v>
      </c>
      <c r="G29">
        <v>0.638305133425348</v>
      </c>
      <c r="H29">
        <v>0.67909341920472122</v>
      </c>
    </row>
    <row r="30" spans="1:8">
      <c r="A30" s="1">
        <v>39300</v>
      </c>
      <c r="B30">
        <v>4.0125126936366842</v>
      </c>
      <c r="C30">
        <v>5.1109359890298185</v>
      </c>
      <c r="D30">
        <v>523.9256328170128</v>
      </c>
      <c r="E30">
        <v>34.816254407783994</v>
      </c>
      <c r="F30">
        <v>0.47745770777336516</v>
      </c>
      <c r="G30">
        <v>0.61389533958662978</v>
      </c>
      <c r="H30">
        <v>0.7188250216182398</v>
      </c>
    </row>
    <row r="31" spans="1:8">
      <c r="A31" s="1">
        <v>39301</v>
      </c>
      <c r="B31">
        <v>4.1843773047957793</v>
      </c>
      <c r="C31">
        <v>4.3672034504647721</v>
      </c>
      <c r="D31">
        <v>531.01840122166482</v>
      </c>
      <c r="E31">
        <v>34.222641875438129</v>
      </c>
      <c r="F31">
        <v>0.61050054682564137</v>
      </c>
      <c r="G31">
        <v>0.59679930386082691</v>
      </c>
      <c r="H31">
        <v>0.80961823061565719</v>
      </c>
    </row>
    <row r="32" spans="1:8">
      <c r="A32" s="1">
        <v>39302</v>
      </c>
      <c r="B32">
        <v>4.7564782385104296</v>
      </c>
      <c r="C32">
        <v>4.5054701300214095</v>
      </c>
      <c r="D32">
        <v>526.02515449995292</v>
      </c>
      <c r="E32">
        <v>38.452867746852995</v>
      </c>
      <c r="F32">
        <v>0.50729281783906133</v>
      </c>
      <c r="G32">
        <v>0.63441892576789283</v>
      </c>
      <c r="H32">
        <v>0.69969681854820887</v>
      </c>
    </row>
    <row r="33" spans="1:8">
      <c r="A33" s="1">
        <v>39303</v>
      </c>
      <c r="B33">
        <v>3.6308849152686173</v>
      </c>
      <c r="C33">
        <v>5.9775567424969127</v>
      </c>
      <c r="D33">
        <v>499.52569486946891</v>
      </c>
      <c r="E33">
        <v>36.229981049777955</v>
      </c>
      <c r="F33">
        <v>0.46530023420573791</v>
      </c>
      <c r="G33">
        <v>0.51892509526296915</v>
      </c>
      <c r="H33">
        <v>0.7313658109126554</v>
      </c>
    </row>
    <row r="34" spans="1:8">
      <c r="A34" s="1">
        <v>39304</v>
      </c>
      <c r="B34">
        <v>3.4728382777515856</v>
      </c>
      <c r="C34">
        <v>3.8535219591566476</v>
      </c>
      <c r="D34">
        <v>505.1780641119791</v>
      </c>
      <c r="E34">
        <v>35.909641182489132</v>
      </c>
      <c r="F34">
        <v>0.4692441794230387</v>
      </c>
      <c r="G34">
        <v>0.59326351028124014</v>
      </c>
      <c r="H34">
        <v>0.68042961211617381</v>
      </c>
    </row>
    <row r="35" spans="1:8">
      <c r="A35" s="1">
        <v>39307</v>
      </c>
      <c r="B35">
        <v>3.4689957248940315</v>
      </c>
      <c r="C35">
        <v>4.4477587356507318</v>
      </c>
      <c r="D35">
        <v>515.14974087683117</v>
      </c>
      <c r="E35">
        <v>36.390149752933596</v>
      </c>
      <c r="F35">
        <v>0.4980164539372392</v>
      </c>
      <c r="G35">
        <v>0.49620788316934222</v>
      </c>
      <c r="H35">
        <v>0.65384139913205075</v>
      </c>
    </row>
    <row r="36" spans="1:8">
      <c r="A36" s="1">
        <v>39308</v>
      </c>
      <c r="B36">
        <v>4.1821195430865012</v>
      </c>
      <c r="C36">
        <v>4.1433564871885959</v>
      </c>
      <c r="D36">
        <v>522.06786315914087</v>
      </c>
      <c r="E36">
        <v>34.478503638314578</v>
      </c>
      <c r="F36">
        <v>0.42540147632486613</v>
      </c>
      <c r="G36">
        <v>0.55734144316778123</v>
      </c>
      <c r="H36">
        <v>0.71302922357715193</v>
      </c>
    </row>
    <row r="37" spans="1:8">
      <c r="A37" s="1">
        <v>39309</v>
      </c>
      <c r="B37">
        <v>4.7018999505230399</v>
      </c>
      <c r="C37">
        <v>4.4385377496737961</v>
      </c>
      <c r="D37">
        <v>512.85629695383204</v>
      </c>
      <c r="E37">
        <v>37.195599132284237</v>
      </c>
      <c r="F37">
        <v>0.48206175741007506</v>
      </c>
      <c r="G37">
        <v>0.58288958846437677</v>
      </c>
      <c r="H37">
        <v>0.7920542621479062</v>
      </c>
    </row>
    <row r="38" spans="1:8">
      <c r="A38" s="1">
        <v>39310</v>
      </c>
      <c r="B38">
        <v>4.5987775615759654</v>
      </c>
      <c r="C38">
        <v>4.8135747371980298</v>
      </c>
      <c r="D38">
        <v>527.20089650478133</v>
      </c>
      <c r="E38">
        <v>37.278982664368968</v>
      </c>
      <c r="F38">
        <v>0.52468408978253811</v>
      </c>
      <c r="G38">
        <v>0.63398097919272978</v>
      </c>
      <c r="H38">
        <v>0.74340185091925293</v>
      </c>
    </row>
    <row r="39" spans="1:8">
      <c r="A39" s="1">
        <v>39311</v>
      </c>
      <c r="B39">
        <v>4.4579777417553696</v>
      </c>
      <c r="C39">
        <v>4.5827351393060516</v>
      </c>
      <c r="D39">
        <v>512.32057717349232</v>
      </c>
      <c r="E39">
        <v>31.942457283626972</v>
      </c>
      <c r="F39">
        <v>0.48483895896254492</v>
      </c>
      <c r="G39">
        <v>0.45343534058474511</v>
      </c>
      <c r="H39">
        <v>0.68981281828438645</v>
      </c>
    </row>
    <row r="40" spans="1:8">
      <c r="A40" s="1">
        <v>39314</v>
      </c>
      <c r="B40">
        <v>4.5258422915471783</v>
      </c>
      <c r="C40">
        <v>3.6188851439527943</v>
      </c>
      <c r="D40">
        <v>513.66240442529954</v>
      </c>
      <c r="E40">
        <v>35.112381376347827</v>
      </c>
      <c r="F40">
        <v>0.476670790503604</v>
      </c>
      <c r="G40">
        <v>0.59169073389311466</v>
      </c>
      <c r="H40">
        <v>0.7376034950047623</v>
      </c>
    </row>
    <row r="41" spans="1:8">
      <c r="A41" s="1">
        <v>39315</v>
      </c>
      <c r="B41">
        <v>4.3989936872781117</v>
      </c>
      <c r="C41">
        <v>3.3424714117833552</v>
      </c>
      <c r="D41">
        <v>544.20297966907231</v>
      </c>
      <c r="E41">
        <v>34.739391252530915</v>
      </c>
      <c r="F41">
        <v>0.47808421741533375</v>
      </c>
      <c r="G41">
        <v>0.66842715722996426</v>
      </c>
      <c r="H41">
        <v>0.65664138730402499</v>
      </c>
    </row>
    <row r="42" spans="1:8">
      <c r="A42" s="1">
        <v>39316</v>
      </c>
      <c r="B42">
        <v>3.7092178648298488</v>
      </c>
      <c r="C42">
        <v>5.0755725387452131</v>
      </c>
      <c r="D42">
        <v>529.13518037104029</v>
      </c>
      <c r="E42">
        <v>34.262221509155111</v>
      </c>
      <c r="F42">
        <v>0.55861146722105093</v>
      </c>
      <c r="G42">
        <v>0.58836104983474202</v>
      </c>
      <c r="H42">
        <v>0.68819775232340918</v>
      </c>
    </row>
    <row r="43" spans="1:8">
      <c r="A43" s="1">
        <v>39317</v>
      </c>
      <c r="B43">
        <v>4.2884791261396611</v>
      </c>
      <c r="C43">
        <v>4.3546197770336388</v>
      </c>
      <c r="D43">
        <v>499.95819038488486</v>
      </c>
      <c r="E43">
        <v>34.191303298671237</v>
      </c>
      <c r="F43">
        <v>0.46965378289248155</v>
      </c>
      <c r="G43">
        <v>0.57630820267798821</v>
      </c>
      <c r="H43">
        <v>0.63670461434587855</v>
      </c>
    </row>
    <row r="44" spans="1:8">
      <c r="A44" s="1">
        <v>39318</v>
      </c>
      <c r="B44">
        <v>4.4575223139739579</v>
      </c>
      <c r="C44">
        <v>3.7829534533979938</v>
      </c>
      <c r="D44">
        <v>515.78900527026155</v>
      </c>
      <c r="E44">
        <v>37.416746321614063</v>
      </c>
      <c r="F44">
        <v>0.49384664448149784</v>
      </c>
      <c r="G44">
        <v>0.59203502309516121</v>
      </c>
      <c r="H44">
        <v>0.73375879653746745</v>
      </c>
    </row>
    <row r="45" spans="1:8">
      <c r="A45" s="1">
        <v>39321</v>
      </c>
      <c r="B45">
        <v>4.1937124215494599</v>
      </c>
      <c r="C45">
        <v>4.0462669661923272</v>
      </c>
      <c r="D45">
        <v>527.30945996103469</v>
      </c>
      <c r="E45">
        <v>37.755530031945533</v>
      </c>
      <c r="F45">
        <v>0.54014015335847521</v>
      </c>
      <c r="G45">
        <v>0.63677447860114089</v>
      </c>
      <c r="H45">
        <v>0.75127331818434728</v>
      </c>
    </row>
    <row r="46" spans="1:8">
      <c r="A46" s="1">
        <v>39322</v>
      </c>
      <c r="B46">
        <v>5.368938797620352</v>
      </c>
      <c r="C46">
        <v>3.6957699301123785</v>
      </c>
      <c r="D46">
        <v>543.07256661379324</v>
      </c>
      <c r="E46">
        <v>34.767280111536692</v>
      </c>
      <c r="F46">
        <v>0.47799425099976622</v>
      </c>
      <c r="G46">
        <v>0.67741656109109827</v>
      </c>
      <c r="H46">
        <v>0.64965765066270842</v>
      </c>
    </row>
    <row r="47" spans="1:8">
      <c r="A47" s="1">
        <v>39323</v>
      </c>
      <c r="B47">
        <v>4.5458191655494904</v>
      </c>
      <c r="C47">
        <v>3.7985679840462412</v>
      </c>
      <c r="D47">
        <v>531.31195362666358</v>
      </c>
      <c r="E47">
        <v>35.626539359468339</v>
      </c>
      <c r="F47">
        <v>0.57487206932199664</v>
      </c>
      <c r="G47">
        <v>0.55178657919453455</v>
      </c>
      <c r="H47">
        <v>0.76293628431830562</v>
      </c>
    </row>
    <row r="48" spans="1:8">
      <c r="A48" s="1">
        <v>39324</v>
      </c>
      <c r="B48">
        <v>4.1046472604633832</v>
      </c>
      <c r="C48">
        <v>3.9805329273295271</v>
      </c>
      <c r="D48">
        <v>535.16816357682649</v>
      </c>
      <c r="E48">
        <v>34.908946698382429</v>
      </c>
      <c r="F48">
        <v>0.48272620030288999</v>
      </c>
      <c r="G48">
        <v>0.66706862830374791</v>
      </c>
      <c r="H48">
        <v>0.64708481459046041</v>
      </c>
    </row>
    <row r="49" spans="1:8">
      <c r="A49" s="1">
        <v>39325</v>
      </c>
      <c r="B49">
        <v>3.7522022117467801</v>
      </c>
      <c r="C49">
        <v>3.5643328566818715</v>
      </c>
      <c r="D49">
        <v>513.70713223692462</v>
      </c>
      <c r="E49">
        <v>33.540917124953268</v>
      </c>
      <c r="F49">
        <v>0.47593626637299496</v>
      </c>
      <c r="G49">
        <v>0.59678045177972883</v>
      </c>
      <c r="H49">
        <v>0.64685650466047073</v>
      </c>
    </row>
    <row r="50" spans="1:8">
      <c r="A50" s="1">
        <v>39328</v>
      </c>
      <c r="B50">
        <v>4.5183455602110856</v>
      </c>
      <c r="C50">
        <v>4.8422388679917265</v>
      </c>
      <c r="D50">
        <v>511.75308218747261</v>
      </c>
      <c r="E50">
        <v>37.410727081650307</v>
      </c>
      <c r="F50">
        <v>0.4610206933433208</v>
      </c>
      <c r="G50">
        <v>0.64720278842520529</v>
      </c>
      <c r="H50">
        <v>0.75916402149117657</v>
      </c>
    </row>
    <row r="51" spans="1:8">
      <c r="A51" s="1">
        <v>39329</v>
      </c>
      <c r="B51">
        <v>4.5295448229773161</v>
      </c>
      <c r="C51">
        <v>4.1826749828896119</v>
      </c>
      <c r="D51">
        <v>522.70656857082884</v>
      </c>
      <c r="E51">
        <v>36.395857410505563</v>
      </c>
      <c r="F51">
        <v>0.56919927626584554</v>
      </c>
      <c r="G51">
        <v>0.54655769070720328</v>
      </c>
      <c r="H51">
        <v>0.68672917275723022</v>
      </c>
    </row>
    <row r="52" spans="1:8">
      <c r="A52" s="1">
        <v>39330</v>
      </c>
      <c r="B52">
        <v>4.4596817148429784</v>
      </c>
      <c r="C52">
        <v>5.0035639466732569</v>
      </c>
      <c r="D52">
        <v>532.188131066653</v>
      </c>
      <c r="E52">
        <v>36.507951964224453</v>
      </c>
      <c r="F52">
        <v>0.46439805422688907</v>
      </c>
      <c r="G52">
        <v>0.56831510465515189</v>
      </c>
      <c r="H52">
        <v>0.66898387397137793</v>
      </c>
    </row>
    <row r="53" spans="1:8">
      <c r="A53" s="1">
        <v>39331</v>
      </c>
      <c r="B53">
        <v>4.2232071037843451</v>
      </c>
      <c r="C53">
        <v>4.9002315330555417</v>
      </c>
      <c r="D53">
        <v>517.3116455854497</v>
      </c>
      <c r="E53">
        <v>37.431692692754503</v>
      </c>
      <c r="F53">
        <v>0.47904438378148612</v>
      </c>
      <c r="G53">
        <v>0.64347887958347805</v>
      </c>
      <c r="H53">
        <v>0.68751237801401466</v>
      </c>
    </row>
    <row r="54" spans="1:8">
      <c r="A54" s="1">
        <v>39332</v>
      </c>
      <c r="B54">
        <v>4.2180702726776085</v>
      </c>
      <c r="C54">
        <v>4.3249085827387805</v>
      </c>
      <c r="D54">
        <v>497.37124106053943</v>
      </c>
      <c r="E54">
        <v>37.503844178929498</v>
      </c>
      <c r="F54">
        <v>0.42221982647514178</v>
      </c>
      <c r="G54">
        <v>0.5753467087929317</v>
      </c>
      <c r="H54">
        <v>0.77878866985369566</v>
      </c>
    </row>
    <row r="55" spans="1:8">
      <c r="A55" s="1">
        <v>39335</v>
      </c>
      <c r="B55">
        <v>4.5441512600795875</v>
      </c>
      <c r="C55">
        <v>5.1795955639724012</v>
      </c>
      <c r="D55">
        <v>527.47091092554547</v>
      </c>
      <c r="E55">
        <v>35.373299071793276</v>
      </c>
      <c r="F55">
        <v>0.58918858733996171</v>
      </c>
      <c r="G55">
        <v>0.7018462223741071</v>
      </c>
      <c r="H55">
        <v>0.57515777206399288</v>
      </c>
    </row>
    <row r="56" spans="1:8">
      <c r="A56" s="1">
        <v>39336</v>
      </c>
      <c r="B56">
        <v>5.0481714011719836</v>
      </c>
      <c r="C56">
        <v>4.684344204132497</v>
      </c>
      <c r="D56">
        <v>513.34508315746712</v>
      </c>
      <c r="E56">
        <v>35.204769721896938</v>
      </c>
      <c r="F56">
        <v>0.53753867662815613</v>
      </c>
      <c r="G56">
        <v>0.60355927557141154</v>
      </c>
      <c r="H56">
        <v>0.60685343318349783</v>
      </c>
    </row>
    <row r="57" spans="1:8">
      <c r="A57" s="1">
        <v>39337</v>
      </c>
      <c r="B57">
        <v>4.4652673069173439</v>
      </c>
      <c r="C57">
        <v>4.1155498747008217</v>
      </c>
      <c r="D57">
        <v>520.74367749715975</v>
      </c>
      <c r="E57">
        <v>36.087773065868703</v>
      </c>
      <c r="F57">
        <v>0.4886827575696151</v>
      </c>
      <c r="G57">
        <v>0.57599669931294384</v>
      </c>
      <c r="H57">
        <v>0.59982893567373674</v>
      </c>
    </row>
    <row r="58" spans="1:8">
      <c r="A58" s="1">
        <v>39338</v>
      </c>
      <c r="B58">
        <v>4.1835776471143271</v>
      </c>
      <c r="C58">
        <v>3.6500660961584313</v>
      </c>
      <c r="D58">
        <v>523.13096162455111</v>
      </c>
      <c r="E58">
        <v>35.007736653853563</v>
      </c>
      <c r="F58">
        <v>0.46429630750982553</v>
      </c>
      <c r="G58">
        <v>0.56424301915139452</v>
      </c>
      <c r="H58">
        <v>0.81890522174116109</v>
      </c>
    </row>
    <row r="59" spans="1:8">
      <c r="A59" s="1">
        <v>39339</v>
      </c>
      <c r="B59">
        <v>3.4997966331880468</v>
      </c>
      <c r="C59">
        <v>4.4357767694660328</v>
      </c>
      <c r="D59">
        <v>527.31384931180708</v>
      </c>
      <c r="E59">
        <v>36.507903824806966</v>
      </c>
      <c r="F59">
        <v>0.49452231822240816</v>
      </c>
      <c r="G59">
        <v>0.60249500981746507</v>
      </c>
      <c r="H59">
        <v>0.69060048738517699</v>
      </c>
    </row>
    <row r="60" spans="1:8">
      <c r="A60" s="1">
        <v>39342</v>
      </c>
      <c r="B60">
        <v>4.4446886995964592</v>
      </c>
      <c r="C60">
        <v>3.805359564884315</v>
      </c>
      <c r="D60">
        <v>512.96135942059118</v>
      </c>
      <c r="E60">
        <v>34.674962341486889</v>
      </c>
      <c r="F60">
        <v>0.53758143800964386</v>
      </c>
      <c r="G60">
        <v>0.54543378783019314</v>
      </c>
      <c r="H60">
        <v>0.78022510288140168</v>
      </c>
    </row>
    <row r="61" spans="1:8">
      <c r="A61" s="1">
        <v>39343</v>
      </c>
      <c r="B61">
        <v>4.6314364779865613</v>
      </c>
      <c r="C61">
        <v>4.3794258758957927</v>
      </c>
      <c r="D61">
        <v>523.15118662818793</v>
      </c>
      <c r="E61">
        <v>36.869108188255858</v>
      </c>
      <c r="F61">
        <v>0.5653835669817372</v>
      </c>
      <c r="G61">
        <v>0.60494545867513305</v>
      </c>
      <c r="H61">
        <v>0.63335733696949081</v>
      </c>
    </row>
    <row r="62" spans="1:8">
      <c r="A62" s="1">
        <v>39344</v>
      </c>
      <c r="B62">
        <v>4.5541514822369757</v>
      </c>
      <c r="C62">
        <v>4.1689368794780775</v>
      </c>
      <c r="D62">
        <v>537.88559293176934</v>
      </c>
      <c r="E62">
        <v>37.462433338710198</v>
      </c>
      <c r="F62">
        <v>0.52541313767245257</v>
      </c>
      <c r="G62">
        <v>0.5422103356763841</v>
      </c>
      <c r="H62">
        <v>0.64398592540327226</v>
      </c>
    </row>
    <row r="63" spans="1:8">
      <c r="A63" s="1">
        <v>39345</v>
      </c>
      <c r="B63">
        <v>4.1236046238962896</v>
      </c>
      <c r="C63">
        <v>5.134771503873151</v>
      </c>
      <c r="D63">
        <v>532.2472706547685</v>
      </c>
      <c r="E63">
        <v>34.369551203292218</v>
      </c>
      <c r="F63">
        <v>0.54155953923364086</v>
      </c>
      <c r="G63">
        <v>0.55058611178677686</v>
      </c>
      <c r="H63">
        <v>0.61750733460637075</v>
      </c>
    </row>
    <row r="64" spans="1:8">
      <c r="A64" s="1">
        <v>39346</v>
      </c>
      <c r="B64">
        <v>4.0585089485782833</v>
      </c>
      <c r="C64">
        <v>4.8823837212941541</v>
      </c>
      <c r="D64">
        <v>522.04348060472546</v>
      </c>
      <c r="E64">
        <v>36.056053697585789</v>
      </c>
      <c r="F64">
        <v>0.61257268360451944</v>
      </c>
      <c r="G64">
        <v>0.55719079453715437</v>
      </c>
      <c r="H64">
        <v>0.71409805707964735</v>
      </c>
    </row>
    <row r="65" spans="1:8">
      <c r="A65" s="1">
        <v>39349</v>
      </c>
      <c r="B65">
        <v>2.8190736553170241</v>
      </c>
      <c r="C65">
        <v>4.4593392975056343</v>
      </c>
      <c r="D65">
        <v>520.09199299431816</v>
      </c>
      <c r="E65">
        <v>36.542902715825278</v>
      </c>
      <c r="F65">
        <v>0.46048755883888071</v>
      </c>
      <c r="G65">
        <v>0.58687949965596709</v>
      </c>
      <c r="H65">
        <v>0.73650832844945335</v>
      </c>
    </row>
    <row r="66" spans="1:8">
      <c r="A66" s="1">
        <v>39350</v>
      </c>
      <c r="B66">
        <v>4.2179443625696598</v>
      </c>
      <c r="C66">
        <v>4.016304092344642</v>
      </c>
      <c r="D66">
        <v>540.12883892343245</v>
      </c>
      <c r="E66">
        <v>31.639460356579985</v>
      </c>
      <c r="F66">
        <v>0.53601630988292837</v>
      </c>
      <c r="G66">
        <v>0.56532309674091952</v>
      </c>
      <c r="H66">
        <v>0.80981555684560003</v>
      </c>
    </row>
    <row r="67" spans="1:8">
      <c r="A67" s="1">
        <v>39351</v>
      </c>
      <c r="B67">
        <v>3.6777617710182025</v>
      </c>
      <c r="C67">
        <v>4.2296463771777884</v>
      </c>
      <c r="D67">
        <v>536.2664893358143</v>
      </c>
      <c r="E67">
        <v>37.977390000372033</v>
      </c>
      <c r="F67">
        <v>0.43339345131826801</v>
      </c>
      <c r="G67">
        <v>0.65782252432206634</v>
      </c>
      <c r="H67">
        <v>0.68466695192110194</v>
      </c>
    </row>
    <row r="68" spans="1:8">
      <c r="A68" s="1">
        <v>39352</v>
      </c>
      <c r="B68">
        <v>4.381282331477796</v>
      </c>
      <c r="C68">
        <v>4.0855539943558234</v>
      </c>
      <c r="D68">
        <v>518.09408162026887</v>
      </c>
      <c r="E68">
        <v>38.871389157128235</v>
      </c>
      <c r="F68">
        <v>0.52354175768596134</v>
      </c>
      <c r="G68">
        <v>0.56534802117900673</v>
      </c>
      <c r="H68">
        <v>0.72900820533228095</v>
      </c>
    </row>
    <row r="69" spans="1:8">
      <c r="A69" s="1">
        <v>39353</v>
      </c>
      <c r="B69">
        <v>3.2020589756444098</v>
      </c>
      <c r="C69">
        <v>4.4668011120166486</v>
      </c>
      <c r="D69">
        <v>521.06811410363935</v>
      </c>
      <c r="E69">
        <v>38.177538871691119</v>
      </c>
      <c r="F69">
        <v>0.47360359616146075</v>
      </c>
      <c r="G69">
        <v>0.62810873451989513</v>
      </c>
      <c r="H69">
        <v>0.76846972205511921</v>
      </c>
    </row>
    <row r="70" spans="1:8">
      <c r="A70" s="1">
        <v>39356</v>
      </c>
      <c r="B70">
        <v>4.4008746108453165</v>
      </c>
      <c r="C70">
        <v>4.3358195889948901</v>
      </c>
      <c r="D70">
        <v>519.63760474574099</v>
      </c>
      <c r="E70">
        <v>36.619308886075032</v>
      </c>
      <c r="F70">
        <v>0.45280076501080052</v>
      </c>
      <c r="G70">
        <v>0.65766067986430043</v>
      </c>
      <c r="H70">
        <v>0.70148590797407973</v>
      </c>
    </row>
    <row r="71" spans="1:8">
      <c r="A71" s="1">
        <v>39357</v>
      </c>
      <c r="B71">
        <v>4.4469619061244483</v>
      </c>
      <c r="C71">
        <v>4.2216488878986178</v>
      </c>
      <c r="D71">
        <v>505.17360342139176</v>
      </c>
      <c r="E71">
        <v>34.214608536746645</v>
      </c>
      <c r="F71">
        <v>0.50042235143310265</v>
      </c>
      <c r="G71">
        <v>0.68595047903469331</v>
      </c>
      <c r="H71">
        <v>0.69626816088693089</v>
      </c>
    </row>
    <row r="72" spans="1:8">
      <c r="A72" s="1">
        <v>39358</v>
      </c>
      <c r="B72">
        <v>4.6231339892326764</v>
      </c>
      <c r="C72">
        <v>4.0603607133985911</v>
      </c>
      <c r="D72">
        <v>507.72189019385485</v>
      </c>
      <c r="E72">
        <v>35.22310243127037</v>
      </c>
      <c r="F72">
        <v>0.4812158278845563</v>
      </c>
      <c r="G72">
        <v>0.57158768316299025</v>
      </c>
      <c r="H72">
        <v>0.72549463103949474</v>
      </c>
    </row>
    <row r="73" spans="1:8">
      <c r="A73" s="1">
        <v>39359</v>
      </c>
      <c r="B73">
        <v>3.9522850395450631</v>
      </c>
      <c r="C73">
        <v>3.5561653275405862</v>
      </c>
      <c r="D73">
        <v>517.31698614699565</v>
      </c>
      <c r="E73">
        <v>36.026182457142042</v>
      </c>
      <c r="F73">
        <v>0.41105979201801812</v>
      </c>
      <c r="G73">
        <v>0.59945172990912432</v>
      </c>
      <c r="H73">
        <v>0.56826593914917256</v>
      </c>
    </row>
    <row r="74" spans="1:8">
      <c r="A74" s="1">
        <v>39360</v>
      </c>
      <c r="B74">
        <v>4.3787760163678193</v>
      </c>
      <c r="C74">
        <v>4.679924180204269</v>
      </c>
      <c r="D74">
        <v>525.43073217534254</v>
      </c>
      <c r="E74">
        <v>37.234504262236491</v>
      </c>
      <c r="F74">
        <v>0.54648502772859364</v>
      </c>
      <c r="G74">
        <v>0.47132626438601866</v>
      </c>
      <c r="H74">
        <v>0.65913819648823047</v>
      </c>
    </row>
    <row r="75" spans="1:8">
      <c r="A75" s="1">
        <v>39363</v>
      </c>
      <c r="B75">
        <v>4.351385209067586</v>
      </c>
      <c r="C75">
        <v>5.1608128093802916</v>
      </c>
      <c r="D75">
        <v>530.58644878684322</v>
      </c>
      <c r="E75">
        <v>38.593047701854488</v>
      </c>
      <c r="F75">
        <v>0.49351730054096865</v>
      </c>
      <c r="G75">
        <v>0.6325812341784145</v>
      </c>
      <c r="H75">
        <v>0.73116634996798513</v>
      </c>
    </row>
    <row r="76" spans="1:8">
      <c r="A76" s="1">
        <v>39364</v>
      </c>
      <c r="B76">
        <v>3.3517765707619631</v>
      </c>
      <c r="C76">
        <v>4.7853498867293105</v>
      </c>
      <c r="D76">
        <v>526.84773178507248</v>
      </c>
      <c r="E76">
        <v>34.409934910960267</v>
      </c>
      <c r="F76">
        <v>0.54148947725840102</v>
      </c>
      <c r="G76">
        <v>0.49642438650671039</v>
      </c>
      <c r="H76">
        <v>0.59347036973559941</v>
      </c>
    </row>
    <row r="77" spans="1:8">
      <c r="A77" s="1">
        <v>39365</v>
      </c>
      <c r="B77">
        <v>4.3950863797218842</v>
      </c>
      <c r="C77">
        <v>4.1577917019168336</v>
      </c>
      <c r="D77">
        <v>537.28883621502587</v>
      </c>
      <c r="E77">
        <v>35.67763258727706</v>
      </c>
      <c r="F77">
        <v>0.53739258739611517</v>
      </c>
      <c r="G77">
        <v>0.6064975769900075</v>
      </c>
      <c r="H77">
        <v>0.71750896420076149</v>
      </c>
    </row>
    <row r="78" spans="1:8">
      <c r="A78" s="1">
        <v>39366</v>
      </c>
      <c r="B78">
        <v>4.4157325010510045</v>
      </c>
      <c r="C78">
        <v>5.1853254012712267</v>
      </c>
      <c r="D78">
        <v>510.95755783295709</v>
      </c>
      <c r="E78">
        <v>36.361235403707774</v>
      </c>
      <c r="F78">
        <v>0.48869026390274189</v>
      </c>
      <c r="G78">
        <v>0.63272301957380717</v>
      </c>
      <c r="H78">
        <v>0.54555720923679207</v>
      </c>
    </row>
    <row r="79" spans="1:8">
      <c r="A79" s="1">
        <v>39367</v>
      </c>
      <c r="B79">
        <v>4.752476150415804</v>
      </c>
      <c r="C79">
        <v>4.637219509896898</v>
      </c>
      <c r="D79">
        <v>524.42784001604173</v>
      </c>
      <c r="E79">
        <v>34.51844114678088</v>
      </c>
      <c r="F79">
        <v>0.55262634621137363</v>
      </c>
      <c r="G79">
        <v>0.51738778817202491</v>
      </c>
      <c r="H79">
        <v>0.53232433497335641</v>
      </c>
    </row>
    <row r="80" spans="1:8">
      <c r="A80" s="1">
        <v>39370</v>
      </c>
      <c r="B80">
        <v>4.9434695434027809</v>
      </c>
      <c r="C80">
        <v>3.4092165139841137</v>
      </c>
      <c r="D80">
        <v>513.24489245494237</v>
      </c>
      <c r="E80">
        <v>32.964519277322864</v>
      </c>
      <c r="F80">
        <v>0.46055956210172755</v>
      </c>
      <c r="G80">
        <v>0.63890390752735648</v>
      </c>
      <c r="H80">
        <v>0.68274182564445085</v>
      </c>
    </row>
    <row r="81" spans="1:8">
      <c r="A81" s="1">
        <v>39371</v>
      </c>
      <c r="B81">
        <v>4.7043466723239202</v>
      </c>
      <c r="C81">
        <v>5.0997400092520406</v>
      </c>
      <c r="D81">
        <v>510.54982754314813</v>
      </c>
      <c r="E81">
        <v>38.843388877012586</v>
      </c>
      <c r="F81">
        <v>0.48699640491058449</v>
      </c>
      <c r="G81">
        <v>0.5511139951109234</v>
      </c>
      <c r="H81">
        <v>0.60051872613142165</v>
      </c>
    </row>
    <row r="82" spans="1:8">
      <c r="A82" s="1">
        <v>39372</v>
      </c>
      <c r="B82">
        <v>4.3927776758021855</v>
      </c>
      <c r="C82">
        <v>5.4510626964180684</v>
      </c>
      <c r="D82">
        <v>500.65524021553216</v>
      </c>
      <c r="E82">
        <v>36.197863612777248</v>
      </c>
      <c r="F82">
        <v>0.48732366332106164</v>
      </c>
      <c r="G82">
        <v>0.66699020643804552</v>
      </c>
      <c r="H82">
        <v>0.74041091915695234</v>
      </c>
    </row>
    <row r="83" spans="1:8">
      <c r="A83" s="1">
        <v>39373</v>
      </c>
      <c r="B83">
        <v>4.3161099837217485</v>
      </c>
      <c r="C83">
        <v>4.3136985346582701</v>
      </c>
      <c r="D83">
        <v>526.30764188086027</v>
      </c>
      <c r="E83">
        <v>31.903766033590831</v>
      </c>
      <c r="F83">
        <v>0.58246873381903086</v>
      </c>
      <c r="G83">
        <v>0.61436330879180101</v>
      </c>
      <c r="H83">
        <v>0.62701596403688442</v>
      </c>
    </row>
    <row r="84" spans="1:8">
      <c r="A84" s="1">
        <v>39374</v>
      </c>
      <c r="B84">
        <v>5.479067525528647</v>
      </c>
      <c r="C84">
        <v>4.2259478130666359</v>
      </c>
      <c r="D84">
        <v>503.27772887100986</v>
      </c>
      <c r="E84">
        <v>34.700299074557918</v>
      </c>
      <c r="F84">
        <v>0.43107375768569034</v>
      </c>
      <c r="G84">
        <v>0.522912383185408</v>
      </c>
      <c r="H84">
        <v>0.65260568774952032</v>
      </c>
    </row>
    <row r="85" spans="1:8">
      <c r="A85" s="1">
        <v>39377</v>
      </c>
      <c r="B85">
        <v>4.2541751124679577</v>
      </c>
      <c r="C85">
        <v>3.8307633163199992</v>
      </c>
      <c r="D85">
        <v>524.50718710051979</v>
      </c>
      <c r="E85">
        <v>36.785113066407</v>
      </c>
      <c r="F85">
        <v>0.44877718396981386</v>
      </c>
      <c r="G85">
        <v>0.54372581186973046</v>
      </c>
      <c r="H85">
        <v>0.59582593998037536</v>
      </c>
    </row>
    <row r="86" spans="1:8">
      <c r="A86" s="1">
        <v>39378</v>
      </c>
      <c r="B86">
        <v>3.0247695913029724</v>
      </c>
      <c r="C86">
        <v>5.3598350569616278</v>
      </c>
      <c r="D86">
        <v>515.36175151013708</v>
      </c>
      <c r="E86">
        <v>32.663660020704327</v>
      </c>
      <c r="F86">
        <v>0.41760107111561773</v>
      </c>
      <c r="G86">
        <v>0.57723581900392362</v>
      </c>
      <c r="H86">
        <v>0.75029604059785882</v>
      </c>
    </row>
    <row r="87" spans="1:8">
      <c r="A87" s="1">
        <v>39379</v>
      </c>
      <c r="B87">
        <v>4.2600086406211757</v>
      </c>
      <c r="C87">
        <v>4.1244860609755705</v>
      </c>
      <c r="D87">
        <v>517.14969430926703</v>
      </c>
      <c r="E87">
        <v>33.753214450807342</v>
      </c>
      <c r="F87">
        <v>0.43728514150129938</v>
      </c>
      <c r="G87">
        <v>0.55109184175576587</v>
      </c>
      <c r="H87">
        <v>0.57912259004585454</v>
      </c>
    </row>
    <row r="88" spans="1:8">
      <c r="A88" s="1">
        <v>39380</v>
      </c>
      <c r="B88">
        <v>4.3488719302375269</v>
      </c>
      <c r="C88">
        <v>4.8605433314149913</v>
      </c>
      <c r="D88">
        <v>520.48882112331125</v>
      </c>
      <c r="E88">
        <v>35.576750546470514</v>
      </c>
      <c r="F88">
        <v>0.52893557971654837</v>
      </c>
      <c r="G88">
        <v>0.65749177925733093</v>
      </c>
      <c r="H88">
        <v>0.63583528497203179</v>
      </c>
    </row>
    <row r="89" spans="1:8">
      <c r="A89" s="1">
        <v>39381</v>
      </c>
      <c r="B89">
        <v>3.0723485190497941</v>
      </c>
      <c r="C89">
        <v>4.2008080784468547</v>
      </c>
      <c r="D89">
        <v>514.41442644072208</v>
      </c>
      <c r="E89">
        <v>35.935791902463038</v>
      </c>
      <c r="F89">
        <v>0.49879232137084739</v>
      </c>
      <c r="G89">
        <v>0.57543469644504175</v>
      </c>
      <c r="H89">
        <v>0.69393454346709726</v>
      </c>
    </row>
    <row r="90" spans="1:8">
      <c r="A90" s="1">
        <v>39384</v>
      </c>
      <c r="B90">
        <v>4.4170655565920649</v>
      </c>
      <c r="C90">
        <v>4.3787031670656571</v>
      </c>
      <c r="D90">
        <v>521.35320758712373</v>
      </c>
      <c r="E90">
        <v>39.852168698482494</v>
      </c>
      <c r="F90">
        <v>0.55728436068582865</v>
      </c>
      <c r="G90">
        <v>0.63893086086202922</v>
      </c>
      <c r="H90">
        <v>0.67036342483830857</v>
      </c>
    </row>
    <row r="91" spans="1:8">
      <c r="A91" s="1">
        <v>39385</v>
      </c>
      <c r="B91">
        <v>5.5547964864146238</v>
      </c>
      <c r="C91">
        <v>4.5365240820539681</v>
      </c>
      <c r="D91">
        <v>525.47126336773511</v>
      </c>
      <c r="E91">
        <v>33.369281534794361</v>
      </c>
      <c r="F91">
        <v>0.4467918008264401</v>
      </c>
      <c r="G91">
        <v>0.64087224474624904</v>
      </c>
      <c r="H91">
        <v>0.59582398201859343</v>
      </c>
    </row>
    <row r="92" spans="1:8">
      <c r="A92" s="1">
        <v>39386</v>
      </c>
      <c r="B92">
        <v>5.2088281336797788</v>
      </c>
      <c r="C92">
        <v>5.3451212398651844</v>
      </c>
      <c r="D92">
        <v>524.92422847234855</v>
      </c>
      <c r="E92">
        <v>37.288061425361455</v>
      </c>
      <c r="F92">
        <v>0.5765355600803429</v>
      </c>
      <c r="G92">
        <v>0.53436205376436152</v>
      </c>
      <c r="H92">
        <v>0.70505359024678715</v>
      </c>
    </row>
    <row r="93" spans="1:8">
      <c r="A93" s="1">
        <v>39387</v>
      </c>
      <c r="B93">
        <v>4.7235416888975381</v>
      </c>
      <c r="C93">
        <v>5.3510936797794937</v>
      </c>
      <c r="D93">
        <v>522.20713424205326</v>
      </c>
      <c r="E93">
        <v>31.650322904748691</v>
      </c>
      <c r="F93">
        <v>0.47165549398532824</v>
      </c>
      <c r="G93">
        <v>0.70703453794568316</v>
      </c>
      <c r="H93">
        <v>0.71655958720032342</v>
      </c>
    </row>
    <row r="94" spans="1:8">
      <c r="A94" s="1">
        <v>39388</v>
      </c>
      <c r="B94">
        <v>4.3507517613049744</v>
      </c>
      <c r="C94">
        <v>4.0219262855958293</v>
      </c>
      <c r="D94">
        <v>515.64888691324416</v>
      </c>
      <c r="E94">
        <v>36.620235715193715</v>
      </c>
      <c r="F94">
        <v>0.5426997128534865</v>
      </c>
      <c r="G94">
        <v>0.62929018313920182</v>
      </c>
      <c r="H94">
        <v>0.56452031339318087</v>
      </c>
    </row>
    <row r="95" spans="1:8">
      <c r="A95" s="1">
        <v>39391</v>
      </c>
      <c r="B95">
        <v>4.0874700492914053</v>
      </c>
      <c r="C95">
        <v>4.3321800290488941</v>
      </c>
      <c r="D95">
        <v>536.10897363457173</v>
      </c>
      <c r="E95">
        <v>36.937532840536861</v>
      </c>
      <c r="F95">
        <v>0.45267059056818698</v>
      </c>
      <c r="G95">
        <v>0.64123321672756495</v>
      </c>
      <c r="H95">
        <v>0.62064469010959655</v>
      </c>
    </row>
    <row r="96" spans="1:8">
      <c r="A96" s="1">
        <v>39392</v>
      </c>
      <c r="B96">
        <v>3.4784429266519221</v>
      </c>
      <c r="C96">
        <v>5.0475172866436946</v>
      </c>
      <c r="D96">
        <v>517.28006995164219</v>
      </c>
      <c r="E96">
        <v>35.88745871101618</v>
      </c>
      <c r="F96">
        <v>0.52976539916717813</v>
      </c>
      <c r="G96">
        <v>0.63109158054966186</v>
      </c>
      <c r="H96">
        <v>0.6579399015138323</v>
      </c>
    </row>
    <row r="97" spans="1:8">
      <c r="A97" s="1">
        <v>39393</v>
      </c>
      <c r="B97">
        <v>4.4862457066966339</v>
      </c>
      <c r="C97">
        <v>5.0561043441712297</v>
      </c>
      <c r="D97">
        <v>528.99225924456107</v>
      </c>
      <c r="E97">
        <v>35.4569154449905</v>
      </c>
      <c r="F97">
        <v>0.50552381092223198</v>
      </c>
      <c r="G97">
        <v>0.53323021734181519</v>
      </c>
      <c r="H97">
        <v>0.80712761906711039</v>
      </c>
    </row>
    <row r="98" spans="1:8">
      <c r="A98" s="1">
        <v>39394</v>
      </c>
      <c r="B98">
        <v>4.3815335637175687</v>
      </c>
      <c r="C98">
        <v>4.3635322043470719</v>
      </c>
      <c r="D98">
        <v>517.42304384379247</v>
      </c>
      <c r="E98">
        <v>37.518331065102508</v>
      </c>
      <c r="F98">
        <v>0.54813192089750151</v>
      </c>
      <c r="G98">
        <v>0.5363936102118122</v>
      </c>
      <c r="H98">
        <v>0.66501997702848936</v>
      </c>
    </row>
    <row r="99" spans="1:8">
      <c r="A99" s="1">
        <v>39395</v>
      </c>
      <c r="B99">
        <v>4.6279528669825556</v>
      </c>
      <c r="C99">
        <v>4.1760466906598523</v>
      </c>
      <c r="D99">
        <v>529.04843127843753</v>
      </c>
      <c r="E99">
        <v>34.582564281722448</v>
      </c>
      <c r="F99">
        <v>0.5038924633315125</v>
      </c>
      <c r="G99">
        <v>0.51220810879034684</v>
      </c>
      <c r="H99">
        <v>0.67404198932063919</v>
      </c>
    </row>
    <row r="100" spans="1:8">
      <c r="A100" s="1">
        <v>39398</v>
      </c>
      <c r="B100">
        <v>3.7109715468540561</v>
      </c>
      <c r="C100">
        <v>5.2977957163801879</v>
      </c>
      <c r="D100">
        <v>531.81967408169714</v>
      </c>
      <c r="E100">
        <v>35.781815410833232</v>
      </c>
      <c r="F100">
        <v>0.45184890619608475</v>
      </c>
      <c r="G100">
        <v>0.56936149385563128</v>
      </c>
      <c r="H100">
        <v>0.64958644984708769</v>
      </c>
    </row>
    <row r="101" spans="1:8">
      <c r="A101" s="1">
        <v>39399</v>
      </c>
      <c r="B101">
        <v>2.9310958055595244</v>
      </c>
      <c r="C101">
        <v>4.04623505659091</v>
      </c>
      <c r="D101">
        <v>533.5889314917589</v>
      </c>
      <c r="E101">
        <v>33.048725447314801</v>
      </c>
      <c r="F101">
        <v>0.55633156480804613</v>
      </c>
      <c r="G101">
        <v>0.65132669508241647</v>
      </c>
      <c r="H101">
        <v>0.67080640234993105</v>
      </c>
    </row>
    <row r="102" spans="1:8">
      <c r="A102" s="1">
        <v>39400</v>
      </c>
      <c r="B102">
        <v>3.6352707108682574</v>
      </c>
      <c r="C102">
        <v>4.5470400127087638</v>
      </c>
      <c r="D102">
        <v>526.73029310842708</v>
      </c>
      <c r="E102">
        <v>32.437144607131579</v>
      </c>
      <c r="F102">
        <v>0.63438902295291277</v>
      </c>
      <c r="G102">
        <v>0.66778202621940075</v>
      </c>
      <c r="H102">
        <v>0.73289001896383854</v>
      </c>
    </row>
    <row r="103" spans="1:8">
      <c r="A103" s="1">
        <v>39401</v>
      </c>
      <c r="B103">
        <v>5.0856635637259799</v>
      </c>
      <c r="C103">
        <v>4.1560200676243468</v>
      </c>
      <c r="D103">
        <v>523.40289081823187</v>
      </c>
      <c r="E103">
        <v>36.01280346098423</v>
      </c>
      <c r="F103">
        <v>0.53579149864691877</v>
      </c>
      <c r="G103">
        <v>0.61872146215752188</v>
      </c>
      <c r="H103">
        <v>0.64881385215964948</v>
      </c>
    </row>
    <row r="104" spans="1:8">
      <c r="A104" s="1">
        <v>39402</v>
      </c>
      <c r="B104">
        <v>4.1589934438127099</v>
      </c>
      <c r="C104">
        <v>5.0485780239554634</v>
      </c>
      <c r="D104">
        <v>518.93351635077624</v>
      </c>
      <c r="E104">
        <v>35.871119803578878</v>
      </c>
      <c r="F104">
        <v>0.45512629667343241</v>
      </c>
      <c r="G104">
        <v>0.70593990364224579</v>
      </c>
      <c r="H104">
        <v>0.66536025510945895</v>
      </c>
    </row>
    <row r="105" spans="1:8">
      <c r="A105" s="1">
        <v>39405</v>
      </c>
      <c r="B105">
        <v>5.326686310582275</v>
      </c>
      <c r="C105">
        <v>4.6451475226880641</v>
      </c>
      <c r="D105">
        <v>507.81466802024062</v>
      </c>
      <c r="E105">
        <v>37.77879319883673</v>
      </c>
      <c r="F105">
        <v>0.50407840293025885</v>
      </c>
      <c r="G105">
        <v>0.57676980713442083</v>
      </c>
      <c r="H105">
        <v>0.68673858651997677</v>
      </c>
    </row>
    <row r="106" spans="1:8">
      <c r="A106" s="1">
        <v>39406</v>
      </c>
      <c r="B106">
        <v>5.493933520052896</v>
      </c>
      <c r="C106">
        <v>4.1413731519077395</v>
      </c>
      <c r="D106">
        <v>524.46018700972547</v>
      </c>
      <c r="E106">
        <v>32.114757632959723</v>
      </c>
      <c r="F106">
        <v>0.46567078415265445</v>
      </c>
      <c r="G106">
        <v>0.50087733504885934</v>
      </c>
      <c r="H106">
        <v>0.76482467988137282</v>
      </c>
    </row>
    <row r="107" spans="1:8">
      <c r="A107" s="1">
        <v>39407</v>
      </c>
      <c r="B107">
        <v>4.8667343315028244</v>
      </c>
      <c r="C107">
        <v>3.8781283583687962</v>
      </c>
      <c r="D107">
        <v>511.0350049060815</v>
      </c>
      <c r="E107">
        <v>32.990193735683377</v>
      </c>
      <c r="F107">
        <v>0.49969892579227515</v>
      </c>
      <c r="G107">
        <v>0.54939126171922403</v>
      </c>
      <c r="H107">
        <v>0.72246547800817718</v>
      </c>
    </row>
    <row r="108" spans="1:8">
      <c r="A108" s="1">
        <v>39408</v>
      </c>
      <c r="B108">
        <v>4.9382011037205364</v>
      </c>
      <c r="C108">
        <v>3.8824555677064816</v>
      </c>
      <c r="D108">
        <v>512.82183548062983</v>
      </c>
      <c r="E108">
        <v>38.919572057281215</v>
      </c>
      <c r="F108">
        <v>0.53990910610529641</v>
      </c>
      <c r="G108">
        <v>0.71985999945926404</v>
      </c>
      <c r="H108">
        <v>0.74778493295752946</v>
      </c>
    </row>
    <row r="109" spans="1:8">
      <c r="A109" s="1">
        <v>39409</v>
      </c>
      <c r="B109">
        <v>3.6481012256666112</v>
      </c>
      <c r="C109">
        <v>3.6365053405179353</v>
      </c>
      <c r="D109">
        <v>508.17742911314099</v>
      </c>
      <c r="E109">
        <v>33.570522570556591</v>
      </c>
      <c r="F109">
        <v>0.49027229852333698</v>
      </c>
      <c r="G109">
        <v>0.49434446184695158</v>
      </c>
      <c r="H109">
        <v>0.66518214364205486</v>
      </c>
    </row>
    <row r="110" spans="1:8">
      <c r="A110" s="1">
        <v>39412</v>
      </c>
      <c r="B110">
        <v>3.0544713714263056</v>
      </c>
      <c r="C110">
        <v>4.2812841986771675</v>
      </c>
      <c r="D110">
        <v>531.98906518296087</v>
      </c>
      <c r="E110">
        <v>33.701149075922331</v>
      </c>
      <c r="F110">
        <v>0.51186271152594409</v>
      </c>
      <c r="G110">
        <v>0.65486747507266208</v>
      </c>
      <c r="H110">
        <v>0.60359836405522571</v>
      </c>
    </row>
    <row r="111" spans="1:8">
      <c r="A111" s="1">
        <v>39413</v>
      </c>
      <c r="B111">
        <v>3.9589967456122017</v>
      </c>
      <c r="C111">
        <v>5.5681882909485285</v>
      </c>
      <c r="D111">
        <v>515.93919471522906</v>
      </c>
      <c r="E111">
        <v>35.893820498689188</v>
      </c>
      <c r="F111">
        <v>0.50340845469171425</v>
      </c>
      <c r="G111">
        <v>0.60543488385712907</v>
      </c>
      <c r="H111">
        <v>0.58096988922440918</v>
      </c>
    </row>
    <row r="112" spans="1:8">
      <c r="A112" s="1">
        <v>39414</v>
      </c>
      <c r="B112">
        <v>3.2612340262504729</v>
      </c>
      <c r="C112">
        <v>5.1583168702059705</v>
      </c>
      <c r="D112">
        <v>515.10657395515636</v>
      </c>
      <c r="E112">
        <v>37.261775851271153</v>
      </c>
      <c r="F112">
        <v>0.4629029417241225</v>
      </c>
      <c r="G112">
        <v>0.58287111981401518</v>
      </c>
      <c r="H112">
        <v>0.63536634099880474</v>
      </c>
    </row>
    <row r="113" spans="1:8">
      <c r="A113" s="1">
        <v>39415</v>
      </c>
      <c r="B113">
        <v>4.9943740505283101</v>
      </c>
      <c r="C113">
        <v>4.7134420351058894</v>
      </c>
      <c r="D113">
        <v>533.54353468270938</v>
      </c>
      <c r="E113">
        <v>33.419755958445421</v>
      </c>
      <c r="F113">
        <v>0.48644859706803023</v>
      </c>
      <c r="G113">
        <v>0.51337963803682096</v>
      </c>
      <c r="H113">
        <v>0.73622311949302732</v>
      </c>
    </row>
    <row r="114" spans="1:8">
      <c r="A114" s="1">
        <v>39416</v>
      </c>
      <c r="B114">
        <v>4.0513834232035748</v>
      </c>
      <c r="C114">
        <v>5.3953367755175368</v>
      </c>
      <c r="D114">
        <v>531.607670131281</v>
      </c>
      <c r="E114">
        <v>36.093931049142718</v>
      </c>
      <c r="F114">
        <v>0.60767864191424137</v>
      </c>
      <c r="G114">
        <v>0.53445104670572219</v>
      </c>
      <c r="H114">
        <v>0.6525511443263563</v>
      </c>
    </row>
    <row r="115" spans="1:8">
      <c r="A115" s="1">
        <v>39419</v>
      </c>
      <c r="B115">
        <v>4.1468520658945911</v>
      </c>
      <c r="C115">
        <v>4.7389593877489062</v>
      </c>
      <c r="D115">
        <v>505.89790012212694</v>
      </c>
      <c r="E115">
        <v>34.513344281579769</v>
      </c>
      <c r="F115">
        <v>0.50991244064570618</v>
      </c>
      <c r="G115">
        <v>0.63346558495352079</v>
      </c>
      <c r="H115">
        <v>0.66157556702897391</v>
      </c>
    </row>
    <row r="116" spans="1:8">
      <c r="A116" s="1">
        <v>39420</v>
      </c>
      <c r="B116">
        <v>4.2272709348992787</v>
      </c>
      <c r="C116">
        <v>5.0591089655954136</v>
      </c>
      <c r="D116">
        <v>529.79953538933034</v>
      </c>
      <c r="E116">
        <v>35.19107127360914</v>
      </c>
      <c r="F116">
        <v>0.48403040756216886</v>
      </c>
      <c r="G116">
        <v>0.51163794660306505</v>
      </c>
      <c r="H116">
        <v>0.65040003628845389</v>
      </c>
    </row>
    <row r="117" spans="1:8">
      <c r="A117" s="1">
        <v>39421</v>
      </c>
      <c r="B117">
        <v>3.9671949724284135</v>
      </c>
      <c r="C117">
        <v>5.5484415394309323</v>
      </c>
      <c r="D117">
        <v>528.61607532171593</v>
      </c>
      <c r="E117">
        <v>35.267902627929885</v>
      </c>
      <c r="F117">
        <v>0.52079387489238793</v>
      </c>
      <c r="G117">
        <v>0.63982067653000496</v>
      </c>
      <c r="H117">
        <v>0.61054196090433077</v>
      </c>
    </row>
    <row r="118" spans="1:8">
      <c r="A118" s="1">
        <v>39422</v>
      </c>
      <c r="B118">
        <v>4.6138932410045204</v>
      </c>
      <c r="C118">
        <v>4.1544710898463819</v>
      </c>
      <c r="D118">
        <v>523.08314422068872</v>
      </c>
      <c r="E118">
        <v>35.17528247415661</v>
      </c>
      <c r="F118">
        <v>0.61065272907727075</v>
      </c>
      <c r="G118">
        <v>0.58285667193747948</v>
      </c>
      <c r="H118">
        <v>0.74354928339029713</v>
      </c>
    </row>
    <row r="119" spans="1:8">
      <c r="A119" s="1">
        <v>39423</v>
      </c>
      <c r="B119">
        <v>4.982471048712922</v>
      </c>
      <c r="C119">
        <v>4.5097637464582743</v>
      </c>
      <c r="D119">
        <v>525.33299531242415</v>
      </c>
      <c r="E119">
        <v>34.845973906945552</v>
      </c>
      <c r="F119">
        <v>0.46097244129855902</v>
      </c>
      <c r="G119">
        <v>0.69344387399850449</v>
      </c>
      <c r="H119">
        <v>0.68993234402109405</v>
      </c>
    </row>
    <row r="120" spans="1:8">
      <c r="A120" s="1">
        <v>39426</v>
      </c>
      <c r="B120">
        <v>3.7408450747785125</v>
      </c>
      <c r="C120">
        <v>3.468297449825271</v>
      </c>
      <c r="D120">
        <v>520.52135173370175</v>
      </c>
      <c r="E120">
        <v>35.675213765333758</v>
      </c>
      <c r="F120">
        <v>0.56565567810165585</v>
      </c>
      <c r="G120">
        <v>0.54349375295927849</v>
      </c>
      <c r="H120">
        <v>0.67422444177685348</v>
      </c>
    </row>
    <row r="121" spans="1:8">
      <c r="A121" s="1">
        <v>39427</v>
      </c>
      <c r="B121">
        <v>4.2907352798845206</v>
      </c>
      <c r="C121">
        <v>4.0377007122681494</v>
      </c>
      <c r="D121">
        <v>528.18845357052157</v>
      </c>
      <c r="E121">
        <v>36.350682089155711</v>
      </c>
      <c r="F121">
        <v>0.58672825239362925</v>
      </c>
      <c r="G121">
        <v>0.60287984989184118</v>
      </c>
      <c r="H121">
        <v>0.6013626952336929</v>
      </c>
    </row>
    <row r="122" spans="1:8">
      <c r="A122" s="1">
        <v>39428</v>
      </c>
      <c r="B122">
        <v>3.5579586073686107</v>
      </c>
      <c r="C122">
        <v>4.4262843337053601</v>
      </c>
      <c r="D122">
        <v>543.23214577777662</v>
      </c>
      <c r="E122">
        <v>32.946771757570353</v>
      </c>
      <c r="F122">
        <v>0.59600093160124001</v>
      </c>
      <c r="G122">
        <v>0.59468139723296831</v>
      </c>
      <c r="H122">
        <v>0.67255543633237169</v>
      </c>
    </row>
    <row r="123" spans="1:8">
      <c r="A123" s="1">
        <v>39429</v>
      </c>
      <c r="B123">
        <v>5.2306595715708539</v>
      </c>
      <c r="C123">
        <v>3.988561917997854</v>
      </c>
      <c r="D123">
        <v>513.82869071503205</v>
      </c>
      <c r="E123">
        <v>35.940659924730177</v>
      </c>
      <c r="F123">
        <v>0.52072030947473247</v>
      </c>
      <c r="G123">
        <v>0.65500189628059446</v>
      </c>
      <c r="H123">
        <v>0.76681783371521284</v>
      </c>
    </row>
    <row r="124" spans="1:8">
      <c r="A124" s="1">
        <v>39430</v>
      </c>
      <c r="B124">
        <v>3.0475728774072683</v>
      </c>
      <c r="C124">
        <v>4.9028705979906144</v>
      </c>
      <c r="D124">
        <v>522.77241819357653</v>
      </c>
      <c r="E124">
        <v>38.576572890703076</v>
      </c>
      <c r="F124">
        <v>0.51239205782484598</v>
      </c>
      <c r="G124">
        <v>0.638440732820859</v>
      </c>
      <c r="H124">
        <v>0.62947322542180872</v>
      </c>
    </row>
    <row r="125" spans="1:8">
      <c r="A125" s="1">
        <v>39433</v>
      </c>
      <c r="B125">
        <v>4.8392039895743872</v>
      </c>
      <c r="C125">
        <v>4.1010687428568762</v>
      </c>
      <c r="D125">
        <v>532.51643351919734</v>
      </c>
      <c r="E125">
        <v>33.577844065040765</v>
      </c>
      <c r="F125">
        <v>0.48787972360392173</v>
      </c>
      <c r="G125">
        <v>0.60420494964497518</v>
      </c>
      <c r="H125">
        <v>0.76040421240261946</v>
      </c>
    </row>
    <row r="126" spans="1:8">
      <c r="A126" s="1">
        <v>39434</v>
      </c>
      <c r="B126">
        <v>3.84072991833319</v>
      </c>
      <c r="C126">
        <v>4.1458675412094452</v>
      </c>
      <c r="D126">
        <v>520.62189714518422</v>
      </c>
      <c r="E126">
        <v>34.273819863802274</v>
      </c>
      <c r="F126">
        <v>0.55148269819278017</v>
      </c>
      <c r="G126">
        <v>0.55120222929245322</v>
      </c>
      <c r="H126">
        <v>0.68472279797761437</v>
      </c>
    </row>
    <row r="127" spans="1:8">
      <c r="A127" s="1">
        <v>39435</v>
      </c>
      <c r="B127">
        <v>4.1132704762056118</v>
      </c>
      <c r="C127">
        <v>4.1488696327759156</v>
      </c>
      <c r="D127">
        <v>526.20599485945434</v>
      </c>
      <c r="E127">
        <v>35.04117491915305</v>
      </c>
      <c r="F127">
        <v>0.55354162357783432</v>
      </c>
      <c r="G127">
        <v>0.60937351254757688</v>
      </c>
      <c r="H127">
        <v>0.60986117130389617</v>
      </c>
    </row>
    <row r="128" spans="1:8">
      <c r="A128" s="1">
        <v>39436</v>
      </c>
      <c r="B128">
        <v>3.6174673064973297</v>
      </c>
      <c r="C128">
        <v>4.1962611955232099</v>
      </c>
      <c r="D128">
        <v>517.04493262395727</v>
      </c>
      <c r="E128">
        <v>38.780175946295344</v>
      </c>
      <c r="F128">
        <v>0.4172859077751031</v>
      </c>
      <c r="G128">
        <v>0.63637250526925282</v>
      </c>
      <c r="H128">
        <v>0.6859090567041497</v>
      </c>
    </row>
    <row r="129" spans="1:8">
      <c r="A129" s="1">
        <v>39437</v>
      </c>
      <c r="B129">
        <v>3.6912740031543345</v>
      </c>
      <c r="C129">
        <v>3.527665457886592</v>
      </c>
      <c r="D129">
        <v>525.64383161138835</v>
      </c>
      <c r="E129">
        <v>32.768439329408231</v>
      </c>
      <c r="F129">
        <v>0.52289731559039765</v>
      </c>
      <c r="G129">
        <v>0.558736393453519</v>
      </c>
      <c r="H129">
        <v>0.75417701102379286</v>
      </c>
    </row>
    <row r="130" spans="1:8">
      <c r="A130" s="1">
        <v>39440</v>
      </c>
      <c r="B130">
        <v>4.7469770133812679</v>
      </c>
      <c r="C130">
        <v>4.6540944745369597</v>
      </c>
      <c r="D130">
        <v>527.12274850635845</v>
      </c>
      <c r="E130">
        <v>35.076887703840278</v>
      </c>
      <c r="F130">
        <v>0.52762953591356154</v>
      </c>
      <c r="G130">
        <v>0.50580568618605837</v>
      </c>
      <c r="H130">
        <v>0.73110990645190865</v>
      </c>
    </row>
    <row r="131" spans="1:8">
      <c r="A131" s="1">
        <v>39441</v>
      </c>
      <c r="B131">
        <v>3.0106846797057325</v>
      </c>
      <c r="C131">
        <v>4.4477306708384825</v>
      </c>
      <c r="D131">
        <v>524.67140023830802</v>
      </c>
      <c r="E131">
        <v>37.269325583002299</v>
      </c>
      <c r="F131">
        <v>0.43181799211551058</v>
      </c>
      <c r="G131">
        <v>0.53751927286276713</v>
      </c>
      <c r="H131">
        <v>0.7071198435497188</v>
      </c>
    </row>
    <row r="132" spans="1:8">
      <c r="A132" s="1">
        <v>39442</v>
      </c>
      <c r="B132">
        <v>3.645857846363624</v>
      </c>
      <c r="C132">
        <v>4.7233901850487738</v>
      </c>
      <c r="D132">
        <v>538.11054275070501</v>
      </c>
      <c r="E132">
        <v>37.556834648507568</v>
      </c>
      <c r="F132">
        <v>0.53331547183105699</v>
      </c>
      <c r="G132">
        <v>0.49887102069361294</v>
      </c>
      <c r="H132">
        <v>0.81802234452430411</v>
      </c>
    </row>
    <row r="133" spans="1:8">
      <c r="A133" s="1">
        <v>39443</v>
      </c>
      <c r="B133">
        <v>3.3584712825357914</v>
      </c>
      <c r="C133">
        <v>4.0114969820918178</v>
      </c>
      <c r="D133">
        <v>517.5858067903855</v>
      </c>
      <c r="E133">
        <v>37.216915567990753</v>
      </c>
      <c r="F133">
        <v>0.50026965220996067</v>
      </c>
      <c r="G133">
        <v>0.50443421373899555</v>
      </c>
      <c r="H133">
        <v>0.73296695020981728</v>
      </c>
    </row>
    <row r="134" spans="1:8">
      <c r="A134" s="1">
        <v>39444</v>
      </c>
      <c r="B134">
        <v>3.4031432689545658</v>
      </c>
      <c r="C134">
        <v>5.1854115891221984</v>
      </c>
      <c r="D134">
        <v>521.26552072319168</v>
      </c>
      <c r="E134">
        <v>35.095293562251562</v>
      </c>
      <c r="F134">
        <v>0.43171424899991634</v>
      </c>
      <c r="G134">
        <v>0.55431172329288059</v>
      </c>
      <c r="H134">
        <v>0.77055663811765307</v>
      </c>
    </row>
    <row r="135" spans="1:8">
      <c r="A135" s="1">
        <v>39447</v>
      </c>
      <c r="B135">
        <v>4.2247256055963796</v>
      </c>
      <c r="C135">
        <v>4.385439535023707</v>
      </c>
      <c r="D135">
        <v>516.54045636690978</v>
      </c>
      <c r="E135">
        <v>33.493286657754147</v>
      </c>
      <c r="F135">
        <v>0.55856701005709197</v>
      </c>
      <c r="G135">
        <v>0.68577546619340635</v>
      </c>
      <c r="H135">
        <v>0.72429047786893697</v>
      </c>
    </row>
    <row r="136" spans="1:8">
      <c r="A136" s="1">
        <v>39448</v>
      </c>
      <c r="B136">
        <v>3.4946672601992459</v>
      </c>
      <c r="C136">
        <v>4.1450600760537251</v>
      </c>
      <c r="D136">
        <v>523.69561273494821</v>
      </c>
      <c r="E136">
        <v>34.439675066131365</v>
      </c>
      <c r="F136">
        <v>0.5205631568936</v>
      </c>
      <c r="G136">
        <v>0.63768826312248561</v>
      </c>
      <c r="H136">
        <v>0.73358672081726151</v>
      </c>
    </row>
    <row r="137" spans="1:8">
      <c r="A137" s="1">
        <v>39449</v>
      </c>
      <c r="B137">
        <v>3.684620745753814</v>
      </c>
      <c r="C137">
        <v>3.7851318236229474</v>
      </c>
      <c r="D137">
        <v>519.44142404343108</v>
      </c>
      <c r="E137">
        <v>37.957151253170558</v>
      </c>
      <c r="F137">
        <v>0.45231290355822229</v>
      </c>
      <c r="G137">
        <v>0.59587306749244962</v>
      </c>
      <c r="H137">
        <v>0.69335364971501479</v>
      </c>
    </row>
    <row r="138" spans="1:8">
      <c r="A138" s="1">
        <v>39450</v>
      </c>
      <c r="B138">
        <v>4.4860012865624785</v>
      </c>
      <c r="C138">
        <v>4.374461374732725</v>
      </c>
      <c r="D138">
        <v>510.28619561554069</v>
      </c>
      <c r="E138">
        <v>34.897902281938983</v>
      </c>
      <c r="F138">
        <v>0.50481079687535135</v>
      </c>
      <c r="G138">
        <v>0.59277653839984001</v>
      </c>
      <c r="H138">
        <v>0.68195266408568145</v>
      </c>
    </row>
    <row r="139" spans="1:8">
      <c r="A139" s="1">
        <v>39451</v>
      </c>
      <c r="B139">
        <v>4.3125293754054752</v>
      </c>
      <c r="C139">
        <v>4.2725594751173306</v>
      </c>
      <c r="D139">
        <v>518.4540314993551</v>
      </c>
      <c r="E139">
        <v>32.861107183401785</v>
      </c>
      <c r="F139">
        <v>0.41217026531708589</v>
      </c>
      <c r="G139">
        <v>0.62085727220535103</v>
      </c>
      <c r="H139">
        <v>0.62198048791394844</v>
      </c>
    </row>
    <row r="140" spans="1:8">
      <c r="A140" s="1">
        <v>39454</v>
      </c>
      <c r="B140">
        <v>4.9563261129555345</v>
      </c>
      <c r="C140">
        <v>3.9506739527304413</v>
      </c>
      <c r="D140">
        <v>523.34793657173645</v>
      </c>
      <c r="E140">
        <v>36.202205933651641</v>
      </c>
      <c r="F140">
        <v>0.60511865337956749</v>
      </c>
      <c r="G140">
        <v>0.53606066722957746</v>
      </c>
      <c r="H140">
        <v>0.62071839012225594</v>
      </c>
    </row>
    <row r="141" spans="1:8">
      <c r="A141" s="1">
        <v>39455</v>
      </c>
      <c r="B141">
        <v>3.9645903290686251</v>
      </c>
      <c r="C141">
        <v>5.5695242450783304</v>
      </c>
      <c r="D141">
        <v>514.24723628728339</v>
      </c>
      <c r="E141">
        <v>36.347420132057856</v>
      </c>
      <c r="F141">
        <v>0.53967253341389443</v>
      </c>
      <c r="G141">
        <v>0.58779609743762851</v>
      </c>
      <c r="H141">
        <v>0.69195529807529221</v>
      </c>
    </row>
    <row r="142" spans="1:8">
      <c r="A142" s="1">
        <v>39456</v>
      </c>
      <c r="B142">
        <v>4.147156141850397</v>
      </c>
      <c r="C142">
        <v>4.070084898571551</v>
      </c>
      <c r="D142">
        <v>528.86146886242477</v>
      </c>
      <c r="E142">
        <v>39.890964537386168</v>
      </c>
      <c r="F142">
        <v>0.47973964462070323</v>
      </c>
      <c r="G142">
        <v>0.70014845935651426</v>
      </c>
      <c r="H142">
        <v>0.71799340724220895</v>
      </c>
    </row>
    <row r="143" spans="1:8">
      <c r="A143" s="1">
        <v>39457</v>
      </c>
      <c r="B143">
        <v>4.5941787678846779</v>
      </c>
      <c r="C143">
        <v>5.5051622877974404</v>
      </c>
      <c r="D143">
        <v>530.39885736250221</v>
      </c>
      <c r="E143">
        <v>32.718551169294209</v>
      </c>
      <c r="F143">
        <v>0.5037677923099162</v>
      </c>
      <c r="G143">
        <v>0.63134286070910162</v>
      </c>
      <c r="H143">
        <v>0.60128469984854349</v>
      </c>
    </row>
    <row r="144" spans="1:8">
      <c r="A144" s="1">
        <v>39458</v>
      </c>
      <c r="B144">
        <v>4.4811925314614811</v>
      </c>
      <c r="C144">
        <v>4.1436837619835654</v>
      </c>
      <c r="D144">
        <v>522.81325494931127</v>
      </c>
      <c r="E144">
        <v>34.721626413004543</v>
      </c>
      <c r="F144">
        <v>0.56146093266646835</v>
      </c>
      <c r="G144">
        <v>0.59728504221016898</v>
      </c>
      <c r="H144">
        <v>0.60272769883610422</v>
      </c>
    </row>
    <row r="145" spans="1:8">
      <c r="A145" s="1">
        <v>39461</v>
      </c>
      <c r="B145">
        <v>4.6513150235998246</v>
      </c>
      <c r="C145">
        <v>5.1249201567600338</v>
      </c>
      <c r="D145">
        <v>506.20241306032915</v>
      </c>
      <c r="E145">
        <v>34.716461772188239</v>
      </c>
      <c r="F145">
        <v>0.63771413102708441</v>
      </c>
      <c r="G145">
        <v>0.71647659156783683</v>
      </c>
      <c r="H145">
        <v>0.60276179199133462</v>
      </c>
    </row>
    <row r="146" spans="1:8">
      <c r="A146" s="1">
        <v>39462</v>
      </c>
      <c r="B146">
        <v>4.1318328280927439</v>
      </c>
      <c r="C146">
        <v>5.2579992500837811</v>
      </c>
      <c r="D146">
        <v>518.36473836978178</v>
      </c>
      <c r="E146">
        <v>34.214297788486782</v>
      </c>
      <c r="F146">
        <v>0.57285891236665498</v>
      </c>
      <c r="G146">
        <v>0.60387572613371665</v>
      </c>
      <c r="H146">
        <v>0.69180559503953176</v>
      </c>
    </row>
    <row r="147" spans="1:8">
      <c r="A147" s="1">
        <v>39463</v>
      </c>
      <c r="B147">
        <v>3.9789164568590447</v>
      </c>
      <c r="C147">
        <v>4.3341861026810724</v>
      </c>
      <c r="D147">
        <v>531.11959882784538</v>
      </c>
      <c r="E147">
        <v>35.225444999570527</v>
      </c>
      <c r="F147">
        <v>0.41121669475300238</v>
      </c>
      <c r="G147">
        <v>0.5144424714322493</v>
      </c>
      <c r="H147">
        <v>0.73928035054998775</v>
      </c>
    </row>
    <row r="148" spans="1:8">
      <c r="A148" s="1">
        <v>39464</v>
      </c>
      <c r="B148">
        <v>4.7677498050991627</v>
      </c>
      <c r="C148">
        <v>4.6775178716797923</v>
      </c>
      <c r="D148">
        <v>507.90459843945132</v>
      </c>
      <c r="E148">
        <v>36.521021968672294</v>
      </c>
      <c r="F148">
        <v>0.45899107898087171</v>
      </c>
      <c r="G148">
        <v>0.53177803004667279</v>
      </c>
      <c r="H148">
        <v>0.68629721785126785</v>
      </c>
    </row>
    <row r="149" spans="1:8">
      <c r="A149" s="1">
        <v>39465</v>
      </c>
      <c r="B149">
        <v>4.3981036617561617</v>
      </c>
      <c r="C149">
        <v>4.5002040162740728</v>
      </c>
      <c r="D149">
        <v>534.13986765334812</v>
      </c>
      <c r="E149">
        <v>34.340170015008056</v>
      </c>
      <c r="F149">
        <v>0.59427279885213202</v>
      </c>
      <c r="G149">
        <v>0.55344931458865765</v>
      </c>
      <c r="H149">
        <v>0.80571189556155842</v>
      </c>
    </row>
    <row r="150" spans="1:8">
      <c r="A150" s="1">
        <v>39468</v>
      </c>
      <c r="B150">
        <v>4.8301378635785301</v>
      </c>
      <c r="C150">
        <v>4.3687322775723549</v>
      </c>
      <c r="D150">
        <v>540.99092632343104</v>
      </c>
      <c r="E150">
        <v>39.762808167664062</v>
      </c>
      <c r="F150">
        <v>0.61075133924141833</v>
      </c>
      <c r="G150">
        <v>0.61905417460074164</v>
      </c>
      <c r="H150">
        <v>0.56645045599334676</v>
      </c>
    </row>
    <row r="151" spans="1:8">
      <c r="A151" s="1">
        <v>39469</v>
      </c>
      <c r="B151">
        <v>4.837781712128522</v>
      </c>
      <c r="C151">
        <v>4.1959548061553065</v>
      </c>
      <c r="D151">
        <v>516.30147517450678</v>
      </c>
      <c r="E151">
        <v>33.959484427970821</v>
      </c>
      <c r="F151">
        <v>0.45548986288789184</v>
      </c>
      <c r="G151">
        <v>0.64754459870038283</v>
      </c>
      <c r="H151">
        <v>0.62829674371120081</v>
      </c>
    </row>
    <row r="152" spans="1:8">
      <c r="A152" s="1">
        <v>39470</v>
      </c>
      <c r="B152">
        <v>4.2637034115015622</v>
      </c>
      <c r="C152">
        <v>4.2258411353908292</v>
      </c>
      <c r="D152">
        <v>516.73900148400696</v>
      </c>
      <c r="E152">
        <v>32.023620274019201</v>
      </c>
      <c r="F152">
        <v>0.55117982246133301</v>
      </c>
      <c r="G152">
        <v>0.62979619374418405</v>
      </c>
      <c r="H152">
        <v>0.67658174547315586</v>
      </c>
    </row>
    <row r="153" spans="1:8">
      <c r="A153" s="1">
        <v>39471</v>
      </c>
      <c r="B153">
        <v>4.2079975646030894</v>
      </c>
      <c r="C153">
        <v>5.2807468062688008</v>
      </c>
      <c r="D153">
        <v>503.90881094879722</v>
      </c>
      <c r="E153">
        <v>37.448310000730558</v>
      </c>
      <c r="F153">
        <v>0.47874469362233601</v>
      </c>
      <c r="G153">
        <v>0.60149185893377888</v>
      </c>
      <c r="H153">
        <v>0.58266839301394158</v>
      </c>
    </row>
    <row r="154" spans="1:8">
      <c r="A154" s="1">
        <v>39472</v>
      </c>
      <c r="B154">
        <v>4.0749908180542791</v>
      </c>
      <c r="C154">
        <v>3.9349150813382074</v>
      </c>
      <c r="D154">
        <v>545.30580764472745</v>
      </c>
      <c r="E154">
        <v>34.164433245785148</v>
      </c>
      <c r="F154">
        <v>0.44123372929555793</v>
      </c>
      <c r="G154">
        <v>0.6696716814793372</v>
      </c>
      <c r="H154">
        <v>0.73194565496381647</v>
      </c>
    </row>
    <row r="155" spans="1:8">
      <c r="A155" s="1">
        <v>39475</v>
      </c>
      <c r="B155">
        <v>4.023602004640086</v>
      </c>
      <c r="C155">
        <v>5.3597419917567368</v>
      </c>
      <c r="D155">
        <v>536.11572233325523</v>
      </c>
      <c r="E155">
        <v>35.181471680361661</v>
      </c>
      <c r="F155">
        <v>0.59862709579148576</v>
      </c>
      <c r="G155">
        <v>0.54372516145721728</v>
      </c>
      <c r="H155">
        <v>0.70881557247435023</v>
      </c>
    </row>
    <row r="156" spans="1:8">
      <c r="A156" s="1">
        <v>39476</v>
      </c>
      <c r="B156">
        <v>4.6029178591023054</v>
      </c>
      <c r="C156">
        <v>5.3795234160903247</v>
      </c>
      <c r="D156">
        <v>524.75618270323673</v>
      </c>
      <c r="E156">
        <v>33.367796601167861</v>
      </c>
      <c r="F156">
        <v>0.47909457390458343</v>
      </c>
      <c r="G156">
        <v>0.55483362888671883</v>
      </c>
      <c r="H156">
        <v>0.6582903993135496</v>
      </c>
    </row>
    <row r="157" spans="1:8">
      <c r="A157" s="1">
        <v>39477</v>
      </c>
      <c r="B157">
        <v>2.9246074562481938</v>
      </c>
      <c r="C157">
        <v>3.9550829976160795</v>
      </c>
      <c r="D157">
        <v>536.73084361203792</v>
      </c>
      <c r="E157">
        <v>35.012359482275606</v>
      </c>
      <c r="F157">
        <v>0.59975080845052664</v>
      </c>
      <c r="G157">
        <v>0.56996496485006742</v>
      </c>
      <c r="H157">
        <v>0.73340603895846856</v>
      </c>
    </row>
    <row r="158" spans="1:8">
      <c r="A158" s="1">
        <v>39478</v>
      </c>
      <c r="B158">
        <v>3.1110453952100032</v>
      </c>
      <c r="C158">
        <v>4.8115771706850579</v>
      </c>
      <c r="D158">
        <v>515.87793338591268</v>
      </c>
      <c r="E158">
        <v>32.969702165665964</v>
      </c>
      <c r="F158">
        <v>0.55165781263006275</v>
      </c>
      <c r="G158">
        <v>0.73263916398567763</v>
      </c>
      <c r="H158">
        <v>0.71183724125369596</v>
      </c>
    </row>
    <row r="159" spans="1:8">
      <c r="A159" s="1">
        <v>39479</v>
      </c>
      <c r="B159">
        <v>3.2324256001593739</v>
      </c>
      <c r="C159">
        <v>3.8685405889070825</v>
      </c>
      <c r="D159">
        <v>495.79332388271968</v>
      </c>
      <c r="E159">
        <v>33.131017476716004</v>
      </c>
      <c r="F159">
        <v>0.57851166301242662</v>
      </c>
      <c r="G159">
        <v>0.53222987483319439</v>
      </c>
      <c r="H159">
        <v>0.71366697259234302</v>
      </c>
    </row>
    <row r="160" spans="1:8">
      <c r="A160" s="1">
        <v>39482</v>
      </c>
      <c r="B160">
        <v>2.7528311874325135</v>
      </c>
      <c r="C160">
        <v>4.2019316104421645</v>
      </c>
      <c r="D160">
        <v>517.34818760542021</v>
      </c>
      <c r="E160">
        <v>38.34859130961992</v>
      </c>
      <c r="F160">
        <v>0.52640765267890077</v>
      </c>
      <c r="G160">
        <v>0.65807288233866157</v>
      </c>
      <c r="H160">
        <v>0.72197800580177907</v>
      </c>
    </row>
    <row r="161" spans="1:8">
      <c r="A161" s="1">
        <v>39483</v>
      </c>
      <c r="B161">
        <v>4.5887023050440199</v>
      </c>
      <c r="C161">
        <v>4.1573115082751055</v>
      </c>
      <c r="D161">
        <v>519.82832683678259</v>
      </c>
      <c r="E161">
        <v>37.848519451827087</v>
      </c>
      <c r="F161">
        <v>0.47899665458218388</v>
      </c>
      <c r="G161">
        <v>0.61097138956604646</v>
      </c>
      <c r="H161">
        <v>0.71422292773265816</v>
      </c>
    </row>
    <row r="162" spans="1:8">
      <c r="A162" s="1">
        <v>39484</v>
      </c>
      <c r="B162">
        <v>3.9628654771514524</v>
      </c>
      <c r="C162">
        <v>4.7536101718090435</v>
      </c>
      <c r="D162">
        <v>527.93234418997474</v>
      </c>
      <c r="E162">
        <v>35.935767657503177</v>
      </c>
      <c r="F162">
        <v>0.45008417214480712</v>
      </c>
      <c r="G162">
        <v>0.62660206199407043</v>
      </c>
      <c r="H162">
        <v>0.60579400135164818</v>
      </c>
    </row>
    <row r="163" spans="1:8">
      <c r="A163" s="1">
        <v>39485</v>
      </c>
      <c r="B163">
        <v>4.0730244725913778</v>
      </c>
      <c r="C163">
        <v>4.6854530641584402</v>
      </c>
      <c r="D163">
        <v>531.98258323259608</v>
      </c>
      <c r="E163">
        <v>38.230993581670297</v>
      </c>
      <c r="F163">
        <v>0.47710995706666831</v>
      </c>
      <c r="G163">
        <v>0.51356684684843212</v>
      </c>
      <c r="H163">
        <v>0.55374992864239692</v>
      </c>
    </row>
    <row r="164" spans="1:8">
      <c r="A164" s="1">
        <v>39486</v>
      </c>
      <c r="B164">
        <v>3.8878329914436325</v>
      </c>
      <c r="C164">
        <v>5.14841775342662</v>
      </c>
      <c r="D164">
        <v>519.65862296457271</v>
      </c>
      <c r="E164">
        <v>34.511958784987506</v>
      </c>
      <c r="F164">
        <v>0.50271924245105437</v>
      </c>
      <c r="G164">
        <v>0.60273008264668504</v>
      </c>
      <c r="H164">
        <v>0.64326133414654763</v>
      </c>
    </row>
    <row r="165" spans="1:8">
      <c r="A165" s="1">
        <v>39489</v>
      </c>
      <c r="B165">
        <v>3.4713375016985952</v>
      </c>
      <c r="C165">
        <v>3.0859621148947012</v>
      </c>
      <c r="D165">
        <v>509.72602800413631</v>
      </c>
      <c r="E165">
        <v>33.95232438053344</v>
      </c>
      <c r="F165">
        <v>0.53457527209382705</v>
      </c>
      <c r="G165">
        <v>0.63410277279316518</v>
      </c>
      <c r="H165">
        <v>0.65814531076262561</v>
      </c>
    </row>
    <row r="166" spans="1:8">
      <c r="A166" s="1">
        <v>39490</v>
      </c>
      <c r="B166">
        <v>4.3560188475484862</v>
      </c>
      <c r="C166">
        <v>5.0408060688652876</v>
      </c>
      <c r="D166">
        <v>537.58144975026539</v>
      </c>
      <c r="E166">
        <v>34.288839239571587</v>
      </c>
      <c r="F166">
        <v>0.50256303184339746</v>
      </c>
      <c r="G166">
        <v>0.52481895126961886</v>
      </c>
      <c r="H166">
        <v>0.69006227811680232</v>
      </c>
    </row>
    <row r="167" spans="1:8">
      <c r="A167" s="1">
        <v>39491</v>
      </c>
      <c r="B167">
        <v>4.275933877688912</v>
      </c>
      <c r="C167">
        <v>4.6187098700392815</v>
      </c>
      <c r="D167">
        <v>518.31343141273396</v>
      </c>
      <c r="E167">
        <v>34.059250618439187</v>
      </c>
      <c r="F167">
        <v>0.53168873530608385</v>
      </c>
      <c r="G167">
        <v>0.6193064836082639</v>
      </c>
      <c r="H167">
        <v>0.62039095489828999</v>
      </c>
    </row>
    <row r="168" spans="1:8">
      <c r="A168" s="1">
        <v>39492</v>
      </c>
      <c r="B168">
        <v>3.7919218259679157</v>
      </c>
      <c r="C168">
        <v>4.9602847328036379</v>
      </c>
      <c r="D168">
        <v>527.36396744591377</v>
      </c>
      <c r="E168">
        <v>39.065581478786065</v>
      </c>
      <c r="F168">
        <v>0.5383362791822619</v>
      </c>
      <c r="G168">
        <v>0.47933414662645479</v>
      </c>
      <c r="H168">
        <v>0.7779583281340825</v>
      </c>
    </row>
    <row r="169" spans="1:8">
      <c r="A169" s="1">
        <v>39493</v>
      </c>
      <c r="B169">
        <v>4.4753407639737333</v>
      </c>
      <c r="C169">
        <v>4.5500697511075483</v>
      </c>
      <c r="D169">
        <v>514.322079314137</v>
      </c>
      <c r="E169">
        <v>35.130006480099802</v>
      </c>
      <c r="F169">
        <v>0.59255520656469751</v>
      </c>
      <c r="G169">
        <v>0.59451653103568203</v>
      </c>
      <c r="H169">
        <v>0.72226541375514064</v>
      </c>
    </row>
    <row r="170" spans="1:8">
      <c r="A170" s="1">
        <v>39496</v>
      </c>
      <c r="B170">
        <v>4.2442102785713836</v>
      </c>
      <c r="C170">
        <v>4.7277455644331372</v>
      </c>
      <c r="D170">
        <v>524.06262222914813</v>
      </c>
      <c r="E170">
        <v>35.979927854888281</v>
      </c>
      <c r="F170">
        <v>0.57915718959406304</v>
      </c>
      <c r="G170">
        <v>0.60417373565914134</v>
      </c>
      <c r="H170">
        <v>0.75092715073255245</v>
      </c>
    </row>
    <row r="171" spans="1:8">
      <c r="A171" s="1">
        <v>39497</v>
      </c>
      <c r="B171">
        <v>4.5326087293967641</v>
      </c>
      <c r="C171">
        <v>5.0862007499888326</v>
      </c>
      <c r="D171">
        <v>516.83112392060627</v>
      </c>
      <c r="E171">
        <v>35.176130020773556</v>
      </c>
      <c r="F171">
        <v>0.49164397799896437</v>
      </c>
      <c r="G171">
        <v>0.6754520853113325</v>
      </c>
      <c r="H171">
        <v>0.71383785850357884</v>
      </c>
    </row>
    <row r="172" spans="1:8">
      <c r="A172" s="1">
        <v>39498</v>
      </c>
      <c r="B172">
        <v>4.0914927440175868</v>
      </c>
      <c r="C172">
        <v>4.4458071430339556</v>
      </c>
      <c r="D172">
        <v>514.06051468238218</v>
      </c>
      <c r="E172">
        <v>36.194072590527902</v>
      </c>
      <c r="F172">
        <v>0.44260339703059731</v>
      </c>
      <c r="G172">
        <v>0.49951226743268462</v>
      </c>
      <c r="H172">
        <v>0.7269946496955515</v>
      </c>
    </row>
    <row r="173" spans="1:8">
      <c r="A173" s="1">
        <v>39499</v>
      </c>
      <c r="B173">
        <v>2.9321123518292787</v>
      </c>
      <c r="C173">
        <v>4.4162225810781166</v>
      </c>
      <c r="D173">
        <v>510.46309785474693</v>
      </c>
      <c r="E173">
        <v>39.860044459219218</v>
      </c>
      <c r="F173">
        <v>0.49802072353265731</v>
      </c>
      <c r="G173">
        <v>0.61205525624846779</v>
      </c>
      <c r="H173">
        <v>0.62528558097474485</v>
      </c>
    </row>
    <row r="174" spans="1:8">
      <c r="A174" s="1">
        <v>39500</v>
      </c>
      <c r="B174">
        <v>4.8133389992629754</v>
      </c>
      <c r="C174">
        <v>4.6478026047524992</v>
      </c>
      <c r="D174">
        <v>511.54436985009977</v>
      </c>
      <c r="E174">
        <v>38.16101938897382</v>
      </c>
      <c r="F174">
        <v>0.5678855872366021</v>
      </c>
      <c r="G174">
        <v>0.61734386226653892</v>
      </c>
      <c r="H174">
        <v>0.6319306185939525</v>
      </c>
    </row>
    <row r="175" spans="1:8">
      <c r="A175" s="1">
        <v>39503</v>
      </c>
      <c r="B175">
        <v>3.6714228122540469</v>
      </c>
      <c r="C175">
        <v>4.7924682444550522</v>
      </c>
      <c r="D175">
        <v>511.70652813227287</v>
      </c>
      <c r="E175">
        <v>37.379015368071379</v>
      </c>
      <c r="F175">
        <v>0.51196353032390907</v>
      </c>
      <c r="G175">
        <v>0.56754901065702368</v>
      </c>
      <c r="H175">
        <v>0.67436060256753405</v>
      </c>
    </row>
    <row r="176" spans="1:8">
      <c r="A176" s="1">
        <v>39504</v>
      </c>
      <c r="B176">
        <v>4.1818464488978186</v>
      </c>
      <c r="C176">
        <v>4.6413563742649524</v>
      </c>
      <c r="D176">
        <v>507.24544366406678</v>
      </c>
      <c r="E176">
        <v>33.590319764945697</v>
      </c>
      <c r="F176">
        <v>0.45737679449693713</v>
      </c>
      <c r="G176">
        <v>0.59192151263719583</v>
      </c>
      <c r="H176">
        <v>0.73041513411267622</v>
      </c>
    </row>
    <row r="177" spans="1:8">
      <c r="A177" s="1">
        <v>39505</v>
      </c>
      <c r="B177">
        <v>3.9048096084690687</v>
      </c>
      <c r="C177">
        <v>2.8322962873923947</v>
      </c>
      <c r="D177">
        <v>513.12695548508407</v>
      </c>
      <c r="E177">
        <v>34.498015697821089</v>
      </c>
      <c r="F177">
        <v>0.50789301173414847</v>
      </c>
      <c r="G177">
        <v>0.58558892538599794</v>
      </c>
      <c r="H177">
        <v>0.62428390038165493</v>
      </c>
    </row>
    <row r="178" spans="1:8">
      <c r="A178" s="1">
        <v>39506</v>
      </c>
      <c r="B178">
        <v>4.4761163582297234</v>
      </c>
      <c r="C178">
        <v>4.9064415079165213</v>
      </c>
      <c r="D178">
        <v>523.65181712388971</v>
      </c>
      <c r="E178">
        <v>36.208160854171147</v>
      </c>
      <c r="F178">
        <v>0.61329906993080552</v>
      </c>
      <c r="G178">
        <v>0.72479082725757671</v>
      </c>
      <c r="H178">
        <v>0.67457586174546236</v>
      </c>
    </row>
    <row r="179" spans="1:8">
      <c r="A179" s="1">
        <v>39507</v>
      </c>
      <c r="B179">
        <v>4.4388873174431689</v>
      </c>
      <c r="C179">
        <v>4.4961685364625392</v>
      </c>
      <c r="D179">
        <v>519.1751932135254</v>
      </c>
      <c r="E179">
        <v>36.978421649939541</v>
      </c>
      <c r="F179">
        <v>0.51526733780166634</v>
      </c>
      <c r="G179">
        <v>0.59459846733330046</v>
      </c>
      <c r="H179">
        <v>0.7024833762829652</v>
      </c>
    </row>
    <row r="180" spans="1:8">
      <c r="A180" s="1">
        <v>39510</v>
      </c>
      <c r="B180">
        <v>3.1945498130847927</v>
      </c>
      <c r="C180">
        <v>4.120131269085114</v>
      </c>
      <c r="D180">
        <v>514.49295302121857</v>
      </c>
      <c r="E180">
        <v>36.693047915786352</v>
      </c>
      <c r="F180">
        <v>0.51183363634648893</v>
      </c>
      <c r="G180">
        <v>0.59356103062814458</v>
      </c>
      <c r="H180">
        <v>0.65285517023111828</v>
      </c>
    </row>
    <row r="181" spans="1:8">
      <c r="A181" s="1">
        <v>39511</v>
      </c>
      <c r="B181">
        <v>3.715489827371409</v>
      </c>
      <c r="C181">
        <v>5.0800898849511338</v>
      </c>
      <c r="D181">
        <v>509.12466387679143</v>
      </c>
      <c r="E181">
        <v>32.155593126723538</v>
      </c>
      <c r="F181">
        <v>0.60991388588976136</v>
      </c>
      <c r="G181">
        <v>0.61761899809959919</v>
      </c>
      <c r="H181">
        <v>0.72113084161549157</v>
      </c>
    </row>
    <row r="182" spans="1:8">
      <c r="A182" s="1">
        <v>39512</v>
      </c>
      <c r="B182">
        <v>4.4155712471853947</v>
      </c>
      <c r="C182">
        <v>5.3467078696133763</v>
      </c>
      <c r="D182">
        <v>502.99200264726016</v>
      </c>
      <c r="E182">
        <v>39.7145284563803</v>
      </c>
      <c r="F182">
        <v>0.46111712382750614</v>
      </c>
      <c r="G182">
        <v>0.54717341661337537</v>
      </c>
      <c r="H182">
        <v>0.65522112402746391</v>
      </c>
    </row>
    <row r="183" spans="1:8">
      <c r="A183" s="1">
        <v>39513</v>
      </c>
      <c r="B183">
        <v>4.9040419516220393</v>
      </c>
      <c r="C183">
        <v>4.7360437049228779</v>
      </c>
      <c r="D183">
        <v>509.13316886314317</v>
      </c>
      <c r="E183">
        <v>35.314146706171236</v>
      </c>
      <c r="F183">
        <v>0.55869101183400549</v>
      </c>
      <c r="G183">
        <v>0.60841304187134104</v>
      </c>
      <c r="H183">
        <v>0.57485191784790324</v>
      </c>
    </row>
    <row r="184" spans="1:8">
      <c r="A184" s="1">
        <v>39514</v>
      </c>
      <c r="B184">
        <v>4.823138296322071</v>
      </c>
      <c r="C184">
        <v>4.6210105777975521</v>
      </c>
      <c r="D184">
        <v>530.46207768668467</v>
      </c>
      <c r="E184">
        <v>37.963829903163003</v>
      </c>
      <c r="F184">
        <v>0.52559938474925627</v>
      </c>
      <c r="G184">
        <v>0.52194182306001324</v>
      </c>
      <c r="H184">
        <v>0.59143629334447312</v>
      </c>
    </row>
    <row r="185" spans="1:8">
      <c r="A185" s="1">
        <v>39517</v>
      </c>
      <c r="B185">
        <v>4.8320586382469122</v>
      </c>
      <c r="C185">
        <v>4.0596385396926618</v>
      </c>
      <c r="D185">
        <v>518.40788233569822</v>
      </c>
      <c r="E185">
        <v>32.379407561083887</v>
      </c>
      <c r="F185">
        <v>0.53367110538687301</v>
      </c>
      <c r="G185">
        <v>0.60890436659498093</v>
      </c>
      <c r="H185">
        <v>0.77202797182498162</v>
      </c>
    </row>
    <row r="186" spans="1:8">
      <c r="A186" s="1">
        <v>39518</v>
      </c>
      <c r="B186">
        <v>5.4449660733717273</v>
      </c>
      <c r="C186">
        <v>2.6047856818710695</v>
      </c>
      <c r="D186">
        <v>522.36266567983762</v>
      </c>
      <c r="E186">
        <v>34.540685292992571</v>
      </c>
      <c r="F186">
        <v>0.50769646688684988</v>
      </c>
      <c r="G186">
        <v>0.5825861813915969</v>
      </c>
      <c r="H186">
        <v>0.63566269804872166</v>
      </c>
    </row>
    <row r="187" spans="1:8">
      <c r="A187" s="1">
        <v>39519</v>
      </c>
      <c r="B187">
        <v>3.0213102020977103</v>
      </c>
      <c r="C187">
        <v>4.7389656293317044</v>
      </c>
      <c r="D187">
        <v>529.26826278901319</v>
      </c>
      <c r="E187">
        <v>34.72449496355209</v>
      </c>
      <c r="F187">
        <v>0.53492883027695992</v>
      </c>
      <c r="G187">
        <v>0.60637655480520847</v>
      </c>
      <c r="H187">
        <v>0.83529329839843514</v>
      </c>
    </row>
    <row r="188" spans="1:8">
      <c r="A188" s="1">
        <v>39520</v>
      </c>
      <c r="B188">
        <v>4.1036091733993283</v>
      </c>
      <c r="C188">
        <v>5.1131242846162914</v>
      </c>
      <c r="D188">
        <v>512.39261297240228</v>
      </c>
      <c r="E188">
        <v>33.492036556155206</v>
      </c>
      <c r="F188">
        <v>0.50548983348060461</v>
      </c>
      <c r="G188">
        <v>0.64774525075268641</v>
      </c>
      <c r="H188">
        <v>0.65288877805237533</v>
      </c>
    </row>
    <row r="189" spans="1:8">
      <c r="A189" s="1">
        <v>39521</v>
      </c>
      <c r="B189">
        <v>3.7100999920889981</v>
      </c>
      <c r="C189">
        <v>3.1045292211320619</v>
      </c>
      <c r="D189">
        <v>522.25865191007108</v>
      </c>
      <c r="E189">
        <v>35.393466391393346</v>
      </c>
      <c r="F189">
        <v>0.47706563778694638</v>
      </c>
      <c r="G189">
        <v>0.54868843599346206</v>
      </c>
      <c r="H189">
        <v>0.60642847224372887</v>
      </c>
    </row>
    <row r="190" spans="1:8">
      <c r="A190" s="1">
        <v>39524</v>
      </c>
      <c r="B190">
        <v>3.1616248372618734</v>
      </c>
      <c r="C190">
        <v>3.9048603846616627</v>
      </c>
      <c r="D190">
        <v>507.04775611306849</v>
      </c>
      <c r="E190">
        <v>38.478770007794445</v>
      </c>
      <c r="F190">
        <v>0.42533340023346311</v>
      </c>
      <c r="G190">
        <v>0.47284196019475011</v>
      </c>
      <c r="H190">
        <v>0.60514873414934534</v>
      </c>
    </row>
    <row r="191" spans="1:8">
      <c r="A191" s="1">
        <v>39525</v>
      </c>
      <c r="B191">
        <v>4.3741747055643119</v>
      </c>
      <c r="C191">
        <v>4.4599856026204705</v>
      </c>
      <c r="D191">
        <v>521.89776593263161</v>
      </c>
      <c r="E191">
        <v>36.398303372185623</v>
      </c>
      <c r="F191">
        <v>0.47050707404628028</v>
      </c>
      <c r="G191">
        <v>0.66575565379214041</v>
      </c>
      <c r="H191">
        <v>0.70687396456756224</v>
      </c>
    </row>
    <row r="192" spans="1:8">
      <c r="A192" s="1">
        <v>39526</v>
      </c>
      <c r="B192">
        <v>4.1148277757452654</v>
      </c>
      <c r="C192">
        <v>4.8071753580452237</v>
      </c>
      <c r="D192">
        <v>526.51824011130861</v>
      </c>
      <c r="E192">
        <v>34.738574332202226</v>
      </c>
      <c r="F192">
        <v>0.56600742420638261</v>
      </c>
      <c r="G192">
        <v>0.62240921990807807</v>
      </c>
      <c r="H192">
        <v>0.69923744306780822</v>
      </c>
    </row>
    <row r="193" spans="1:8">
      <c r="A193" s="1">
        <v>39527</v>
      </c>
      <c r="B193">
        <v>3.2719801140063778</v>
      </c>
      <c r="C193">
        <v>4.7763285525733066</v>
      </c>
      <c r="D193">
        <v>520.71016051074946</v>
      </c>
      <c r="E193">
        <v>39.171788248001597</v>
      </c>
      <c r="F193">
        <v>0.49044387490867725</v>
      </c>
      <c r="G193">
        <v>0.59834345999328808</v>
      </c>
      <c r="H193">
        <v>0.77718672755033547</v>
      </c>
    </row>
    <row r="194" spans="1:8">
      <c r="A194" s="1">
        <v>39528</v>
      </c>
      <c r="B194">
        <v>3.33122121519814</v>
      </c>
      <c r="C194">
        <v>4.4944535068711682</v>
      </c>
      <c r="D194">
        <v>508.80832041082294</v>
      </c>
      <c r="E194">
        <v>35.307745844169986</v>
      </c>
      <c r="F194">
        <v>0.48956300778434703</v>
      </c>
      <c r="G194">
        <v>0.64649922466628884</v>
      </c>
      <c r="H194">
        <v>0.62033229575719684</v>
      </c>
    </row>
    <row r="195" spans="1:8">
      <c r="A195" s="1">
        <v>39531</v>
      </c>
      <c r="B195">
        <v>4.0385389550923634</v>
      </c>
      <c r="C195">
        <v>4.970730657695599</v>
      </c>
      <c r="D195">
        <v>533.38335931249992</v>
      </c>
      <c r="E195">
        <v>36.337836490290357</v>
      </c>
      <c r="F195">
        <v>0.50061145427383413</v>
      </c>
      <c r="G195">
        <v>0.6291318876201587</v>
      </c>
      <c r="H195">
        <v>0.60489426337578112</v>
      </c>
    </row>
    <row r="196" spans="1:8">
      <c r="A196" s="1">
        <v>39532</v>
      </c>
      <c r="B196">
        <v>3.9568940231144349</v>
      </c>
      <c r="C196">
        <v>3.9578751140582424</v>
      </c>
      <c r="D196">
        <v>549.14499976988316</v>
      </c>
      <c r="E196">
        <v>36.124268940419746</v>
      </c>
      <c r="F196">
        <v>0.49169846841012499</v>
      </c>
      <c r="G196">
        <v>0.55208571114558413</v>
      </c>
      <c r="H196">
        <v>0.62920455708976308</v>
      </c>
    </row>
    <row r="197" spans="1:8">
      <c r="A197" s="1">
        <v>39533</v>
      </c>
      <c r="B197">
        <v>5.0093656063379433</v>
      </c>
      <c r="C197">
        <v>4.1210023245556471</v>
      </c>
      <c r="D197">
        <v>525.99490869016279</v>
      </c>
      <c r="E197">
        <v>36.6097864972688</v>
      </c>
      <c r="F197">
        <v>0.56234951354719509</v>
      </c>
      <c r="G197">
        <v>0.62491675212968656</v>
      </c>
      <c r="H197">
        <v>0.56075076514962841</v>
      </c>
    </row>
    <row r="198" spans="1:8">
      <c r="A198" s="1">
        <v>39534</v>
      </c>
      <c r="B198">
        <v>4.2456815768260583</v>
      </c>
      <c r="C198">
        <v>5.151395876332165</v>
      </c>
      <c r="D198">
        <v>521.15353877402958</v>
      </c>
      <c r="E198">
        <v>34.977685292253675</v>
      </c>
      <c r="F198">
        <v>0.57690162573510306</v>
      </c>
      <c r="G198">
        <v>0.56297778968223322</v>
      </c>
      <c r="H198">
        <v>0.73662889122801101</v>
      </c>
    </row>
    <row r="199" spans="1:8">
      <c r="A199" s="1">
        <v>39535</v>
      </c>
      <c r="B199">
        <v>3.3884004036114819</v>
      </c>
      <c r="C199">
        <v>5.7358025218509798</v>
      </c>
      <c r="D199">
        <v>525.71865080765076</v>
      </c>
      <c r="E199">
        <v>36.980382955224485</v>
      </c>
      <c r="F199">
        <v>0.49081442848399248</v>
      </c>
      <c r="G199">
        <v>0.59065167883620873</v>
      </c>
      <c r="H199">
        <v>0.56905645087673062</v>
      </c>
    </row>
    <row r="200" spans="1:8">
      <c r="A200" s="1">
        <v>39538</v>
      </c>
      <c r="B200">
        <v>3.8370136167775133</v>
      </c>
      <c r="C200">
        <v>4.7743346491236123</v>
      </c>
      <c r="D200">
        <v>532.83797525902992</v>
      </c>
      <c r="E200">
        <v>34.618517726441468</v>
      </c>
      <c r="F200">
        <v>0.55257328781006665</v>
      </c>
      <c r="G200">
        <v>0.64144738603546037</v>
      </c>
      <c r="H200">
        <v>0.68207418600262726</v>
      </c>
    </row>
    <row r="201" spans="1:8">
      <c r="A201" s="1">
        <v>39539</v>
      </c>
      <c r="B201">
        <v>4.4967816803312299</v>
      </c>
      <c r="C201">
        <v>3.3513416691029994</v>
      </c>
      <c r="D201">
        <v>515.19324914566778</v>
      </c>
      <c r="E201">
        <v>38.041490444841592</v>
      </c>
      <c r="F201">
        <v>0.52665553492518957</v>
      </c>
      <c r="G201">
        <v>0.58239670631388285</v>
      </c>
      <c r="H201">
        <v>0.6137893724610628</v>
      </c>
    </row>
    <row r="202" spans="1:8">
      <c r="A202" s="1">
        <v>39540</v>
      </c>
      <c r="B202">
        <v>4.2970169852365521</v>
      </c>
      <c r="C202">
        <v>4.6327620228192901</v>
      </c>
      <c r="D202">
        <v>524.09748755055227</v>
      </c>
      <c r="E202">
        <v>35.400880392310896</v>
      </c>
      <c r="F202">
        <v>0.52374411677689059</v>
      </c>
      <c r="G202">
        <v>0.62504999273077733</v>
      </c>
      <c r="H202">
        <v>0.78099381143079993</v>
      </c>
    </row>
    <row r="203" spans="1:8">
      <c r="A203" s="1">
        <v>39541</v>
      </c>
      <c r="B203">
        <v>5.3761937305538225</v>
      </c>
      <c r="C203">
        <v>4.4822193886658352</v>
      </c>
      <c r="D203">
        <v>528.09191676322575</v>
      </c>
      <c r="E203">
        <v>33.511689596209081</v>
      </c>
      <c r="F203">
        <v>0.39921751066076783</v>
      </c>
      <c r="G203">
        <v>0.49666846010990612</v>
      </c>
      <c r="H203">
        <v>0.68597470033611252</v>
      </c>
    </row>
    <row r="204" spans="1:8">
      <c r="A204" s="1">
        <v>39542</v>
      </c>
      <c r="B204">
        <v>3.5357169476733379</v>
      </c>
      <c r="C204">
        <v>3.8514890890254367</v>
      </c>
      <c r="D204">
        <v>520.52542977436303</v>
      </c>
      <c r="E204">
        <v>32.620985990084414</v>
      </c>
      <c r="F204">
        <v>0.55281767098807433</v>
      </c>
      <c r="G204">
        <v>0.67491428589611691</v>
      </c>
      <c r="H204">
        <v>0.65225884680896962</v>
      </c>
    </row>
    <row r="205" spans="1:8">
      <c r="A205" s="1">
        <v>39545</v>
      </c>
      <c r="B205">
        <v>4.500808714244541</v>
      </c>
      <c r="C205">
        <v>4.8124911289908816</v>
      </c>
      <c r="D205">
        <v>519.17575879539504</v>
      </c>
      <c r="E205">
        <v>37.048073624756967</v>
      </c>
      <c r="F205">
        <v>0.47718383212133347</v>
      </c>
      <c r="G205">
        <v>0.59481119391157644</v>
      </c>
      <c r="H205">
        <v>0.62345745338550107</v>
      </c>
    </row>
    <row r="206" spans="1:8">
      <c r="A206" s="1">
        <v>39546</v>
      </c>
      <c r="B206">
        <v>3.320409463048176</v>
      </c>
      <c r="C206">
        <v>4.3006363604346518</v>
      </c>
      <c r="D206">
        <v>521.57928831292975</v>
      </c>
      <c r="E206">
        <v>34.847038880047741</v>
      </c>
      <c r="F206">
        <v>0.54534941583378238</v>
      </c>
      <c r="G206">
        <v>0.5749466972092131</v>
      </c>
      <c r="H206">
        <v>0.73592190501249333</v>
      </c>
    </row>
    <row r="207" spans="1:8">
      <c r="A207" s="1">
        <v>39547</v>
      </c>
      <c r="B207">
        <v>3.182991735911564</v>
      </c>
      <c r="C207">
        <v>4.9102028415876982</v>
      </c>
      <c r="D207">
        <v>522.11860567682777</v>
      </c>
      <c r="E207">
        <v>34.718488659418121</v>
      </c>
      <c r="F207">
        <v>0.59387222742596935</v>
      </c>
      <c r="G207">
        <v>0.57707021945637815</v>
      </c>
      <c r="H207">
        <v>0.69976593961818112</v>
      </c>
    </row>
    <row r="208" spans="1:8">
      <c r="A208" s="1">
        <v>39548</v>
      </c>
      <c r="B208">
        <v>4.7483195682367354</v>
      </c>
      <c r="C208">
        <v>4.4141297534260726</v>
      </c>
      <c r="D208">
        <v>523.5661879710467</v>
      </c>
      <c r="E208">
        <v>35.321669939894157</v>
      </c>
      <c r="F208">
        <v>0.42193063301713857</v>
      </c>
      <c r="G208">
        <v>0.60250234733206831</v>
      </c>
      <c r="H208">
        <v>0.81574058432733776</v>
      </c>
    </row>
    <row r="209" spans="1:8">
      <c r="A209" s="1">
        <v>39549</v>
      </c>
      <c r="B209">
        <v>5.3658049742224652</v>
      </c>
      <c r="C209">
        <v>3.377728360812041</v>
      </c>
      <c r="D209">
        <v>537.66691117541563</v>
      </c>
      <c r="E209">
        <v>37.721248149849053</v>
      </c>
      <c r="F209">
        <v>0.52310858887665557</v>
      </c>
      <c r="G209">
        <v>0.58487709290802048</v>
      </c>
      <c r="H209">
        <v>0.70309943509346295</v>
      </c>
    </row>
    <row r="210" spans="1:8">
      <c r="A210" s="1">
        <v>39552</v>
      </c>
      <c r="B210">
        <v>3.4700418872780174</v>
      </c>
      <c r="C210">
        <v>4.2205316461880784</v>
      </c>
      <c r="D210">
        <v>531.06036017623956</v>
      </c>
      <c r="E210">
        <v>34.876494742465702</v>
      </c>
      <c r="F210">
        <v>0.4978998233309071</v>
      </c>
      <c r="G210">
        <v>0.623854760560969</v>
      </c>
      <c r="H210">
        <v>0.69022858528749176</v>
      </c>
    </row>
    <row r="211" spans="1:8">
      <c r="A211" s="1">
        <v>39553</v>
      </c>
      <c r="B211">
        <v>4.4747511060734677</v>
      </c>
      <c r="C211">
        <v>4.7204632187995692</v>
      </c>
      <c r="D211">
        <v>521.31260603348426</v>
      </c>
      <c r="E211">
        <v>36.097243010481961</v>
      </c>
      <c r="F211">
        <v>0.57851915930715303</v>
      </c>
      <c r="G211">
        <v>0.5499950518697384</v>
      </c>
      <c r="H211">
        <v>0.65844487787736949</v>
      </c>
    </row>
    <row r="212" spans="1:8">
      <c r="A212" s="1">
        <v>39554</v>
      </c>
      <c r="B212">
        <v>4.3892681101293594</v>
      </c>
      <c r="C212">
        <v>3.5258566652145875</v>
      </c>
      <c r="D212">
        <v>523.64136731795929</v>
      </c>
      <c r="E212">
        <v>35.805545440006917</v>
      </c>
      <c r="F212">
        <v>0.57134798467881298</v>
      </c>
      <c r="G212">
        <v>0.59383330299871107</v>
      </c>
      <c r="H212">
        <v>0.6545718113424579</v>
      </c>
    </row>
    <row r="213" spans="1:8">
      <c r="A213" s="1">
        <v>39555</v>
      </c>
      <c r="B213">
        <v>4.0578735668535026</v>
      </c>
      <c r="C213">
        <v>3.7017688347640894</v>
      </c>
      <c r="D213">
        <v>526.72889503143404</v>
      </c>
      <c r="E213">
        <v>34.23038227003957</v>
      </c>
      <c r="F213">
        <v>0.52278521612375595</v>
      </c>
      <c r="G213">
        <v>0.63560421322725191</v>
      </c>
      <c r="H213">
        <v>0.60192508903439323</v>
      </c>
    </row>
    <row r="214" spans="1:8">
      <c r="A214" s="1">
        <v>39556</v>
      </c>
      <c r="B214">
        <v>4.3023574527156168</v>
      </c>
      <c r="C214">
        <v>4.1067189693907782</v>
      </c>
      <c r="D214">
        <v>518.9606532896363</v>
      </c>
      <c r="E214">
        <v>37.848131036832882</v>
      </c>
      <c r="F214">
        <v>0.58425058325099566</v>
      </c>
      <c r="G214">
        <v>0.61250777908296505</v>
      </c>
      <c r="H214">
        <v>0.73795665063723304</v>
      </c>
    </row>
    <row r="215" spans="1:8">
      <c r="A215" s="1">
        <v>39559</v>
      </c>
      <c r="B215">
        <v>4.3376583609267714</v>
      </c>
      <c r="C215">
        <v>4.2849803130450708</v>
      </c>
      <c r="D215">
        <v>528.78747280627192</v>
      </c>
      <c r="E215">
        <v>34.914190137650138</v>
      </c>
      <c r="F215">
        <v>0.49124828723300773</v>
      </c>
      <c r="G215">
        <v>0.59269848144513104</v>
      </c>
      <c r="H215">
        <v>0.71105941654736526</v>
      </c>
    </row>
    <row r="216" spans="1:8">
      <c r="A216" s="1">
        <v>39560</v>
      </c>
      <c r="B216">
        <v>5.0359729504378192</v>
      </c>
      <c r="C216">
        <v>5.5693606192159235</v>
      </c>
      <c r="D216">
        <v>515.87837049325731</v>
      </c>
      <c r="E216">
        <v>35.375276717338849</v>
      </c>
      <c r="F216">
        <v>0.47502224872280085</v>
      </c>
      <c r="G216">
        <v>0.73310454447823792</v>
      </c>
      <c r="H216">
        <v>0.75282618198776952</v>
      </c>
    </row>
    <row r="217" spans="1:8">
      <c r="A217" s="1">
        <v>39561</v>
      </c>
      <c r="B217">
        <v>3.0329861724320253</v>
      </c>
      <c r="C217">
        <v>5.2560384045698516</v>
      </c>
      <c r="D217">
        <v>524.47437386184333</v>
      </c>
      <c r="E217">
        <v>38.234599474338921</v>
      </c>
      <c r="F217">
        <v>0.49924722309739406</v>
      </c>
      <c r="G217">
        <v>0.54305090260430855</v>
      </c>
      <c r="H217">
        <v>0.78826073293085219</v>
      </c>
    </row>
    <row r="218" spans="1:8">
      <c r="A218" s="1">
        <v>39562</v>
      </c>
      <c r="B218">
        <v>4.3637111096328658</v>
      </c>
      <c r="C218">
        <v>4.7196802949047623</v>
      </c>
      <c r="D218">
        <v>503.89018260904174</v>
      </c>
      <c r="E218">
        <v>37.794419363289151</v>
      </c>
      <c r="F218">
        <v>0.50689132338782594</v>
      </c>
      <c r="G218">
        <v>0.66452581349752138</v>
      </c>
      <c r="H218">
        <v>0.76945479651204596</v>
      </c>
    </row>
    <row r="219" spans="1:8">
      <c r="A219" s="1">
        <v>39563</v>
      </c>
      <c r="B219">
        <v>4.2540722961103121</v>
      </c>
      <c r="C219">
        <v>3.3194249653762649</v>
      </c>
      <c r="D219">
        <v>502.68828825766343</v>
      </c>
      <c r="E219">
        <v>37.538134133981544</v>
      </c>
      <c r="F219">
        <v>0.49243732876279989</v>
      </c>
      <c r="G219">
        <v>0.52424690207351932</v>
      </c>
      <c r="H219">
        <v>0.68733019191506328</v>
      </c>
    </row>
    <row r="220" spans="1:8">
      <c r="A220" s="1">
        <v>39566</v>
      </c>
      <c r="B220">
        <v>4.5994118744663419</v>
      </c>
      <c r="C220">
        <v>3.9583249612801392</v>
      </c>
      <c r="D220">
        <v>513.25951689200724</v>
      </c>
      <c r="E220">
        <v>34.958516488511947</v>
      </c>
      <c r="F220">
        <v>0.4950845673538401</v>
      </c>
      <c r="G220">
        <v>0.48860980769793716</v>
      </c>
      <c r="H220">
        <v>0.65401686365330913</v>
      </c>
    </row>
    <row r="221" spans="1:8">
      <c r="A221" s="1">
        <v>39567</v>
      </c>
      <c r="B221">
        <v>5.4048091332293264</v>
      </c>
      <c r="C221">
        <v>4.132171621038613</v>
      </c>
      <c r="D221">
        <v>524.83013367950025</v>
      </c>
      <c r="E221">
        <v>35.985065586280982</v>
      </c>
      <c r="F221">
        <v>0.5596835673410826</v>
      </c>
      <c r="G221">
        <v>0.58413262860381232</v>
      </c>
      <c r="H221">
        <v>0.58101895430576878</v>
      </c>
    </row>
    <row r="222" spans="1:8">
      <c r="A222" s="1">
        <v>39568</v>
      </c>
      <c r="B222">
        <v>3.9331130201801159</v>
      </c>
      <c r="C222">
        <v>4.2293332145593281</v>
      </c>
      <c r="D222">
        <v>520.04423787100404</v>
      </c>
      <c r="E222">
        <v>32.804295049330172</v>
      </c>
      <c r="F222">
        <v>0.56335895797687963</v>
      </c>
      <c r="G222">
        <v>0.57499380755116869</v>
      </c>
      <c r="H222">
        <v>0.70466658523141179</v>
      </c>
    </row>
    <row r="223" spans="1:8">
      <c r="A223" s="1">
        <v>39569</v>
      </c>
      <c r="B223">
        <v>3.539626164299563</v>
      </c>
      <c r="C223">
        <v>5.9287442813837936</v>
      </c>
      <c r="D223">
        <v>504.21485581735027</v>
      </c>
      <c r="E223">
        <v>29.479404886603756</v>
      </c>
      <c r="F223">
        <v>0.49484039448890105</v>
      </c>
      <c r="G223">
        <v>0.63250098095748841</v>
      </c>
      <c r="H223">
        <v>0.70373511938304967</v>
      </c>
    </row>
    <row r="224" spans="1:8">
      <c r="A224" s="1">
        <v>39570</v>
      </c>
      <c r="B224">
        <v>4.2699539353225369</v>
      </c>
      <c r="C224">
        <v>3.5195211092666052</v>
      </c>
      <c r="D224">
        <v>512.0954125334639</v>
      </c>
      <c r="E224">
        <v>32.364065055926055</v>
      </c>
      <c r="F224">
        <v>0.53247965997572477</v>
      </c>
      <c r="G224">
        <v>0.59448415690155454</v>
      </c>
      <c r="H224">
        <v>0.72841151445814101</v>
      </c>
    </row>
    <row r="225" spans="1:8">
      <c r="A225" s="1">
        <v>39573</v>
      </c>
      <c r="B225">
        <v>4.1235390138839056</v>
      </c>
      <c r="C225">
        <v>3.5534786878243954</v>
      </c>
      <c r="D225">
        <v>510.58061431085463</v>
      </c>
      <c r="E225">
        <v>36.903494129336003</v>
      </c>
      <c r="F225">
        <v>0.47109218367012301</v>
      </c>
      <c r="G225">
        <v>0.59216002044991989</v>
      </c>
      <c r="H225">
        <v>0.66665199566071198</v>
      </c>
    </row>
    <row r="226" spans="1:8">
      <c r="A226" s="1">
        <v>39574</v>
      </c>
      <c r="B226">
        <v>3.7508946622572434</v>
      </c>
      <c r="C226">
        <v>4.5097113610654365</v>
      </c>
      <c r="D226">
        <v>528.46740663545972</v>
      </c>
      <c r="E226">
        <v>37.516643990649854</v>
      </c>
      <c r="F226">
        <v>0.54005437558644065</v>
      </c>
      <c r="G226">
        <v>0.60532088662288097</v>
      </c>
      <c r="H226">
        <v>0.65391422008088596</v>
      </c>
    </row>
    <row r="227" spans="1:8">
      <c r="A227" s="1">
        <v>39575</v>
      </c>
      <c r="B227">
        <v>3.6678390663509299</v>
      </c>
      <c r="C227">
        <v>5.1068157520096937</v>
      </c>
      <c r="D227">
        <v>503.47547786283184</v>
      </c>
      <c r="E227">
        <v>38.399887603973184</v>
      </c>
      <c r="F227">
        <v>0.59041990773274855</v>
      </c>
      <c r="G227">
        <v>0.54242083692050591</v>
      </c>
      <c r="H227">
        <v>0.63442442952542455</v>
      </c>
    </row>
    <row r="228" spans="1:8">
      <c r="A228" s="1">
        <v>39576</v>
      </c>
      <c r="B228">
        <v>4.8495803260036867</v>
      </c>
      <c r="C228">
        <v>5.0365236380324614</v>
      </c>
      <c r="D228">
        <v>515.01725191078071</v>
      </c>
      <c r="E228">
        <v>34.790589743194225</v>
      </c>
      <c r="F228">
        <v>0.50039775918459373</v>
      </c>
      <c r="G228">
        <v>0.52115058530752068</v>
      </c>
      <c r="H228">
        <v>0.54790741495179196</v>
      </c>
    </row>
    <row r="229" spans="1:8">
      <c r="A229" s="1">
        <v>39577</v>
      </c>
      <c r="B229">
        <v>5.0950194674947999</v>
      </c>
      <c r="C229">
        <v>4.8952623178182195</v>
      </c>
      <c r="D229">
        <v>531.89120342549916</v>
      </c>
      <c r="E229">
        <v>33.062982884434824</v>
      </c>
      <c r="F229">
        <v>0.5187927378811138</v>
      </c>
      <c r="G229">
        <v>0.63485386280584888</v>
      </c>
      <c r="H229">
        <v>0.56871081597272122</v>
      </c>
    </row>
    <row r="230" spans="1:8">
      <c r="A230" s="1">
        <v>39580</v>
      </c>
      <c r="B230">
        <v>5.0866801769967154</v>
      </c>
      <c r="C230">
        <v>3.936573815907126</v>
      </c>
      <c r="D230">
        <v>531.25821464958074</v>
      </c>
      <c r="E230">
        <v>31.181188656280217</v>
      </c>
      <c r="F230">
        <v>0.5358153017593793</v>
      </c>
      <c r="G230">
        <v>0.71505430170664053</v>
      </c>
      <c r="H230">
        <v>0.70611139824594238</v>
      </c>
    </row>
    <row r="231" spans="1:8">
      <c r="A231" s="1">
        <v>39581</v>
      </c>
      <c r="B231">
        <v>4.4114731724418856</v>
      </c>
      <c r="C231">
        <v>5.0192920207462954</v>
      </c>
      <c r="D231">
        <v>519.2054727309112</v>
      </c>
      <c r="E231">
        <v>35.685685150328148</v>
      </c>
      <c r="F231">
        <v>0.54150727631569773</v>
      </c>
      <c r="G231">
        <v>0.61894773953493465</v>
      </c>
      <c r="H231">
        <v>0.58573972653998441</v>
      </c>
    </row>
    <row r="232" spans="1:8">
      <c r="A232" s="1">
        <v>39582</v>
      </c>
      <c r="B232">
        <v>3.9990144467327324</v>
      </c>
      <c r="C232">
        <v>3.9479665099871983</v>
      </c>
      <c r="D232">
        <v>529.87911292912167</v>
      </c>
      <c r="E232">
        <v>39.361406325290467</v>
      </c>
      <c r="F232">
        <v>0.49816301465476648</v>
      </c>
      <c r="G232">
        <v>0.53963215158154565</v>
      </c>
      <c r="H232">
        <v>0.69350582426194274</v>
      </c>
    </row>
    <row r="233" spans="1:8">
      <c r="A233" s="1">
        <v>39583</v>
      </c>
      <c r="B233">
        <v>2.977327569579491</v>
      </c>
      <c r="C233">
        <v>4.2425058531321991</v>
      </c>
      <c r="D233">
        <v>511.91047816198397</v>
      </c>
      <c r="E233">
        <v>35.347135243958355</v>
      </c>
      <c r="F233">
        <v>0.53484880123537415</v>
      </c>
      <c r="G233">
        <v>0.64587683882648117</v>
      </c>
      <c r="H233">
        <v>0.76462341243880994</v>
      </c>
    </row>
    <row r="234" spans="1:8">
      <c r="A234" s="1">
        <v>39584</v>
      </c>
      <c r="B234">
        <v>3.6920142724787341</v>
      </c>
      <c r="C234">
        <v>4.2220589158816706</v>
      </c>
      <c r="D234">
        <v>522.44356745874813</v>
      </c>
      <c r="E234">
        <v>33.771405846790543</v>
      </c>
      <c r="F234">
        <v>0.47559105827187492</v>
      </c>
      <c r="G234">
        <v>0.60444672718333003</v>
      </c>
      <c r="H234">
        <v>0.69652965507099462</v>
      </c>
    </row>
    <row r="235" spans="1:8">
      <c r="A235" s="1">
        <v>39587</v>
      </c>
      <c r="B235">
        <v>4.0722550656608609</v>
      </c>
      <c r="C235">
        <v>4.5581760091225165</v>
      </c>
      <c r="D235">
        <v>535.84391412537207</v>
      </c>
      <c r="E235">
        <v>38.172608937488185</v>
      </c>
      <c r="F235">
        <v>0.53361099568046622</v>
      </c>
      <c r="G235">
        <v>0.63694129844906366</v>
      </c>
      <c r="H235">
        <v>0.61757091284844612</v>
      </c>
    </row>
    <row r="236" spans="1:8">
      <c r="A236" s="1">
        <v>39588</v>
      </c>
      <c r="B236">
        <v>5.4184570923325586</v>
      </c>
      <c r="C236">
        <v>5.3028828518682349</v>
      </c>
      <c r="D236">
        <v>532.67962866541552</v>
      </c>
      <c r="E236">
        <v>35.384784382337159</v>
      </c>
      <c r="F236">
        <v>0.45952470362573322</v>
      </c>
      <c r="G236">
        <v>0.61783305198375937</v>
      </c>
      <c r="H236">
        <v>0.70616022877117879</v>
      </c>
    </row>
    <row r="237" spans="1:8">
      <c r="A237" s="1">
        <v>39589</v>
      </c>
      <c r="B237">
        <v>3.9296493229017622</v>
      </c>
      <c r="C237">
        <v>4.7108988385616088</v>
      </c>
      <c r="D237">
        <v>505.22248773326794</v>
      </c>
      <c r="E237">
        <v>35.640367621654818</v>
      </c>
      <c r="F237">
        <v>0.45485044886748643</v>
      </c>
      <c r="G237">
        <v>0.73969722277879346</v>
      </c>
      <c r="H237">
        <v>0.75501868809194683</v>
      </c>
    </row>
    <row r="238" spans="1:8">
      <c r="A238" s="1">
        <v>39590</v>
      </c>
      <c r="B238">
        <v>4.6462281311365006</v>
      </c>
      <c r="C238">
        <v>4.6793920853314468</v>
      </c>
      <c r="D238">
        <v>520.8770217815154</v>
      </c>
      <c r="E238">
        <v>35.657267305973221</v>
      </c>
      <c r="F238">
        <v>0.59628712759836611</v>
      </c>
      <c r="G238">
        <v>0.55629413169753028</v>
      </c>
      <c r="H238">
        <v>0.74075845407815299</v>
      </c>
    </row>
    <row r="239" spans="1:8">
      <c r="A239" s="1">
        <v>39591</v>
      </c>
      <c r="B239">
        <v>3.9909098187006347</v>
      </c>
      <c r="C239">
        <v>5.1917276248447539</v>
      </c>
      <c r="D239">
        <v>524.87627920148179</v>
      </c>
      <c r="E239">
        <v>37.480584525308821</v>
      </c>
      <c r="F239">
        <v>0.53662763207515485</v>
      </c>
      <c r="G239">
        <v>0.55607386510849488</v>
      </c>
      <c r="H239">
        <v>0.91629789345813872</v>
      </c>
    </row>
    <row r="240" spans="1:8">
      <c r="A240" s="1">
        <v>39594</v>
      </c>
      <c r="B240">
        <v>3.7387494612864582</v>
      </c>
      <c r="C240">
        <v>4.5863941951577925</v>
      </c>
      <c r="D240">
        <v>509.61649928550867</v>
      </c>
      <c r="E240">
        <v>33.866611355859838</v>
      </c>
      <c r="F240">
        <v>0.48766955956982316</v>
      </c>
      <c r="G240">
        <v>0.66149778128264147</v>
      </c>
      <c r="H240">
        <v>0.6579238464092646</v>
      </c>
    </row>
    <row r="241" spans="1:8">
      <c r="A241" s="1">
        <v>39595</v>
      </c>
      <c r="B241">
        <v>3.4171259883814504</v>
      </c>
      <c r="C241">
        <v>4.646400181693374</v>
      </c>
      <c r="D241">
        <v>535.77976508236236</v>
      </c>
      <c r="E241">
        <v>33.689848371381366</v>
      </c>
      <c r="F241">
        <v>0.51590189146354015</v>
      </c>
      <c r="G241">
        <v>0.60208579039004895</v>
      </c>
      <c r="H241">
        <v>0.6385407409046</v>
      </c>
    </row>
    <row r="242" spans="1:8">
      <c r="A242" s="1">
        <v>39596</v>
      </c>
      <c r="B242">
        <v>4.1010122999489971</v>
      </c>
      <c r="C242">
        <v>4.8082597837564807</v>
      </c>
      <c r="D242">
        <v>526.18917830537544</v>
      </c>
      <c r="E242">
        <v>35.852255124951171</v>
      </c>
      <c r="F242">
        <v>0.45209237486702075</v>
      </c>
      <c r="G242">
        <v>0.59794583810732505</v>
      </c>
      <c r="H242">
        <v>0.65548612466584844</v>
      </c>
    </row>
    <row r="243" spans="1:8">
      <c r="A243" s="1">
        <v>39597</v>
      </c>
      <c r="B243">
        <v>3.982448508475247</v>
      </c>
      <c r="C243">
        <v>4.7678355466309235</v>
      </c>
      <c r="D243">
        <v>520.77320588875932</v>
      </c>
      <c r="E243">
        <v>33.551001444953997</v>
      </c>
      <c r="F243">
        <v>0.5232242606957147</v>
      </c>
      <c r="G243">
        <v>0.5655320468149132</v>
      </c>
      <c r="H243">
        <v>0.75965719269968313</v>
      </c>
    </row>
    <row r="244" spans="1:8">
      <c r="A244" s="1">
        <v>39598</v>
      </c>
      <c r="B244">
        <v>3.5188881854201894</v>
      </c>
      <c r="C244">
        <v>4.6284192280448346</v>
      </c>
      <c r="D244">
        <v>513.37310115066987</v>
      </c>
      <c r="E244">
        <v>37.762227167409705</v>
      </c>
      <c r="F244">
        <v>0.53315059943785681</v>
      </c>
      <c r="G244">
        <v>0.52873375585565519</v>
      </c>
      <c r="H244">
        <v>0.74574042416933495</v>
      </c>
    </row>
    <row r="245" spans="1:8">
      <c r="A245" s="1">
        <v>39601</v>
      </c>
      <c r="B245">
        <v>4.0451945706516375</v>
      </c>
      <c r="C245">
        <v>4.8454376943549207</v>
      </c>
      <c r="D245">
        <v>519.00452355689083</v>
      </c>
      <c r="E245">
        <v>35.642670504517604</v>
      </c>
      <c r="F245">
        <v>0.49204959208697568</v>
      </c>
      <c r="G245">
        <v>0.60094980297850265</v>
      </c>
      <c r="H245">
        <v>0.64558354909330129</v>
      </c>
    </row>
    <row r="246" spans="1:8">
      <c r="A246" s="1">
        <v>39602</v>
      </c>
      <c r="B246">
        <v>4.3293056440490183</v>
      </c>
      <c r="C246">
        <v>4.9735249982857219</v>
      </c>
      <c r="D246">
        <v>524.37954965039557</v>
      </c>
      <c r="E246">
        <v>34.09020163698959</v>
      </c>
      <c r="F246">
        <v>0.52456407690637241</v>
      </c>
      <c r="G246">
        <v>0.65085491564215758</v>
      </c>
      <c r="H246">
        <v>0.63980762857907492</v>
      </c>
    </row>
    <row r="247" spans="1:8">
      <c r="A247" s="1">
        <v>39603</v>
      </c>
      <c r="B247">
        <v>4.4084073991577135</v>
      </c>
      <c r="C247">
        <v>3.0899196794115942</v>
      </c>
      <c r="D247">
        <v>527.24277687075869</v>
      </c>
      <c r="E247">
        <v>34.426791358723243</v>
      </c>
      <c r="F247">
        <v>0.49834275200790951</v>
      </c>
      <c r="G247">
        <v>0.55875267602928969</v>
      </c>
      <c r="H247">
        <v>0.64085603959994164</v>
      </c>
    </row>
    <row r="248" spans="1:8">
      <c r="A248" s="1">
        <v>39604</v>
      </c>
      <c r="B248">
        <v>4.2230709941201319</v>
      </c>
      <c r="C248">
        <v>5.4466046687822205</v>
      </c>
      <c r="D248">
        <v>506.15451840392063</v>
      </c>
      <c r="E248">
        <v>36.454221946500361</v>
      </c>
      <c r="F248">
        <v>0.58974958120859688</v>
      </c>
      <c r="G248">
        <v>0.59089435433582482</v>
      </c>
      <c r="H248">
        <v>0.64946431822852502</v>
      </c>
    </row>
    <row r="249" spans="1:8">
      <c r="A249" s="1">
        <v>39605</v>
      </c>
      <c r="B249">
        <v>3.9352012295892083</v>
      </c>
      <c r="C249">
        <v>4.3287060801266017</v>
      </c>
      <c r="D249">
        <v>508.40001166109448</v>
      </c>
      <c r="E249">
        <v>36.647119332857223</v>
      </c>
      <c r="F249">
        <v>0.50741349807190084</v>
      </c>
      <c r="G249">
        <v>0.63622532334431614</v>
      </c>
      <c r="H249">
        <v>0.58084259268424898</v>
      </c>
    </row>
    <row r="250" spans="1:8">
      <c r="A250" s="1">
        <v>39608</v>
      </c>
      <c r="B250">
        <v>5.0560210327752531</v>
      </c>
      <c r="C250">
        <v>3.3771002318937153</v>
      </c>
      <c r="D250">
        <v>516.76870505655813</v>
      </c>
      <c r="E250">
        <v>34.034026625362237</v>
      </c>
      <c r="F250">
        <v>0.48460223733612695</v>
      </c>
      <c r="G250">
        <v>0.64043888982225128</v>
      </c>
      <c r="H250">
        <v>0.72627941877650659</v>
      </c>
    </row>
    <row r="251" spans="1:8">
      <c r="A251" s="1">
        <v>39609</v>
      </c>
      <c r="B251">
        <v>4.7169116115373955</v>
      </c>
      <c r="C251">
        <v>5.5058069337193958</v>
      </c>
      <c r="D251">
        <v>541.37463763131188</v>
      </c>
      <c r="E251">
        <v>35.422873228499355</v>
      </c>
      <c r="F251">
        <v>0.46110173660744369</v>
      </c>
      <c r="G251">
        <v>0.57899493613189612</v>
      </c>
      <c r="H251">
        <v>0.6156454572509823</v>
      </c>
    </row>
    <row r="252" spans="1:8">
      <c r="A252" s="1">
        <v>39610</v>
      </c>
      <c r="B252">
        <v>4.9050469472744371</v>
      </c>
      <c r="C252">
        <v>4.7653234531230311</v>
      </c>
      <c r="D252">
        <v>523.74892620618709</v>
      </c>
      <c r="E252">
        <v>35.461425622630287</v>
      </c>
      <c r="F252">
        <v>0.53404379306119565</v>
      </c>
      <c r="G252">
        <v>0.52933297211828245</v>
      </c>
      <c r="H252">
        <v>0.67758587018820371</v>
      </c>
    </row>
    <row r="253" spans="1:8">
      <c r="A253" s="1">
        <v>39611</v>
      </c>
      <c r="B253">
        <v>4.4952374205715824</v>
      </c>
      <c r="C253">
        <v>4.2463082387042252</v>
      </c>
      <c r="D253">
        <v>526.02622347384647</v>
      </c>
      <c r="E253">
        <v>32.176457104334965</v>
      </c>
      <c r="F253">
        <v>0.50467233877761652</v>
      </c>
      <c r="G253">
        <v>0.54012500643934536</v>
      </c>
      <c r="H253">
        <v>0.67169907129561623</v>
      </c>
    </row>
    <row r="254" spans="1:8">
      <c r="A254" s="1">
        <v>39612</v>
      </c>
      <c r="B254">
        <v>3.702028478791676</v>
      </c>
      <c r="C254">
        <v>3.1943035111756979</v>
      </c>
      <c r="D254">
        <v>502.61992570595123</v>
      </c>
      <c r="E254">
        <v>36.766152659619792</v>
      </c>
      <c r="F254">
        <v>0.46363133892464731</v>
      </c>
      <c r="G254">
        <v>0.56954736382415971</v>
      </c>
      <c r="H254">
        <v>0.65672148042116907</v>
      </c>
    </row>
    <row r="255" spans="1:8">
      <c r="A255" s="1">
        <v>39615</v>
      </c>
      <c r="B255">
        <v>3.9563947847503242</v>
      </c>
      <c r="C255">
        <v>4.6212901962716524</v>
      </c>
      <c r="D255">
        <v>529.38209962628594</v>
      </c>
      <c r="E255">
        <v>34.850554946667295</v>
      </c>
      <c r="F255">
        <v>0.56940753311672654</v>
      </c>
      <c r="G255">
        <v>0.65764818721600182</v>
      </c>
      <c r="H255">
        <v>0.5966888190070434</v>
      </c>
    </row>
    <row r="256" spans="1:8">
      <c r="A256" s="1">
        <v>39616</v>
      </c>
      <c r="B256">
        <v>3.5418606293801811</v>
      </c>
      <c r="C256">
        <v>3.7284430201410914</v>
      </c>
      <c r="D256">
        <v>530.44420181609382</v>
      </c>
      <c r="E256">
        <v>37.554142477725229</v>
      </c>
      <c r="F256">
        <v>0.41494349054197921</v>
      </c>
      <c r="G256">
        <v>0.57409068100669958</v>
      </c>
      <c r="H256">
        <v>0.73220220614702869</v>
      </c>
    </row>
    <row r="257" spans="1:8">
      <c r="A257" s="1">
        <v>39617</v>
      </c>
      <c r="B257">
        <v>4.2227141567568207</v>
      </c>
      <c r="C257">
        <v>4.1677374612987856</v>
      </c>
      <c r="D257">
        <v>519.44951810213342</v>
      </c>
      <c r="E257">
        <v>33.304553471741045</v>
      </c>
      <c r="F257">
        <v>0.46812391663632991</v>
      </c>
      <c r="G257">
        <v>0.65524431423341301</v>
      </c>
      <c r="H257">
        <v>0.65724165522941969</v>
      </c>
    </row>
    <row r="258" spans="1:8">
      <c r="A258" s="1">
        <v>39618</v>
      </c>
      <c r="B258">
        <v>3.7659545890521593</v>
      </c>
      <c r="C258">
        <v>4.5783472022696383</v>
      </c>
      <c r="D258">
        <v>523.605589829834</v>
      </c>
      <c r="E258">
        <v>38.895566472245527</v>
      </c>
      <c r="F258">
        <v>0.64689106310319322</v>
      </c>
      <c r="G258">
        <v>0.55349022209912402</v>
      </c>
      <c r="H258">
        <v>0.7790144357160419</v>
      </c>
    </row>
    <row r="259" spans="1:8">
      <c r="A259" s="1">
        <v>39619</v>
      </c>
      <c r="B259">
        <v>3.1454153940944707</v>
      </c>
      <c r="C259">
        <v>5.1740321732037904</v>
      </c>
      <c r="D259">
        <v>528.55979127075955</v>
      </c>
      <c r="E259">
        <v>33.919461429325189</v>
      </c>
      <c r="F259">
        <v>0.54623608208482466</v>
      </c>
      <c r="G259">
        <v>0.60270693453026281</v>
      </c>
      <c r="H259">
        <v>0.77345502710757141</v>
      </c>
    </row>
    <row r="260" spans="1:8">
      <c r="A260" s="1">
        <v>39622</v>
      </c>
      <c r="B260">
        <v>4.6832393239090386</v>
      </c>
      <c r="C260">
        <v>4.7414996102087308</v>
      </c>
      <c r="D260">
        <v>525.36718951068679</v>
      </c>
      <c r="E260">
        <v>38.485861775591921</v>
      </c>
      <c r="F260">
        <v>0.47776233711918875</v>
      </c>
      <c r="G260">
        <v>0.62958068471110695</v>
      </c>
      <c r="H260">
        <v>0.72598543429776852</v>
      </c>
    </row>
    <row r="261" spans="1:8">
      <c r="A261" s="1">
        <v>39623</v>
      </c>
      <c r="B261">
        <v>5.8711719128293582</v>
      </c>
      <c r="C261">
        <v>5.0987484819949671</v>
      </c>
      <c r="D261">
        <v>533.19125715192445</v>
      </c>
      <c r="E261">
        <v>36.899199461143745</v>
      </c>
      <c r="F261">
        <v>0.5575508406695423</v>
      </c>
      <c r="G261">
        <v>0.64993833105661469</v>
      </c>
      <c r="H261">
        <v>0.60552694876039026</v>
      </c>
    </row>
    <row r="262" spans="1:8">
      <c r="A262" s="1">
        <v>39624</v>
      </c>
      <c r="B262">
        <v>4.2518454279157547</v>
      </c>
      <c r="C262">
        <v>4.5789523553949154</v>
      </c>
      <c r="D262">
        <v>530.57190950356187</v>
      </c>
      <c r="E262">
        <v>34.175484378602498</v>
      </c>
      <c r="F262">
        <v>0.54984737574287113</v>
      </c>
      <c r="G262">
        <v>0.74771543293647225</v>
      </c>
      <c r="H262">
        <v>0.69798298284155447</v>
      </c>
    </row>
    <row r="263" spans="1:8">
      <c r="A263" s="1">
        <v>39625</v>
      </c>
      <c r="B263">
        <v>4.5183979292786054</v>
      </c>
      <c r="C263">
        <v>4.6873623576759718</v>
      </c>
      <c r="D263">
        <v>510.79331963359488</v>
      </c>
      <c r="E263">
        <v>36.152700771613233</v>
      </c>
      <c r="F263">
        <v>0.59365408416136078</v>
      </c>
      <c r="G263">
        <v>0.64227219391795154</v>
      </c>
      <c r="H263">
        <v>0.62799142644401018</v>
      </c>
    </row>
    <row r="264" spans="1:8">
      <c r="A264" s="1"/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D41C-20D1-45B8-9F5A-4479BA7BEE78}">
  <dimension ref="A1:H263"/>
  <sheetViews>
    <sheetView workbookViewId="0">
      <pane ySplit="2" topLeftCell="A245" activePane="bottomLeft" state="frozen"/>
      <selection activeCell="C1" sqref="C1"/>
      <selection pane="bottomLeft" activeCell="A3" sqref="A3:A263"/>
    </sheetView>
  </sheetViews>
  <sheetFormatPr defaultColWidth="14.36328125" defaultRowHeight="14.5"/>
  <cols>
    <col min="1" max="1" width="10.453125" style="1" customWidth="1"/>
    <col min="2" max="3" width="18.81640625" customWidth="1"/>
    <col min="4" max="4" width="15.7265625" customWidth="1"/>
    <col min="6" max="7" width="10.54296875" customWidth="1"/>
    <col min="8" max="8" width="17.453125" customWidth="1"/>
  </cols>
  <sheetData>
    <row r="1" spans="1:8">
      <c r="B1" s="8" t="s">
        <v>40</v>
      </c>
      <c r="C1" s="8"/>
      <c r="D1" s="8"/>
      <c r="E1" s="8"/>
      <c r="F1" t="s">
        <v>41</v>
      </c>
      <c r="G1" t="s">
        <v>42</v>
      </c>
      <c r="H1" t="s">
        <v>43</v>
      </c>
    </row>
    <row r="2" spans="1:8" ht="69" customHeight="1">
      <c r="B2" t="s">
        <v>1</v>
      </c>
      <c r="C2" t="s">
        <v>2</v>
      </c>
      <c r="D2" t="s">
        <v>3</v>
      </c>
      <c r="E2" t="s">
        <v>4</v>
      </c>
      <c r="F2" s="2" t="s">
        <v>8</v>
      </c>
      <c r="G2" s="2" t="s">
        <v>7</v>
      </c>
      <c r="H2" s="2" t="s">
        <v>6</v>
      </c>
    </row>
    <row r="3" spans="1:8">
      <c r="A3" s="1">
        <v>39261</v>
      </c>
      <c r="B3">
        <v>4.2673966662970146</v>
      </c>
      <c r="C3">
        <v>4.5673966662970145</v>
      </c>
      <c r="D3">
        <v>521.43895533915895</v>
      </c>
      <c r="E3">
        <v>36.962945087936532</v>
      </c>
      <c r="F3">
        <v>0.51</v>
      </c>
      <c r="G3">
        <v>0.58622522308595848</v>
      </c>
      <c r="H3">
        <v>0.1693000030517578</v>
      </c>
    </row>
    <row r="4" spans="1:8">
      <c r="A4" s="1">
        <v>39262</v>
      </c>
      <c r="B4">
        <v>4.2673966662970146</v>
      </c>
      <c r="C4">
        <v>4.5673966662970145</v>
      </c>
      <c r="D4">
        <v>521.43895533915895</v>
      </c>
      <c r="E4">
        <v>36.962945087936532</v>
      </c>
      <c r="F4">
        <v>0.51</v>
      </c>
      <c r="G4">
        <v>0.66683918678009313</v>
      </c>
      <c r="H4">
        <v>0.17030000686645511</v>
      </c>
    </row>
    <row r="5" spans="1:8">
      <c r="A5" s="1">
        <v>39265</v>
      </c>
      <c r="B5">
        <v>4.2673966662970146</v>
      </c>
      <c r="C5">
        <v>4.5673966662970145</v>
      </c>
      <c r="D5">
        <v>521.43895533915895</v>
      </c>
      <c r="E5">
        <v>36.962945087936532</v>
      </c>
      <c r="F5">
        <v>0.51</v>
      </c>
      <c r="G5">
        <v>0.57386830467479677</v>
      </c>
      <c r="H5">
        <v>0.17120000839233401</v>
      </c>
    </row>
    <row r="6" spans="1:8">
      <c r="A6" s="1">
        <v>39266</v>
      </c>
      <c r="B6">
        <v>4.2673966662970146</v>
      </c>
      <c r="C6">
        <v>4.5673966662970145</v>
      </c>
      <c r="D6">
        <v>521.43895533915895</v>
      </c>
      <c r="E6">
        <v>36.962945087936532</v>
      </c>
      <c r="F6">
        <v>0.51</v>
      </c>
      <c r="G6">
        <v>0.55415584496385106</v>
      </c>
      <c r="H6">
        <v>0.17989999771118159</v>
      </c>
    </row>
    <row r="7" spans="1:8">
      <c r="A7" s="1">
        <v>39267</v>
      </c>
      <c r="B7">
        <v>4.2673966662970146</v>
      </c>
      <c r="C7">
        <v>4.5673966662970145</v>
      </c>
      <c r="D7">
        <v>521.43895533915895</v>
      </c>
      <c r="E7">
        <v>36.962945087936532</v>
      </c>
      <c r="F7">
        <v>0.5</v>
      </c>
      <c r="G7">
        <v>0.70278174603160293</v>
      </c>
      <c r="H7">
        <v>0.16870000839233401</v>
      </c>
    </row>
    <row r="8" spans="1:8">
      <c r="A8" s="1">
        <v>39268</v>
      </c>
      <c r="B8">
        <v>4.2673966662970146</v>
      </c>
      <c r="C8">
        <v>4.5673966662970145</v>
      </c>
      <c r="D8">
        <v>521.43895533915895</v>
      </c>
      <c r="E8">
        <v>36.962945087936532</v>
      </c>
      <c r="F8">
        <v>0.52</v>
      </c>
      <c r="G8">
        <v>0.69285183625186297</v>
      </c>
      <c r="H8">
        <v>0.17209999084472699</v>
      </c>
    </row>
    <row r="9" spans="1:8">
      <c r="A9" s="1">
        <v>39269</v>
      </c>
      <c r="B9">
        <v>4.2673966662970146</v>
      </c>
      <c r="C9">
        <v>4.5673966662970145</v>
      </c>
      <c r="D9">
        <v>521.43895533915895</v>
      </c>
      <c r="E9">
        <v>36.962945087936532</v>
      </c>
      <c r="F9">
        <v>0.52</v>
      </c>
      <c r="G9">
        <v>0.621093074066142</v>
      </c>
      <c r="H9">
        <v>0.18530000686645509</v>
      </c>
    </row>
    <row r="10" spans="1:8">
      <c r="A10" s="1">
        <v>39272</v>
      </c>
      <c r="B10">
        <v>4.2673966662970146</v>
      </c>
      <c r="C10">
        <v>4.5673966662970145</v>
      </c>
      <c r="D10">
        <v>521.43895533915895</v>
      </c>
      <c r="E10">
        <v>36.962945087936532</v>
      </c>
      <c r="F10">
        <v>0.51</v>
      </c>
      <c r="G10">
        <v>0.62999664878446027</v>
      </c>
      <c r="H10">
        <v>0.2003000068664551</v>
      </c>
    </row>
    <row r="11" spans="1:8">
      <c r="A11" s="1">
        <v>39273</v>
      </c>
      <c r="B11">
        <v>4.2673966662970146</v>
      </c>
      <c r="C11">
        <v>4.5673966662970145</v>
      </c>
      <c r="D11">
        <v>521.43895533915895</v>
      </c>
      <c r="E11">
        <v>36.962945087936532</v>
      </c>
      <c r="F11">
        <v>0.51</v>
      </c>
      <c r="G11">
        <v>0.6105303019955014</v>
      </c>
      <c r="H11">
        <v>0.1913999938964844</v>
      </c>
    </row>
    <row r="12" spans="1:8">
      <c r="A12" s="1">
        <v>39274</v>
      </c>
      <c r="B12">
        <v>4.2673966662970146</v>
      </c>
      <c r="C12">
        <v>4.5673966662970145</v>
      </c>
      <c r="D12">
        <v>521.43895533915895</v>
      </c>
      <c r="E12">
        <v>36.962945087936532</v>
      </c>
      <c r="F12">
        <v>0.51</v>
      </c>
      <c r="G12">
        <v>0.62792873634441904</v>
      </c>
      <c r="H12">
        <v>0.1795000076293945</v>
      </c>
    </row>
    <row r="13" spans="1:8">
      <c r="A13" s="1">
        <v>39275</v>
      </c>
      <c r="B13">
        <v>4.2673966662970146</v>
      </c>
      <c r="C13">
        <v>4.5673966662970145</v>
      </c>
      <c r="D13">
        <v>521.43895533915895</v>
      </c>
      <c r="E13">
        <v>36.962945087936532</v>
      </c>
      <c r="F13">
        <v>0.48</v>
      </c>
      <c r="G13">
        <v>0.68700411403614692</v>
      </c>
      <c r="H13">
        <v>0.15649999618530269</v>
      </c>
    </row>
    <row r="14" spans="1:8">
      <c r="A14" s="1">
        <v>39276</v>
      </c>
      <c r="B14">
        <v>4.2673966662970146</v>
      </c>
      <c r="C14">
        <v>4.5673966662970145</v>
      </c>
      <c r="D14">
        <v>521.43895533915895</v>
      </c>
      <c r="E14">
        <v>36.962945087936532</v>
      </c>
      <c r="F14">
        <v>0.5</v>
      </c>
      <c r="G14">
        <v>0.54610545978927516</v>
      </c>
      <c r="H14">
        <v>0.1460000038146973</v>
      </c>
    </row>
    <row r="15" spans="1:8">
      <c r="A15" s="1">
        <v>39279</v>
      </c>
      <c r="B15">
        <v>4.2673966662970146</v>
      </c>
      <c r="C15">
        <v>4.5673966662970145</v>
      </c>
      <c r="D15">
        <v>521.43895533915895</v>
      </c>
      <c r="E15">
        <v>36.962945087936532</v>
      </c>
      <c r="F15">
        <v>0.5</v>
      </c>
      <c r="G15">
        <v>0.56237300256745582</v>
      </c>
      <c r="H15">
        <v>0.1472999954223633</v>
      </c>
    </row>
    <row r="16" spans="1:8">
      <c r="A16" s="1">
        <v>39280</v>
      </c>
      <c r="B16">
        <v>4.2673966662970146</v>
      </c>
      <c r="C16">
        <v>4.5673966662970145</v>
      </c>
      <c r="D16">
        <v>521.43895533915895</v>
      </c>
      <c r="E16">
        <v>36.962945087936532</v>
      </c>
      <c r="F16">
        <v>0.49</v>
      </c>
      <c r="G16">
        <v>0.61849848957673326</v>
      </c>
      <c r="H16">
        <v>0.13960000038146969</v>
      </c>
    </row>
    <row r="17" spans="1:8">
      <c r="A17" s="1">
        <v>39281</v>
      </c>
      <c r="B17">
        <v>4.2673966662970146</v>
      </c>
      <c r="C17">
        <v>4.5673966662970145</v>
      </c>
      <c r="D17">
        <v>521.43895533915895</v>
      </c>
      <c r="E17">
        <v>36.962945087936532</v>
      </c>
      <c r="F17">
        <v>0.5</v>
      </c>
      <c r="G17">
        <v>0.5490880808649935</v>
      </c>
      <c r="H17">
        <v>0.139399995803833</v>
      </c>
    </row>
    <row r="18" spans="1:8">
      <c r="A18" s="1">
        <v>39282</v>
      </c>
      <c r="B18">
        <v>4.2673966662970146</v>
      </c>
      <c r="C18">
        <v>4.5673966662970145</v>
      </c>
      <c r="D18">
        <v>521.43895533915895</v>
      </c>
      <c r="E18">
        <v>36.962945087936532</v>
      </c>
      <c r="F18">
        <v>0.5</v>
      </c>
      <c r="G18">
        <v>0.5723193563041219</v>
      </c>
      <c r="H18">
        <v>0.1501000022888184</v>
      </c>
    </row>
    <row r="19" spans="1:8">
      <c r="A19" s="1">
        <v>39283</v>
      </c>
      <c r="B19">
        <v>4.2673966662970146</v>
      </c>
      <c r="C19">
        <v>4.5673966662970145</v>
      </c>
      <c r="D19">
        <v>521.43895533915895</v>
      </c>
      <c r="E19">
        <v>36.962945087936532</v>
      </c>
      <c r="F19">
        <v>0.5</v>
      </c>
      <c r="G19">
        <v>0.64795072415992583</v>
      </c>
      <c r="H19">
        <v>0.1460999965667725</v>
      </c>
    </row>
    <row r="20" spans="1:8">
      <c r="A20" s="1">
        <v>39286</v>
      </c>
      <c r="B20">
        <v>4.2673966662970146</v>
      </c>
      <c r="C20">
        <v>4.5673966662970145</v>
      </c>
      <c r="D20">
        <v>521.43895533915895</v>
      </c>
      <c r="E20">
        <v>36.962945087936532</v>
      </c>
      <c r="F20">
        <v>0.5</v>
      </c>
      <c r="G20">
        <v>0.64830968054183546</v>
      </c>
      <c r="H20">
        <v>0.13880000114440921</v>
      </c>
    </row>
    <row r="21" spans="1:8">
      <c r="A21" s="1">
        <v>39287</v>
      </c>
      <c r="B21">
        <v>4.2673966662970146</v>
      </c>
      <c r="C21">
        <v>4.5673966662970145</v>
      </c>
      <c r="D21">
        <v>521.43895533915895</v>
      </c>
      <c r="E21">
        <v>36.962945087936532</v>
      </c>
      <c r="F21">
        <v>0.51</v>
      </c>
      <c r="G21">
        <v>0.58562395283447943</v>
      </c>
      <c r="H21">
        <v>0.14499999999999999</v>
      </c>
    </row>
    <row r="22" spans="1:8">
      <c r="A22" s="1">
        <v>39288</v>
      </c>
      <c r="B22">
        <v>4.2673966662970146</v>
      </c>
      <c r="C22">
        <v>4.5673966662970145</v>
      </c>
      <c r="D22">
        <v>521.43895533915895</v>
      </c>
      <c r="E22">
        <v>36.962945087936532</v>
      </c>
      <c r="F22">
        <v>0.5</v>
      </c>
      <c r="G22">
        <v>0.63961398005752579</v>
      </c>
      <c r="H22">
        <v>0.1353999996185303</v>
      </c>
    </row>
    <row r="23" spans="1:8">
      <c r="A23" s="1">
        <v>39289</v>
      </c>
      <c r="B23">
        <v>4.2673966662970146</v>
      </c>
      <c r="C23">
        <v>4.5673966662970145</v>
      </c>
      <c r="D23">
        <v>521.43895533915895</v>
      </c>
      <c r="E23">
        <v>36.962945087936532</v>
      </c>
      <c r="F23">
        <v>0.47</v>
      </c>
      <c r="G23">
        <v>0.52112815268353818</v>
      </c>
      <c r="H23">
        <v>0.1290999984741211</v>
      </c>
    </row>
    <row r="24" spans="1:8">
      <c r="A24" s="1">
        <v>39290</v>
      </c>
      <c r="B24">
        <v>4.2673966662970146</v>
      </c>
      <c r="C24">
        <v>4.5673966662970145</v>
      </c>
      <c r="D24">
        <v>521.43895533915895</v>
      </c>
      <c r="E24">
        <v>36.962945087936532</v>
      </c>
      <c r="F24">
        <v>0.47</v>
      </c>
      <c r="G24">
        <v>0.56916153528158875</v>
      </c>
      <c r="H24">
        <v>0.13439999580383299</v>
      </c>
    </row>
    <row r="25" spans="1:8">
      <c r="A25" s="1">
        <v>39293</v>
      </c>
      <c r="B25">
        <v>4.2673966662970146</v>
      </c>
      <c r="C25">
        <v>4.5673966662970145</v>
      </c>
      <c r="D25">
        <v>521.43895533915895</v>
      </c>
      <c r="E25">
        <v>36.962945087936532</v>
      </c>
      <c r="F25">
        <v>0.47</v>
      </c>
      <c r="G25">
        <v>0.58837664267330225</v>
      </c>
      <c r="H25">
        <v>0.14249999999999999</v>
      </c>
    </row>
    <row r="26" spans="1:8">
      <c r="A26" s="1">
        <v>39294</v>
      </c>
      <c r="B26">
        <v>4.2673966662970146</v>
      </c>
      <c r="C26">
        <v>4.5673966662970145</v>
      </c>
      <c r="D26">
        <v>521.43895533915895</v>
      </c>
      <c r="E26">
        <v>36.962945087936532</v>
      </c>
      <c r="F26">
        <v>0.48</v>
      </c>
      <c r="G26">
        <v>0.63541026699596581</v>
      </c>
      <c r="H26">
        <v>0.13739999771118161</v>
      </c>
    </row>
    <row r="27" spans="1:8">
      <c r="A27" s="1">
        <v>39295</v>
      </c>
      <c r="B27">
        <v>4.2673966662970146</v>
      </c>
      <c r="C27">
        <v>4.5673966662970145</v>
      </c>
      <c r="D27">
        <v>521.43895533915895</v>
      </c>
      <c r="E27">
        <v>36.962945087936532</v>
      </c>
      <c r="F27">
        <v>0.48</v>
      </c>
      <c r="G27">
        <v>0.70391436543514851</v>
      </c>
      <c r="H27">
        <v>0.13430000305175779</v>
      </c>
    </row>
    <row r="28" spans="1:8">
      <c r="A28" s="1">
        <v>39296</v>
      </c>
      <c r="B28">
        <v>4.2673966662970146</v>
      </c>
      <c r="C28">
        <v>4.5673966662970145</v>
      </c>
      <c r="D28">
        <v>521.43895533915895</v>
      </c>
      <c r="E28">
        <v>36.962945087936532</v>
      </c>
      <c r="F28">
        <v>0.47</v>
      </c>
      <c r="G28">
        <v>0.51855134902046418</v>
      </c>
      <c r="H28">
        <v>0.1356999969482422</v>
      </c>
    </row>
    <row r="29" spans="1:8">
      <c r="A29" s="1">
        <v>39297</v>
      </c>
      <c r="B29">
        <v>4.2673966662970146</v>
      </c>
      <c r="C29">
        <v>4.5673966662970145</v>
      </c>
      <c r="D29">
        <v>521.43895533915895</v>
      </c>
      <c r="E29">
        <v>36.962945087936532</v>
      </c>
      <c r="F29">
        <v>0.48</v>
      </c>
      <c r="G29">
        <v>0.61345519090253953</v>
      </c>
      <c r="H29">
        <v>0.1418000030517578</v>
      </c>
    </row>
    <row r="30" spans="1:8">
      <c r="A30" s="1">
        <v>39300</v>
      </c>
      <c r="B30">
        <v>4.2673966662970146</v>
      </c>
      <c r="C30">
        <v>4.5673966662970145</v>
      </c>
      <c r="D30">
        <v>521.43895533915895</v>
      </c>
      <c r="E30">
        <v>36.962945087936532</v>
      </c>
      <c r="F30">
        <v>0.48</v>
      </c>
      <c r="G30">
        <v>0.51267059103647528</v>
      </c>
      <c r="H30">
        <v>0.15439999580383301</v>
      </c>
    </row>
    <row r="31" spans="1:8">
      <c r="A31" s="1">
        <v>39301</v>
      </c>
      <c r="B31">
        <v>4.2673966662970146</v>
      </c>
      <c r="C31">
        <v>4.5673966662970145</v>
      </c>
      <c r="D31">
        <v>521.43895533915895</v>
      </c>
      <c r="E31">
        <v>36.962945087936532</v>
      </c>
      <c r="F31">
        <v>0.47</v>
      </c>
      <c r="G31">
        <v>0.60845553352886794</v>
      </c>
      <c r="H31">
        <v>0.14829999923706061</v>
      </c>
    </row>
    <row r="32" spans="1:8">
      <c r="A32" s="1">
        <v>39302</v>
      </c>
      <c r="B32">
        <v>4.2673966662970146</v>
      </c>
      <c r="C32">
        <v>4.5673966662970145</v>
      </c>
      <c r="D32">
        <v>521.43895533915895</v>
      </c>
      <c r="E32">
        <v>36.962945087936532</v>
      </c>
      <c r="F32">
        <v>0.47</v>
      </c>
      <c r="G32">
        <v>0.54511387598976946</v>
      </c>
      <c r="H32">
        <v>0.15069999694824221</v>
      </c>
    </row>
    <row r="33" spans="1:8">
      <c r="A33" s="1">
        <v>39303</v>
      </c>
      <c r="B33">
        <v>4.2673966662970146</v>
      </c>
      <c r="C33">
        <v>4.5673966662970145</v>
      </c>
      <c r="D33">
        <v>521.43895533915895</v>
      </c>
      <c r="E33">
        <v>36.962945087936532</v>
      </c>
      <c r="F33">
        <v>0.45</v>
      </c>
      <c r="G33">
        <v>0.55684118011393369</v>
      </c>
      <c r="H33">
        <v>0.13609999656677249</v>
      </c>
    </row>
    <row r="34" spans="1:8">
      <c r="A34" s="1">
        <v>39304</v>
      </c>
      <c r="B34">
        <v>4.2673966662970146</v>
      </c>
      <c r="C34">
        <v>4.5673966662970145</v>
      </c>
      <c r="D34">
        <v>521.43895533915895</v>
      </c>
      <c r="E34">
        <v>36.962945087936532</v>
      </c>
      <c r="F34">
        <v>0.45</v>
      </c>
      <c r="G34">
        <v>0.62349789337206762</v>
      </c>
      <c r="H34">
        <v>0.13340000152587889</v>
      </c>
    </row>
    <row r="35" spans="1:8">
      <c r="A35" s="1">
        <v>39307</v>
      </c>
      <c r="B35">
        <v>4.2673966662970146</v>
      </c>
      <c r="C35">
        <v>4.5673966662970145</v>
      </c>
      <c r="D35">
        <v>521.43895533915895</v>
      </c>
      <c r="E35">
        <v>36.962945087936532</v>
      </c>
      <c r="F35">
        <v>0.47</v>
      </c>
      <c r="G35">
        <v>0.54459865420828146</v>
      </c>
      <c r="H35">
        <v>0.13479999542236329</v>
      </c>
    </row>
    <row r="36" spans="1:8">
      <c r="A36" s="1">
        <v>39308</v>
      </c>
      <c r="B36">
        <v>4.2673966662970146</v>
      </c>
      <c r="C36">
        <v>4.5673966662970145</v>
      </c>
      <c r="D36">
        <v>521.43895533915895</v>
      </c>
      <c r="E36">
        <v>36.962945087936532</v>
      </c>
      <c r="F36">
        <v>0.47</v>
      </c>
      <c r="G36">
        <v>0.55110036484791536</v>
      </c>
      <c r="H36">
        <v>0.13300000190734859</v>
      </c>
    </row>
    <row r="37" spans="1:8">
      <c r="A37" s="1">
        <v>39309</v>
      </c>
      <c r="B37">
        <v>4.2673966662970146</v>
      </c>
      <c r="C37">
        <v>4.5673966662970145</v>
      </c>
      <c r="D37">
        <v>521.43895533915895</v>
      </c>
      <c r="E37">
        <v>36.962945087936532</v>
      </c>
      <c r="F37">
        <v>0.47</v>
      </c>
      <c r="G37">
        <v>0.55915909506694206</v>
      </c>
      <c r="H37">
        <v>0.13760000228881841</v>
      </c>
    </row>
    <row r="38" spans="1:8">
      <c r="A38" s="1">
        <v>39310</v>
      </c>
      <c r="B38">
        <v>4.2673966662970146</v>
      </c>
      <c r="C38">
        <v>4.5673966662970145</v>
      </c>
      <c r="D38">
        <v>521.43895533915895</v>
      </c>
      <c r="E38">
        <v>36.962945087936532</v>
      </c>
      <c r="F38">
        <v>0.48</v>
      </c>
      <c r="G38">
        <v>0.67889574065689384</v>
      </c>
      <c r="H38">
        <v>0.13909999847412111</v>
      </c>
    </row>
    <row r="39" spans="1:8">
      <c r="A39" s="1">
        <v>39311</v>
      </c>
      <c r="B39">
        <v>4.2673966662970146</v>
      </c>
      <c r="C39">
        <v>4.5673966662970145</v>
      </c>
      <c r="D39">
        <v>521.43895533915895</v>
      </c>
      <c r="E39">
        <v>36.962945087936532</v>
      </c>
      <c r="F39">
        <v>0.47</v>
      </c>
      <c r="G39">
        <v>0.6321300856211518</v>
      </c>
      <c r="H39">
        <v>0.13859999656677249</v>
      </c>
    </row>
    <row r="40" spans="1:8">
      <c r="A40" s="1">
        <v>39314</v>
      </c>
      <c r="B40">
        <v>4.2673966662970146</v>
      </c>
      <c r="C40">
        <v>4.5673966662970145</v>
      </c>
      <c r="D40">
        <v>521.43895533915895</v>
      </c>
      <c r="E40">
        <v>36.962945087936532</v>
      </c>
      <c r="F40">
        <v>0.48</v>
      </c>
      <c r="G40">
        <v>0.64850117488960368</v>
      </c>
      <c r="H40">
        <v>0.13189999580383299</v>
      </c>
    </row>
    <row r="41" spans="1:8">
      <c r="A41" s="1">
        <v>39315</v>
      </c>
      <c r="B41">
        <v>4.2673966662970146</v>
      </c>
      <c r="C41">
        <v>4.5673966662970145</v>
      </c>
      <c r="D41">
        <v>521.43895533915895</v>
      </c>
      <c r="E41">
        <v>36.962945087936532</v>
      </c>
      <c r="F41">
        <v>0.48</v>
      </c>
      <c r="G41">
        <v>0.64653763471706904</v>
      </c>
      <c r="H41">
        <v>0.14409999847412111</v>
      </c>
    </row>
    <row r="42" spans="1:8">
      <c r="A42" s="1">
        <v>39316</v>
      </c>
      <c r="B42">
        <v>4.2673966662970146</v>
      </c>
      <c r="C42">
        <v>4.5673966662970145</v>
      </c>
      <c r="D42">
        <v>521.43895533915895</v>
      </c>
      <c r="E42">
        <v>36.962945087936532</v>
      </c>
      <c r="F42">
        <v>0.46</v>
      </c>
      <c r="G42">
        <v>0.59888175114452324</v>
      </c>
      <c r="H42">
        <v>0.13329999923706051</v>
      </c>
    </row>
    <row r="43" spans="1:8">
      <c r="A43" s="1">
        <v>39317</v>
      </c>
      <c r="B43">
        <v>4.2673966662970146</v>
      </c>
      <c r="C43">
        <v>4.5673966662970145</v>
      </c>
      <c r="D43">
        <v>521.43895533915895</v>
      </c>
      <c r="E43">
        <v>36.962945087936532</v>
      </c>
      <c r="F43">
        <v>0.49</v>
      </c>
      <c r="G43">
        <v>0.55461566734699941</v>
      </c>
      <c r="H43">
        <v>0.16090000152587891</v>
      </c>
    </row>
    <row r="44" spans="1:8">
      <c r="A44" s="1">
        <v>39318</v>
      </c>
      <c r="B44">
        <v>4.2673966662970146</v>
      </c>
      <c r="C44">
        <v>4.5673966662970145</v>
      </c>
      <c r="D44">
        <v>521.43895533915895</v>
      </c>
      <c r="E44">
        <v>36.962945087936532</v>
      </c>
      <c r="F44">
        <v>0.49</v>
      </c>
      <c r="G44">
        <v>0.59072812469350178</v>
      </c>
      <c r="H44">
        <v>0.15920000076293939</v>
      </c>
    </row>
    <row r="45" spans="1:8">
      <c r="A45" s="1">
        <v>39321</v>
      </c>
      <c r="B45">
        <v>4.2673966662970146</v>
      </c>
      <c r="C45">
        <v>4.5673966662970145</v>
      </c>
      <c r="D45">
        <v>521.43895533915895</v>
      </c>
      <c r="E45">
        <v>36.962945087936532</v>
      </c>
      <c r="F45">
        <v>0.5</v>
      </c>
      <c r="G45">
        <v>0.56711515849707372</v>
      </c>
      <c r="H45">
        <v>0.17100000381469729</v>
      </c>
    </row>
    <row r="46" spans="1:8">
      <c r="A46" s="1">
        <v>39322</v>
      </c>
      <c r="B46">
        <v>4.2673966662970146</v>
      </c>
      <c r="C46">
        <v>4.5673966662970145</v>
      </c>
      <c r="D46">
        <v>521.43895533915895</v>
      </c>
      <c r="E46">
        <v>36.962945087936532</v>
      </c>
      <c r="F46">
        <v>0.47</v>
      </c>
      <c r="G46">
        <v>0.57358676878670511</v>
      </c>
      <c r="H46">
        <v>0.15770000457763669</v>
      </c>
    </row>
    <row r="47" spans="1:8">
      <c r="A47" s="1">
        <v>39323</v>
      </c>
      <c r="B47">
        <v>4.2673966662970146</v>
      </c>
      <c r="C47">
        <v>4.5673966662970145</v>
      </c>
      <c r="D47">
        <v>521.43895533915895</v>
      </c>
      <c r="E47">
        <v>36.962945087936532</v>
      </c>
      <c r="F47">
        <v>0.48</v>
      </c>
      <c r="G47">
        <v>0.61997431410093384</v>
      </c>
      <c r="H47">
        <v>0.1598999977111816</v>
      </c>
    </row>
    <row r="48" spans="1:8">
      <c r="A48" s="1">
        <v>39324</v>
      </c>
      <c r="B48">
        <v>4.2673966662970146</v>
      </c>
      <c r="C48">
        <v>4.5673966662970145</v>
      </c>
      <c r="D48">
        <v>521.43895533915895</v>
      </c>
      <c r="E48">
        <v>36.962945087936532</v>
      </c>
      <c r="F48">
        <v>0.49</v>
      </c>
      <c r="G48">
        <v>0.61042914720553454</v>
      </c>
      <c r="H48">
        <v>0.1484000015258789</v>
      </c>
    </row>
    <row r="49" spans="1:8">
      <c r="A49" s="1">
        <v>39325</v>
      </c>
      <c r="B49">
        <v>4.2673966662970146</v>
      </c>
      <c r="C49">
        <v>4.5673966662970145</v>
      </c>
      <c r="D49">
        <v>521.43895533915895</v>
      </c>
      <c r="E49">
        <v>36.962945087936532</v>
      </c>
      <c r="F49">
        <v>0.46</v>
      </c>
      <c r="G49">
        <v>0.45604114211023883</v>
      </c>
      <c r="H49">
        <v>0.14819999694824221</v>
      </c>
    </row>
    <row r="50" spans="1:8">
      <c r="A50" s="1">
        <v>39328</v>
      </c>
      <c r="B50">
        <v>4.2673966662970146</v>
      </c>
      <c r="C50">
        <v>4.5673966662970145</v>
      </c>
      <c r="D50">
        <v>521.43895533915895</v>
      </c>
      <c r="E50">
        <v>36.962945087936532</v>
      </c>
      <c r="F50">
        <v>0.46</v>
      </c>
      <c r="G50">
        <v>0.53293281627236999</v>
      </c>
      <c r="H50">
        <v>0.1645999908447266</v>
      </c>
    </row>
    <row r="51" spans="1:8">
      <c r="A51" s="1">
        <v>39329</v>
      </c>
      <c r="B51">
        <v>4.2673966662970146</v>
      </c>
      <c r="C51">
        <v>4.5673966662970145</v>
      </c>
      <c r="D51">
        <v>521.43895533915895</v>
      </c>
      <c r="E51">
        <v>36.962945087936532</v>
      </c>
      <c r="F51">
        <v>0.46</v>
      </c>
      <c r="G51">
        <v>0.6381689915146882</v>
      </c>
      <c r="H51">
        <v>0.1678000068664551</v>
      </c>
    </row>
    <row r="52" spans="1:8">
      <c r="A52" s="1">
        <v>39330</v>
      </c>
      <c r="B52">
        <v>4.2673966662970146</v>
      </c>
      <c r="C52">
        <v>4.5673966662970145</v>
      </c>
      <c r="D52">
        <v>521.43895533915895</v>
      </c>
      <c r="E52">
        <v>36.962945087936532</v>
      </c>
      <c r="F52">
        <v>0.46</v>
      </c>
      <c r="G52">
        <v>0.5789415043404289</v>
      </c>
      <c r="H52">
        <v>0.17889999389648439</v>
      </c>
    </row>
    <row r="53" spans="1:8">
      <c r="A53" s="1">
        <v>39331</v>
      </c>
      <c r="B53">
        <v>4.2673966662970146</v>
      </c>
      <c r="C53">
        <v>4.5673966662970145</v>
      </c>
      <c r="D53">
        <v>521.43895533915895</v>
      </c>
      <c r="E53">
        <v>36.962945087936532</v>
      </c>
      <c r="F53">
        <v>0.43</v>
      </c>
      <c r="G53">
        <v>0.53350915839382751</v>
      </c>
      <c r="H53">
        <v>0.16969999313354489</v>
      </c>
    </row>
    <row r="54" spans="1:8">
      <c r="A54" s="1">
        <v>39332</v>
      </c>
      <c r="B54">
        <v>4.2673966662970146</v>
      </c>
      <c r="C54">
        <v>4.5673966662970145</v>
      </c>
      <c r="D54">
        <v>521.43895533915895</v>
      </c>
      <c r="E54">
        <v>36.962945087936532</v>
      </c>
      <c r="F54">
        <v>0.42</v>
      </c>
      <c r="G54">
        <v>0.69293003099488715</v>
      </c>
      <c r="H54">
        <v>0.15979999542236331</v>
      </c>
    </row>
    <row r="55" spans="1:8">
      <c r="A55" s="1">
        <v>39335</v>
      </c>
      <c r="B55">
        <v>4.2673966662970146</v>
      </c>
      <c r="C55">
        <v>4.5673966662970145</v>
      </c>
      <c r="D55">
        <v>521.43895533915895</v>
      </c>
      <c r="E55">
        <v>36.962945087936532</v>
      </c>
      <c r="F55">
        <v>0.41</v>
      </c>
      <c r="G55">
        <v>0.64453953161662647</v>
      </c>
      <c r="H55">
        <v>0.17200000762939449</v>
      </c>
    </row>
    <row r="56" spans="1:8">
      <c r="A56" s="1">
        <v>39336</v>
      </c>
      <c r="B56">
        <v>4.2673966662970146</v>
      </c>
      <c r="C56">
        <v>4.5673966662970145</v>
      </c>
      <c r="D56">
        <v>521.43895533915895</v>
      </c>
      <c r="E56">
        <v>36.962945087936532</v>
      </c>
      <c r="F56">
        <v>0.4</v>
      </c>
      <c r="G56">
        <v>0.65161212068925534</v>
      </c>
      <c r="H56">
        <v>0.15680000305175781</v>
      </c>
    </row>
    <row r="57" spans="1:8">
      <c r="A57" s="1">
        <v>39337</v>
      </c>
      <c r="B57">
        <v>4.2673966662970146</v>
      </c>
      <c r="C57">
        <v>4.5673966662970145</v>
      </c>
      <c r="D57">
        <v>521.43895533915895</v>
      </c>
      <c r="E57">
        <v>36.962945087936532</v>
      </c>
      <c r="F57">
        <v>0.38</v>
      </c>
      <c r="G57">
        <v>0.54065308879491747</v>
      </c>
      <c r="H57">
        <v>0.15079999923706061</v>
      </c>
    </row>
    <row r="58" spans="1:8">
      <c r="A58" s="1">
        <v>39338</v>
      </c>
      <c r="B58">
        <v>4.2673966662970146</v>
      </c>
      <c r="C58">
        <v>4.5673966662970145</v>
      </c>
      <c r="D58">
        <v>521.43895533915895</v>
      </c>
      <c r="E58">
        <v>36.962945087936532</v>
      </c>
      <c r="F58">
        <v>0.37</v>
      </c>
      <c r="G58">
        <v>0.53297173482974158</v>
      </c>
      <c r="H58">
        <v>0.1356999969482422</v>
      </c>
    </row>
    <row r="59" spans="1:8">
      <c r="A59" s="1">
        <v>39339</v>
      </c>
      <c r="B59">
        <v>4.2673966662970146</v>
      </c>
      <c r="C59">
        <v>4.5673966662970145</v>
      </c>
      <c r="D59">
        <v>521.43895533915895</v>
      </c>
      <c r="E59">
        <v>36.962945087936532</v>
      </c>
      <c r="F59">
        <v>0.36</v>
      </c>
      <c r="G59">
        <v>0.61027344177825682</v>
      </c>
      <c r="H59">
        <v>0.13090000152587891</v>
      </c>
    </row>
    <row r="60" spans="1:8">
      <c r="A60" s="1">
        <v>39342</v>
      </c>
      <c r="B60">
        <v>4.2673966662970146</v>
      </c>
      <c r="C60">
        <v>4.5673966662970145</v>
      </c>
      <c r="D60">
        <v>521.43895533915895</v>
      </c>
      <c r="E60">
        <v>36.962945087936532</v>
      </c>
      <c r="F60">
        <v>0.35</v>
      </c>
      <c r="G60">
        <v>0.63115326533821481</v>
      </c>
      <c r="H60">
        <v>0.14010000228881839</v>
      </c>
    </row>
    <row r="61" spans="1:8">
      <c r="A61" s="1">
        <v>39343</v>
      </c>
      <c r="B61">
        <v>4.2673966662970146</v>
      </c>
      <c r="C61">
        <v>4.5673966662970145</v>
      </c>
      <c r="D61">
        <v>521.43895533915895</v>
      </c>
      <c r="E61">
        <v>36.962945087936532</v>
      </c>
      <c r="F61">
        <v>0.36</v>
      </c>
      <c r="G61">
        <v>0.56560662490868685</v>
      </c>
      <c r="H61">
        <v>0.1444999980926514</v>
      </c>
    </row>
    <row r="62" spans="1:8">
      <c r="A62" s="1">
        <v>39344</v>
      </c>
      <c r="B62">
        <v>4.2673966662970146</v>
      </c>
      <c r="C62">
        <v>4.5673966662970145</v>
      </c>
      <c r="D62">
        <v>521.43895533915895</v>
      </c>
      <c r="E62">
        <v>36.962945087936532</v>
      </c>
      <c r="F62">
        <v>0.37</v>
      </c>
      <c r="G62">
        <v>0.61620364466717892</v>
      </c>
      <c r="H62">
        <v>0.14399999618530271</v>
      </c>
    </row>
    <row r="63" spans="1:8">
      <c r="A63" s="1">
        <v>39345</v>
      </c>
      <c r="B63">
        <v>4.2673966662970146</v>
      </c>
      <c r="C63">
        <v>4.5673966662970145</v>
      </c>
      <c r="D63">
        <v>521.43895533915895</v>
      </c>
      <c r="E63">
        <v>36.962945087936532</v>
      </c>
      <c r="F63">
        <v>0.36</v>
      </c>
      <c r="G63">
        <v>0.5552755144994439</v>
      </c>
      <c r="H63">
        <v>0.1422999954223633</v>
      </c>
    </row>
    <row r="64" spans="1:8">
      <c r="A64" s="1">
        <v>39346</v>
      </c>
      <c r="B64">
        <v>4.2673966662970146</v>
      </c>
      <c r="C64">
        <v>4.5673966662970145</v>
      </c>
      <c r="D64">
        <v>521.43895533915895</v>
      </c>
      <c r="E64">
        <v>36.962945087936532</v>
      </c>
      <c r="F64">
        <v>0.35</v>
      </c>
      <c r="G64">
        <v>0.51039572663624</v>
      </c>
      <c r="H64">
        <v>0.13479999542236329</v>
      </c>
    </row>
    <row r="65" spans="1:8">
      <c r="A65" s="1">
        <v>39349</v>
      </c>
      <c r="B65">
        <v>4.2673966662970146</v>
      </c>
      <c r="C65">
        <v>4.5673966662970145</v>
      </c>
      <c r="D65">
        <v>521.43895533915895</v>
      </c>
      <c r="E65">
        <v>36.962945087936532</v>
      </c>
      <c r="F65">
        <v>0.37</v>
      </c>
      <c r="G65">
        <v>0.55034017123704482</v>
      </c>
      <c r="H65">
        <v>0.12819999694824219</v>
      </c>
    </row>
    <row r="66" spans="1:8">
      <c r="A66" s="1">
        <v>39350</v>
      </c>
      <c r="B66">
        <v>4.2673966662970146</v>
      </c>
      <c r="C66">
        <v>4.5673966662970145</v>
      </c>
      <c r="D66">
        <v>521.43895533915895</v>
      </c>
      <c r="E66">
        <v>36.962945087936532</v>
      </c>
      <c r="F66">
        <v>0.38</v>
      </c>
      <c r="G66">
        <v>0.53460526995169977</v>
      </c>
      <c r="H66">
        <v>0.13789999961853031</v>
      </c>
    </row>
    <row r="67" spans="1:8">
      <c r="A67" s="1">
        <v>39351</v>
      </c>
      <c r="B67">
        <v>4.2673966662970146</v>
      </c>
      <c r="C67">
        <v>4.5673966662970145</v>
      </c>
      <c r="D67">
        <v>521.43895533915895</v>
      </c>
      <c r="E67">
        <v>36.962945087936532</v>
      </c>
      <c r="F67">
        <v>0.39</v>
      </c>
      <c r="G67">
        <v>0.60782751994198414</v>
      </c>
      <c r="H67">
        <v>0.14000000000000001</v>
      </c>
    </row>
    <row r="68" spans="1:8">
      <c r="A68" s="1">
        <v>39352</v>
      </c>
      <c r="B68">
        <v>4.2673966662970146</v>
      </c>
      <c r="C68">
        <v>4.5673966662970145</v>
      </c>
      <c r="D68">
        <v>521.43895533915895</v>
      </c>
      <c r="E68">
        <v>36.962945087936532</v>
      </c>
      <c r="F68">
        <v>0.41</v>
      </c>
      <c r="G68">
        <v>0.62215986636357035</v>
      </c>
      <c r="H68">
        <v>0.1754000091552734</v>
      </c>
    </row>
    <row r="69" spans="1:8">
      <c r="A69" s="1">
        <v>39353</v>
      </c>
      <c r="B69">
        <v>4.2673966662970146</v>
      </c>
      <c r="C69">
        <v>4.5673966662970145</v>
      </c>
      <c r="D69">
        <v>521.43895533915895</v>
      </c>
      <c r="E69">
        <v>36.962945087936532</v>
      </c>
      <c r="F69">
        <v>0.4</v>
      </c>
      <c r="G69">
        <v>0.61099577652354853</v>
      </c>
      <c r="H69">
        <v>0.17200000762939449</v>
      </c>
    </row>
    <row r="70" spans="1:8">
      <c r="A70" s="1">
        <v>39356</v>
      </c>
      <c r="B70">
        <v>4.2673966662970146</v>
      </c>
      <c r="C70">
        <v>4.5673966662970145</v>
      </c>
      <c r="D70">
        <v>521.43895533915895</v>
      </c>
      <c r="E70">
        <v>36.962945087936532</v>
      </c>
      <c r="F70">
        <v>0.4</v>
      </c>
      <c r="G70">
        <v>0.55958505864387487</v>
      </c>
      <c r="H70">
        <v>0.1689999961853027</v>
      </c>
    </row>
    <row r="71" spans="1:8">
      <c r="A71" s="1">
        <v>39357</v>
      </c>
      <c r="B71">
        <v>4.2673966662970146</v>
      </c>
      <c r="C71">
        <v>4.5673966662970145</v>
      </c>
      <c r="D71">
        <v>521.43895533915895</v>
      </c>
      <c r="E71">
        <v>36.962945087936532</v>
      </c>
      <c r="F71">
        <v>0.4</v>
      </c>
      <c r="G71">
        <v>0.67391139891887741</v>
      </c>
      <c r="H71">
        <v>0.18940000534057619</v>
      </c>
    </row>
    <row r="72" spans="1:8">
      <c r="A72" s="1">
        <v>39358</v>
      </c>
      <c r="B72">
        <v>4.2673966662970146</v>
      </c>
      <c r="C72">
        <v>4.5673966662970145</v>
      </c>
      <c r="D72">
        <v>521.43895533915895</v>
      </c>
      <c r="E72">
        <v>36.962945087936532</v>
      </c>
      <c r="F72">
        <v>0.42</v>
      </c>
      <c r="G72">
        <v>0.6051241302538467</v>
      </c>
      <c r="H72">
        <v>0.1821999931335449</v>
      </c>
    </row>
    <row r="73" spans="1:8">
      <c r="A73" s="1">
        <v>39359</v>
      </c>
      <c r="B73">
        <v>4.2673966662970146</v>
      </c>
      <c r="C73">
        <v>4.5673966662970145</v>
      </c>
      <c r="D73">
        <v>521.43895533915895</v>
      </c>
      <c r="E73">
        <v>36.962945087936532</v>
      </c>
      <c r="F73">
        <v>0.43</v>
      </c>
      <c r="G73">
        <v>0.51944587186987801</v>
      </c>
      <c r="H73">
        <v>0.17610000610351559</v>
      </c>
    </row>
    <row r="74" spans="1:8">
      <c r="A74" s="1">
        <v>39360</v>
      </c>
      <c r="B74">
        <v>4.2673966662970146</v>
      </c>
      <c r="C74">
        <v>4.5673966662970145</v>
      </c>
      <c r="D74">
        <v>521.43895533915895</v>
      </c>
      <c r="E74">
        <v>36.962945087936532</v>
      </c>
      <c r="F74">
        <v>0.39</v>
      </c>
      <c r="G74">
        <v>0.67543018289876156</v>
      </c>
      <c r="H74">
        <v>0.1978000068664551</v>
      </c>
    </row>
    <row r="75" spans="1:8">
      <c r="A75" s="1">
        <v>39363</v>
      </c>
      <c r="B75">
        <v>4.2673966662970146</v>
      </c>
      <c r="C75">
        <v>4.5673966662970145</v>
      </c>
      <c r="D75">
        <v>521.43895533915895</v>
      </c>
      <c r="E75">
        <v>36.962945087936532</v>
      </c>
      <c r="F75">
        <v>0.37</v>
      </c>
      <c r="G75">
        <v>0.64999595279382283</v>
      </c>
      <c r="H75">
        <v>0.18579999923706059</v>
      </c>
    </row>
    <row r="76" spans="1:8">
      <c r="A76" s="1">
        <v>39364</v>
      </c>
      <c r="B76">
        <v>4.2673966662970146</v>
      </c>
      <c r="C76">
        <v>4.5673966662970145</v>
      </c>
      <c r="D76">
        <v>521.43895533915895</v>
      </c>
      <c r="E76">
        <v>36.962945087936532</v>
      </c>
      <c r="F76">
        <v>0.36</v>
      </c>
      <c r="G76">
        <v>0.63998011465235793</v>
      </c>
      <c r="H76">
        <v>0.18489999771118171</v>
      </c>
    </row>
    <row r="77" spans="1:8">
      <c r="A77" s="1">
        <v>39365</v>
      </c>
      <c r="B77">
        <v>4.2673966662970146</v>
      </c>
      <c r="C77">
        <v>4.5673966662970145</v>
      </c>
      <c r="D77">
        <v>521.43895533915895</v>
      </c>
      <c r="E77">
        <v>36.962945087936532</v>
      </c>
      <c r="F77">
        <v>0.36</v>
      </c>
      <c r="G77">
        <v>0.60791259256356567</v>
      </c>
      <c r="H77">
        <v>0.17450000762939449</v>
      </c>
    </row>
    <row r="78" spans="1:8">
      <c r="A78" s="1">
        <v>39366</v>
      </c>
      <c r="B78">
        <v>4.2673966662970146</v>
      </c>
      <c r="C78">
        <v>4.5673966662970145</v>
      </c>
      <c r="D78">
        <v>521.43895533915895</v>
      </c>
      <c r="E78">
        <v>36.962945087936532</v>
      </c>
      <c r="F78">
        <v>0.36</v>
      </c>
      <c r="G78">
        <v>0.54991936255238483</v>
      </c>
      <c r="H78">
        <v>0.16090000152587891</v>
      </c>
    </row>
    <row r="79" spans="1:8">
      <c r="A79" s="1">
        <v>39367</v>
      </c>
      <c r="B79">
        <v>4.2673966662970146</v>
      </c>
      <c r="C79">
        <v>4.5673966662970145</v>
      </c>
      <c r="D79">
        <v>521.43895533915895</v>
      </c>
      <c r="E79">
        <v>36.962945087936532</v>
      </c>
      <c r="F79">
        <v>0.36</v>
      </c>
      <c r="G79">
        <v>0.47665687275352947</v>
      </c>
      <c r="H79">
        <v>0.1669000053405762</v>
      </c>
    </row>
    <row r="80" spans="1:8">
      <c r="A80" s="1">
        <v>39370</v>
      </c>
      <c r="B80">
        <v>4.2673966662970146</v>
      </c>
      <c r="C80">
        <v>4.5673966662970145</v>
      </c>
      <c r="D80">
        <v>521.43895533915895</v>
      </c>
      <c r="E80">
        <v>36.962945087936532</v>
      </c>
      <c r="F80">
        <v>0.34</v>
      </c>
      <c r="G80">
        <v>0.58667661610405586</v>
      </c>
      <c r="H80">
        <v>0.19319999694824219</v>
      </c>
    </row>
    <row r="81" spans="1:8">
      <c r="A81" s="1">
        <v>39371</v>
      </c>
      <c r="B81">
        <v>4.2673966662970146</v>
      </c>
      <c r="C81">
        <v>4.5673966662970145</v>
      </c>
      <c r="D81">
        <v>521.43895533915895</v>
      </c>
      <c r="E81">
        <v>36.962945087936532</v>
      </c>
      <c r="F81">
        <v>0.34</v>
      </c>
      <c r="G81">
        <v>0.66380090245039802</v>
      </c>
      <c r="H81">
        <v>0.1720999908447266</v>
      </c>
    </row>
    <row r="82" spans="1:8">
      <c r="A82" s="1">
        <v>39372</v>
      </c>
      <c r="B82">
        <v>4.2673966662970146</v>
      </c>
      <c r="C82">
        <v>4.5673966662970145</v>
      </c>
      <c r="D82">
        <v>521.43895533915895</v>
      </c>
      <c r="E82">
        <v>36.962945087936532</v>
      </c>
      <c r="F82">
        <v>0.37</v>
      </c>
      <c r="G82">
        <v>0.59608480123968466</v>
      </c>
      <c r="H82">
        <v>0.17879999160766599</v>
      </c>
    </row>
    <row r="83" spans="1:8">
      <c r="A83" s="1">
        <v>39373</v>
      </c>
      <c r="B83">
        <v>4.2673966662970146</v>
      </c>
      <c r="C83">
        <v>4.5673966662970145</v>
      </c>
      <c r="D83">
        <v>521.43895533915895</v>
      </c>
      <c r="E83">
        <v>36.962945087936532</v>
      </c>
      <c r="F83">
        <v>0.4</v>
      </c>
      <c r="G83">
        <v>0.52836508683389183</v>
      </c>
      <c r="H83">
        <v>0.21709999084472659</v>
      </c>
    </row>
    <row r="84" spans="1:8">
      <c r="A84" s="1">
        <v>39374</v>
      </c>
      <c r="B84">
        <v>4.2673966662970146</v>
      </c>
      <c r="C84">
        <v>4.5673966662970145</v>
      </c>
      <c r="D84">
        <v>521.43895533915895</v>
      </c>
      <c r="E84">
        <v>36.962945087936532</v>
      </c>
      <c r="F84">
        <v>0.39</v>
      </c>
      <c r="G84">
        <v>0.58261107422782876</v>
      </c>
      <c r="H84">
        <v>0.20370000839233399</v>
      </c>
    </row>
    <row r="85" spans="1:8">
      <c r="A85" s="1">
        <v>39377</v>
      </c>
      <c r="B85">
        <v>4.2673966662970146</v>
      </c>
      <c r="C85">
        <v>4.5673966662970145</v>
      </c>
      <c r="D85">
        <v>521.43895533915895</v>
      </c>
      <c r="E85">
        <v>36.962945087936532</v>
      </c>
      <c r="F85">
        <v>0.37</v>
      </c>
      <c r="G85">
        <v>0.66143064984337052</v>
      </c>
      <c r="H85">
        <v>0.18969999313354491</v>
      </c>
    </row>
    <row r="86" spans="1:8">
      <c r="A86" s="1">
        <v>39378</v>
      </c>
      <c r="B86">
        <v>4.2673966662970146</v>
      </c>
      <c r="C86">
        <v>4.5673966662970145</v>
      </c>
      <c r="D86">
        <v>521.43895533915895</v>
      </c>
      <c r="E86">
        <v>36.962945087936532</v>
      </c>
      <c r="F86">
        <v>0.38</v>
      </c>
      <c r="G86">
        <v>0.57594262099555649</v>
      </c>
      <c r="H86">
        <v>0.2019000053405762</v>
      </c>
    </row>
    <row r="87" spans="1:8">
      <c r="A87" s="1">
        <v>39379</v>
      </c>
      <c r="B87">
        <v>4.2673966662970146</v>
      </c>
      <c r="C87">
        <v>4.5673966662970145</v>
      </c>
      <c r="D87">
        <v>521.43895533915895</v>
      </c>
      <c r="E87">
        <v>36.962945087936532</v>
      </c>
      <c r="F87">
        <v>0.39</v>
      </c>
      <c r="G87">
        <v>0.6402388002359426</v>
      </c>
      <c r="H87">
        <v>0.2068000030517578</v>
      </c>
    </row>
    <row r="88" spans="1:8">
      <c r="A88" s="1">
        <v>39380</v>
      </c>
      <c r="B88">
        <v>4.2673966662970146</v>
      </c>
      <c r="C88">
        <v>4.5673966662970145</v>
      </c>
      <c r="D88">
        <v>521.43895533915895</v>
      </c>
      <c r="E88">
        <v>36.962945087936532</v>
      </c>
      <c r="F88">
        <v>0.37</v>
      </c>
      <c r="G88">
        <v>0.55755600820474271</v>
      </c>
      <c r="H88">
        <v>0.1813999938964844</v>
      </c>
    </row>
    <row r="89" spans="1:8">
      <c r="A89" s="1">
        <v>39381</v>
      </c>
      <c r="B89">
        <v>4.2673966662970146</v>
      </c>
      <c r="C89">
        <v>4.5673966662970145</v>
      </c>
      <c r="D89">
        <v>521.43895533915895</v>
      </c>
      <c r="E89">
        <v>36.962945087936532</v>
      </c>
      <c r="F89">
        <v>0.37</v>
      </c>
      <c r="G89">
        <v>0.5296431139926091</v>
      </c>
      <c r="H89">
        <v>0.16870000839233401</v>
      </c>
    </row>
    <row r="90" spans="1:8">
      <c r="A90" s="1">
        <v>39384</v>
      </c>
      <c r="B90">
        <v>4.2673966662970146</v>
      </c>
      <c r="C90">
        <v>4.5673966662970145</v>
      </c>
      <c r="D90">
        <v>521.43895533915895</v>
      </c>
      <c r="E90">
        <v>36.962945087936532</v>
      </c>
      <c r="F90">
        <v>0.36</v>
      </c>
      <c r="G90">
        <v>0.65180119868468733</v>
      </c>
      <c r="H90">
        <v>0.15659999847412109</v>
      </c>
    </row>
    <row r="91" spans="1:8">
      <c r="A91" s="1">
        <v>39385</v>
      </c>
      <c r="B91">
        <v>4.2673966662970146</v>
      </c>
      <c r="C91">
        <v>4.5673966662970145</v>
      </c>
      <c r="D91">
        <v>521.43895533915895</v>
      </c>
      <c r="E91">
        <v>36.962945087936532</v>
      </c>
      <c r="F91">
        <v>0.35</v>
      </c>
      <c r="G91">
        <v>0.66406742696669729</v>
      </c>
      <c r="H91">
        <v>0.14909999847412109</v>
      </c>
    </row>
    <row r="92" spans="1:8">
      <c r="A92" s="1">
        <v>39386</v>
      </c>
      <c r="B92">
        <v>4.2673966662970146</v>
      </c>
      <c r="C92">
        <v>4.5673966662970145</v>
      </c>
      <c r="D92">
        <v>521.43895533915895</v>
      </c>
      <c r="E92">
        <v>36.962945087936532</v>
      </c>
      <c r="F92">
        <v>0.38</v>
      </c>
      <c r="G92">
        <v>0.58214580941108962</v>
      </c>
      <c r="H92">
        <v>0.14890000343322751</v>
      </c>
    </row>
    <row r="93" spans="1:8">
      <c r="A93" s="1">
        <v>39387</v>
      </c>
      <c r="B93">
        <v>4.2673966662970146</v>
      </c>
      <c r="C93">
        <v>4.5673966662970145</v>
      </c>
      <c r="D93">
        <v>521.43895533915895</v>
      </c>
      <c r="E93">
        <v>36.962945087936532</v>
      </c>
      <c r="F93">
        <v>0.42</v>
      </c>
      <c r="G93">
        <v>0.63388152341848347</v>
      </c>
      <c r="H93">
        <v>0.15289999961853029</v>
      </c>
    </row>
    <row r="94" spans="1:8">
      <c r="A94" s="1">
        <v>39388</v>
      </c>
      <c r="B94">
        <v>4.2673966662970146</v>
      </c>
      <c r="C94">
        <v>4.5673966662970145</v>
      </c>
      <c r="D94">
        <v>521.43895533915895</v>
      </c>
      <c r="E94">
        <v>36.962945087936532</v>
      </c>
      <c r="F94">
        <v>0.41</v>
      </c>
      <c r="G94">
        <v>0.74355797308146088</v>
      </c>
      <c r="H94">
        <v>0.14170000076293951</v>
      </c>
    </row>
    <row r="95" spans="1:8">
      <c r="A95" s="1">
        <v>39391</v>
      </c>
      <c r="B95">
        <v>4.2673966662970146</v>
      </c>
      <c r="C95">
        <v>4.5673966662970145</v>
      </c>
      <c r="D95">
        <v>521.43895533915895</v>
      </c>
      <c r="E95">
        <v>36.962945087936532</v>
      </c>
      <c r="F95">
        <v>0.42</v>
      </c>
      <c r="G95">
        <v>0.56573711611397126</v>
      </c>
      <c r="H95">
        <v>0.14760000228881839</v>
      </c>
    </row>
    <row r="96" spans="1:8">
      <c r="A96" s="1">
        <v>39392</v>
      </c>
      <c r="B96">
        <v>4.2673966662970146</v>
      </c>
      <c r="C96">
        <v>4.5673966662970145</v>
      </c>
      <c r="D96">
        <v>521.43895533915895</v>
      </c>
      <c r="E96">
        <v>36.962945087936532</v>
      </c>
      <c r="F96">
        <v>0.4</v>
      </c>
      <c r="G96">
        <v>0.60768665035917158</v>
      </c>
      <c r="H96">
        <v>0.14159999847412111</v>
      </c>
    </row>
    <row r="97" spans="1:8">
      <c r="A97" s="1">
        <v>39393</v>
      </c>
      <c r="B97">
        <v>4.2673966662970146</v>
      </c>
      <c r="C97">
        <v>4.5673966662970145</v>
      </c>
      <c r="D97">
        <v>521.43895533915895</v>
      </c>
      <c r="E97">
        <v>36.962945087936532</v>
      </c>
      <c r="F97">
        <v>0.4</v>
      </c>
      <c r="G97">
        <v>0.63008428395122651</v>
      </c>
      <c r="H97">
        <v>0.1418000030517578</v>
      </c>
    </row>
    <row r="98" spans="1:8">
      <c r="A98" s="1">
        <v>39394</v>
      </c>
      <c r="B98">
        <v>4.2673966662970146</v>
      </c>
      <c r="C98">
        <v>4.5673966662970145</v>
      </c>
      <c r="D98">
        <v>521.43895533915895</v>
      </c>
      <c r="E98">
        <v>36.962945087936532</v>
      </c>
      <c r="F98">
        <v>0.36</v>
      </c>
      <c r="G98">
        <v>0.5722204294415506</v>
      </c>
      <c r="H98">
        <v>0.1340999984741211</v>
      </c>
    </row>
    <row r="99" spans="1:8">
      <c r="A99" s="1">
        <v>39395</v>
      </c>
      <c r="B99">
        <v>4.2673966662970146</v>
      </c>
      <c r="C99">
        <v>4.5673966662970145</v>
      </c>
      <c r="D99">
        <v>521.43895533915895</v>
      </c>
      <c r="E99">
        <v>36.962945087936532</v>
      </c>
      <c r="F99">
        <v>0.35</v>
      </c>
      <c r="G99">
        <v>0.56517107468345273</v>
      </c>
      <c r="H99">
        <v>0.13350000381469729</v>
      </c>
    </row>
    <row r="100" spans="1:8">
      <c r="A100" s="1">
        <v>39398</v>
      </c>
      <c r="B100">
        <v>4.2673966662970146</v>
      </c>
      <c r="C100">
        <v>4.5673966662970145</v>
      </c>
      <c r="D100">
        <v>521.43895533915895</v>
      </c>
      <c r="E100">
        <v>36.962945087936532</v>
      </c>
      <c r="F100">
        <v>0.36</v>
      </c>
      <c r="G100">
        <v>0.63753110932599932</v>
      </c>
      <c r="H100">
        <v>0.12850000381469731</v>
      </c>
    </row>
    <row r="101" spans="1:8">
      <c r="A101" s="1">
        <v>39399</v>
      </c>
      <c r="B101">
        <v>4.2673966662970146</v>
      </c>
      <c r="C101">
        <v>4.5673966662970145</v>
      </c>
      <c r="D101">
        <v>521.43895533915895</v>
      </c>
      <c r="E101">
        <v>36.962945087936532</v>
      </c>
      <c r="F101">
        <v>0.36</v>
      </c>
      <c r="G101">
        <v>0.52793498680939543</v>
      </c>
      <c r="H101">
        <v>0.12460000038146971</v>
      </c>
    </row>
    <row r="102" spans="1:8">
      <c r="A102" s="1">
        <v>39400</v>
      </c>
      <c r="B102">
        <v>4.2673966662970146</v>
      </c>
      <c r="C102">
        <v>4.5673966662970145</v>
      </c>
      <c r="D102">
        <v>521.43895533915895</v>
      </c>
      <c r="E102">
        <v>36.962945087936532</v>
      </c>
      <c r="F102">
        <v>0.36</v>
      </c>
      <c r="G102">
        <v>0.55622565908673316</v>
      </c>
      <c r="H102">
        <v>0.12689999580383299</v>
      </c>
    </row>
    <row r="103" spans="1:8">
      <c r="A103" s="1">
        <v>39401</v>
      </c>
      <c r="B103">
        <v>4.2673966662970146</v>
      </c>
      <c r="C103">
        <v>4.5673966662970145</v>
      </c>
      <c r="D103">
        <v>521.43895533915895</v>
      </c>
      <c r="E103">
        <v>36.962945087936532</v>
      </c>
      <c r="F103">
        <v>0.37</v>
      </c>
      <c r="G103">
        <v>0.59749572550192243</v>
      </c>
      <c r="H103">
        <v>0.12920000076293939</v>
      </c>
    </row>
    <row r="104" spans="1:8">
      <c r="A104" s="1">
        <v>39402</v>
      </c>
      <c r="B104">
        <v>4.2673966662970146</v>
      </c>
      <c r="C104">
        <v>4.5673966662970145</v>
      </c>
      <c r="D104">
        <v>521.43895533915895</v>
      </c>
      <c r="E104">
        <v>36.962945087936532</v>
      </c>
      <c r="F104">
        <v>0.38</v>
      </c>
      <c r="G104">
        <v>0.56958829262581301</v>
      </c>
      <c r="H104">
        <v>0.1263000011444092</v>
      </c>
    </row>
    <row r="105" spans="1:8">
      <c r="A105" s="1">
        <v>39405</v>
      </c>
      <c r="B105">
        <v>4.2673966662970146</v>
      </c>
      <c r="C105">
        <v>4.5673966662970145</v>
      </c>
      <c r="D105">
        <v>521.43895533915895</v>
      </c>
      <c r="E105">
        <v>36.962945087936532</v>
      </c>
      <c r="F105">
        <v>0.37</v>
      </c>
      <c r="G105">
        <v>0.4799904661059059</v>
      </c>
      <c r="H105">
        <v>0.13079999923706051</v>
      </c>
    </row>
    <row r="106" spans="1:8">
      <c r="A106" s="1">
        <v>39406</v>
      </c>
      <c r="B106">
        <v>4.2673966662970146</v>
      </c>
      <c r="C106">
        <v>4.5673966662970145</v>
      </c>
      <c r="D106">
        <v>521.43895533915895</v>
      </c>
      <c r="E106">
        <v>36.962945087936532</v>
      </c>
      <c r="F106">
        <v>0.36</v>
      </c>
      <c r="G106">
        <v>0.48805835308918155</v>
      </c>
      <c r="H106">
        <v>0.12850000381469731</v>
      </c>
    </row>
    <row r="107" spans="1:8">
      <c r="A107" s="1">
        <v>39407</v>
      </c>
      <c r="B107">
        <v>4.2673966662970146</v>
      </c>
      <c r="C107">
        <v>4.5673966662970145</v>
      </c>
      <c r="D107">
        <v>521.43895533915895</v>
      </c>
      <c r="E107">
        <v>36.962945087936532</v>
      </c>
      <c r="F107">
        <v>0.36</v>
      </c>
      <c r="G107">
        <v>0.61680121382900521</v>
      </c>
      <c r="H107">
        <v>0.12970000267028811</v>
      </c>
    </row>
    <row r="108" spans="1:8">
      <c r="A108" s="1">
        <v>39408</v>
      </c>
      <c r="B108">
        <v>4.2673966662970146</v>
      </c>
      <c r="C108">
        <v>4.5673966662970145</v>
      </c>
      <c r="D108">
        <v>521.43895533915895</v>
      </c>
      <c r="E108">
        <v>36.962945087936532</v>
      </c>
      <c r="F108">
        <v>0.36</v>
      </c>
      <c r="G108">
        <v>0.70320966943849006</v>
      </c>
      <c r="H108">
        <v>0.1263000011444092</v>
      </c>
    </row>
    <row r="109" spans="1:8">
      <c r="A109" s="1">
        <v>39409</v>
      </c>
      <c r="B109">
        <v>4.2673966662970146</v>
      </c>
      <c r="C109">
        <v>4.5673966662970145</v>
      </c>
      <c r="D109">
        <v>521.43895533915895</v>
      </c>
      <c r="E109">
        <v>36.962945087936532</v>
      </c>
      <c r="F109">
        <v>0.35</v>
      </c>
      <c r="G109">
        <v>0.56801380551910641</v>
      </c>
      <c r="H109">
        <v>0.1206999969482422</v>
      </c>
    </row>
    <row r="110" spans="1:8">
      <c r="A110" s="1">
        <v>39412</v>
      </c>
      <c r="B110">
        <v>4.2673966662970146</v>
      </c>
      <c r="C110">
        <v>4.5673966662970145</v>
      </c>
      <c r="D110">
        <v>521.43895533915895</v>
      </c>
      <c r="E110">
        <v>36.962945087936532</v>
      </c>
      <c r="F110">
        <v>0.38</v>
      </c>
      <c r="G110">
        <v>0.66833306800738057</v>
      </c>
      <c r="H110">
        <v>0.121899995803833</v>
      </c>
    </row>
    <row r="111" spans="1:8">
      <c r="A111" s="1">
        <v>39413</v>
      </c>
      <c r="B111">
        <v>4.2673966662970146</v>
      </c>
      <c r="C111">
        <v>4.5673966662970145</v>
      </c>
      <c r="D111">
        <v>521.43895533915895</v>
      </c>
      <c r="E111">
        <v>36.962945087936532</v>
      </c>
      <c r="F111">
        <v>0.38</v>
      </c>
      <c r="G111">
        <v>0.57578037597089338</v>
      </c>
      <c r="H111">
        <v>0.12479999542236329</v>
      </c>
    </row>
    <row r="112" spans="1:8">
      <c r="A112" s="1">
        <v>39414</v>
      </c>
      <c r="B112">
        <v>4.2673966662970146</v>
      </c>
      <c r="C112">
        <v>4.5673966662970145</v>
      </c>
      <c r="D112">
        <v>521.43895533915895</v>
      </c>
      <c r="E112">
        <v>36.962945087936532</v>
      </c>
      <c r="F112">
        <v>0.38</v>
      </c>
      <c r="G112">
        <v>0.56667898039326314</v>
      </c>
      <c r="H112">
        <v>0.1227999973297119</v>
      </c>
    </row>
    <row r="113" spans="1:8">
      <c r="A113" s="1">
        <v>39415</v>
      </c>
      <c r="B113">
        <v>4.2673966662970146</v>
      </c>
      <c r="C113">
        <v>4.5673966662970145</v>
      </c>
      <c r="D113">
        <v>521.43895533915895</v>
      </c>
      <c r="E113">
        <v>36.962945087936532</v>
      </c>
      <c r="F113">
        <v>0.37</v>
      </c>
      <c r="G113">
        <v>0.53356494880833971</v>
      </c>
      <c r="H113">
        <v>0.13670000076293939</v>
      </c>
    </row>
    <row r="114" spans="1:8">
      <c r="A114" s="1">
        <v>39416</v>
      </c>
      <c r="B114">
        <v>4.2673966662970146</v>
      </c>
      <c r="C114">
        <v>4.5673966662970145</v>
      </c>
      <c r="D114">
        <v>521.43895533915895</v>
      </c>
      <c r="E114">
        <v>36.962945087936532</v>
      </c>
      <c r="F114">
        <v>0.36</v>
      </c>
      <c r="G114">
        <v>0.56037909596865809</v>
      </c>
      <c r="H114">
        <v>0.1364999961853027</v>
      </c>
    </row>
    <row r="115" spans="1:8">
      <c r="A115" s="1">
        <v>39419</v>
      </c>
      <c r="B115">
        <v>4.2673966662970146</v>
      </c>
      <c r="C115">
        <v>4.5673966662970145</v>
      </c>
      <c r="D115">
        <v>521.43895533915895</v>
      </c>
      <c r="E115">
        <v>36.962945087936532</v>
      </c>
      <c r="F115">
        <v>0.36</v>
      </c>
      <c r="G115">
        <v>0.47179446845293616</v>
      </c>
      <c r="H115">
        <v>0.1302999973297119</v>
      </c>
    </row>
    <row r="116" spans="1:8">
      <c r="A116" s="1">
        <v>39420</v>
      </c>
      <c r="B116">
        <v>4.2673966662970146</v>
      </c>
      <c r="C116">
        <v>4.5673966662970145</v>
      </c>
      <c r="D116">
        <v>521.43895533915895</v>
      </c>
      <c r="E116">
        <v>36.962945087936532</v>
      </c>
      <c r="F116">
        <v>0.36</v>
      </c>
      <c r="G116">
        <v>0.58557180189014824</v>
      </c>
      <c r="H116">
        <v>0.1298999977111816</v>
      </c>
    </row>
    <row r="117" spans="1:8">
      <c r="A117" s="1">
        <v>39421</v>
      </c>
      <c r="B117">
        <v>4.2673966662970146</v>
      </c>
      <c r="C117">
        <v>4.5673966662970145</v>
      </c>
      <c r="D117">
        <v>521.43895533915895</v>
      </c>
      <c r="E117">
        <v>36.962945087936532</v>
      </c>
      <c r="F117">
        <v>0.35</v>
      </c>
      <c r="G117">
        <v>0.59747040765710435</v>
      </c>
      <c r="H117">
        <v>0.1243000030517578</v>
      </c>
    </row>
    <row r="118" spans="1:8">
      <c r="A118" s="1">
        <v>39422</v>
      </c>
      <c r="B118">
        <v>4.2673966662970146</v>
      </c>
      <c r="C118">
        <v>4.5673966662970145</v>
      </c>
      <c r="D118">
        <v>521.43895533915895</v>
      </c>
      <c r="E118">
        <v>36.962945087936532</v>
      </c>
      <c r="F118">
        <v>0.35</v>
      </c>
      <c r="G118">
        <v>0.55328729764105888</v>
      </c>
      <c r="H118">
        <v>0.13199999809265139</v>
      </c>
    </row>
    <row r="119" spans="1:8">
      <c r="A119" s="1">
        <v>39423</v>
      </c>
      <c r="B119">
        <v>4.2673966662970146</v>
      </c>
      <c r="C119">
        <v>4.5673966662970145</v>
      </c>
      <c r="D119">
        <v>521.43895533915895</v>
      </c>
      <c r="E119">
        <v>36.962945087936532</v>
      </c>
      <c r="F119">
        <v>0.35</v>
      </c>
      <c r="G119">
        <v>0.59678121694850617</v>
      </c>
      <c r="H119">
        <v>0.14039999961853031</v>
      </c>
    </row>
    <row r="120" spans="1:8">
      <c r="A120" s="1">
        <v>39426</v>
      </c>
      <c r="B120">
        <v>4.2673966662970146</v>
      </c>
      <c r="C120">
        <v>4.5673966662970145</v>
      </c>
      <c r="D120">
        <v>521.43895533915895</v>
      </c>
      <c r="E120">
        <v>36.962945087936532</v>
      </c>
      <c r="F120">
        <v>0.36</v>
      </c>
      <c r="G120">
        <v>0.69343811758317075</v>
      </c>
      <c r="H120">
        <v>0.14130000114440919</v>
      </c>
    </row>
    <row r="121" spans="1:8">
      <c r="A121" s="1">
        <v>39427</v>
      </c>
      <c r="B121">
        <v>4.2673966662970146</v>
      </c>
      <c r="C121">
        <v>4.5673966662970145</v>
      </c>
      <c r="D121">
        <v>521.43895533915895</v>
      </c>
      <c r="E121">
        <v>36.962945087936532</v>
      </c>
      <c r="F121">
        <v>0.37</v>
      </c>
      <c r="G121">
        <v>0.60311977446281284</v>
      </c>
      <c r="H121">
        <v>0.13350000381469729</v>
      </c>
    </row>
    <row r="122" spans="1:8">
      <c r="A122" s="1">
        <v>39428</v>
      </c>
      <c r="B122">
        <v>4.2673966662970146</v>
      </c>
      <c r="C122">
        <v>4.5673966662970145</v>
      </c>
      <c r="D122">
        <v>521.43895533915895</v>
      </c>
      <c r="E122">
        <v>36.962945087936532</v>
      </c>
      <c r="F122">
        <v>0.37</v>
      </c>
      <c r="G122">
        <v>0.55570167819563854</v>
      </c>
      <c r="H122">
        <v>0.13079999923706051</v>
      </c>
    </row>
    <row r="123" spans="1:8">
      <c r="A123" s="1">
        <v>39429</v>
      </c>
      <c r="B123">
        <v>4.2673966662970146</v>
      </c>
      <c r="C123">
        <v>4.5673966662970145</v>
      </c>
      <c r="D123">
        <v>521.43895533915895</v>
      </c>
      <c r="E123">
        <v>36.962945087936532</v>
      </c>
      <c r="F123">
        <v>0.37</v>
      </c>
      <c r="G123">
        <v>0.62402021054310453</v>
      </c>
      <c r="H123">
        <v>0.124399995803833</v>
      </c>
    </row>
    <row r="124" spans="1:8">
      <c r="A124" s="1">
        <v>39430</v>
      </c>
      <c r="B124">
        <v>4.2673966662970146</v>
      </c>
      <c r="C124">
        <v>4.5673966662970145</v>
      </c>
      <c r="D124">
        <v>521.43895533915895</v>
      </c>
      <c r="E124">
        <v>36.962945087936532</v>
      </c>
      <c r="F124">
        <v>0.38</v>
      </c>
      <c r="G124">
        <v>0.62721686240636254</v>
      </c>
      <c r="H124">
        <v>0.12699999809265139</v>
      </c>
    </row>
    <row r="125" spans="1:8">
      <c r="A125" s="1">
        <v>39433</v>
      </c>
      <c r="B125">
        <v>4.2673966662970146</v>
      </c>
      <c r="C125">
        <v>4.5673966662970145</v>
      </c>
      <c r="D125">
        <v>521.43895533915895</v>
      </c>
      <c r="E125">
        <v>36.962945087936532</v>
      </c>
      <c r="F125">
        <v>0.38</v>
      </c>
      <c r="G125">
        <v>0.6446867547186298</v>
      </c>
      <c r="H125">
        <v>0.13840000152587889</v>
      </c>
    </row>
    <row r="126" spans="1:8">
      <c r="A126" s="1">
        <v>39434</v>
      </c>
      <c r="B126">
        <v>4.2673966662970146</v>
      </c>
      <c r="C126">
        <v>4.5673966662970145</v>
      </c>
      <c r="D126">
        <v>521.43895533915895</v>
      </c>
      <c r="E126">
        <v>36.962945087936532</v>
      </c>
      <c r="F126">
        <v>0.37</v>
      </c>
      <c r="G126">
        <v>0.63899697464014726</v>
      </c>
      <c r="H126">
        <v>0.14789999961853029</v>
      </c>
    </row>
    <row r="127" spans="1:8">
      <c r="A127" s="1">
        <v>39435</v>
      </c>
      <c r="B127">
        <v>4.2673966662970146</v>
      </c>
      <c r="C127">
        <v>4.5673966662970145</v>
      </c>
      <c r="D127">
        <v>521.43895533915895</v>
      </c>
      <c r="E127">
        <v>36.962945087936532</v>
      </c>
      <c r="F127">
        <v>0.37</v>
      </c>
      <c r="G127">
        <v>0.57054962573231982</v>
      </c>
      <c r="H127">
        <v>0.14130000114440919</v>
      </c>
    </row>
    <row r="128" spans="1:8">
      <c r="A128" s="1">
        <v>39436</v>
      </c>
      <c r="B128">
        <v>4.2673966662970146</v>
      </c>
      <c r="C128">
        <v>4.5673966662970145</v>
      </c>
      <c r="D128">
        <v>521.43895533915895</v>
      </c>
      <c r="E128">
        <v>36.962945087936532</v>
      </c>
      <c r="F128">
        <v>0.38</v>
      </c>
      <c r="G128">
        <v>0.62885928673900948</v>
      </c>
      <c r="H128">
        <v>0.12550000190734861</v>
      </c>
    </row>
    <row r="129" spans="1:8">
      <c r="A129" s="1">
        <v>39437</v>
      </c>
      <c r="B129">
        <v>4.2673966662970146</v>
      </c>
      <c r="C129">
        <v>4.5673966662970145</v>
      </c>
      <c r="D129">
        <v>521.43895533915895</v>
      </c>
      <c r="E129">
        <v>36.962945087936532</v>
      </c>
      <c r="F129">
        <v>0.39</v>
      </c>
      <c r="G129">
        <v>0.50452626609039108</v>
      </c>
      <c r="H129">
        <v>0.13140000343322761</v>
      </c>
    </row>
    <row r="130" spans="1:8">
      <c r="A130" s="1">
        <v>39440</v>
      </c>
      <c r="B130">
        <v>4.2673966662970146</v>
      </c>
      <c r="C130">
        <v>4.5673966662970145</v>
      </c>
      <c r="D130">
        <v>521.43895533915895</v>
      </c>
      <c r="E130">
        <v>36.962945087936532</v>
      </c>
      <c r="F130">
        <v>0.39</v>
      </c>
      <c r="G130">
        <v>0.56831385074041763</v>
      </c>
      <c r="H130">
        <v>0.1344999980926514</v>
      </c>
    </row>
    <row r="131" spans="1:8">
      <c r="A131" s="1">
        <v>39441</v>
      </c>
      <c r="B131">
        <v>4.2673966662970146</v>
      </c>
      <c r="C131">
        <v>4.5673966662970145</v>
      </c>
      <c r="D131">
        <v>521.43895533915895</v>
      </c>
      <c r="E131">
        <v>36.962945087936532</v>
      </c>
      <c r="F131">
        <v>0.38</v>
      </c>
      <c r="G131">
        <v>0.55358698969159004</v>
      </c>
      <c r="H131">
        <v>0.13260000228881841</v>
      </c>
    </row>
    <row r="132" spans="1:8">
      <c r="A132" s="1">
        <v>39442</v>
      </c>
      <c r="B132">
        <v>4.2673966662970146</v>
      </c>
      <c r="C132">
        <v>4.5673966662970145</v>
      </c>
      <c r="D132">
        <v>521.43895533915895</v>
      </c>
      <c r="E132">
        <v>36.962945087936532</v>
      </c>
      <c r="F132">
        <v>0.38</v>
      </c>
      <c r="G132">
        <v>0.6080764448183078</v>
      </c>
      <c r="H132">
        <v>0.13600000381469729</v>
      </c>
    </row>
    <row r="133" spans="1:8">
      <c r="A133" s="1">
        <v>39443</v>
      </c>
      <c r="B133">
        <v>4.2673966662970146</v>
      </c>
      <c r="C133">
        <v>4.5673966662970145</v>
      </c>
      <c r="D133">
        <v>521.43895533915895</v>
      </c>
      <c r="E133">
        <v>36.962945087936532</v>
      </c>
      <c r="F133">
        <v>0.42</v>
      </c>
      <c r="G133">
        <v>0.53926102556066191</v>
      </c>
      <c r="H133">
        <v>0.13880000114440921</v>
      </c>
    </row>
    <row r="134" spans="1:8">
      <c r="A134" s="1">
        <v>39444</v>
      </c>
      <c r="B134">
        <v>4.2673966662970146</v>
      </c>
      <c r="C134">
        <v>4.5673966662970145</v>
      </c>
      <c r="D134">
        <v>521.43895533915895</v>
      </c>
      <c r="E134">
        <v>36.962945087936532</v>
      </c>
      <c r="F134">
        <v>0.42</v>
      </c>
      <c r="G134">
        <v>0.57769404195639917</v>
      </c>
      <c r="H134">
        <v>0.13850000381469729</v>
      </c>
    </row>
    <row r="135" spans="1:8">
      <c r="A135" s="1">
        <v>39447</v>
      </c>
      <c r="B135">
        <v>4.2673966662970146</v>
      </c>
      <c r="C135">
        <v>4.5673966662970145</v>
      </c>
      <c r="D135">
        <v>521.43895533915895</v>
      </c>
      <c r="E135">
        <v>36.962945087936532</v>
      </c>
      <c r="F135">
        <v>0.43</v>
      </c>
      <c r="G135">
        <v>0.63151574588359261</v>
      </c>
      <c r="H135">
        <v>0.13670000076293939</v>
      </c>
    </row>
    <row r="136" spans="1:8">
      <c r="A136" s="1">
        <v>39448</v>
      </c>
      <c r="B136">
        <v>4.2673966662970146</v>
      </c>
      <c r="C136">
        <v>4.5673966662970145</v>
      </c>
      <c r="D136">
        <v>521.43895533915895</v>
      </c>
      <c r="E136">
        <v>36.962945087936532</v>
      </c>
      <c r="F136">
        <v>0.42</v>
      </c>
      <c r="G136">
        <v>0.63206439402259595</v>
      </c>
      <c r="H136">
        <v>0.13060000419616699</v>
      </c>
    </row>
    <row r="137" spans="1:8">
      <c r="A137" s="1">
        <v>39449</v>
      </c>
      <c r="B137">
        <v>4.2673966662970146</v>
      </c>
      <c r="C137">
        <v>4.5673966662970145</v>
      </c>
      <c r="D137">
        <v>521.43895533915895</v>
      </c>
      <c r="E137">
        <v>36.962945087936532</v>
      </c>
      <c r="F137">
        <v>0.43</v>
      </c>
      <c r="G137">
        <v>0.56107401448897587</v>
      </c>
      <c r="H137">
        <v>0.12829999923706051</v>
      </c>
    </row>
    <row r="138" spans="1:8">
      <c r="A138" s="1">
        <v>39450</v>
      </c>
      <c r="B138">
        <v>4.2673966662970146</v>
      </c>
      <c r="C138">
        <v>4.5673966662970145</v>
      </c>
      <c r="D138">
        <v>521.43895533915895</v>
      </c>
      <c r="E138">
        <v>36.962945087936532</v>
      </c>
      <c r="F138">
        <v>0.38</v>
      </c>
      <c r="G138">
        <v>0.57546800970452971</v>
      </c>
      <c r="H138">
        <v>0.1393000030517578</v>
      </c>
    </row>
    <row r="139" spans="1:8">
      <c r="A139" s="1">
        <v>39451</v>
      </c>
      <c r="B139">
        <v>4.2673966662970146</v>
      </c>
      <c r="C139">
        <v>4.5673966662970145</v>
      </c>
      <c r="D139">
        <v>521.43895533915895</v>
      </c>
      <c r="E139">
        <v>36.962945087936532</v>
      </c>
      <c r="F139">
        <v>0.37</v>
      </c>
      <c r="G139">
        <v>0.63231618668468004</v>
      </c>
      <c r="H139">
        <v>0.15850000381469731</v>
      </c>
    </row>
    <row r="140" spans="1:8">
      <c r="A140" s="1">
        <v>39454</v>
      </c>
      <c r="B140">
        <v>4.2673966662970146</v>
      </c>
      <c r="C140">
        <v>4.5673966662970145</v>
      </c>
      <c r="D140">
        <v>521.43895533915895</v>
      </c>
      <c r="E140">
        <v>36.962945087936532</v>
      </c>
      <c r="F140">
        <v>0.38</v>
      </c>
      <c r="G140">
        <v>0.64573003850288291</v>
      </c>
      <c r="H140">
        <v>0.14380000114440919</v>
      </c>
    </row>
    <row r="141" spans="1:8">
      <c r="A141" s="1">
        <v>39455</v>
      </c>
      <c r="B141">
        <v>4.2673966662970146</v>
      </c>
      <c r="C141">
        <v>4.5673966662970145</v>
      </c>
      <c r="D141">
        <v>521.43895533915895</v>
      </c>
      <c r="E141">
        <v>36.962945087936532</v>
      </c>
      <c r="F141">
        <v>0.38</v>
      </c>
      <c r="G141">
        <v>0.60444891926861799</v>
      </c>
      <c r="H141">
        <v>0.14010000228881839</v>
      </c>
    </row>
    <row r="142" spans="1:8">
      <c r="A142" s="1">
        <v>39456</v>
      </c>
      <c r="B142">
        <v>4.2673966662970146</v>
      </c>
      <c r="C142">
        <v>4.5673966662970145</v>
      </c>
      <c r="D142">
        <v>521.43895533915895</v>
      </c>
      <c r="E142">
        <v>36.962945087936532</v>
      </c>
      <c r="F142">
        <v>0.37</v>
      </c>
      <c r="G142">
        <v>0.58308934102721532</v>
      </c>
      <c r="H142">
        <v>0.14239999771118159</v>
      </c>
    </row>
    <row r="143" spans="1:8">
      <c r="A143" s="1">
        <v>39457</v>
      </c>
      <c r="B143">
        <v>4.2673966662970146</v>
      </c>
      <c r="C143">
        <v>4.5673966662970145</v>
      </c>
      <c r="D143">
        <v>521.43895533915895</v>
      </c>
      <c r="E143">
        <v>36.962945087936532</v>
      </c>
      <c r="F143">
        <v>0.37</v>
      </c>
      <c r="G143">
        <v>0.6325250394471067</v>
      </c>
      <c r="H143">
        <v>0.14539999961853031</v>
      </c>
    </row>
    <row r="144" spans="1:8">
      <c r="A144" s="1">
        <v>39458</v>
      </c>
      <c r="B144">
        <v>4.2673966662970146</v>
      </c>
      <c r="C144">
        <v>4.5673966662970145</v>
      </c>
      <c r="D144">
        <v>521.43895533915895</v>
      </c>
      <c r="E144">
        <v>36.962945087936532</v>
      </c>
      <c r="F144">
        <v>0.37</v>
      </c>
      <c r="G144">
        <v>0.63299317613709505</v>
      </c>
      <c r="H144">
        <v>0.13750000000000001</v>
      </c>
    </row>
    <row r="145" spans="1:8">
      <c r="A145" s="1">
        <v>39461</v>
      </c>
      <c r="B145">
        <v>4.2673966662970146</v>
      </c>
      <c r="C145">
        <v>4.5673966662970145</v>
      </c>
      <c r="D145">
        <v>521.43895533915895</v>
      </c>
      <c r="E145">
        <v>36.962945087936532</v>
      </c>
      <c r="F145">
        <v>0.38</v>
      </c>
      <c r="G145">
        <v>0.61779792074369444</v>
      </c>
      <c r="H145">
        <v>0.13739999771118161</v>
      </c>
    </row>
    <row r="146" spans="1:8">
      <c r="A146" s="1">
        <v>39462</v>
      </c>
      <c r="B146">
        <v>4.2673966662970146</v>
      </c>
      <c r="C146">
        <v>4.5673966662970145</v>
      </c>
      <c r="D146">
        <v>521.43895533915895</v>
      </c>
      <c r="E146">
        <v>36.962945087936532</v>
      </c>
      <c r="F146">
        <v>0.38</v>
      </c>
      <c r="G146">
        <v>0.61120073620815685</v>
      </c>
      <c r="H146">
        <v>0.13430000305175779</v>
      </c>
    </row>
    <row r="147" spans="1:8">
      <c r="A147" s="1">
        <v>39463</v>
      </c>
      <c r="B147">
        <v>4.2673966662970146</v>
      </c>
      <c r="C147">
        <v>4.5673966662970145</v>
      </c>
      <c r="D147">
        <v>521.43895533915895</v>
      </c>
      <c r="E147">
        <v>36.962945087936532</v>
      </c>
      <c r="F147">
        <v>0.38</v>
      </c>
      <c r="G147">
        <v>0.60288678548429164</v>
      </c>
      <c r="H147">
        <v>0.13840000152587889</v>
      </c>
    </row>
    <row r="148" spans="1:8">
      <c r="A148" s="1">
        <v>39464</v>
      </c>
      <c r="B148">
        <v>4.2673966662970146</v>
      </c>
      <c r="C148">
        <v>4.5673966662970145</v>
      </c>
      <c r="D148">
        <v>521.43895533915895</v>
      </c>
      <c r="E148">
        <v>36.962945087936532</v>
      </c>
      <c r="F148">
        <v>0.4</v>
      </c>
      <c r="G148">
        <v>0.70590958137286819</v>
      </c>
      <c r="H148">
        <v>0.13489999771118161</v>
      </c>
    </row>
    <row r="149" spans="1:8">
      <c r="A149" s="1">
        <v>39465</v>
      </c>
      <c r="B149">
        <v>4.2673966662970146</v>
      </c>
      <c r="C149">
        <v>4.5673966662970145</v>
      </c>
      <c r="D149">
        <v>521.43895533915895</v>
      </c>
      <c r="E149">
        <v>36.962945087936532</v>
      </c>
      <c r="F149">
        <v>0.41</v>
      </c>
      <c r="G149">
        <v>0.55864442233587575</v>
      </c>
      <c r="H149">
        <v>0.1446000003814697</v>
      </c>
    </row>
    <row r="150" spans="1:8">
      <c r="A150" s="1">
        <v>39468</v>
      </c>
      <c r="B150">
        <v>4.2673966662970146</v>
      </c>
      <c r="C150">
        <v>4.5673966662970145</v>
      </c>
      <c r="D150">
        <v>521.43895533915895</v>
      </c>
      <c r="E150">
        <v>36.962945087936532</v>
      </c>
      <c r="F150">
        <v>0.4</v>
      </c>
      <c r="G150">
        <v>0.58976675386414223</v>
      </c>
      <c r="H150">
        <v>0.14499999999999999</v>
      </c>
    </row>
    <row r="151" spans="1:8">
      <c r="A151" s="1">
        <v>39469</v>
      </c>
      <c r="B151">
        <v>4.2673966662970146</v>
      </c>
      <c r="C151">
        <v>4.5673966662970145</v>
      </c>
      <c r="D151">
        <v>521.43895533915895</v>
      </c>
      <c r="E151">
        <v>36.962945087936532</v>
      </c>
      <c r="F151">
        <v>0.43</v>
      </c>
      <c r="G151">
        <v>0.57327325840411991</v>
      </c>
      <c r="H151">
        <v>0.144399995803833</v>
      </c>
    </row>
    <row r="152" spans="1:8">
      <c r="A152" s="1">
        <v>39470</v>
      </c>
      <c r="B152">
        <v>4.2673966662970146</v>
      </c>
      <c r="C152">
        <v>4.5673966662970145</v>
      </c>
      <c r="D152">
        <v>521.43895533915895</v>
      </c>
      <c r="E152">
        <v>36.962945087936532</v>
      </c>
      <c r="F152">
        <v>0.47</v>
      </c>
      <c r="G152">
        <v>0.60637623854856593</v>
      </c>
      <c r="H152">
        <v>0.14739999771118159</v>
      </c>
    </row>
    <row r="153" spans="1:8">
      <c r="A153" s="1">
        <v>39471</v>
      </c>
      <c r="B153">
        <v>4.2673966662970146</v>
      </c>
      <c r="C153">
        <v>4.5673966662970145</v>
      </c>
      <c r="D153">
        <v>521.43895533915895</v>
      </c>
      <c r="E153">
        <v>36.962945087936532</v>
      </c>
      <c r="F153">
        <v>0.45</v>
      </c>
      <c r="G153">
        <v>0.67289801588716203</v>
      </c>
      <c r="H153">
        <v>0.13750000000000001</v>
      </c>
    </row>
    <row r="154" spans="1:8">
      <c r="A154" s="1">
        <v>39472</v>
      </c>
      <c r="B154">
        <v>4.2673966662970146</v>
      </c>
      <c r="C154">
        <v>4.5673966662970145</v>
      </c>
      <c r="D154">
        <v>521.43895533915895</v>
      </c>
      <c r="E154">
        <v>36.962945087936532</v>
      </c>
      <c r="F154">
        <v>0.46</v>
      </c>
      <c r="G154">
        <v>0.60872989726494298</v>
      </c>
      <c r="H154">
        <v>0.14399999618530271</v>
      </c>
    </row>
    <row r="155" spans="1:8">
      <c r="A155" s="1">
        <v>39475</v>
      </c>
      <c r="B155">
        <v>4.2673966662970146</v>
      </c>
      <c r="C155">
        <v>4.5673966662970145</v>
      </c>
      <c r="D155">
        <v>521.43895533915895</v>
      </c>
      <c r="E155">
        <v>36.962945087936532</v>
      </c>
      <c r="F155">
        <v>0.45</v>
      </c>
      <c r="G155">
        <v>0.68692143305944309</v>
      </c>
      <c r="H155">
        <v>0.14409999847412111</v>
      </c>
    </row>
    <row r="156" spans="1:8">
      <c r="A156" s="1">
        <v>39476</v>
      </c>
      <c r="B156">
        <v>4.2673966662970146</v>
      </c>
      <c r="C156">
        <v>4.5673966662970145</v>
      </c>
      <c r="D156">
        <v>521.43895533915895</v>
      </c>
      <c r="E156">
        <v>36.962945087936532</v>
      </c>
      <c r="F156">
        <v>0.44</v>
      </c>
      <c r="G156">
        <v>0.64068803001797381</v>
      </c>
      <c r="H156">
        <v>0.14329999923706049</v>
      </c>
    </row>
    <row r="157" spans="1:8">
      <c r="A157" s="1">
        <v>39477</v>
      </c>
      <c r="B157">
        <v>4.2673966662970146</v>
      </c>
      <c r="C157">
        <v>4.5673966662970145</v>
      </c>
      <c r="D157">
        <v>521.43895533915895</v>
      </c>
      <c r="E157">
        <v>36.962945087936532</v>
      </c>
      <c r="F157">
        <v>0.4</v>
      </c>
      <c r="G157">
        <v>0.67485523005085757</v>
      </c>
      <c r="H157">
        <v>0.1381999969482422</v>
      </c>
    </row>
    <row r="158" spans="1:8">
      <c r="A158" s="1">
        <v>39478</v>
      </c>
      <c r="B158">
        <v>4.2673966662970146</v>
      </c>
      <c r="C158">
        <v>4.5673966662970145</v>
      </c>
      <c r="D158">
        <v>521.43895533915895</v>
      </c>
      <c r="E158">
        <v>36.962945087936532</v>
      </c>
      <c r="F158">
        <v>0.39</v>
      </c>
      <c r="G158">
        <v>0.65249632948359138</v>
      </c>
      <c r="H158">
        <v>0.13060000419616699</v>
      </c>
    </row>
    <row r="159" spans="1:8">
      <c r="A159" s="1">
        <v>39479</v>
      </c>
      <c r="B159">
        <v>4.2673966662970146</v>
      </c>
      <c r="C159">
        <v>4.5673966662970145</v>
      </c>
      <c r="D159">
        <v>521.43895533915895</v>
      </c>
      <c r="E159">
        <v>36.962945087936532</v>
      </c>
      <c r="F159">
        <v>0.38</v>
      </c>
      <c r="G159">
        <v>0.58312000402672837</v>
      </c>
      <c r="H159">
        <v>0.13189999580383299</v>
      </c>
    </row>
    <row r="160" spans="1:8">
      <c r="A160" s="1">
        <v>39482</v>
      </c>
      <c r="B160">
        <v>4.2673966662970146</v>
      </c>
      <c r="C160">
        <v>4.5673966662970145</v>
      </c>
      <c r="D160">
        <v>521.43895533915895</v>
      </c>
      <c r="E160">
        <v>36.962945087936532</v>
      </c>
      <c r="F160">
        <v>0.38</v>
      </c>
      <c r="G160">
        <v>0.58578950411162201</v>
      </c>
      <c r="H160">
        <v>0.13239999771118161</v>
      </c>
    </row>
    <row r="161" spans="1:8">
      <c r="A161" s="1">
        <v>39483</v>
      </c>
      <c r="B161">
        <v>4.2673966662970146</v>
      </c>
      <c r="C161">
        <v>4.5673966662970145</v>
      </c>
      <c r="D161">
        <v>521.43895533915895</v>
      </c>
      <c r="E161">
        <v>36.962945087936532</v>
      </c>
      <c r="F161">
        <v>0.38</v>
      </c>
      <c r="G161">
        <v>0.58201223902651766</v>
      </c>
      <c r="H161">
        <v>0.1277999973297119</v>
      </c>
    </row>
    <row r="162" spans="1:8">
      <c r="A162" s="1">
        <v>39484</v>
      </c>
      <c r="B162">
        <v>4.2673966662970146</v>
      </c>
      <c r="C162">
        <v>4.5673966662970145</v>
      </c>
      <c r="D162">
        <v>521.43895533915895</v>
      </c>
      <c r="E162">
        <v>36.962945087936532</v>
      </c>
      <c r="F162">
        <v>0.37</v>
      </c>
      <c r="G162">
        <v>0.61115192432036058</v>
      </c>
      <c r="H162">
        <v>0.13010000228881841</v>
      </c>
    </row>
    <row r="163" spans="1:8">
      <c r="A163" s="1">
        <v>39485</v>
      </c>
      <c r="B163">
        <v>4.2673966662970146</v>
      </c>
      <c r="C163">
        <v>4.5673966662970145</v>
      </c>
      <c r="D163">
        <v>521.43895533915895</v>
      </c>
      <c r="E163">
        <v>36.962945087936532</v>
      </c>
      <c r="F163">
        <v>0.4</v>
      </c>
      <c r="G163">
        <v>0.63046346458137104</v>
      </c>
      <c r="H163">
        <v>0.14329999923706049</v>
      </c>
    </row>
    <row r="164" spans="1:8">
      <c r="A164" s="1">
        <v>39486</v>
      </c>
      <c r="B164">
        <v>4.2673966662970146</v>
      </c>
      <c r="C164">
        <v>4.5673966662970145</v>
      </c>
      <c r="D164">
        <v>521.43895533915895</v>
      </c>
      <c r="E164">
        <v>36.962945087936532</v>
      </c>
      <c r="F164">
        <v>0.4</v>
      </c>
      <c r="G164">
        <v>0.60963500675817262</v>
      </c>
      <c r="H164">
        <v>0.16350000381469729</v>
      </c>
    </row>
    <row r="165" spans="1:8">
      <c r="A165" s="1">
        <v>39489</v>
      </c>
      <c r="B165">
        <v>4.2673966662970146</v>
      </c>
      <c r="C165">
        <v>4.5673966662970145</v>
      </c>
      <c r="D165">
        <v>521.43895533915895</v>
      </c>
      <c r="E165">
        <v>36.962945087936532</v>
      </c>
      <c r="F165">
        <v>0.4</v>
      </c>
      <c r="G165">
        <v>0.64187906085450586</v>
      </c>
      <c r="H165">
        <v>0.1603000068664551</v>
      </c>
    </row>
    <row r="166" spans="1:8">
      <c r="A166" s="1">
        <v>39490</v>
      </c>
      <c r="B166">
        <v>4.2673966662970146</v>
      </c>
      <c r="C166">
        <v>4.5673966662970145</v>
      </c>
      <c r="D166">
        <v>521.43895533915895</v>
      </c>
      <c r="E166">
        <v>36.962945087936532</v>
      </c>
      <c r="F166">
        <v>0.4</v>
      </c>
      <c r="G166">
        <v>0.57189154170584555</v>
      </c>
      <c r="H166">
        <v>0.15189999580383301</v>
      </c>
    </row>
    <row r="167" spans="1:8">
      <c r="A167" s="1">
        <v>39491</v>
      </c>
      <c r="B167">
        <v>4.2673966662970146</v>
      </c>
      <c r="C167">
        <v>4.5673966662970145</v>
      </c>
      <c r="D167">
        <v>521.43895533915895</v>
      </c>
      <c r="E167">
        <v>36.962945087936532</v>
      </c>
      <c r="F167">
        <v>0.41</v>
      </c>
      <c r="G167">
        <v>0.58606120683906393</v>
      </c>
      <c r="H167">
        <v>0.1497999954223633</v>
      </c>
    </row>
    <row r="168" spans="1:8">
      <c r="A168" s="1">
        <v>39492</v>
      </c>
      <c r="B168">
        <v>4.2673966662970146</v>
      </c>
      <c r="C168">
        <v>4.5673966662970145</v>
      </c>
      <c r="D168">
        <v>521.43895533915895</v>
      </c>
      <c r="E168">
        <v>36.962945087936532</v>
      </c>
      <c r="F168">
        <v>0.37</v>
      </c>
      <c r="G168">
        <v>0.5957132428336096</v>
      </c>
      <c r="H168">
        <v>0.1730999946594238</v>
      </c>
    </row>
    <row r="169" spans="1:8">
      <c r="A169" s="1">
        <v>39493</v>
      </c>
      <c r="B169">
        <v>4.2673966662970146</v>
      </c>
      <c r="C169">
        <v>4.5673966662970145</v>
      </c>
      <c r="D169">
        <v>521.43895533915895</v>
      </c>
      <c r="E169">
        <v>36.962945087936532</v>
      </c>
      <c r="F169">
        <v>0.36</v>
      </c>
      <c r="G169">
        <v>0.61377267869572549</v>
      </c>
      <c r="H169">
        <v>0.19229999542236331</v>
      </c>
    </row>
    <row r="170" spans="1:8">
      <c r="A170" s="1">
        <v>39496</v>
      </c>
      <c r="B170">
        <v>4.2673966662970146</v>
      </c>
      <c r="C170">
        <v>4.5673966662970145</v>
      </c>
      <c r="D170">
        <v>521.43895533915895</v>
      </c>
      <c r="E170">
        <v>36.962945087936532</v>
      </c>
      <c r="F170">
        <v>0.34</v>
      </c>
      <c r="G170">
        <v>0.6487953498890604</v>
      </c>
      <c r="H170">
        <v>0.18399999618530269</v>
      </c>
    </row>
    <row r="171" spans="1:8">
      <c r="A171" s="1">
        <v>39497</v>
      </c>
      <c r="B171">
        <v>4.2673966662970146</v>
      </c>
      <c r="C171">
        <v>4.5673966662970145</v>
      </c>
      <c r="D171">
        <v>521.43895533915895</v>
      </c>
      <c r="E171">
        <v>36.962945087936532</v>
      </c>
      <c r="F171">
        <v>0.33</v>
      </c>
      <c r="G171">
        <v>0.60738323249194415</v>
      </c>
      <c r="H171">
        <v>0.18209999084472661</v>
      </c>
    </row>
    <row r="172" spans="1:8">
      <c r="A172" s="1">
        <v>39498</v>
      </c>
      <c r="B172">
        <v>4.2673966662970146</v>
      </c>
      <c r="C172">
        <v>4.5673966662970145</v>
      </c>
      <c r="D172">
        <v>521.43895533915895</v>
      </c>
      <c r="E172">
        <v>36.962945087936532</v>
      </c>
      <c r="F172">
        <v>0.34</v>
      </c>
      <c r="G172">
        <v>0.65958587239988131</v>
      </c>
      <c r="H172">
        <v>0.18</v>
      </c>
    </row>
    <row r="173" spans="1:8">
      <c r="A173" s="1">
        <v>39499</v>
      </c>
      <c r="B173">
        <v>4.2673966662970146</v>
      </c>
      <c r="C173">
        <v>4.5673966662970145</v>
      </c>
      <c r="D173">
        <v>521.43895533915895</v>
      </c>
      <c r="E173">
        <v>36.962945087936532</v>
      </c>
      <c r="F173">
        <v>0.34</v>
      </c>
      <c r="G173">
        <v>0.58467027258306903</v>
      </c>
      <c r="H173">
        <v>0.15689999580383299</v>
      </c>
    </row>
    <row r="174" spans="1:8">
      <c r="A174" s="1">
        <v>39500</v>
      </c>
      <c r="B174">
        <v>4.2673966662970146</v>
      </c>
      <c r="C174">
        <v>4.5673966662970145</v>
      </c>
      <c r="D174">
        <v>521.43895533915895</v>
      </c>
      <c r="E174">
        <v>36.962945087936532</v>
      </c>
      <c r="F174">
        <v>0.33</v>
      </c>
      <c r="G174">
        <v>0.58191460070976431</v>
      </c>
      <c r="H174">
        <v>0.15970000267028811</v>
      </c>
    </row>
    <row r="175" spans="1:8">
      <c r="A175" s="1">
        <v>39503</v>
      </c>
      <c r="B175">
        <v>4.2673966662970146</v>
      </c>
      <c r="C175">
        <v>4.5673966662970145</v>
      </c>
      <c r="D175">
        <v>521.43895533915895</v>
      </c>
      <c r="E175">
        <v>36.962945087936532</v>
      </c>
      <c r="F175">
        <v>0.31</v>
      </c>
      <c r="G175">
        <v>0.56815407565405573</v>
      </c>
      <c r="H175">
        <v>0.1536999988555908</v>
      </c>
    </row>
    <row r="176" spans="1:8">
      <c r="A176" s="1">
        <v>39504</v>
      </c>
      <c r="B176">
        <v>4.2673966662970146</v>
      </c>
      <c r="C176">
        <v>4.5673966662970145</v>
      </c>
      <c r="D176">
        <v>521.43895533915895</v>
      </c>
      <c r="E176">
        <v>36.962945087936532</v>
      </c>
      <c r="F176">
        <v>0.32</v>
      </c>
      <c r="G176">
        <v>0.68992946860329873</v>
      </c>
      <c r="H176">
        <v>0.15029999732971189</v>
      </c>
    </row>
    <row r="177" spans="1:8">
      <c r="A177" s="1">
        <v>39505</v>
      </c>
      <c r="B177">
        <v>4.2673966662970146</v>
      </c>
      <c r="C177">
        <v>4.5673966662970145</v>
      </c>
      <c r="D177">
        <v>521.43895533915895</v>
      </c>
      <c r="E177">
        <v>36.962945087936532</v>
      </c>
      <c r="F177">
        <v>0.32</v>
      </c>
      <c r="G177">
        <v>0.50710312212695852</v>
      </c>
      <c r="H177">
        <v>0.14670000076293949</v>
      </c>
    </row>
    <row r="178" spans="1:8">
      <c r="A178" s="1">
        <v>39506</v>
      </c>
      <c r="B178">
        <v>4.2673966662970146</v>
      </c>
      <c r="C178">
        <v>4.5673966662970145</v>
      </c>
      <c r="D178">
        <v>521.43895533915895</v>
      </c>
      <c r="E178">
        <v>36.962945087936532</v>
      </c>
      <c r="F178">
        <v>0.31</v>
      </c>
      <c r="G178">
        <v>0.60481326803198643</v>
      </c>
      <c r="H178">
        <v>0.1468000030517578</v>
      </c>
    </row>
    <row r="179" spans="1:8">
      <c r="A179" s="1">
        <v>39507</v>
      </c>
      <c r="B179">
        <v>4.2673966662970146</v>
      </c>
      <c r="C179">
        <v>4.5673966662970145</v>
      </c>
      <c r="D179">
        <v>521.43895533915895</v>
      </c>
      <c r="E179">
        <v>36.962945087936532</v>
      </c>
      <c r="F179">
        <v>0.3</v>
      </c>
      <c r="G179">
        <v>0.63960448254378555</v>
      </c>
      <c r="H179">
        <v>0.13489999771118161</v>
      </c>
    </row>
    <row r="180" spans="1:8">
      <c r="A180" s="1">
        <v>39510</v>
      </c>
      <c r="B180">
        <v>4.2673966662970146</v>
      </c>
      <c r="C180">
        <v>4.5673966662970145</v>
      </c>
      <c r="D180">
        <v>521.43895533915895</v>
      </c>
      <c r="E180">
        <v>36.962945087936532</v>
      </c>
      <c r="F180">
        <v>0.3</v>
      </c>
      <c r="G180">
        <v>0.5786433858972605</v>
      </c>
      <c r="H180">
        <v>0.13489999771118161</v>
      </c>
    </row>
    <row r="181" spans="1:8">
      <c r="A181" s="1">
        <v>39511</v>
      </c>
      <c r="B181">
        <v>4.2673966662970146</v>
      </c>
      <c r="C181">
        <v>4.5673966662970145</v>
      </c>
      <c r="D181">
        <v>521.43895533915895</v>
      </c>
      <c r="E181">
        <v>36.962945087936532</v>
      </c>
      <c r="F181">
        <v>0.3</v>
      </c>
      <c r="G181">
        <v>0.55485117104875115</v>
      </c>
      <c r="H181">
        <v>0.13229999542236329</v>
      </c>
    </row>
    <row r="182" spans="1:8">
      <c r="A182" s="1">
        <v>39512</v>
      </c>
      <c r="B182">
        <v>4.2673966662970146</v>
      </c>
      <c r="C182">
        <v>4.5673966662970145</v>
      </c>
      <c r="D182">
        <v>521.43895533915895</v>
      </c>
      <c r="E182">
        <v>36.962945087936532</v>
      </c>
      <c r="F182">
        <v>0.33</v>
      </c>
      <c r="G182">
        <v>0.58993057679338501</v>
      </c>
      <c r="H182">
        <v>0.13</v>
      </c>
    </row>
    <row r="183" spans="1:8">
      <c r="A183" s="1">
        <v>39513</v>
      </c>
      <c r="B183">
        <v>4.2673966662970146</v>
      </c>
      <c r="C183">
        <v>4.5673966662970145</v>
      </c>
      <c r="D183">
        <v>521.43895533915895</v>
      </c>
      <c r="E183">
        <v>36.962945087936532</v>
      </c>
      <c r="F183">
        <v>0.32</v>
      </c>
      <c r="G183">
        <v>0.60658391185776628</v>
      </c>
      <c r="H183">
        <v>0.13600000381469729</v>
      </c>
    </row>
    <row r="184" spans="1:8">
      <c r="A184" s="1">
        <v>39514</v>
      </c>
      <c r="B184">
        <v>4.2673966662970146</v>
      </c>
      <c r="C184">
        <v>4.5673966662970145</v>
      </c>
      <c r="D184">
        <v>521.43895533915895</v>
      </c>
      <c r="E184">
        <v>36.962945087936532</v>
      </c>
      <c r="F184">
        <v>0.32</v>
      </c>
      <c r="G184">
        <v>0.56167149709600406</v>
      </c>
      <c r="H184">
        <v>0.13420000076293939</v>
      </c>
    </row>
    <row r="185" spans="1:8">
      <c r="A185" s="1">
        <v>39517</v>
      </c>
      <c r="B185">
        <v>4.2673966662970146</v>
      </c>
      <c r="C185">
        <v>4.5673966662970145</v>
      </c>
      <c r="D185">
        <v>521.43895533915895</v>
      </c>
      <c r="E185">
        <v>36.962945087936532</v>
      </c>
      <c r="F185">
        <v>0.35</v>
      </c>
      <c r="G185">
        <v>0.6336838379045957</v>
      </c>
      <c r="H185">
        <v>0.1244999980926514</v>
      </c>
    </row>
    <row r="186" spans="1:8">
      <c r="A186" s="1">
        <v>39518</v>
      </c>
      <c r="B186">
        <v>4.2673966662970146</v>
      </c>
      <c r="C186">
        <v>4.5673966662970145</v>
      </c>
      <c r="D186">
        <v>521.43895533915895</v>
      </c>
      <c r="E186">
        <v>36.962945087936532</v>
      </c>
      <c r="F186">
        <v>0.34</v>
      </c>
      <c r="G186">
        <v>0.63149412494344836</v>
      </c>
      <c r="H186">
        <v>0.12420000076293949</v>
      </c>
    </row>
    <row r="187" spans="1:8">
      <c r="A187" s="1">
        <v>39519</v>
      </c>
      <c r="B187">
        <v>4.2673966662970146</v>
      </c>
      <c r="C187">
        <v>4.5673966662970145</v>
      </c>
      <c r="D187">
        <v>521.43895533915895</v>
      </c>
      <c r="E187">
        <v>36.962945087936532</v>
      </c>
      <c r="F187">
        <v>0.34</v>
      </c>
      <c r="G187">
        <v>0.59979654104302693</v>
      </c>
      <c r="H187">
        <v>0.11989999771118159</v>
      </c>
    </row>
    <row r="188" spans="1:8">
      <c r="A188" s="1">
        <v>39520</v>
      </c>
      <c r="B188">
        <v>4.2673966662970146</v>
      </c>
      <c r="C188">
        <v>4.5673966662970145</v>
      </c>
      <c r="D188">
        <v>521.43895533915895</v>
      </c>
      <c r="E188">
        <v>36.962945087936532</v>
      </c>
      <c r="F188">
        <v>0.50548983348060461</v>
      </c>
      <c r="G188">
        <v>0.64774525075268641</v>
      </c>
      <c r="H188">
        <v>0.65288877805237533</v>
      </c>
    </row>
    <row r="189" spans="1:8">
      <c r="A189" s="1">
        <v>39521</v>
      </c>
      <c r="B189">
        <v>4.2673966662970146</v>
      </c>
      <c r="C189">
        <v>4.5673966662970145</v>
      </c>
      <c r="D189">
        <v>521.43895533915895</v>
      </c>
      <c r="E189">
        <v>36.962945087936532</v>
      </c>
      <c r="F189">
        <v>0.47706563778694638</v>
      </c>
      <c r="G189">
        <v>0.54868843599346206</v>
      </c>
      <c r="H189">
        <v>0.60642847224372887</v>
      </c>
    </row>
    <row r="190" spans="1:8">
      <c r="A190" s="1">
        <v>39524</v>
      </c>
      <c r="B190">
        <v>4.2673966662970146</v>
      </c>
      <c r="C190">
        <v>4.5673966662970145</v>
      </c>
      <c r="D190">
        <v>521.43895533915895</v>
      </c>
      <c r="E190">
        <v>36.962945087936532</v>
      </c>
      <c r="F190">
        <v>0.42533340023346311</v>
      </c>
      <c r="G190">
        <v>0.47284196019475011</v>
      </c>
      <c r="H190">
        <v>0.60514873414934534</v>
      </c>
    </row>
    <row r="191" spans="1:8">
      <c r="A191" s="1">
        <v>39525</v>
      </c>
      <c r="B191">
        <v>4.2673966662970146</v>
      </c>
      <c r="C191">
        <v>4.5673966662970145</v>
      </c>
      <c r="D191">
        <v>521.43895533915895</v>
      </c>
      <c r="E191">
        <v>36.962945087936532</v>
      </c>
      <c r="F191">
        <v>0.47050707404628028</v>
      </c>
      <c r="G191">
        <v>0.66575565379214041</v>
      </c>
      <c r="H191">
        <v>0.70687396456756224</v>
      </c>
    </row>
    <row r="192" spans="1:8">
      <c r="A192" s="1">
        <v>39526</v>
      </c>
      <c r="B192">
        <v>4.2673966662970146</v>
      </c>
      <c r="C192">
        <v>4.5673966662970145</v>
      </c>
      <c r="D192">
        <v>521.43895533915895</v>
      </c>
      <c r="E192">
        <v>36.962945087936532</v>
      </c>
      <c r="F192">
        <v>0.56600742420638261</v>
      </c>
      <c r="G192">
        <v>0.62240921990807807</v>
      </c>
      <c r="H192">
        <v>0.69923744306780822</v>
      </c>
    </row>
    <row r="193" spans="1:8">
      <c r="A193" s="1">
        <v>39527</v>
      </c>
      <c r="B193">
        <v>4.2673966662970146</v>
      </c>
      <c r="C193">
        <v>4.5673966662970145</v>
      </c>
      <c r="D193">
        <v>521.43895533915895</v>
      </c>
      <c r="E193">
        <v>36.962945087936532</v>
      </c>
      <c r="F193">
        <v>0.49044387490867725</v>
      </c>
      <c r="G193">
        <v>0.59834345999328808</v>
      </c>
      <c r="H193">
        <v>0.77718672755033547</v>
      </c>
    </row>
    <row r="194" spans="1:8">
      <c r="A194" s="1">
        <v>39528</v>
      </c>
      <c r="B194">
        <v>4.2673966662970146</v>
      </c>
      <c r="C194">
        <v>4.5673966662970145</v>
      </c>
      <c r="D194">
        <v>521.43895533915895</v>
      </c>
      <c r="E194">
        <v>36.962945087936532</v>
      </c>
      <c r="F194">
        <v>0.48956300778434703</v>
      </c>
      <c r="G194">
        <v>0.64649922466628884</v>
      </c>
      <c r="H194">
        <v>0.62033229575719684</v>
      </c>
    </row>
    <row r="195" spans="1:8">
      <c r="A195" s="1">
        <v>39531</v>
      </c>
      <c r="B195">
        <v>4.2673966662970146</v>
      </c>
      <c r="C195">
        <v>4.5673966662970145</v>
      </c>
      <c r="D195">
        <v>521.43895533915895</v>
      </c>
      <c r="E195">
        <v>36.962945087936532</v>
      </c>
      <c r="F195">
        <v>0.50061145427383413</v>
      </c>
      <c r="G195">
        <v>0.6291318876201587</v>
      </c>
      <c r="H195">
        <v>0.60489426337578112</v>
      </c>
    </row>
    <row r="196" spans="1:8">
      <c r="A196" s="1">
        <v>39532</v>
      </c>
      <c r="B196">
        <v>4.2673966662970146</v>
      </c>
      <c r="C196">
        <v>4.5673966662970145</v>
      </c>
      <c r="D196">
        <v>521.43895533915895</v>
      </c>
      <c r="E196">
        <v>36.962945087936532</v>
      </c>
      <c r="F196">
        <v>0.49169846841012499</v>
      </c>
      <c r="G196">
        <v>0.55208571114558413</v>
      </c>
      <c r="H196">
        <v>0.62920455708976308</v>
      </c>
    </row>
    <row r="197" spans="1:8">
      <c r="A197" s="1">
        <v>39533</v>
      </c>
      <c r="B197">
        <v>4.2673966662970146</v>
      </c>
      <c r="C197">
        <v>4.5673966662970145</v>
      </c>
      <c r="D197">
        <v>521.43895533915895</v>
      </c>
      <c r="E197">
        <v>36.962945087936532</v>
      </c>
      <c r="F197">
        <v>0.56234951354719509</v>
      </c>
      <c r="G197">
        <v>0.62491675212968656</v>
      </c>
      <c r="H197">
        <v>0.56075076514962841</v>
      </c>
    </row>
    <row r="198" spans="1:8">
      <c r="A198" s="1">
        <v>39534</v>
      </c>
      <c r="B198">
        <v>4.2673966662970146</v>
      </c>
      <c r="C198">
        <v>4.5673966662970145</v>
      </c>
      <c r="D198">
        <v>521.43895533915895</v>
      </c>
      <c r="E198">
        <v>36.962945087936532</v>
      </c>
      <c r="F198">
        <v>0.57690162573510306</v>
      </c>
      <c r="G198">
        <v>0.56297778968223322</v>
      </c>
      <c r="H198">
        <v>0.73662889122801101</v>
      </c>
    </row>
    <row r="199" spans="1:8">
      <c r="A199" s="1">
        <v>39535</v>
      </c>
      <c r="B199">
        <v>4.2673966662970146</v>
      </c>
      <c r="C199">
        <v>4.5673966662970145</v>
      </c>
      <c r="D199">
        <v>521.43895533915895</v>
      </c>
      <c r="E199">
        <v>36.962945087936532</v>
      </c>
      <c r="F199">
        <v>0.49081442848399248</v>
      </c>
      <c r="G199">
        <v>0.59065167883620873</v>
      </c>
      <c r="H199">
        <v>0.56905645087673062</v>
      </c>
    </row>
    <row r="200" spans="1:8">
      <c r="A200" s="1">
        <v>39538</v>
      </c>
      <c r="B200">
        <v>4.2673966662970146</v>
      </c>
      <c r="C200">
        <v>4.5673966662970145</v>
      </c>
      <c r="D200">
        <v>521.43895533915895</v>
      </c>
      <c r="E200">
        <v>36.962945087936532</v>
      </c>
      <c r="F200">
        <v>0.55257328781006665</v>
      </c>
      <c r="G200">
        <v>0.64144738603546037</v>
      </c>
      <c r="H200">
        <v>0.68207418600262726</v>
      </c>
    </row>
    <row r="201" spans="1:8">
      <c r="A201" s="1">
        <v>39539</v>
      </c>
      <c r="B201">
        <v>4.2673966662970146</v>
      </c>
      <c r="C201">
        <v>4.5673966662970145</v>
      </c>
      <c r="D201">
        <v>521.43895533915895</v>
      </c>
      <c r="E201">
        <v>36.962945087936532</v>
      </c>
      <c r="F201">
        <v>0.52665553492518957</v>
      </c>
      <c r="G201">
        <v>0.58239670631388285</v>
      </c>
      <c r="H201">
        <v>0.6137893724610628</v>
      </c>
    </row>
    <row r="202" spans="1:8">
      <c r="A202" s="1">
        <v>39540</v>
      </c>
      <c r="B202">
        <v>4.2673966662970146</v>
      </c>
      <c r="C202">
        <v>4.5673966662970145</v>
      </c>
      <c r="D202">
        <v>521.43895533915895</v>
      </c>
      <c r="E202">
        <v>36.962945087936532</v>
      </c>
      <c r="F202">
        <v>0.52374411677689059</v>
      </c>
      <c r="G202">
        <v>0.62504999273077733</v>
      </c>
      <c r="H202">
        <v>0.78099381143079993</v>
      </c>
    </row>
    <row r="203" spans="1:8">
      <c r="A203" s="1">
        <v>39541</v>
      </c>
      <c r="B203">
        <v>4.2673966662970146</v>
      </c>
      <c r="C203">
        <v>4.5673966662970145</v>
      </c>
      <c r="D203">
        <v>521.43895533915895</v>
      </c>
      <c r="E203">
        <v>36.962945087936532</v>
      </c>
      <c r="F203">
        <v>0.39921751066076783</v>
      </c>
      <c r="G203">
        <v>0.49666846010990612</v>
      </c>
      <c r="H203">
        <v>0.68597470033611252</v>
      </c>
    </row>
    <row r="204" spans="1:8">
      <c r="A204" s="1">
        <v>39542</v>
      </c>
      <c r="B204">
        <v>4.2673966662970146</v>
      </c>
      <c r="C204">
        <v>4.5673966662970145</v>
      </c>
      <c r="D204">
        <v>521.43895533915895</v>
      </c>
      <c r="E204">
        <v>36.962945087936532</v>
      </c>
      <c r="F204">
        <v>0.55281767098807433</v>
      </c>
      <c r="G204">
        <v>0.67491428589611691</v>
      </c>
      <c r="H204">
        <v>0.65225884680896962</v>
      </c>
    </row>
    <row r="205" spans="1:8">
      <c r="A205" s="1">
        <v>39545</v>
      </c>
      <c r="B205">
        <v>4.2673966662970146</v>
      </c>
      <c r="C205">
        <v>4.5673966662970145</v>
      </c>
      <c r="D205">
        <v>521.43895533915895</v>
      </c>
      <c r="E205">
        <v>36.962945087936532</v>
      </c>
      <c r="F205">
        <v>0.47718383212133347</v>
      </c>
      <c r="G205">
        <v>0.59481119391157644</v>
      </c>
      <c r="H205">
        <v>0.62345745338550107</v>
      </c>
    </row>
    <row r="206" spans="1:8">
      <c r="A206" s="1">
        <v>39546</v>
      </c>
      <c r="B206">
        <v>4.2673966662970146</v>
      </c>
      <c r="C206">
        <v>4.5673966662970145</v>
      </c>
      <c r="D206">
        <v>521.43895533915895</v>
      </c>
      <c r="E206">
        <v>36.962945087936532</v>
      </c>
      <c r="F206">
        <v>0.54534941583378238</v>
      </c>
      <c r="G206">
        <v>0.5749466972092131</v>
      </c>
      <c r="H206">
        <v>0.73592190501249333</v>
      </c>
    </row>
    <row r="207" spans="1:8">
      <c r="A207" s="1">
        <v>39547</v>
      </c>
      <c r="B207">
        <v>4.2673966662970146</v>
      </c>
      <c r="C207">
        <v>4.5673966662970145</v>
      </c>
      <c r="D207">
        <v>521.43895533915895</v>
      </c>
      <c r="E207">
        <v>36.962945087936532</v>
      </c>
      <c r="F207">
        <v>0.59387222742596935</v>
      </c>
      <c r="G207">
        <v>0.57707021945637815</v>
      </c>
      <c r="H207">
        <v>0.69976593961818112</v>
      </c>
    </row>
    <row r="208" spans="1:8">
      <c r="A208" s="1">
        <v>39548</v>
      </c>
      <c r="B208">
        <v>4.2673966662970146</v>
      </c>
      <c r="C208">
        <v>4.5673966662970145</v>
      </c>
      <c r="D208">
        <v>521.43895533915895</v>
      </c>
      <c r="E208">
        <v>36.962945087936532</v>
      </c>
      <c r="F208">
        <v>0.42193063301713857</v>
      </c>
      <c r="G208">
        <v>0.60250234733206831</v>
      </c>
      <c r="H208">
        <v>0.81574058432733776</v>
      </c>
    </row>
    <row r="209" spans="1:8">
      <c r="A209" s="1">
        <v>39549</v>
      </c>
      <c r="B209">
        <v>4.2673966662970146</v>
      </c>
      <c r="C209">
        <v>4.5673966662970145</v>
      </c>
      <c r="D209">
        <v>521.43895533915895</v>
      </c>
      <c r="E209">
        <v>36.962945087936532</v>
      </c>
      <c r="F209">
        <v>0.52310858887665557</v>
      </c>
      <c r="G209">
        <v>0.58487709290802048</v>
      </c>
      <c r="H209">
        <v>0.70309943509346295</v>
      </c>
    </row>
    <row r="210" spans="1:8">
      <c r="A210" s="1">
        <v>39552</v>
      </c>
      <c r="B210">
        <v>4.2673966662970146</v>
      </c>
      <c r="C210">
        <v>4.5673966662970145</v>
      </c>
      <c r="D210">
        <v>521.43895533915895</v>
      </c>
      <c r="E210">
        <v>36.962945087936532</v>
      </c>
      <c r="F210">
        <v>0.4978998233309071</v>
      </c>
      <c r="G210">
        <v>0.623854760560969</v>
      </c>
      <c r="H210">
        <v>0.69022858528749176</v>
      </c>
    </row>
    <row r="211" spans="1:8">
      <c r="A211" s="1">
        <v>39553</v>
      </c>
      <c r="B211">
        <v>4.2673966662970146</v>
      </c>
      <c r="C211">
        <v>4.5673966662970145</v>
      </c>
      <c r="D211">
        <v>521.43895533915895</v>
      </c>
      <c r="E211">
        <v>36.962945087936532</v>
      </c>
      <c r="F211">
        <v>0.57851915930715303</v>
      </c>
      <c r="G211">
        <v>0.5499950518697384</v>
      </c>
      <c r="H211">
        <v>0.65844487787736949</v>
      </c>
    </row>
    <row r="212" spans="1:8">
      <c r="A212" s="1">
        <v>39554</v>
      </c>
      <c r="B212">
        <v>4.2673966662970146</v>
      </c>
      <c r="C212">
        <v>4.5673966662970145</v>
      </c>
      <c r="D212">
        <v>521.43895533915895</v>
      </c>
      <c r="E212">
        <v>36.962945087936532</v>
      </c>
      <c r="F212">
        <v>0.57134798467881298</v>
      </c>
      <c r="G212">
        <v>0.59383330299871107</v>
      </c>
      <c r="H212">
        <v>0.6545718113424579</v>
      </c>
    </row>
    <row r="213" spans="1:8">
      <c r="A213" s="1">
        <v>39555</v>
      </c>
      <c r="B213">
        <v>4.2673966662970146</v>
      </c>
      <c r="C213">
        <v>4.5673966662970145</v>
      </c>
      <c r="D213">
        <v>521.43895533915895</v>
      </c>
      <c r="E213">
        <v>36.962945087936532</v>
      </c>
      <c r="F213">
        <v>0.52278521612375595</v>
      </c>
      <c r="G213">
        <v>0.63560421322725191</v>
      </c>
      <c r="H213">
        <v>0.60192508903439323</v>
      </c>
    </row>
    <row r="214" spans="1:8">
      <c r="A214" s="1">
        <v>39556</v>
      </c>
      <c r="B214">
        <v>4.2673966662970146</v>
      </c>
      <c r="C214">
        <v>4.5673966662970145</v>
      </c>
      <c r="D214">
        <v>521.43895533915895</v>
      </c>
      <c r="E214">
        <v>36.962945087936532</v>
      </c>
      <c r="F214">
        <v>0.58425058325099566</v>
      </c>
      <c r="G214">
        <v>0.61250777908296505</v>
      </c>
      <c r="H214">
        <v>0.73795665063723304</v>
      </c>
    </row>
    <row r="215" spans="1:8">
      <c r="A215" s="1">
        <v>39559</v>
      </c>
      <c r="B215">
        <v>4.2673966662970146</v>
      </c>
      <c r="C215">
        <v>4.5673966662970145</v>
      </c>
      <c r="D215">
        <v>521.43895533915895</v>
      </c>
      <c r="E215">
        <v>36.962945087936532</v>
      </c>
      <c r="F215">
        <v>0.49124828723300773</v>
      </c>
      <c r="G215">
        <v>0.59269848144513104</v>
      </c>
      <c r="H215">
        <v>0.71105941654736526</v>
      </c>
    </row>
    <row r="216" spans="1:8">
      <c r="A216" s="1">
        <v>39560</v>
      </c>
      <c r="B216">
        <v>4.2673966662970146</v>
      </c>
      <c r="C216">
        <v>4.5673966662970145</v>
      </c>
      <c r="D216">
        <v>521.43895533915895</v>
      </c>
      <c r="E216">
        <v>36.962945087936532</v>
      </c>
      <c r="F216">
        <v>0.47502224872280085</v>
      </c>
      <c r="G216">
        <v>0.73310454447823792</v>
      </c>
      <c r="H216">
        <v>0.75282618198776952</v>
      </c>
    </row>
    <row r="217" spans="1:8">
      <c r="A217" s="1">
        <v>39561</v>
      </c>
      <c r="B217">
        <v>4.2673966662970146</v>
      </c>
      <c r="C217">
        <v>4.5673966662970145</v>
      </c>
      <c r="D217">
        <v>521.43895533915895</v>
      </c>
      <c r="E217">
        <v>36.962945087936532</v>
      </c>
      <c r="F217">
        <v>0.49924722309739406</v>
      </c>
      <c r="G217">
        <v>0.54305090260430855</v>
      </c>
      <c r="H217">
        <v>0.78826073293085219</v>
      </c>
    </row>
    <row r="218" spans="1:8">
      <c r="A218" s="1">
        <v>39562</v>
      </c>
      <c r="B218">
        <v>4.2673966662970146</v>
      </c>
      <c r="C218">
        <v>4.5673966662970145</v>
      </c>
      <c r="D218">
        <v>521.43895533915895</v>
      </c>
      <c r="E218">
        <v>36.962945087936532</v>
      </c>
      <c r="F218">
        <v>0.50689132338782594</v>
      </c>
      <c r="G218">
        <v>0.66452581349752138</v>
      </c>
      <c r="H218">
        <v>0.76945479651204596</v>
      </c>
    </row>
    <row r="219" spans="1:8">
      <c r="A219" s="1">
        <v>39563</v>
      </c>
      <c r="B219">
        <v>4.2673966662970146</v>
      </c>
      <c r="C219">
        <v>4.5673966662970145</v>
      </c>
      <c r="D219">
        <v>521.43895533915895</v>
      </c>
      <c r="E219">
        <v>36.962945087936532</v>
      </c>
      <c r="F219">
        <v>0.49243732876279989</v>
      </c>
      <c r="G219">
        <v>0.52424690207351932</v>
      </c>
      <c r="H219">
        <v>0.68733019191506328</v>
      </c>
    </row>
    <row r="220" spans="1:8">
      <c r="A220" s="1">
        <v>39566</v>
      </c>
      <c r="B220">
        <v>4.2673966662970146</v>
      </c>
      <c r="C220">
        <v>4.5673966662970145</v>
      </c>
      <c r="D220">
        <v>521.43895533915895</v>
      </c>
      <c r="E220">
        <v>36.962945087936532</v>
      </c>
      <c r="F220">
        <v>0.4950845673538401</v>
      </c>
      <c r="G220">
        <v>0.48860980769793716</v>
      </c>
      <c r="H220">
        <v>0.65401686365330913</v>
      </c>
    </row>
    <row r="221" spans="1:8">
      <c r="A221" s="1">
        <v>39567</v>
      </c>
      <c r="B221">
        <v>4.2673966662970146</v>
      </c>
      <c r="C221">
        <v>4.5673966662970145</v>
      </c>
      <c r="D221">
        <v>521.43895533915895</v>
      </c>
      <c r="E221">
        <v>36.962945087936532</v>
      </c>
      <c r="F221">
        <v>0.5596835673410826</v>
      </c>
      <c r="G221">
        <v>0.58413262860381232</v>
      </c>
      <c r="H221">
        <v>0.58101895430576878</v>
      </c>
    </row>
    <row r="222" spans="1:8">
      <c r="A222" s="1">
        <v>39568</v>
      </c>
      <c r="B222">
        <v>4.2673966662970146</v>
      </c>
      <c r="C222">
        <v>4.5673966662970145</v>
      </c>
      <c r="D222">
        <v>521.43895533915895</v>
      </c>
      <c r="E222">
        <v>36.962945087936532</v>
      </c>
      <c r="F222">
        <v>0.56335895797687963</v>
      </c>
      <c r="G222">
        <v>0.57499380755116869</v>
      </c>
      <c r="H222">
        <v>0.70466658523141179</v>
      </c>
    </row>
    <row r="223" spans="1:8">
      <c r="A223" s="1">
        <v>39569</v>
      </c>
      <c r="B223">
        <v>4.2673966662970146</v>
      </c>
      <c r="C223">
        <v>4.5673966662970145</v>
      </c>
      <c r="D223">
        <v>521.43895533915895</v>
      </c>
      <c r="E223">
        <v>36.962945087936532</v>
      </c>
      <c r="F223">
        <v>0.49484039448890105</v>
      </c>
      <c r="G223">
        <v>0.63250098095748841</v>
      </c>
      <c r="H223">
        <v>0.70373511938304967</v>
      </c>
    </row>
    <row r="224" spans="1:8">
      <c r="A224" s="1">
        <v>39570</v>
      </c>
      <c r="B224">
        <v>4.2673966662970146</v>
      </c>
      <c r="C224">
        <v>4.5673966662970145</v>
      </c>
      <c r="D224">
        <v>521.43895533915895</v>
      </c>
      <c r="E224">
        <v>36.962945087936532</v>
      </c>
      <c r="F224">
        <v>0.53247965997572477</v>
      </c>
      <c r="G224">
        <v>0.59448415690155454</v>
      </c>
      <c r="H224">
        <v>0.72841151445814101</v>
      </c>
    </row>
    <row r="225" spans="1:8">
      <c r="A225" s="1">
        <v>39573</v>
      </c>
      <c r="B225">
        <v>4.2673966662970146</v>
      </c>
      <c r="C225">
        <v>4.5673966662970145</v>
      </c>
      <c r="D225">
        <v>521.43895533915895</v>
      </c>
      <c r="E225">
        <v>36.962945087936532</v>
      </c>
      <c r="F225">
        <v>0.47109218367012301</v>
      </c>
      <c r="G225">
        <v>0.59216002044991989</v>
      </c>
      <c r="H225">
        <v>0.66665199566071198</v>
      </c>
    </row>
    <row r="226" spans="1:8">
      <c r="A226" s="1">
        <v>39574</v>
      </c>
      <c r="B226">
        <v>4.2673966662970146</v>
      </c>
      <c r="C226">
        <v>4.5673966662970145</v>
      </c>
      <c r="D226">
        <v>521.43895533915895</v>
      </c>
      <c r="E226">
        <v>36.962945087936532</v>
      </c>
      <c r="F226">
        <v>0.54005437558644065</v>
      </c>
      <c r="G226">
        <v>0.60532088662288097</v>
      </c>
      <c r="H226">
        <v>0.65391422008088596</v>
      </c>
    </row>
    <row r="227" spans="1:8">
      <c r="A227" s="1">
        <v>39575</v>
      </c>
      <c r="B227">
        <v>4.2673966662970146</v>
      </c>
      <c r="C227">
        <v>4.5673966662970145</v>
      </c>
      <c r="D227">
        <v>521.43895533915895</v>
      </c>
      <c r="E227">
        <v>36.962945087936532</v>
      </c>
      <c r="F227">
        <v>0.59041990773274855</v>
      </c>
      <c r="G227">
        <v>0.54242083692050591</v>
      </c>
      <c r="H227">
        <v>0.63442442952542455</v>
      </c>
    </row>
    <row r="228" spans="1:8">
      <c r="A228" s="1">
        <v>39576</v>
      </c>
      <c r="B228">
        <v>4.2673966662970146</v>
      </c>
      <c r="C228">
        <v>4.5673966662970145</v>
      </c>
      <c r="D228">
        <v>521.43895533915895</v>
      </c>
      <c r="E228">
        <v>36.962945087936532</v>
      </c>
      <c r="F228">
        <v>0.50039775918459373</v>
      </c>
      <c r="G228">
        <v>0.52115058530752068</v>
      </c>
      <c r="H228">
        <v>0.54790741495179196</v>
      </c>
    </row>
    <row r="229" spans="1:8">
      <c r="A229" s="1">
        <v>39577</v>
      </c>
      <c r="B229">
        <v>4.2673966662970146</v>
      </c>
      <c r="C229">
        <v>4.5673966662970145</v>
      </c>
      <c r="D229">
        <v>521.43895533915895</v>
      </c>
      <c r="E229">
        <v>36.962945087936532</v>
      </c>
      <c r="F229">
        <v>0.5187927378811138</v>
      </c>
      <c r="G229">
        <v>0.63485386280584888</v>
      </c>
      <c r="H229">
        <v>0.56871081597272122</v>
      </c>
    </row>
    <row r="230" spans="1:8">
      <c r="A230" s="1">
        <v>39580</v>
      </c>
      <c r="B230">
        <v>4.2673966662970146</v>
      </c>
      <c r="C230">
        <v>4.5673966662970145</v>
      </c>
      <c r="D230">
        <v>521.43895533915895</v>
      </c>
      <c r="E230">
        <v>36.962945087936532</v>
      </c>
      <c r="F230">
        <v>0.5358153017593793</v>
      </c>
      <c r="G230">
        <v>0.71505430170664053</v>
      </c>
      <c r="H230">
        <v>0.70611139824594238</v>
      </c>
    </row>
    <row r="231" spans="1:8">
      <c r="A231" s="1">
        <v>39581</v>
      </c>
      <c r="B231">
        <v>4.2673966662970146</v>
      </c>
      <c r="C231">
        <v>4.5673966662970145</v>
      </c>
      <c r="D231">
        <v>521.43895533915895</v>
      </c>
      <c r="E231">
        <v>36.962945087936532</v>
      </c>
      <c r="F231">
        <v>0.54150727631569773</v>
      </c>
      <c r="G231">
        <v>0.61894773953493465</v>
      </c>
      <c r="H231">
        <v>0.58573972653998441</v>
      </c>
    </row>
    <row r="232" spans="1:8">
      <c r="A232" s="1">
        <v>39582</v>
      </c>
      <c r="B232">
        <v>4.2673966662970146</v>
      </c>
      <c r="C232">
        <v>4.5673966662970145</v>
      </c>
      <c r="D232">
        <v>521.43895533915895</v>
      </c>
      <c r="E232">
        <v>36.962945087936532</v>
      </c>
      <c r="F232">
        <v>0.49816301465476648</v>
      </c>
      <c r="G232">
        <v>0.53963215158154565</v>
      </c>
      <c r="H232">
        <v>0.69350582426194274</v>
      </c>
    </row>
    <row r="233" spans="1:8">
      <c r="A233" s="1">
        <v>39583</v>
      </c>
      <c r="B233">
        <v>4.2673966662970146</v>
      </c>
      <c r="C233">
        <v>4.5673966662970145</v>
      </c>
      <c r="D233">
        <v>521.43895533915895</v>
      </c>
      <c r="E233">
        <v>36.962945087936532</v>
      </c>
      <c r="F233">
        <v>0.53484880123537415</v>
      </c>
      <c r="G233">
        <v>0.64587683882648117</v>
      </c>
      <c r="H233">
        <v>0.76462341243880994</v>
      </c>
    </row>
    <row r="234" spans="1:8">
      <c r="A234" s="1">
        <v>39584</v>
      </c>
      <c r="B234">
        <v>4.2673966662970146</v>
      </c>
      <c r="C234">
        <v>4.5673966662970145</v>
      </c>
      <c r="D234">
        <v>521.43895533915895</v>
      </c>
      <c r="E234">
        <v>36.962945087936532</v>
      </c>
      <c r="F234">
        <v>0.47559105827187492</v>
      </c>
      <c r="G234">
        <v>0.60444672718333003</v>
      </c>
      <c r="H234">
        <v>0.69652965507099462</v>
      </c>
    </row>
    <row r="235" spans="1:8">
      <c r="A235" s="1">
        <v>39587</v>
      </c>
      <c r="B235">
        <v>4.2673966662970146</v>
      </c>
      <c r="C235">
        <v>4.5673966662970145</v>
      </c>
      <c r="D235">
        <v>521.43895533915895</v>
      </c>
      <c r="E235">
        <v>36.962945087936532</v>
      </c>
      <c r="F235">
        <v>0.53361099568046622</v>
      </c>
      <c r="G235">
        <v>0.63694129844906366</v>
      </c>
      <c r="H235">
        <v>0.61757091284844612</v>
      </c>
    </row>
    <row r="236" spans="1:8">
      <c r="A236" s="1">
        <v>39588</v>
      </c>
      <c r="B236">
        <v>4.2673966662970146</v>
      </c>
      <c r="C236">
        <v>4.5673966662970145</v>
      </c>
      <c r="D236">
        <v>521.43895533915895</v>
      </c>
      <c r="E236">
        <v>36.962945087936532</v>
      </c>
      <c r="F236">
        <v>0.45952470362573322</v>
      </c>
      <c r="G236">
        <v>0.61783305198375937</v>
      </c>
      <c r="H236">
        <v>0.70616022877117879</v>
      </c>
    </row>
    <row r="237" spans="1:8">
      <c r="A237" s="1">
        <v>39589</v>
      </c>
      <c r="B237">
        <v>4.2673966662970146</v>
      </c>
      <c r="C237">
        <v>4.5673966662970145</v>
      </c>
      <c r="D237">
        <v>521.43895533915895</v>
      </c>
      <c r="E237">
        <v>36.962945087936532</v>
      </c>
      <c r="F237">
        <v>0.45485044886748643</v>
      </c>
      <c r="G237">
        <v>0.73969722277879346</v>
      </c>
      <c r="H237">
        <v>0.75501868809194683</v>
      </c>
    </row>
    <row r="238" spans="1:8">
      <c r="A238" s="1">
        <v>39590</v>
      </c>
      <c r="B238">
        <v>4.2673966662970146</v>
      </c>
      <c r="C238">
        <v>4.5673966662970145</v>
      </c>
      <c r="D238">
        <v>521.43895533915895</v>
      </c>
      <c r="E238">
        <v>36.962945087936532</v>
      </c>
      <c r="F238">
        <v>0.59628712759836611</v>
      </c>
      <c r="G238">
        <v>0.55629413169753028</v>
      </c>
      <c r="H238">
        <v>0.74075845407815299</v>
      </c>
    </row>
    <row r="239" spans="1:8">
      <c r="A239" s="1">
        <v>39591</v>
      </c>
      <c r="B239">
        <v>4.2673966662970146</v>
      </c>
      <c r="C239">
        <v>4.5673966662970145</v>
      </c>
      <c r="D239">
        <v>521.43895533915895</v>
      </c>
      <c r="E239">
        <v>36.962945087936532</v>
      </c>
      <c r="F239">
        <v>0.53662763207515485</v>
      </c>
      <c r="G239">
        <v>0.55607386510849488</v>
      </c>
      <c r="H239">
        <v>0.91629789345813872</v>
      </c>
    </row>
    <row r="240" spans="1:8">
      <c r="A240" s="1">
        <v>39594</v>
      </c>
      <c r="B240">
        <v>4.2673966662970146</v>
      </c>
      <c r="C240">
        <v>4.5673966662970145</v>
      </c>
      <c r="D240">
        <v>521.43895533915895</v>
      </c>
      <c r="E240">
        <v>36.962945087936532</v>
      </c>
      <c r="F240">
        <v>0.48766955956982316</v>
      </c>
      <c r="G240">
        <v>0.66149778128264147</v>
      </c>
      <c r="H240">
        <v>0.6579238464092646</v>
      </c>
    </row>
    <row r="241" spans="1:8">
      <c r="A241" s="1">
        <v>39595</v>
      </c>
      <c r="B241">
        <v>4.2673966662970146</v>
      </c>
      <c r="C241">
        <v>4.5673966662970145</v>
      </c>
      <c r="D241">
        <v>521.43895533915895</v>
      </c>
      <c r="E241">
        <v>36.962945087936532</v>
      </c>
      <c r="F241">
        <v>0.51590189146354015</v>
      </c>
      <c r="G241">
        <v>0.60208579039004895</v>
      </c>
      <c r="H241">
        <v>0.6385407409046</v>
      </c>
    </row>
    <row r="242" spans="1:8">
      <c r="A242" s="1">
        <v>39596</v>
      </c>
      <c r="B242">
        <v>4.2673966662970146</v>
      </c>
      <c r="C242">
        <v>4.5673966662970145</v>
      </c>
      <c r="D242">
        <v>521.43895533915895</v>
      </c>
      <c r="E242">
        <v>36.962945087936532</v>
      </c>
      <c r="F242">
        <v>0.45209237486702075</v>
      </c>
      <c r="G242">
        <v>0.59794583810732505</v>
      </c>
      <c r="H242">
        <v>0.65548612466584844</v>
      </c>
    </row>
    <row r="243" spans="1:8">
      <c r="A243" s="1">
        <v>39597</v>
      </c>
      <c r="B243">
        <v>4.2673966662970146</v>
      </c>
      <c r="C243">
        <v>4.5673966662970145</v>
      </c>
      <c r="D243">
        <v>521.43895533915895</v>
      </c>
      <c r="E243">
        <v>36.962945087936532</v>
      </c>
      <c r="F243">
        <v>0.5232242606957147</v>
      </c>
      <c r="G243">
        <v>0.5655320468149132</v>
      </c>
      <c r="H243">
        <v>0.75965719269968313</v>
      </c>
    </row>
    <row r="244" spans="1:8">
      <c r="A244" s="1">
        <v>39598</v>
      </c>
      <c r="B244">
        <v>4.2673966662970146</v>
      </c>
      <c r="C244">
        <v>4.5673966662970145</v>
      </c>
      <c r="D244">
        <v>521.43895533915895</v>
      </c>
      <c r="E244">
        <v>36.962945087936532</v>
      </c>
      <c r="F244">
        <v>0.53315059943785681</v>
      </c>
      <c r="G244">
        <v>0.52873375585565519</v>
      </c>
      <c r="H244">
        <v>0.74574042416933495</v>
      </c>
    </row>
    <row r="245" spans="1:8">
      <c r="A245" s="1">
        <v>39601</v>
      </c>
      <c r="B245">
        <v>4.2673966662970146</v>
      </c>
      <c r="C245">
        <v>4.5673966662970145</v>
      </c>
      <c r="D245">
        <v>521.43895533915895</v>
      </c>
      <c r="E245">
        <v>36.962945087936532</v>
      </c>
      <c r="F245">
        <v>0.49204959208697568</v>
      </c>
      <c r="G245">
        <v>0.60094980297850265</v>
      </c>
      <c r="H245">
        <v>0.64558354909330129</v>
      </c>
    </row>
    <row r="246" spans="1:8">
      <c r="A246" s="1">
        <v>39602</v>
      </c>
      <c r="B246">
        <v>4.2673966662970146</v>
      </c>
      <c r="C246">
        <v>4.5673966662970145</v>
      </c>
      <c r="D246">
        <v>521.43895533915895</v>
      </c>
      <c r="E246">
        <v>36.962945087936532</v>
      </c>
      <c r="F246">
        <v>0.52456407690637241</v>
      </c>
      <c r="G246">
        <v>0.65085491564215758</v>
      </c>
      <c r="H246">
        <v>0.63980762857907492</v>
      </c>
    </row>
    <row r="247" spans="1:8">
      <c r="A247" s="1">
        <v>39603</v>
      </c>
      <c r="B247">
        <v>4.2673966662970146</v>
      </c>
      <c r="C247">
        <v>4.5673966662970145</v>
      </c>
      <c r="D247">
        <v>521.43895533915895</v>
      </c>
      <c r="E247">
        <v>36.962945087936532</v>
      </c>
      <c r="F247">
        <v>0.49834275200790951</v>
      </c>
      <c r="G247">
        <v>0.55875267602928969</v>
      </c>
      <c r="H247">
        <v>0.64085603959994164</v>
      </c>
    </row>
    <row r="248" spans="1:8">
      <c r="A248" s="1">
        <v>39604</v>
      </c>
      <c r="B248">
        <v>4.2673966662970146</v>
      </c>
      <c r="C248">
        <v>4.5673966662970145</v>
      </c>
      <c r="D248">
        <v>521.43895533915895</v>
      </c>
      <c r="E248">
        <v>36.962945087936532</v>
      </c>
      <c r="F248">
        <v>0.58974958120859688</v>
      </c>
      <c r="G248">
        <v>0.59089435433582482</v>
      </c>
      <c r="H248">
        <v>0.64946431822852502</v>
      </c>
    </row>
    <row r="249" spans="1:8">
      <c r="A249" s="1">
        <v>39605</v>
      </c>
      <c r="B249">
        <v>4.2673966662970146</v>
      </c>
      <c r="C249">
        <v>4.5673966662970145</v>
      </c>
      <c r="D249">
        <v>521.43895533915895</v>
      </c>
      <c r="E249">
        <v>36.962945087936532</v>
      </c>
      <c r="F249">
        <v>0.50741349807190084</v>
      </c>
      <c r="G249">
        <v>0.63622532334431614</v>
      </c>
      <c r="H249">
        <v>0.58084259268424898</v>
      </c>
    </row>
    <row r="250" spans="1:8">
      <c r="A250" s="1">
        <v>39608</v>
      </c>
      <c r="B250">
        <v>4.2673966662970146</v>
      </c>
      <c r="C250">
        <v>4.5673966662970145</v>
      </c>
      <c r="D250">
        <v>521.43895533915895</v>
      </c>
      <c r="E250">
        <v>36.962945087936532</v>
      </c>
      <c r="F250">
        <v>0.48460223733612695</v>
      </c>
      <c r="G250">
        <v>0.64043888982225128</v>
      </c>
      <c r="H250">
        <v>0.72627941877650659</v>
      </c>
    </row>
    <row r="251" spans="1:8">
      <c r="A251" s="1">
        <v>39609</v>
      </c>
      <c r="B251">
        <v>4.2673966662970146</v>
      </c>
      <c r="C251">
        <v>4.5673966662970145</v>
      </c>
      <c r="D251">
        <v>521.43895533915895</v>
      </c>
      <c r="E251">
        <v>36.962945087936532</v>
      </c>
      <c r="F251">
        <v>0.46110173660744369</v>
      </c>
      <c r="G251">
        <v>0.57899493613189612</v>
      </c>
      <c r="H251">
        <v>0.6156454572509823</v>
      </c>
    </row>
    <row r="252" spans="1:8">
      <c r="A252" s="1">
        <v>39610</v>
      </c>
      <c r="B252">
        <v>4.2673966662970146</v>
      </c>
      <c r="C252">
        <v>4.5673966662970145</v>
      </c>
      <c r="D252">
        <v>521.43895533915895</v>
      </c>
      <c r="E252">
        <v>36.962945087936532</v>
      </c>
      <c r="F252">
        <v>0.53404379306119565</v>
      </c>
      <c r="G252">
        <v>0.52933297211828245</v>
      </c>
      <c r="H252">
        <v>0.67758587018820371</v>
      </c>
    </row>
    <row r="253" spans="1:8">
      <c r="A253" s="1">
        <v>39611</v>
      </c>
      <c r="B253">
        <v>4.2673966662970146</v>
      </c>
      <c r="C253">
        <v>4.5673966662970145</v>
      </c>
      <c r="D253">
        <v>521.43895533915895</v>
      </c>
      <c r="E253">
        <v>36.962945087936532</v>
      </c>
      <c r="F253">
        <v>0.50467233877761652</v>
      </c>
      <c r="G253">
        <v>0.54012500643934536</v>
      </c>
      <c r="H253">
        <v>0.67169907129561623</v>
      </c>
    </row>
    <row r="254" spans="1:8">
      <c r="A254" s="1">
        <v>39612</v>
      </c>
      <c r="B254">
        <v>4.2673966662970146</v>
      </c>
      <c r="C254">
        <v>4.5673966662970145</v>
      </c>
      <c r="D254">
        <v>521.43895533915895</v>
      </c>
      <c r="E254">
        <v>36.962945087936532</v>
      </c>
      <c r="F254">
        <v>0.46363133892464731</v>
      </c>
      <c r="G254">
        <v>0.56954736382415971</v>
      </c>
      <c r="H254">
        <v>0.65672148042116907</v>
      </c>
    </row>
    <row r="255" spans="1:8">
      <c r="A255" s="1">
        <v>39615</v>
      </c>
      <c r="B255">
        <v>4.2673966662970146</v>
      </c>
      <c r="C255">
        <v>4.5673966662970145</v>
      </c>
      <c r="D255">
        <v>521.43895533915895</v>
      </c>
      <c r="E255">
        <v>36.962945087936532</v>
      </c>
      <c r="F255">
        <v>0.56940753311672654</v>
      </c>
      <c r="G255">
        <v>0.65764818721600182</v>
      </c>
      <c r="H255">
        <v>0.5966888190070434</v>
      </c>
    </row>
    <row r="256" spans="1:8">
      <c r="A256" s="1">
        <v>39616</v>
      </c>
      <c r="B256">
        <v>4.2673966662970146</v>
      </c>
      <c r="C256">
        <v>4.5673966662970145</v>
      </c>
      <c r="D256">
        <v>521.43895533915895</v>
      </c>
      <c r="E256">
        <v>36.962945087936532</v>
      </c>
      <c r="F256">
        <v>0.41494349054197921</v>
      </c>
      <c r="G256">
        <v>0.57409068100669958</v>
      </c>
      <c r="H256">
        <v>0.73220220614702869</v>
      </c>
    </row>
    <row r="257" spans="1:8">
      <c r="A257" s="1">
        <v>39617</v>
      </c>
      <c r="B257">
        <v>4.2673966662970146</v>
      </c>
      <c r="C257">
        <v>4.5673966662970145</v>
      </c>
      <c r="D257">
        <v>521.43895533915895</v>
      </c>
      <c r="E257">
        <v>36.962945087936532</v>
      </c>
      <c r="F257">
        <v>0.46812391663632991</v>
      </c>
      <c r="G257">
        <v>0.65524431423341301</v>
      </c>
      <c r="H257">
        <v>0.65724165522941969</v>
      </c>
    </row>
    <row r="258" spans="1:8">
      <c r="A258" s="1">
        <v>39618</v>
      </c>
      <c r="B258">
        <v>4.2673966662970146</v>
      </c>
      <c r="C258">
        <v>4.5673966662970145</v>
      </c>
      <c r="D258">
        <v>521.43895533915895</v>
      </c>
      <c r="E258">
        <v>36.962945087936532</v>
      </c>
      <c r="F258">
        <v>0.64689106310319322</v>
      </c>
      <c r="G258">
        <v>0.55349022209912402</v>
      </c>
      <c r="H258">
        <v>0.7790144357160419</v>
      </c>
    </row>
    <row r="259" spans="1:8">
      <c r="A259" s="1">
        <v>39619</v>
      </c>
      <c r="B259">
        <v>4.2673966662970146</v>
      </c>
      <c r="C259">
        <v>4.5673966662970145</v>
      </c>
      <c r="D259">
        <v>521.43895533915895</v>
      </c>
      <c r="E259">
        <v>36.962945087936532</v>
      </c>
      <c r="F259">
        <v>0.54623608208482466</v>
      </c>
      <c r="G259">
        <v>0.60270693453026281</v>
      </c>
      <c r="H259">
        <v>0.77345502710757141</v>
      </c>
    </row>
    <row r="260" spans="1:8">
      <c r="A260" s="1">
        <v>39622</v>
      </c>
      <c r="B260">
        <v>4.2673966662970146</v>
      </c>
      <c r="C260">
        <v>4.5673966662970145</v>
      </c>
      <c r="D260">
        <v>521.43895533915895</v>
      </c>
      <c r="E260">
        <v>36.962945087936532</v>
      </c>
      <c r="F260">
        <v>0.47776233711918875</v>
      </c>
      <c r="G260">
        <v>0.62958068471110695</v>
      </c>
      <c r="H260">
        <v>0.72598543429776852</v>
      </c>
    </row>
    <row r="261" spans="1:8">
      <c r="A261" s="1">
        <v>39623</v>
      </c>
      <c r="B261">
        <v>4.2673966662970146</v>
      </c>
      <c r="C261">
        <v>4.5673966662970145</v>
      </c>
      <c r="D261">
        <v>521.43895533915895</v>
      </c>
      <c r="E261">
        <v>36.962945087936532</v>
      </c>
      <c r="F261">
        <v>0.5575508406695423</v>
      </c>
      <c r="G261">
        <v>0.64993833105661469</v>
      </c>
      <c r="H261">
        <v>0.60552694876039026</v>
      </c>
    </row>
    <row r="262" spans="1:8">
      <c r="A262" s="1">
        <v>39624</v>
      </c>
      <c r="B262">
        <v>4.2673966662970146</v>
      </c>
      <c r="C262">
        <v>4.5673966662970145</v>
      </c>
      <c r="D262">
        <v>521.43895533915895</v>
      </c>
      <c r="E262">
        <v>36.962945087936532</v>
      </c>
      <c r="F262">
        <v>0.54984737574287113</v>
      </c>
      <c r="G262">
        <v>0.74771543293647225</v>
      </c>
      <c r="H262">
        <v>0.69798298284155447</v>
      </c>
    </row>
    <row r="263" spans="1:8">
      <c r="A263" s="1">
        <v>39625</v>
      </c>
      <c r="B263">
        <v>4.2673966662970146</v>
      </c>
      <c r="C263">
        <v>4.5673966662970145</v>
      </c>
      <c r="D263">
        <v>521.43895533915895</v>
      </c>
      <c r="E263">
        <v>36.962945087936532</v>
      </c>
      <c r="F263">
        <v>0.59365408416136078</v>
      </c>
      <c r="G263">
        <v>0.64227219391795154</v>
      </c>
      <c r="H263">
        <v>0.62799142644401018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353C-12BB-468E-842F-67C4B32A3C8A}">
  <dimension ref="A1:H263"/>
  <sheetViews>
    <sheetView workbookViewId="0">
      <pane ySplit="2" topLeftCell="A245" activePane="bottomLeft" state="frozen"/>
      <selection pane="bottomLeft" activeCell="A3" sqref="A3:A263"/>
    </sheetView>
  </sheetViews>
  <sheetFormatPr defaultColWidth="14.36328125" defaultRowHeight="14.5"/>
  <cols>
    <col min="2" max="3" width="18.81640625" customWidth="1"/>
    <col min="4" max="4" width="15.7265625" customWidth="1"/>
    <col min="6" max="7" width="10.54296875" customWidth="1"/>
    <col min="8" max="8" width="17.453125" customWidth="1"/>
  </cols>
  <sheetData>
    <row r="1" spans="1:8">
      <c r="B1" s="8" t="s">
        <v>40</v>
      </c>
      <c r="C1" s="8"/>
      <c r="D1" s="8"/>
      <c r="E1" s="8"/>
      <c r="F1" t="s">
        <v>41</v>
      </c>
      <c r="G1" t="s">
        <v>42</v>
      </c>
      <c r="H1" t="s">
        <v>43</v>
      </c>
    </row>
    <row r="2" spans="1:8" ht="69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s="2" t="s">
        <v>8</v>
      </c>
      <c r="G2" s="2" t="s">
        <v>7</v>
      </c>
      <c r="H2" s="2" t="s">
        <v>6</v>
      </c>
    </row>
    <row r="3" spans="1:8">
      <c r="A3" s="1">
        <v>39261</v>
      </c>
      <c r="B3">
        <v>4.2673966662970146</v>
      </c>
      <c r="C3">
        <v>4.5673966662970145</v>
      </c>
      <c r="D3">
        <v>521.43895533915895</v>
      </c>
      <c r="E3">
        <v>36.962945087936532</v>
      </c>
      <c r="F3">
        <v>0.51</v>
      </c>
      <c r="G3">
        <v>0.58622522308595848</v>
      </c>
      <c r="H3">
        <v>0.1693000030517578</v>
      </c>
    </row>
    <row r="4" spans="1:8">
      <c r="A4" s="1">
        <v>39262</v>
      </c>
      <c r="B4">
        <v>4.2673966662970146</v>
      </c>
      <c r="C4">
        <v>4.5673966662970145</v>
      </c>
      <c r="D4">
        <v>521.43895533915895</v>
      </c>
      <c r="E4">
        <v>36.962945087936532</v>
      </c>
      <c r="F4">
        <v>0.51</v>
      </c>
      <c r="G4">
        <v>0.66683918678009313</v>
      </c>
      <c r="H4">
        <v>0.17030000686645511</v>
      </c>
    </row>
    <row r="5" spans="1:8">
      <c r="A5" s="1">
        <v>39265</v>
      </c>
      <c r="B5">
        <v>4.2673966662970146</v>
      </c>
      <c r="C5">
        <v>4.5673966662970145</v>
      </c>
      <c r="D5">
        <v>521.43895533915895</v>
      </c>
      <c r="E5">
        <v>36.962945087936532</v>
      </c>
      <c r="F5">
        <v>0.51</v>
      </c>
      <c r="G5">
        <v>0.57386830467479677</v>
      </c>
      <c r="H5">
        <v>0.17120000839233401</v>
      </c>
    </row>
    <row r="6" spans="1:8">
      <c r="A6" s="1">
        <v>39266</v>
      </c>
      <c r="B6">
        <v>4.2673966662970146</v>
      </c>
      <c r="C6">
        <v>4.5673966662970145</v>
      </c>
      <c r="D6">
        <v>521.43895533915895</v>
      </c>
      <c r="E6">
        <v>36.962945087936532</v>
      </c>
      <c r="F6">
        <v>0.51</v>
      </c>
      <c r="G6">
        <v>0.55415584496385106</v>
      </c>
      <c r="H6">
        <v>0.17989999771118159</v>
      </c>
    </row>
    <row r="7" spans="1:8">
      <c r="A7" s="1">
        <v>39267</v>
      </c>
      <c r="B7">
        <v>4.2673966662970146</v>
      </c>
      <c r="C7">
        <v>4.5673966662970145</v>
      </c>
      <c r="D7">
        <v>521.43895533915895</v>
      </c>
      <c r="E7">
        <v>36.962945087936532</v>
      </c>
      <c r="F7">
        <v>0.51</v>
      </c>
      <c r="G7">
        <v>0.70278174603160293</v>
      </c>
      <c r="H7">
        <v>0.16870000839233401</v>
      </c>
    </row>
    <row r="8" spans="1:8">
      <c r="A8" s="1">
        <v>39268</v>
      </c>
      <c r="B8">
        <v>4.2673966662970146</v>
      </c>
      <c r="C8">
        <v>4.5673966662970145</v>
      </c>
      <c r="D8">
        <v>521.43895533915895</v>
      </c>
      <c r="E8">
        <v>36.962945087936532</v>
      </c>
      <c r="F8">
        <v>0.51</v>
      </c>
      <c r="G8">
        <v>0.69285183625186297</v>
      </c>
      <c r="H8">
        <v>0.17209999084472699</v>
      </c>
    </row>
    <row r="9" spans="1:8">
      <c r="A9" s="1">
        <v>39269</v>
      </c>
      <c r="B9">
        <v>4.2673966662970146</v>
      </c>
      <c r="C9">
        <v>4.5673966662970145</v>
      </c>
      <c r="D9">
        <v>521.43895533915895</v>
      </c>
      <c r="E9">
        <v>36.962945087936532</v>
      </c>
      <c r="F9">
        <v>0.51</v>
      </c>
      <c r="G9">
        <v>0.621093074066142</v>
      </c>
      <c r="H9">
        <v>0.18530000686645509</v>
      </c>
    </row>
    <row r="10" spans="1:8">
      <c r="A10" s="1">
        <v>39272</v>
      </c>
      <c r="B10">
        <v>4.2673966662970146</v>
      </c>
      <c r="C10">
        <v>4.5673966662970145</v>
      </c>
      <c r="D10">
        <v>521.43895533915895</v>
      </c>
      <c r="E10">
        <v>36.962945087936532</v>
      </c>
      <c r="F10">
        <v>0.51</v>
      </c>
      <c r="G10">
        <v>0.62999664878446027</v>
      </c>
      <c r="H10">
        <v>0.2003000068664551</v>
      </c>
    </row>
    <row r="11" spans="1:8">
      <c r="A11" s="1">
        <v>39273</v>
      </c>
      <c r="B11">
        <v>4.2673966662970146</v>
      </c>
      <c r="C11">
        <v>4.5673966662970145</v>
      </c>
      <c r="D11">
        <v>521.43895533915895</v>
      </c>
      <c r="E11">
        <v>36.962945087936532</v>
      </c>
      <c r="F11">
        <v>0.51</v>
      </c>
      <c r="G11">
        <v>0.6105303019955014</v>
      </c>
      <c r="H11">
        <v>0.1913999938964844</v>
      </c>
    </row>
    <row r="12" spans="1:8">
      <c r="A12" s="1">
        <v>39274</v>
      </c>
      <c r="B12">
        <v>4.2673966662970146</v>
      </c>
      <c r="C12">
        <v>4.5673966662970145</v>
      </c>
      <c r="D12">
        <v>521.43895533915895</v>
      </c>
      <c r="E12">
        <v>36.962945087936532</v>
      </c>
      <c r="F12">
        <v>0.51</v>
      </c>
      <c r="G12">
        <v>0.62792873634441904</v>
      </c>
      <c r="H12">
        <v>0.1795000076293945</v>
      </c>
    </row>
    <row r="13" spans="1:8">
      <c r="A13" s="1">
        <v>39275</v>
      </c>
      <c r="B13">
        <v>4.2673966662970146</v>
      </c>
      <c r="C13">
        <v>4.5673966662970145</v>
      </c>
      <c r="D13">
        <v>521.43895533915895</v>
      </c>
      <c r="E13">
        <v>36.962945087936532</v>
      </c>
      <c r="F13">
        <v>0.51</v>
      </c>
      <c r="G13">
        <v>0.68700411403614692</v>
      </c>
      <c r="H13">
        <v>0.15649999618530269</v>
      </c>
    </row>
    <row r="14" spans="1:8">
      <c r="A14" s="1">
        <v>39276</v>
      </c>
      <c r="B14">
        <v>4.2673966662970146</v>
      </c>
      <c r="C14">
        <v>4.5673966662970145</v>
      </c>
      <c r="D14">
        <v>521.43895533915895</v>
      </c>
      <c r="E14">
        <v>36.962945087936532</v>
      </c>
      <c r="F14">
        <v>0.51</v>
      </c>
      <c r="G14">
        <v>0.54610545978927516</v>
      </c>
      <c r="H14">
        <v>0.1460000038146973</v>
      </c>
    </row>
    <row r="15" spans="1:8">
      <c r="A15" s="1">
        <v>39279</v>
      </c>
      <c r="B15">
        <v>4.2673966662970146</v>
      </c>
      <c r="C15">
        <v>4.5673966662970145</v>
      </c>
      <c r="D15">
        <v>521.43895533915895</v>
      </c>
      <c r="E15">
        <v>36.962945087936532</v>
      </c>
      <c r="F15">
        <v>0.51</v>
      </c>
      <c r="G15">
        <v>0.56237300256745582</v>
      </c>
      <c r="H15">
        <v>0.1472999954223633</v>
      </c>
    </row>
    <row r="16" spans="1:8">
      <c r="A16" s="1">
        <v>39280</v>
      </c>
      <c r="B16">
        <v>4.2673966662970146</v>
      </c>
      <c r="C16">
        <v>4.5673966662970145</v>
      </c>
      <c r="D16">
        <v>521.43895533915895</v>
      </c>
      <c r="E16">
        <v>36.962945087936532</v>
      </c>
      <c r="F16">
        <v>0.51</v>
      </c>
      <c r="G16">
        <v>0.61849848957673326</v>
      </c>
      <c r="H16">
        <v>0.13960000038146969</v>
      </c>
    </row>
    <row r="17" spans="1:8">
      <c r="A17" s="1">
        <v>39281</v>
      </c>
      <c r="B17">
        <v>4.2673966662970146</v>
      </c>
      <c r="C17">
        <v>4.5673966662970145</v>
      </c>
      <c r="D17">
        <v>521.43895533915895</v>
      </c>
      <c r="E17">
        <v>36.962945087936532</v>
      </c>
      <c r="F17">
        <v>0.51</v>
      </c>
      <c r="G17">
        <v>0.5490880808649935</v>
      </c>
      <c r="H17">
        <v>0.139399995803833</v>
      </c>
    </row>
    <row r="18" spans="1:8">
      <c r="A18" s="1">
        <v>39282</v>
      </c>
      <c r="B18">
        <v>4.2673966662970146</v>
      </c>
      <c r="C18">
        <v>4.5673966662970145</v>
      </c>
      <c r="D18">
        <v>521.43895533915895</v>
      </c>
      <c r="E18">
        <v>36.962945087936532</v>
      </c>
      <c r="F18">
        <v>0.51</v>
      </c>
      <c r="G18">
        <v>0.5723193563041219</v>
      </c>
      <c r="H18">
        <v>0.1501000022888184</v>
      </c>
    </row>
    <row r="19" spans="1:8">
      <c r="A19" s="1">
        <v>39283</v>
      </c>
      <c r="B19">
        <v>4.2673966662970146</v>
      </c>
      <c r="C19">
        <v>4.5673966662970145</v>
      </c>
      <c r="D19">
        <v>521.43895533915895</v>
      </c>
      <c r="E19">
        <v>36.962945087936532</v>
      </c>
      <c r="F19">
        <v>0.51</v>
      </c>
      <c r="G19">
        <v>0.64795072415992583</v>
      </c>
      <c r="H19">
        <v>0.1460999965667725</v>
      </c>
    </row>
    <row r="20" spans="1:8">
      <c r="A20" s="1">
        <v>39286</v>
      </c>
      <c r="B20">
        <v>4.2673966662970146</v>
      </c>
      <c r="C20">
        <v>4.5673966662970145</v>
      </c>
      <c r="D20">
        <v>521.43895533915895</v>
      </c>
      <c r="E20">
        <v>36.962945087936532</v>
      </c>
      <c r="F20">
        <v>0.51</v>
      </c>
      <c r="G20">
        <v>0.64830968054183546</v>
      </c>
      <c r="H20">
        <v>0.13880000114440921</v>
      </c>
    </row>
    <row r="21" spans="1:8">
      <c r="A21" s="1">
        <v>39287</v>
      </c>
      <c r="B21">
        <v>4.2673966662970146</v>
      </c>
      <c r="C21">
        <v>4.5673966662970145</v>
      </c>
      <c r="D21">
        <v>521.43895533915895</v>
      </c>
      <c r="E21">
        <v>36.962945087936532</v>
      </c>
      <c r="F21">
        <v>0.51</v>
      </c>
      <c r="G21">
        <v>0.58562395283447943</v>
      </c>
      <c r="H21">
        <v>0.14499999999999999</v>
      </c>
    </row>
    <row r="22" spans="1:8">
      <c r="A22" s="1">
        <v>39288</v>
      </c>
      <c r="B22">
        <v>4.2673966662970146</v>
      </c>
      <c r="C22">
        <v>4.5673966662970145</v>
      </c>
      <c r="D22">
        <v>521.43895533915895</v>
      </c>
      <c r="E22">
        <v>36.962945087936532</v>
      </c>
      <c r="F22">
        <v>0.51</v>
      </c>
      <c r="G22">
        <v>0.63961398005752579</v>
      </c>
      <c r="H22">
        <v>0.1353999996185303</v>
      </c>
    </row>
    <row r="23" spans="1:8">
      <c r="A23" s="1">
        <v>39289</v>
      </c>
      <c r="B23">
        <v>4.2673966662970146</v>
      </c>
      <c r="C23">
        <v>4.5673966662970145</v>
      </c>
      <c r="D23">
        <v>521.43895533915895</v>
      </c>
      <c r="E23">
        <v>36.962945087936532</v>
      </c>
      <c r="F23">
        <v>0.51</v>
      </c>
      <c r="G23">
        <v>0.52112815268353818</v>
      </c>
      <c r="H23">
        <v>0.1290999984741211</v>
      </c>
    </row>
    <row r="24" spans="1:8">
      <c r="A24" s="1">
        <v>39290</v>
      </c>
      <c r="B24">
        <v>4.2673966662970146</v>
      </c>
      <c r="C24">
        <v>4.5673966662970145</v>
      </c>
      <c r="D24">
        <v>521.43895533915895</v>
      </c>
      <c r="E24">
        <v>36.962945087936532</v>
      </c>
      <c r="F24">
        <v>0.51</v>
      </c>
      <c r="G24">
        <v>0.56916153528158875</v>
      </c>
      <c r="H24">
        <v>0.13439999580383299</v>
      </c>
    </row>
    <row r="25" spans="1:8">
      <c r="A25" s="1">
        <v>39293</v>
      </c>
      <c r="B25">
        <v>4.2673966662970146</v>
      </c>
      <c r="C25">
        <v>4.5673966662970145</v>
      </c>
      <c r="D25">
        <v>521.43895533915895</v>
      </c>
      <c r="E25">
        <v>36.962945087936532</v>
      </c>
      <c r="F25">
        <v>0.51</v>
      </c>
      <c r="G25">
        <v>0.58837664267330225</v>
      </c>
      <c r="H25">
        <v>0.14249999999999999</v>
      </c>
    </row>
    <row r="26" spans="1:8">
      <c r="A26" s="1">
        <v>39294</v>
      </c>
      <c r="B26">
        <v>4.2673966662970146</v>
      </c>
      <c r="C26">
        <v>4.5673966662970145</v>
      </c>
      <c r="D26">
        <v>521.43895533915895</v>
      </c>
      <c r="E26">
        <v>36.962945087936532</v>
      </c>
      <c r="F26">
        <v>0.51</v>
      </c>
      <c r="G26">
        <v>0.63541026699596581</v>
      </c>
      <c r="H26">
        <v>0.13739999771118161</v>
      </c>
    </row>
    <row r="27" spans="1:8">
      <c r="A27" s="1">
        <v>39295</v>
      </c>
      <c r="B27">
        <v>4.2673966662970146</v>
      </c>
      <c r="C27">
        <v>4.5673966662970145</v>
      </c>
      <c r="D27">
        <v>521.43895533915895</v>
      </c>
      <c r="E27">
        <v>36.962945087936532</v>
      </c>
      <c r="F27">
        <v>0.51</v>
      </c>
      <c r="G27">
        <v>0.70391436543514851</v>
      </c>
      <c r="H27">
        <v>0.13430000305175779</v>
      </c>
    </row>
    <row r="28" spans="1:8">
      <c r="A28" s="1">
        <v>39296</v>
      </c>
      <c r="B28">
        <v>4.2673966662970146</v>
      </c>
      <c r="C28">
        <v>4.5673966662970145</v>
      </c>
      <c r="D28">
        <v>521.43895533915895</v>
      </c>
      <c r="E28">
        <v>36.962945087936532</v>
      </c>
      <c r="F28">
        <v>0.51</v>
      </c>
      <c r="G28">
        <v>0.51855134902046418</v>
      </c>
      <c r="H28">
        <v>0.1356999969482422</v>
      </c>
    </row>
    <row r="29" spans="1:8">
      <c r="A29" s="1">
        <v>39297</v>
      </c>
      <c r="B29">
        <v>4.2673966662970146</v>
      </c>
      <c r="C29">
        <v>4.5673966662970145</v>
      </c>
      <c r="D29">
        <v>521.43895533915895</v>
      </c>
      <c r="E29">
        <v>36.962945087936532</v>
      </c>
      <c r="F29">
        <v>0.51</v>
      </c>
      <c r="G29">
        <v>0.61345519090253953</v>
      </c>
      <c r="H29">
        <v>0.1418000030517578</v>
      </c>
    </row>
    <row r="30" spans="1:8">
      <c r="A30" s="1">
        <v>39300</v>
      </c>
      <c r="B30">
        <v>4.2673966662970146</v>
      </c>
      <c r="C30">
        <v>4.5673966662970145</v>
      </c>
      <c r="D30">
        <v>521.43895533915895</v>
      </c>
      <c r="E30">
        <v>36.962945087936532</v>
      </c>
      <c r="F30">
        <v>0.51</v>
      </c>
      <c r="G30">
        <v>0.51267059103647528</v>
      </c>
      <c r="H30">
        <v>0.15439999580383301</v>
      </c>
    </row>
    <row r="31" spans="1:8">
      <c r="A31" s="1">
        <v>39301</v>
      </c>
      <c r="B31">
        <v>4.2673966662970146</v>
      </c>
      <c r="C31">
        <v>4.5673966662970145</v>
      </c>
      <c r="D31">
        <v>521.43895533915895</v>
      </c>
      <c r="E31">
        <v>36.962945087936532</v>
      </c>
      <c r="F31">
        <v>0.51</v>
      </c>
      <c r="G31">
        <v>0.60845553352886794</v>
      </c>
      <c r="H31">
        <v>0.14829999923706061</v>
      </c>
    </row>
    <row r="32" spans="1:8">
      <c r="A32" s="1">
        <v>39302</v>
      </c>
      <c r="B32">
        <v>4.2673966662970146</v>
      </c>
      <c r="C32">
        <v>4.5673966662970145</v>
      </c>
      <c r="D32">
        <v>521.43895533915895</v>
      </c>
      <c r="E32">
        <v>36.962945087936532</v>
      </c>
      <c r="F32">
        <v>0.51</v>
      </c>
      <c r="G32">
        <v>0.54511387598976946</v>
      </c>
      <c r="H32">
        <v>0.15069999694824221</v>
      </c>
    </row>
    <row r="33" spans="1:8">
      <c r="A33" s="1">
        <v>39303</v>
      </c>
      <c r="B33">
        <v>4.2673966662970146</v>
      </c>
      <c r="C33">
        <v>4.5673966662970145</v>
      </c>
      <c r="D33">
        <v>521.43895533915895</v>
      </c>
      <c r="E33">
        <v>36.962945087936532</v>
      </c>
      <c r="F33">
        <v>0.51</v>
      </c>
      <c r="G33">
        <v>0.55684118011393369</v>
      </c>
      <c r="H33">
        <v>0.13609999656677249</v>
      </c>
    </row>
    <row r="34" spans="1:8">
      <c r="A34" s="1">
        <v>39304</v>
      </c>
      <c r="B34">
        <v>4.2673966662970146</v>
      </c>
      <c r="C34">
        <v>4.5673966662970145</v>
      </c>
      <c r="D34">
        <v>521.43895533915895</v>
      </c>
      <c r="E34">
        <v>36.962945087936532</v>
      </c>
      <c r="F34">
        <v>0.51</v>
      </c>
      <c r="G34">
        <v>0.62349789337206762</v>
      </c>
      <c r="H34">
        <v>0.13340000152587889</v>
      </c>
    </row>
    <row r="35" spans="1:8">
      <c r="A35" s="1">
        <v>39307</v>
      </c>
      <c r="B35">
        <v>4.2673966662970146</v>
      </c>
      <c r="C35">
        <v>4.5673966662970145</v>
      </c>
      <c r="D35">
        <v>521.43895533915895</v>
      </c>
      <c r="E35">
        <v>36.962945087936532</v>
      </c>
      <c r="F35">
        <v>0.51</v>
      </c>
      <c r="G35">
        <v>0.54459865420828146</v>
      </c>
      <c r="H35">
        <v>0.13479999542236329</v>
      </c>
    </row>
    <row r="36" spans="1:8">
      <c r="A36" s="1">
        <v>39308</v>
      </c>
      <c r="B36">
        <v>4.2673966662970146</v>
      </c>
      <c r="C36">
        <v>4.5673966662970145</v>
      </c>
      <c r="D36">
        <v>521.43895533915895</v>
      </c>
      <c r="E36">
        <v>36.962945087936532</v>
      </c>
      <c r="F36">
        <v>0.51</v>
      </c>
      <c r="G36">
        <v>0.55110036484791536</v>
      </c>
      <c r="H36">
        <v>0.13300000190734859</v>
      </c>
    </row>
    <row r="37" spans="1:8">
      <c r="A37" s="1">
        <v>39309</v>
      </c>
      <c r="B37">
        <v>4.2673966662970146</v>
      </c>
      <c r="C37">
        <v>4.5673966662970145</v>
      </c>
      <c r="D37">
        <v>521.43895533915895</v>
      </c>
      <c r="E37">
        <v>36.962945087936532</v>
      </c>
      <c r="F37">
        <v>0.51</v>
      </c>
      <c r="G37">
        <v>0.55915909506694206</v>
      </c>
      <c r="H37">
        <v>0.13760000228881841</v>
      </c>
    </row>
    <row r="38" spans="1:8">
      <c r="A38" s="1">
        <v>39310</v>
      </c>
      <c r="B38">
        <v>4.2673966662970146</v>
      </c>
      <c r="C38">
        <v>4.5673966662970145</v>
      </c>
      <c r="D38">
        <v>521.43895533915895</v>
      </c>
      <c r="E38">
        <v>36.962945087936532</v>
      </c>
      <c r="F38">
        <v>0.51</v>
      </c>
      <c r="G38">
        <v>0.67889574065689384</v>
      </c>
      <c r="H38">
        <v>0.13909999847412111</v>
      </c>
    </row>
    <row r="39" spans="1:8">
      <c r="A39" s="1">
        <v>39311</v>
      </c>
      <c r="B39">
        <v>4.2673966662970146</v>
      </c>
      <c r="C39">
        <v>4.5673966662970145</v>
      </c>
      <c r="D39">
        <v>521.43895533915895</v>
      </c>
      <c r="E39">
        <v>36.962945087936532</v>
      </c>
      <c r="F39">
        <v>0.51</v>
      </c>
      <c r="G39">
        <v>0.6321300856211518</v>
      </c>
      <c r="H39">
        <v>0.13859999656677249</v>
      </c>
    </row>
    <row r="40" spans="1:8">
      <c r="A40" s="1">
        <v>39314</v>
      </c>
      <c r="B40">
        <v>4.2673966662970146</v>
      </c>
      <c r="C40">
        <v>4.5673966662970145</v>
      </c>
      <c r="D40">
        <v>521.43895533915895</v>
      </c>
      <c r="E40">
        <v>36.962945087936532</v>
      </c>
      <c r="F40">
        <v>0.51</v>
      </c>
      <c r="G40">
        <v>0.64850117488960368</v>
      </c>
      <c r="H40">
        <v>0.13189999580383299</v>
      </c>
    </row>
    <row r="41" spans="1:8">
      <c r="A41" s="1">
        <v>39315</v>
      </c>
      <c r="B41">
        <v>4.2673966662970146</v>
      </c>
      <c r="C41">
        <v>4.5673966662970145</v>
      </c>
      <c r="D41">
        <v>521.43895533915895</v>
      </c>
      <c r="E41">
        <v>36.962945087936532</v>
      </c>
      <c r="F41">
        <v>0.51</v>
      </c>
      <c r="G41">
        <v>0.64653763471706904</v>
      </c>
      <c r="H41">
        <v>0.14409999847412111</v>
      </c>
    </row>
    <row r="42" spans="1:8">
      <c r="A42" s="1">
        <v>39316</v>
      </c>
      <c r="B42">
        <v>4.2673966662970146</v>
      </c>
      <c r="C42">
        <v>4.5673966662970145</v>
      </c>
      <c r="D42">
        <v>521.43895533915895</v>
      </c>
      <c r="E42">
        <v>36.962945087936532</v>
      </c>
      <c r="F42">
        <v>0.51</v>
      </c>
      <c r="G42">
        <v>0.59888175114452324</v>
      </c>
      <c r="H42">
        <v>0.13329999923706051</v>
      </c>
    </row>
    <row r="43" spans="1:8">
      <c r="A43" s="1">
        <v>39317</v>
      </c>
      <c r="B43">
        <v>4.2673966662970146</v>
      </c>
      <c r="C43">
        <v>4.5673966662970145</v>
      </c>
      <c r="D43">
        <v>521.43895533915895</v>
      </c>
      <c r="E43">
        <v>36.962945087936532</v>
      </c>
      <c r="F43">
        <v>0.51</v>
      </c>
      <c r="G43">
        <v>0.55461566734699941</v>
      </c>
      <c r="H43">
        <v>0.16090000152587891</v>
      </c>
    </row>
    <row r="44" spans="1:8">
      <c r="A44" s="1">
        <v>39318</v>
      </c>
      <c r="B44">
        <v>4.2673966662970146</v>
      </c>
      <c r="C44">
        <v>4.5673966662970145</v>
      </c>
      <c r="D44">
        <v>521.43895533915895</v>
      </c>
      <c r="E44">
        <v>36.962945087936532</v>
      </c>
      <c r="F44">
        <v>0.51</v>
      </c>
      <c r="G44">
        <v>0.59072812469350178</v>
      </c>
      <c r="H44">
        <v>0.15920000076293939</v>
      </c>
    </row>
    <row r="45" spans="1:8">
      <c r="A45" s="1">
        <v>39321</v>
      </c>
      <c r="B45">
        <v>4.2673966662970146</v>
      </c>
      <c r="C45">
        <v>4.5673966662970145</v>
      </c>
      <c r="D45">
        <v>521.43895533915895</v>
      </c>
      <c r="E45">
        <v>36.962945087936532</v>
      </c>
      <c r="F45">
        <v>0.51</v>
      </c>
      <c r="G45">
        <v>0.56711515849707372</v>
      </c>
      <c r="H45">
        <v>0.17100000381469729</v>
      </c>
    </row>
    <row r="46" spans="1:8">
      <c r="A46" s="1">
        <v>39322</v>
      </c>
      <c r="B46">
        <v>4.2673966662970146</v>
      </c>
      <c r="C46">
        <v>4.5673966662970145</v>
      </c>
      <c r="D46">
        <v>521.43895533915895</v>
      </c>
      <c r="E46">
        <v>36.962945087936532</v>
      </c>
      <c r="F46">
        <v>0.51</v>
      </c>
      <c r="G46">
        <v>0.57358676878670511</v>
      </c>
      <c r="H46">
        <v>0.15770000457763669</v>
      </c>
    </row>
    <row r="47" spans="1:8">
      <c r="A47" s="1">
        <v>39323</v>
      </c>
      <c r="B47">
        <v>4.2673966662970146</v>
      </c>
      <c r="C47">
        <v>4.5673966662970145</v>
      </c>
      <c r="D47">
        <v>521.43895533915895</v>
      </c>
      <c r="E47">
        <v>36.962945087936532</v>
      </c>
      <c r="F47">
        <v>0.51</v>
      </c>
      <c r="G47">
        <v>0.61997431410093384</v>
      </c>
      <c r="H47">
        <v>0.1598999977111816</v>
      </c>
    </row>
    <row r="48" spans="1:8">
      <c r="A48" s="1">
        <v>39324</v>
      </c>
      <c r="B48">
        <v>4.2673966662970146</v>
      </c>
      <c r="C48">
        <v>4.5673966662970145</v>
      </c>
      <c r="D48">
        <v>521.43895533915895</v>
      </c>
      <c r="E48">
        <v>36.962945087936532</v>
      </c>
      <c r="F48">
        <v>0.51</v>
      </c>
      <c r="G48">
        <v>0.61042914720553454</v>
      </c>
      <c r="H48">
        <v>0.1484000015258789</v>
      </c>
    </row>
    <row r="49" spans="1:8">
      <c r="A49" s="1">
        <v>39325</v>
      </c>
      <c r="B49">
        <v>4.2673966662970146</v>
      </c>
      <c r="C49">
        <v>4.5673966662970145</v>
      </c>
      <c r="D49">
        <v>521.43895533915895</v>
      </c>
      <c r="E49">
        <v>36.962945087936532</v>
      </c>
      <c r="F49">
        <v>0.51</v>
      </c>
      <c r="G49">
        <v>0.45604114211023883</v>
      </c>
      <c r="H49">
        <v>0.14819999694824221</v>
      </c>
    </row>
    <row r="50" spans="1:8">
      <c r="A50" s="1">
        <v>39328</v>
      </c>
      <c r="B50">
        <v>4.2673966662970146</v>
      </c>
      <c r="C50">
        <v>4.5673966662970145</v>
      </c>
      <c r="D50">
        <v>521.43895533915895</v>
      </c>
      <c r="E50">
        <v>36.962945087936532</v>
      </c>
      <c r="F50">
        <v>0.51</v>
      </c>
      <c r="G50">
        <v>0.53293281627236999</v>
      </c>
      <c r="H50">
        <v>0.1645999908447266</v>
      </c>
    </row>
    <row r="51" spans="1:8">
      <c r="A51" s="1">
        <v>39329</v>
      </c>
      <c r="B51">
        <v>4.2673966662970146</v>
      </c>
      <c r="C51">
        <v>4.5673966662970145</v>
      </c>
      <c r="D51">
        <v>521.43895533915895</v>
      </c>
      <c r="E51">
        <v>36.962945087936532</v>
      </c>
      <c r="F51">
        <v>0.51</v>
      </c>
      <c r="G51">
        <v>0.6381689915146882</v>
      </c>
      <c r="H51">
        <v>0.1678000068664551</v>
      </c>
    </row>
    <row r="52" spans="1:8">
      <c r="A52" s="1">
        <v>39330</v>
      </c>
      <c r="B52">
        <v>4.2673966662970146</v>
      </c>
      <c r="C52">
        <v>4.5673966662970145</v>
      </c>
      <c r="D52">
        <v>521.43895533915895</v>
      </c>
      <c r="E52">
        <v>36.962945087936532</v>
      </c>
      <c r="F52">
        <v>0.51</v>
      </c>
      <c r="G52">
        <v>0.5789415043404289</v>
      </c>
      <c r="H52">
        <v>0.17889999389648439</v>
      </c>
    </row>
    <row r="53" spans="1:8">
      <c r="A53" s="1">
        <v>39331</v>
      </c>
      <c r="B53">
        <v>4.2673966662970146</v>
      </c>
      <c r="C53">
        <v>4.5673966662970145</v>
      </c>
      <c r="D53">
        <v>521.43895533915895</v>
      </c>
      <c r="E53">
        <v>36.962945087936532</v>
      </c>
      <c r="F53">
        <v>0.51</v>
      </c>
      <c r="G53">
        <v>0.53350915839382751</v>
      </c>
      <c r="H53">
        <v>0.16969999313354489</v>
      </c>
    </row>
    <row r="54" spans="1:8">
      <c r="A54" s="1">
        <v>39332</v>
      </c>
      <c r="B54">
        <v>4.2673966662970146</v>
      </c>
      <c r="C54">
        <v>4.5673966662970145</v>
      </c>
      <c r="D54">
        <v>521.43895533915895</v>
      </c>
      <c r="E54">
        <v>36.962945087936532</v>
      </c>
      <c r="F54">
        <v>0.51</v>
      </c>
      <c r="G54">
        <v>0.69293003099488715</v>
      </c>
      <c r="H54">
        <v>0.15979999542236331</v>
      </c>
    </row>
    <row r="55" spans="1:8">
      <c r="A55" s="1">
        <v>39335</v>
      </c>
      <c r="B55">
        <v>4.2673966662970146</v>
      </c>
      <c r="C55">
        <v>4.5673966662970145</v>
      </c>
      <c r="D55">
        <v>521.43895533915895</v>
      </c>
      <c r="E55">
        <v>36.962945087936532</v>
      </c>
      <c r="F55">
        <v>0.51</v>
      </c>
      <c r="G55">
        <v>0.64453953161662647</v>
      </c>
      <c r="H55">
        <v>0.17200000762939449</v>
      </c>
    </row>
    <row r="56" spans="1:8">
      <c r="A56" s="1">
        <v>39336</v>
      </c>
      <c r="B56">
        <v>4.2673966662970146</v>
      </c>
      <c r="C56">
        <v>4.5673966662970145</v>
      </c>
      <c r="D56">
        <v>521.43895533915895</v>
      </c>
      <c r="E56">
        <v>36.962945087936532</v>
      </c>
      <c r="F56">
        <v>0.51</v>
      </c>
      <c r="G56">
        <v>0.65161212068925534</v>
      </c>
      <c r="H56">
        <v>0.15680000305175781</v>
      </c>
    </row>
    <row r="57" spans="1:8">
      <c r="A57" s="1">
        <v>39337</v>
      </c>
      <c r="B57">
        <v>4.2673966662970146</v>
      </c>
      <c r="C57">
        <v>4.5673966662970145</v>
      </c>
      <c r="D57">
        <v>521.43895533915895</v>
      </c>
      <c r="E57">
        <v>36.962945087936532</v>
      </c>
      <c r="F57">
        <v>0.51</v>
      </c>
      <c r="G57">
        <v>0.54065308879491747</v>
      </c>
      <c r="H57">
        <v>0.15079999923706061</v>
      </c>
    </row>
    <row r="58" spans="1:8">
      <c r="A58" s="1">
        <v>39338</v>
      </c>
      <c r="B58">
        <v>4.2673966662970146</v>
      </c>
      <c r="C58">
        <v>4.5673966662970145</v>
      </c>
      <c r="D58">
        <v>521.43895533915895</v>
      </c>
      <c r="E58">
        <v>36.962945087936532</v>
      </c>
      <c r="F58">
        <v>0.51</v>
      </c>
      <c r="G58">
        <v>0.53297173482974158</v>
      </c>
      <c r="H58">
        <v>0.1356999969482422</v>
      </c>
    </row>
    <row r="59" spans="1:8">
      <c r="A59" s="1">
        <v>39339</v>
      </c>
      <c r="B59">
        <v>4.2673966662970146</v>
      </c>
      <c r="C59">
        <v>4.5673966662970145</v>
      </c>
      <c r="D59">
        <v>521.43895533915895</v>
      </c>
      <c r="E59">
        <v>36.962945087936532</v>
      </c>
      <c r="F59">
        <v>0.51</v>
      </c>
      <c r="G59">
        <v>0.61027344177825682</v>
      </c>
      <c r="H59">
        <v>0.13090000152587891</v>
      </c>
    </row>
    <row r="60" spans="1:8">
      <c r="A60" s="1">
        <v>39342</v>
      </c>
      <c r="B60">
        <v>4.2673966662970146</v>
      </c>
      <c r="C60">
        <v>4.5673966662970145</v>
      </c>
      <c r="D60">
        <v>521.43895533915895</v>
      </c>
      <c r="E60">
        <v>36.962945087936532</v>
      </c>
      <c r="F60">
        <v>0.51</v>
      </c>
      <c r="G60">
        <v>0.63115326533821481</v>
      </c>
      <c r="H60">
        <v>0.14010000228881839</v>
      </c>
    </row>
    <row r="61" spans="1:8">
      <c r="A61" s="1">
        <v>39343</v>
      </c>
      <c r="B61">
        <v>4.2673966662970146</v>
      </c>
      <c r="C61">
        <v>4.5673966662970145</v>
      </c>
      <c r="D61">
        <v>521.43895533915895</v>
      </c>
      <c r="E61">
        <v>36.962945087936532</v>
      </c>
      <c r="F61">
        <v>0.51</v>
      </c>
      <c r="G61">
        <v>0.56560662490868685</v>
      </c>
      <c r="H61">
        <v>0.1444999980926514</v>
      </c>
    </row>
    <row r="62" spans="1:8">
      <c r="A62" s="1">
        <v>39344</v>
      </c>
      <c r="B62">
        <v>4.2673966662970146</v>
      </c>
      <c r="C62">
        <v>4.5673966662970145</v>
      </c>
      <c r="D62">
        <v>521.43895533915895</v>
      </c>
      <c r="E62">
        <v>36.962945087936532</v>
      </c>
      <c r="F62">
        <v>0.51</v>
      </c>
      <c r="G62">
        <v>0.61620364466717892</v>
      </c>
      <c r="H62">
        <v>0.14399999618530271</v>
      </c>
    </row>
    <row r="63" spans="1:8">
      <c r="A63" s="1">
        <v>39345</v>
      </c>
      <c r="B63">
        <v>4.2673966662970146</v>
      </c>
      <c r="C63">
        <v>4.5673966662970145</v>
      </c>
      <c r="D63">
        <v>521.43895533915895</v>
      </c>
      <c r="E63">
        <v>36.962945087936532</v>
      </c>
      <c r="F63">
        <v>0.51</v>
      </c>
      <c r="G63">
        <v>0.5552755144994439</v>
      </c>
      <c r="H63">
        <v>0.1422999954223633</v>
      </c>
    </row>
    <row r="64" spans="1:8">
      <c r="A64" s="1">
        <v>39346</v>
      </c>
      <c r="B64">
        <v>4.2673966662970146</v>
      </c>
      <c r="C64">
        <v>4.5673966662970145</v>
      </c>
      <c r="D64">
        <v>521.43895533915895</v>
      </c>
      <c r="E64">
        <v>36.962945087936532</v>
      </c>
      <c r="F64">
        <v>0.51</v>
      </c>
      <c r="G64">
        <v>0.51039572663624</v>
      </c>
      <c r="H64">
        <v>0.13479999542236329</v>
      </c>
    </row>
    <row r="65" spans="1:8">
      <c r="A65" s="1">
        <v>39349</v>
      </c>
      <c r="B65">
        <v>4.2673966662970146</v>
      </c>
      <c r="C65">
        <v>4.5673966662970145</v>
      </c>
      <c r="D65">
        <v>521.43895533915895</v>
      </c>
      <c r="E65">
        <v>36.962945087936532</v>
      </c>
      <c r="F65">
        <v>0.51</v>
      </c>
      <c r="G65">
        <v>0.55034017123704482</v>
      </c>
      <c r="H65">
        <v>0.12819999694824219</v>
      </c>
    </row>
    <row r="66" spans="1:8">
      <c r="A66" s="1">
        <v>39350</v>
      </c>
      <c r="B66">
        <v>4.2673966662970146</v>
      </c>
      <c r="C66">
        <v>4.5673966662970145</v>
      </c>
      <c r="D66">
        <v>521.43895533915895</v>
      </c>
      <c r="E66">
        <v>36.962945087936532</v>
      </c>
      <c r="F66">
        <v>0.51</v>
      </c>
      <c r="G66">
        <v>0.53460526995169977</v>
      </c>
      <c r="H66">
        <v>0.13789999961853031</v>
      </c>
    </row>
    <row r="67" spans="1:8">
      <c r="A67" s="1">
        <v>39351</v>
      </c>
      <c r="B67">
        <v>4.2673966662970146</v>
      </c>
      <c r="C67">
        <v>4.5673966662970145</v>
      </c>
      <c r="D67">
        <v>521.43895533915895</v>
      </c>
      <c r="E67">
        <v>36.962945087936532</v>
      </c>
      <c r="F67">
        <v>0.51</v>
      </c>
      <c r="G67">
        <v>0.60782751994198414</v>
      </c>
      <c r="H67">
        <v>0.14000000000000001</v>
      </c>
    </row>
    <row r="68" spans="1:8">
      <c r="A68" s="1">
        <v>39352</v>
      </c>
      <c r="B68">
        <v>4.2673966662970146</v>
      </c>
      <c r="C68">
        <v>4.5673966662970145</v>
      </c>
      <c r="D68">
        <v>521.43895533915895</v>
      </c>
      <c r="E68">
        <v>36.962945087936532</v>
      </c>
      <c r="F68">
        <v>0.51</v>
      </c>
      <c r="G68">
        <v>0.62215986636357035</v>
      </c>
      <c r="H68">
        <v>0.1754000091552734</v>
      </c>
    </row>
    <row r="69" spans="1:8">
      <c r="A69" s="1">
        <v>39353</v>
      </c>
      <c r="B69">
        <v>4.2673966662970146</v>
      </c>
      <c r="C69">
        <v>4.5673966662970145</v>
      </c>
      <c r="D69">
        <v>521.43895533915895</v>
      </c>
      <c r="E69">
        <v>36.962945087936532</v>
      </c>
      <c r="F69">
        <v>0.51</v>
      </c>
      <c r="G69">
        <v>0.61099577652354853</v>
      </c>
      <c r="H69">
        <v>0.17200000762939449</v>
      </c>
    </row>
    <row r="70" spans="1:8">
      <c r="A70" s="1">
        <v>39356</v>
      </c>
      <c r="B70">
        <v>4.2673966662970146</v>
      </c>
      <c r="C70">
        <v>4.5673966662970145</v>
      </c>
      <c r="D70">
        <v>521.43895533915895</v>
      </c>
      <c r="E70">
        <v>36.962945087936532</v>
      </c>
      <c r="F70">
        <v>0.51</v>
      </c>
      <c r="G70">
        <v>0.55958505864387487</v>
      </c>
      <c r="H70">
        <v>0.1689999961853027</v>
      </c>
    </row>
    <row r="71" spans="1:8">
      <c r="A71" s="1">
        <v>39357</v>
      </c>
      <c r="B71">
        <v>4.2673966662970146</v>
      </c>
      <c r="C71">
        <v>4.5673966662970145</v>
      </c>
      <c r="D71">
        <v>521.43895533915895</v>
      </c>
      <c r="E71">
        <v>36.962945087936532</v>
      </c>
      <c r="F71">
        <v>0.51</v>
      </c>
      <c r="G71">
        <v>0.67391139891887741</v>
      </c>
      <c r="H71">
        <v>0.18940000534057619</v>
      </c>
    </row>
    <row r="72" spans="1:8">
      <c r="A72" s="1">
        <v>39358</v>
      </c>
      <c r="B72">
        <v>4.2673966662970146</v>
      </c>
      <c r="C72">
        <v>4.5673966662970145</v>
      </c>
      <c r="D72">
        <v>521.43895533915895</v>
      </c>
      <c r="E72">
        <v>36.962945087936532</v>
      </c>
      <c r="F72">
        <v>0.51</v>
      </c>
      <c r="G72">
        <v>0.6051241302538467</v>
      </c>
      <c r="H72">
        <v>0.1821999931335449</v>
      </c>
    </row>
    <row r="73" spans="1:8">
      <c r="A73" s="1">
        <v>39359</v>
      </c>
      <c r="B73">
        <v>4.2673966662970146</v>
      </c>
      <c r="C73">
        <v>4.5673966662970145</v>
      </c>
      <c r="D73">
        <v>521.43895533915895</v>
      </c>
      <c r="E73">
        <v>36.962945087936532</v>
      </c>
      <c r="F73">
        <v>0.51</v>
      </c>
      <c r="G73">
        <v>0.51944587186987801</v>
      </c>
      <c r="H73">
        <v>0.17610000610351559</v>
      </c>
    </row>
    <row r="74" spans="1:8">
      <c r="A74" s="1">
        <v>39360</v>
      </c>
      <c r="B74">
        <v>4.2673966662970146</v>
      </c>
      <c r="C74">
        <v>4.5673966662970145</v>
      </c>
      <c r="D74">
        <v>521.43895533915895</v>
      </c>
      <c r="E74">
        <v>36.962945087936532</v>
      </c>
      <c r="F74">
        <v>0.51</v>
      </c>
      <c r="G74">
        <v>0.67543018289876156</v>
      </c>
      <c r="H74">
        <v>0.1978000068664551</v>
      </c>
    </row>
    <row r="75" spans="1:8">
      <c r="A75" s="1">
        <v>39363</v>
      </c>
      <c r="B75">
        <v>4.2673966662970146</v>
      </c>
      <c r="C75">
        <v>4.5673966662970145</v>
      </c>
      <c r="D75">
        <v>521.43895533915895</v>
      </c>
      <c r="E75">
        <v>36.962945087936532</v>
      </c>
      <c r="F75">
        <v>0.51</v>
      </c>
      <c r="G75">
        <v>0.64999595279382283</v>
      </c>
      <c r="H75">
        <v>0.18579999923706059</v>
      </c>
    </row>
    <row r="76" spans="1:8">
      <c r="A76" s="1">
        <v>39364</v>
      </c>
      <c r="B76">
        <v>4.2673966662970146</v>
      </c>
      <c r="C76">
        <v>4.5673966662970145</v>
      </c>
      <c r="D76">
        <v>521.43895533915895</v>
      </c>
      <c r="E76">
        <v>36.962945087936532</v>
      </c>
      <c r="F76">
        <v>0.51</v>
      </c>
      <c r="G76">
        <v>0.63998011465235793</v>
      </c>
      <c r="H76">
        <v>0.18489999771118171</v>
      </c>
    </row>
    <row r="77" spans="1:8">
      <c r="A77" s="1">
        <v>39365</v>
      </c>
      <c r="B77">
        <v>4.2673966662970146</v>
      </c>
      <c r="C77">
        <v>4.5673966662970145</v>
      </c>
      <c r="D77">
        <v>521.43895533915895</v>
      </c>
      <c r="E77">
        <v>36.962945087936532</v>
      </c>
      <c r="F77">
        <v>0.51</v>
      </c>
      <c r="G77">
        <v>0.60791259256356567</v>
      </c>
      <c r="H77">
        <v>0.17450000762939449</v>
      </c>
    </row>
    <row r="78" spans="1:8">
      <c r="A78" s="1">
        <v>39366</v>
      </c>
      <c r="B78">
        <v>4.2673966662970146</v>
      </c>
      <c r="C78">
        <v>4.5673966662970145</v>
      </c>
      <c r="D78">
        <v>521.43895533915895</v>
      </c>
      <c r="E78">
        <v>36.962945087936532</v>
      </c>
      <c r="F78">
        <v>0.51</v>
      </c>
      <c r="G78">
        <v>0.54991936255238483</v>
      </c>
      <c r="H78">
        <v>0.16090000152587891</v>
      </c>
    </row>
    <row r="79" spans="1:8">
      <c r="A79" s="1">
        <v>39367</v>
      </c>
      <c r="B79">
        <v>4.2673966662970146</v>
      </c>
      <c r="C79">
        <v>4.5673966662970145</v>
      </c>
      <c r="D79">
        <v>521.43895533915895</v>
      </c>
      <c r="E79">
        <v>36.962945087936532</v>
      </c>
      <c r="F79">
        <v>0.51</v>
      </c>
      <c r="G79">
        <v>0.47665687275352947</v>
      </c>
      <c r="H79">
        <v>0.1669000053405762</v>
      </c>
    </row>
    <row r="80" spans="1:8">
      <c r="A80" s="1">
        <v>39370</v>
      </c>
      <c r="B80">
        <v>4.2673966662970146</v>
      </c>
      <c r="C80">
        <v>4.5673966662970145</v>
      </c>
      <c r="D80">
        <v>521.43895533915895</v>
      </c>
      <c r="E80">
        <v>36.962945087936532</v>
      </c>
      <c r="F80">
        <v>0.51</v>
      </c>
      <c r="G80">
        <v>0.58667661610405586</v>
      </c>
      <c r="H80">
        <v>0.19319999694824219</v>
      </c>
    </row>
    <row r="81" spans="1:8">
      <c r="A81" s="1">
        <v>39371</v>
      </c>
      <c r="B81">
        <v>4.2673966662970146</v>
      </c>
      <c r="C81">
        <v>4.5673966662970145</v>
      </c>
      <c r="D81">
        <v>521.43895533915895</v>
      </c>
      <c r="E81">
        <v>36.962945087936532</v>
      </c>
      <c r="F81">
        <v>0.51</v>
      </c>
      <c r="G81">
        <v>0.66380090245039802</v>
      </c>
      <c r="H81">
        <v>0.1720999908447266</v>
      </c>
    </row>
    <row r="82" spans="1:8">
      <c r="A82" s="1">
        <v>39372</v>
      </c>
      <c r="B82">
        <v>4.2673966662970146</v>
      </c>
      <c r="C82">
        <v>4.5673966662970145</v>
      </c>
      <c r="D82">
        <v>521.43895533915895</v>
      </c>
      <c r="E82">
        <v>36.962945087936532</v>
      </c>
      <c r="F82">
        <v>0.51</v>
      </c>
      <c r="G82">
        <v>0.59608480123968466</v>
      </c>
      <c r="H82">
        <v>0.17879999160766599</v>
      </c>
    </row>
    <row r="83" spans="1:8">
      <c r="A83" s="1">
        <v>39373</v>
      </c>
      <c r="B83">
        <v>4.2673966662970146</v>
      </c>
      <c r="C83">
        <v>4.5673966662970145</v>
      </c>
      <c r="D83">
        <v>521.43895533915895</v>
      </c>
      <c r="E83">
        <v>36.962945087936532</v>
      </c>
      <c r="F83">
        <v>0.51</v>
      </c>
      <c r="G83">
        <v>0.52836508683389183</v>
      </c>
      <c r="H83">
        <v>0.21709999084472659</v>
      </c>
    </row>
    <row r="84" spans="1:8">
      <c r="A84" s="1">
        <v>39374</v>
      </c>
      <c r="B84">
        <v>4.2673966662970146</v>
      </c>
      <c r="C84">
        <v>4.5673966662970145</v>
      </c>
      <c r="D84">
        <v>521.43895533915895</v>
      </c>
      <c r="E84">
        <v>36.962945087936532</v>
      </c>
      <c r="F84">
        <v>0.51</v>
      </c>
      <c r="G84">
        <v>0.58261107422782876</v>
      </c>
      <c r="H84">
        <v>0.20370000839233399</v>
      </c>
    </row>
    <row r="85" spans="1:8">
      <c r="A85" s="1">
        <v>39377</v>
      </c>
      <c r="B85">
        <v>4.2673966662970146</v>
      </c>
      <c r="C85">
        <v>4.5673966662970145</v>
      </c>
      <c r="D85">
        <v>521.43895533915895</v>
      </c>
      <c r="E85">
        <v>36.962945087936532</v>
      </c>
      <c r="F85">
        <v>0.51</v>
      </c>
      <c r="G85">
        <v>0.66143064984337052</v>
      </c>
      <c r="H85">
        <v>0.18969999313354491</v>
      </c>
    </row>
    <row r="86" spans="1:8">
      <c r="A86" s="1">
        <v>39378</v>
      </c>
      <c r="B86">
        <v>4.2673966662970146</v>
      </c>
      <c r="C86">
        <v>4.5673966662970145</v>
      </c>
      <c r="D86">
        <v>521.43895533915895</v>
      </c>
      <c r="E86">
        <v>36.962945087936532</v>
      </c>
      <c r="F86">
        <v>0.51</v>
      </c>
      <c r="G86">
        <v>0.57594262099555649</v>
      </c>
      <c r="H86">
        <v>0.2019000053405762</v>
      </c>
    </row>
    <row r="87" spans="1:8">
      <c r="A87" s="1">
        <v>39379</v>
      </c>
      <c r="B87">
        <v>4.2673966662970146</v>
      </c>
      <c r="C87">
        <v>4.5673966662970145</v>
      </c>
      <c r="D87">
        <v>521.43895533915895</v>
      </c>
      <c r="E87">
        <v>36.962945087936532</v>
      </c>
      <c r="F87">
        <v>0.51</v>
      </c>
      <c r="G87">
        <v>0.6402388002359426</v>
      </c>
      <c r="H87">
        <v>0.2068000030517578</v>
      </c>
    </row>
    <row r="88" spans="1:8">
      <c r="A88" s="1">
        <v>39380</v>
      </c>
      <c r="B88">
        <v>4.2673966662970146</v>
      </c>
      <c r="C88">
        <v>4.5673966662970145</v>
      </c>
      <c r="D88">
        <v>521.43895533915895</v>
      </c>
      <c r="E88">
        <v>36.962945087936532</v>
      </c>
      <c r="F88">
        <v>0.51</v>
      </c>
      <c r="G88">
        <v>0.55755600820474271</v>
      </c>
      <c r="H88">
        <v>0.1813999938964844</v>
      </c>
    </row>
    <row r="89" spans="1:8">
      <c r="A89" s="1">
        <v>39381</v>
      </c>
      <c r="B89">
        <v>4.2673966662970146</v>
      </c>
      <c r="C89">
        <v>4.5673966662970145</v>
      </c>
      <c r="D89">
        <v>521.43895533915895</v>
      </c>
      <c r="E89">
        <v>36.962945087936532</v>
      </c>
      <c r="F89">
        <v>0.51</v>
      </c>
      <c r="G89">
        <v>0.5296431139926091</v>
      </c>
      <c r="H89">
        <v>0.16870000839233401</v>
      </c>
    </row>
    <row r="90" spans="1:8">
      <c r="A90" s="1">
        <v>39384</v>
      </c>
      <c r="B90">
        <v>4.2673966662970146</v>
      </c>
      <c r="C90">
        <v>4.5673966662970145</v>
      </c>
      <c r="D90">
        <v>521.43895533915895</v>
      </c>
      <c r="E90">
        <v>36.962945087936532</v>
      </c>
      <c r="F90">
        <v>0.51</v>
      </c>
      <c r="G90">
        <v>0.65180119868468733</v>
      </c>
      <c r="H90">
        <v>0.15659999847412109</v>
      </c>
    </row>
    <row r="91" spans="1:8">
      <c r="A91" s="1">
        <v>39385</v>
      </c>
      <c r="B91">
        <v>4.2673966662970146</v>
      </c>
      <c r="C91">
        <v>4.5673966662970145</v>
      </c>
      <c r="D91">
        <v>521.43895533915895</v>
      </c>
      <c r="E91">
        <v>36.962945087936532</v>
      </c>
      <c r="F91">
        <v>0.51</v>
      </c>
      <c r="G91">
        <v>0.66406742696669729</v>
      </c>
      <c r="H91">
        <v>0.14909999847412109</v>
      </c>
    </row>
    <row r="92" spans="1:8">
      <c r="A92" s="1">
        <v>39386</v>
      </c>
      <c r="B92">
        <v>4.2673966662970146</v>
      </c>
      <c r="C92">
        <v>4.5673966662970145</v>
      </c>
      <c r="D92">
        <v>521.43895533915895</v>
      </c>
      <c r="E92">
        <v>36.962945087936532</v>
      </c>
      <c r="F92">
        <v>0.51</v>
      </c>
      <c r="G92">
        <v>0.58214580941108962</v>
      </c>
      <c r="H92">
        <v>0.14890000343322751</v>
      </c>
    </row>
    <row r="93" spans="1:8">
      <c r="A93" s="1">
        <v>39387</v>
      </c>
      <c r="B93">
        <v>4.2673966662970146</v>
      </c>
      <c r="C93">
        <v>4.5673966662970145</v>
      </c>
      <c r="D93">
        <v>521.43895533915895</v>
      </c>
      <c r="E93">
        <v>36.962945087936532</v>
      </c>
      <c r="F93">
        <v>0.51</v>
      </c>
      <c r="G93">
        <v>0.63388152341848347</v>
      </c>
      <c r="H93">
        <v>0.15289999961853029</v>
      </c>
    </row>
    <row r="94" spans="1:8">
      <c r="A94" s="1">
        <v>39388</v>
      </c>
      <c r="B94">
        <v>4.2673966662970146</v>
      </c>
      <c r="C94">
        <v>4.5673966662970145</v>
      </c>
      <c r="D94">
        <v>521.43895533915895</v>
      </c>
      <c r="E94">
        <v>36.962945087936532</v>
      </c>
      <c r="F94">
        <v>0.51</v>
      </c>
      <c r="G94">
        <v>0.74355797308146088</v>
      </c>
      <c r="H94">
        <v>0.14170000076293951</v>
      </c>
    </row>
    <row r="95" spans="1:8">
      <c r="A95" s="1">
        <v>39391</v>
      </c>
      <c r="B95">
        <v>4.2673966662970146</v>
      </c>
      <c r="C95">
        <v>4.5673966662970145</v>
      </c>
      <c r="D95">
        <v>521.43895533915895</v>
      </c>
      <c r="E95">
        <v>36.962945087936532</v>
      </c>
      <c r="F95">
        <v>0.51</v>
      </c>
      <c r="G95">
        <v>0.56573711611397126</v>
      </c>
      <c r="H95">
        <v>0.14760000228881839</v>
      </c>
    </row>
    <row r="96" spans="1:8">
      <c r="A96" s="1">
        <v>39392</v>
      </c>
      <c r="B96">
        <v>4.2673966662970146</v>
      </c>
      <c r="C96">
        <v>4.5673966662970145</v>
      </c>
      <c r="D96">
        <v>521.43895533915895</v>
      </c>
      <c r="E96">
        <v>36.962945087936532</v>
      </c>
      <c r="F96">
        <v>0.51</v>
      </c>
      <c r="G96">
        <v>0.60768665035917158</v>
      </c>
      <c r="H96">
        <v>0.14159999847412111</v>
      </c>
    </row>
    <row r="97" spans="1:8">
      <c r="A97" s="1">
        <v>39393</v>
      </c>
      <c r="B97">
        <v>4.2673966662970146</v>
      </c>
      <c r="C97">
        <v>4.5673966662970145</v>
      </c>
      <c r="D97">
        <v>521.43895533915895</v>
      </c>
      <c r="E97">
        <v>36.962945087936532</v>
      </c>
      <c r="F97">
        <v>0.51</v>
      </c>
      <c r="G97">
        <v>0.63008428395122651</v>
      </c>
      <c r="H97">
        <v>0.1418000030517578</v>
      </c>
    </row>
    <row r="98" spans="1:8">
      <c r="A98" s="1">
        <v>39394</v>
      </c>
      <c r="B98">
        <v>4.2673966662970146</v>
      </c>
      <c r="C98">
        <v>4.5673966662970145</v>
      </c>
      <c r="D98">
        <v>521.43895533915895</v>
      </c>
      <c r="E98">
        <v>36.962945087936532</v>
      </c>
      <c r="F98">
        <v>0.51</v>
      </c>
      <c r="G98">
        <v>0.5722204294415506</v>
      </c>
      <c r="H98">
        <v>0.1340999984741211</v>
      </c>
    </row>
    <row r="99" spans="1:8">
      <c r="A99" s="1">
        <v>39395</v>
      </c>
      <c r="B99">
        <v>4.2673966662970146</v>
      </c>
      <c r="C99">
        <v>4.5673966662970145</v>
      </c>
      <c r="D99">
        <v>521.43895533915895</v>
      </c>
      <c r="E99">
        <v>36.962945087936532</v>
      </c>
      <c r="F99">
        <v>0.51</v>
      </c>
      <c r="G99">
        <v>0.56517107468345273</v>
      </c>
      <c r="H99">
        <v>0.13350000381469729</v>
      </c>
    </row>
    <row r="100" spans="1:8">
      <c r="A100" s="1">
        <v>39398</v>
      </c>
      <c r="B100">
        <v>4.2673966662970146</v>
      </c>
      <c r="C100">
        <v>4.5673966662970145</v>
      </c>
      <c r="D100">
        <v>521.43895533915895</v>
      </c>
      <c r="E100">
        <v>36.962945087936532</v>
      </c>
      <c r="F100">
        <v>0.51</v>
      </c>
      <c r="G100">
        <v>0.63753110932599932</v>
      </c>
      <c r="H100">
        <v>0.12850000381469731</v>
      </c>
    </row>
    <row r="101" spans="1:8">
      <c r="A101" s="1">
        <v>39399</v>
      </c>
      <c r="B101">
        <v>4.2673966662970146</v>
      </c>
      <c r="C101">
        <v>4.5673966662970145</v>
      </c>
      <c r="D101">
        <v>521.43895533915895</v>
      </c>
      <c r="E101">
        <v>36.962945087936532</v>
      </c>
      <c r="F101">
        <v>0.51</v>
      </c>
      <c r="G101">
        <v>0.52793498680939543</v>
      </c>
      <c r="H101">
        <v>0.12460000038146971</v>
      </c>
    </row>
    <row r="102" spans="1:8">
      <c r="A102" s="1">
        <v>39400</v>
      </c>
      <c r="B102">
        <v>4.2673966662970146</v>
      </c>
      <c r="C102">
        <v>4.5673966662970145</v>
      </c>
      <c r="D102">
        <v>521.43895533915895</v>
      </c>
      <c r="E102">
        <v>36.962945087936532</v>
      </c>
      <c r="F102">
        <v>0.51</v>
      </c>
      <c r="G102">
        <v>0.55622565908673316</v>
      </c>
      <c r="H102">
        <v>0.12689999580383299</v>
      </c>
    </row>
    <row r="103" spans="1:8">
      <c r="A103" s="1">
        <v>39401</v>
      </c>
      <c r="B103">
        <v>4.2673966662970146</v>
      </c>
      <c r="C103">
        <v>4.5673966662970145</v>
      </c>
      <c r="D103">
        <v>521.43895533915895</v>
      </c>
      <c r="E103">
        <v>36.962945087936532</v>
      </c>
      <c r="F103">
        <v>0.51</v>
      </c>
      <c r="G103">
        <v>0.59749572550192243</v>
      </c>
      <c r="H103">
        <v>0.12920000076293939</v>
      </c>
    </row>
    <row r="104" spans="1:8">
      <c r="A104" s="1">
        <v>39402</v>
      </c>
      <c r="B104">
        <v>4.2673966662970146</v>
      </c>
      <c r="C104">
        <v>4.5673966662970145</v>
      </c>
      <c r="D104">
        <v>521.43895533915895</v>
      </c>
      <c r="E104">
        <v>36.962945087936532</v>
      </c>
      <c r="F104">
        <v>0.51</v>
      </c>
      <c r="G104">
        <v>0.56958829262581301</v>
      </c>
      <c r="H104">
        <v>0.1263000011444092</v>
      </c>
    </row>
    <row r="105" spans="1:8">
      <c r="A105" s="1">
        <v>39405</v>
      </c>
      <c r="B105">
        <v>4.2673966662970146</v>
      </c>
      <c r="C105">
        <v>4.5673966662970145</v>
      </c>
      <c r="D105">
        <v>521.43895533915895</v>
      </c>
      <c r="E105">
        <v>36.962945087936532</v>
      </c>
      <c r="F105">
        <v>0.51</v>
      </c>
      <c r="G105">
        <v>0.4799904661059059</v>
      </c>
      <c r="H105">
        <v>0.13079999923706051</v>
      </c>
    </row>
    <row r="106" spans="1:8">
      <c r="A106" s="1">
        <v>39406</v>
      </c>
      <c r="B106">
        <v>4.2673966662970146</v>
      </c>
      <c r="C106">
        <v>4.5673966662970145</v>
      </c>
      <c r="D106">
        <v>521.43895533915895</v>
      </c>
      <c r="E106">
        <v>36.962945087936532</v>
      </c>
      <c r="F106">
        <v>0.51</v>
      </c>
      <c r="G106">
        <v>0.48805835308918155</v>
      </c>
      <c r="H106">
        <v>0.12850000381469731</v>
      </c>
    </row>
    <row r="107" spans="1:8">
      <c r="A107" s="1">
        <v>39407</v>
      </c>
      <c r="B107">
        <v>4.2673966662970146</v>
      </c>
      <c r="C107">
        <v>4.5673966662970145</v>
      </c>
      <c r="D107">
        <v>521.43895533915895</v>
      </c>
      <c r="E107">
        <v>36.962945087936532</v>
      </c>
      <c r="F107">
        <v>0.51</v>
      </c>
      <c r="G107">
        <v>0.61680121382900521</v>
      </c>
      <c r="H107">
        <v>0.12970000267028811</v>
      </c>
    </row>
    <row r="108" spans="1:8">
      <c r="A108" s="1">
        <v>39408</v>
      </c>
      <c r="B108">
        <v>4.2673966662970146</v>
      </c>
      <c r="C108">
        <v>4.5673966662970145</v>
      </c>
      <c r="D108">
        <v>521.43895533915895</v>
      </c>
      <c r="E108">
        <v>36.962945087936532</v>
      </c>
      <c r="F108">
        <v>0.51</v>
      </c>
      <c r="G108">
        <v>0.70320966943849006</v>
      </c>
      <c r="H108">
        <v>0.1263000011444092</v>
      </c>
    </row>
    <row r="109" spans="1:8">
      <c r="A109" s="1">
        <v>39409</v>
      </c>
      <c r="B109">
        <v>4.2673966662970146</v>
      </c>
      <c r="C109">
        <v>4.5673966662970145</v>
      </c>
      <c r="D109">
        <v>521.43895533915895</v>
      </c>
      <c r="E109">
        <v>36.962945087936532</v>
      </c>
      <c r="F109">
        <v>0.51</v>
      </c>
      <c r="G109">
        <v>0.56801380551910641</v>
      </c>
      <c r="H109">
        <v>0.1206999969482422</v>
      </c>
    </row>
    <row r="110" spans="1:8">
      <c r="A110" s="1">
        <v>39412</v>
      </c>
      <c r="B110">
        <v>4.2673966662970146</v>
      </c>
      <c r="C110">
        <v>4.5673966662970145</v>
      </c>
      <c r="D110">
        <v>521.43895533915895</v>
      </c>
      <c r="E110">
        <v>36.962945087936532</v>
      </c>
      <c r="F110">
        <v>0.51</v>
      </c>
      <c r="G110">
        <v>0.66833306800738057</v>
      </c>
      <c r="H110">
        <v>0.121899995803833</v>
      </c>
    </row>
    <row r="111" spans="1:8">
      <c r="A111" s="1">
        <v>39413</v>
      </c>
      <c r="B111">
        <v>4.2673966662970146</v>
      </c>
      <c r="C111">
        <v>4.5673966662970145</v>
      </c>
      <c r="D111">
        <v>521.43895533915895</v>
      </c>
      <c r="E111">
        <v>36.962945087936532</v>
      </c>
      <c r="F111">
        <v>0.51</v>
      </c>
      <c r="G111">
        <v>0.57578037597089338</v>
      </c>
      <c r="H111">
        <v>0.12479999542236329</v>
      </c>
    </row>
    <row r="112" spans="1:8">
      <c r="A112" s="1">
        <v>39414</v>
      </c>
      <c r="B112">
        <v>4.2673966662970146</v>
      </c>
      <c r="C112">
        <v>4.5673966662970145</v>
      </c>
      <c r="D112">
        <v>521.43895533915895</v>
      </c>
      <c r="E112">
        <v>36.962945087936532</v>
      </c>
      <c r="F112">
        <v>0.51</v>
      </c>
      <c r="G112">
        <v>0.56667898039326314</v>
      </c>
      <c r="H112">
        <v>0.1227999973297119</v>
      </c>
    </row>
    <row r="113" spans="1:8">
      <c r="A113" s="1">
        <v>39415</v>
      </c>
      <c r="B113">
        <v>4.2673966662970146</v>
      </c>
      <c r="C113">
        <v>4.5673966662970145</v>
      </c>
      <c r="D113">
        <v>521.43895533915895</v>
      </c>
      <c r="E113">
        <v>36.962945087936532</v>
      </c>
      <c r="F113">
        <v>0.51</v>
      </c>
      <c r="G113">
        <v>0.53356494880833971</v>
      </c>
      <c r="H113">
        <v>0.13670000076293939</v>
      </c>
    </row>
    <row r="114" spans="1:8">
      <c r="A114" s="1">
        <v>39416</v>
      </c>
      <c r="B114">
        <v>4.2673966662970146</v>
      </c>
      <c r="C114">
        <v>4.5673966662970145</v>
      </c>
      <c r="D114">
        <v>521.43895533915895</v>
      </c>
      <c r="E114">
        <v>36.962945087936532</v>
      </c>
      <c r="F114">
        <v>0.51</v>
      </c>
      <c r="G114">
        <v>0.56037909596865809</v>
      </c>
      <c r="H114">
        <v>0.1364999961853027</v>
      </c>
    </row>
    <row r="115" spans="1:8">
      <c r="A115" s="1">
        <v>39419</v>
      </c>
      <c r="B115">
        <v>4.2673966662970146</v>
      </c>
      <c r="C115">
        <v>4.5673966662970145</v>
      </c>
      <c r="D115">
        <v>521.43895533915895</v>
      </c>
      <c r="E115">
        <v>36.962945087936532</v>
      </c>
      <c r="F115">
        <v>0.51</v>
      </c>
      <c r="G115">
        <v>0.47179446845293616</v>
      </c>
      <c r="H115">
        <v>0.1302999973297119</v>
      </c>
    </row>
    <row r="116" spans="1:8">
      <c r="A116" s="1">
        <v>39420</v>
      </c>
      <c r="B116">
        <v>4.2673966662970146</v>
      </c>
      <c r="C116">
        <v>4.5673966662970145</v>
      </c>
      <c r="D116">
        <v>521.43895533915895</v>
      </c>
      <c r="E116">
        <v>36.962945087936532</v>
      </c>
      <c r="F116">
        <v>0.51</v>
      </c>
      <c r="G116">
        <v>0.58557180189014824</v>
      </c>
      <c r="H116">
        <v>0.1298999977111816</v>
      </c>
    </row>
    <row r="117" spans="1:8">
      <c r="A117" s="1">
        <v>39421</v>
      </c>
      <c r="B117">
        <v>4.2673966662970146</v>
      </c>
      <c r="C117">
        <v>4.5673966662970145</v>
      </c>
      <c r="D117">
        <v>521.43895533915895</v>
      </c>
      <c r="E117">
        <v>36.962945087936532</v>
      </c>
      <c r="F117">
        <v>0.51</v>
      </c>
      <c r="G117">
        <v>0.59747040765710435</v>
      </c>
      <c r="H117">
        <v>0.1243000030517578</v>
      </c>
    </row>
    <row r="118" spans="1:8">
      <c r="A118" s="1">
        <v>39422</v>
      </c>
      <c r="B118">
        <v>4.2673966662970146</v>
      </c>
      <c r="C118">
        <v>4.5673966662970145</v>
      </c>
      <c r="D118">
        <v>521.43895533915895</v>
      </c>
      <c r="E118">
        <v>36.962945087936532</v>
      </c>
      <c r="F118">
        <v>0.51</v>
      </c>
      <c r="G118">
        <v>0.55328729764105888</v>
      </c>
      <c r="H118">
        <v>0.13199999809265139</v>
      </c>
    </row>
    <row r="119" spans="1:8">
      <c r="A119" s="1">
        <v>39423</v>
      </c>
      <c r="B119">
        <v>4.2673966662970146</v>
      </c>
      <c r="C119">
        <v>4.5673966662970145</v>
      </c>
      <c r="D119">
        <v>521.43895533915895</v>
      </c>
      <c r="E119">
        <v>36.962945087936532</v>
      </c>
      <c r="F119">
        <v>0.51</v>
      </c>
      <c r="G119">
        <v>0.59678121694850617</v>
      </c>
      <c r="H119">
        <v>0.14039999961853031</v>
      </c>
    </row>
    <row r="120" spans="1:8">
      <c r="A120" s="1">
        <v>39426</v>
      </c>
      <c r="B120">
        <v>4.2673966662970146</v>
      </c>
      <c r="C120">
        <v>4.5673966662970145</v>
      </c>
      <c r="D120">
        <v>521.43895533915895</v>
      </c>
      <c r="E120">
        <v>36.962945087936532</v>
      </c>
      <c r="F120">
        <v>0.51</v>
      </c>
      <c r="G120">
        <v>0.69343811758317075</v>
      </c>
      <c r="H120">
        <v>0.14130000114440919</v>
      </c>
    </row>
    <row r="121" spans="1:8">
      <c r="A121" s="1">
        <v>39427</v>
      </c>
      <c r="B121">
        <v>4.2673966662970146</v>
      </c>
      <c r="C121">
        <v>4.5673966662970145</v>
      </c>
      <c r="D121">
        <v>521.43895533915895</v>
      </c>
      <c r="E121">
        <v>36.962945087936532</v>
      </c>
      <c r="F121">
        <v>0.51</v>
      </c>
      <c r="G121">
        <v>0.60311977446281284</v>
      </c>
      <c r="H121">
        <v>0.13350000381469729</v>
      </c>
    </row>
    <row r="122" spans="1:8">
      <c r="A122" s="1">
        <v>39428</v>
      </c>
      <c r="B122">
        <v>4.2673966662970146</v>
      </c>
      <c r="C122">
        <v>4.5673966662970145</v>
      </c>
      <c r="D122">
        <v>521.43895533915895</v>
      </c>
      <c r="E122">
        <v>36.962945087936532</v>
      </c>
      <c r="F122">
        <v>0.51</v>
      </c>
      <c r="G122">
        <v>0.55570167819563854</v>
      </c>
      <c r="H122">
        <v>0.13079999923706051</v>
      </c>
    </row>
    <row r="123" spans="1:8">
      <c r="A123" s="1">
        <v>39429</v>
      </c>
      <c r="B123">
        <v>4.2673966662970146</v>
      </c>
      <c r="C123">
        <v>4.5673966662970145</v>
      </c>
      <c r="D123">
        <v>521.43895533915895</v>
      </c>
      <c r="E123">
        <v>36.962945087936532</v>
      </c>
      <c r="F123">
        <v>0.51</v>
      </c>
      <c r="G123">
        <v>0.62402021054310453</v>
      </c>
      <c r="H123">
        <v>0.124399995803833</v>
      </c>
    </row>
    <row r="124" spans="1:8">
      <c r="A124" s="1">
        <v>39430</v>
      </c>
      <c r="B124">
        <v>4.2673966662970146</v>
      </c>
      <c r="C124">
        <v>4.5673966662970145</v>
      </c>
      <c r="D124">
        <v>521.43895533915895</v>
      </c>
      <c r="E124">
        <v>36.962945087936532</v>
      </c>
      <c r="F124">
        <v>0.51</v>
      </c>
      <c r="G124">
        <v>0.62721686240636254</v>
      </c>
      <c r="H124">
        <v>0.12699999809265139</v>
      </c>
    </row>
    <row r="125" spans="1:8">
      <c r="A125" s="1">
        <v>39433</v>
      </c>
      <c r="B125">
        <v>4.2673966662970146</v>
      </c>
      <c r="C125">
        <v>4.5673966662970145</v>
      </c>
      <c r="D125">
        <v>521.43895533915895</v>
      </c>
      <c r="E125">
        <v>36.962945087936532</v>
      </c>
      <c r="F125">
        <v>0.51</v>
      </c>
      <c r="G125">
        <v>0.6446867547186298</v>
      </c>
      <c r="H125">
        <v>0.13840000152587889</v>
      </c>
    </row>
    <row r="126" spans="1:8">
      <c r="A126" s="1">
        <v>39434</v>
      </c>
      <c r="B126">
        <v>4.2673966662970146</v>
      </c>
      <c r="C126">
        <v>4.5673966662970145</v>
      </c>
      <c r="D126">
        <v>521.43895533915895</v>
      </c>
      <c r="E126">
        <v>36.962945087936532</v>
      </c>
      <c r="F126">
        <v>0.51</v>
      </c>
      <c r="G126">
        <v>0.63899697464014726</v>
      </c>
      <c r="H126">
        <v>0.14789999961853029</v>
      </c>
    </row>
    <row r="127" spans="1:8">
      <c r="A127" s="1">
        <v>39435</v>
      </c>
      <c r="B127">
        <v>4.2673966662970146</v>
      </c>
      <c r="C127">
        <v>4.5673966662970145</v>
      </c>
      <c r="D127">
        <v>521.43895533915895</v>
      </c>
      <c r="E127">
        <v>36.962945087936532</v>
      </c>
      <c r="F127">
        <v>0.51</v>
      </c>
      <c r="G127">
        <v>0.57054962573231982</v>
      </c>
      <c r="H127">
        <v>0.14130000114440919</v>
      </c>
    </row>
    <row r="128" spans="1:8">
      <c r="A128" s="1">
        <v>39436</v>
      </c>
      <c r="B128">
        <v>4.2673966662970146</v>
      </c>
      <c r="C128">
        <v>4.5673966662970145</v>
      </c>
      <c r="D128">
        <v>521.43895533915895</v>
      </c>
      <c r="E128">
        <v>36.962945087936532</v>
      </c>
      <c r="F128">
        <v>0.51</v>
      </c>
      <c r="G128">
        <v>0.62885928673900948</v>
      </c>
      <c r="H128">
        <v>0.12550000190734861</v>
      </c>
    </row>
    <row r="129" spans="1:8">
      <c r="A129" s="1">
        <v>39437</v>
      </c>
      <c r="B129">
        <v>4.2673966662970146</v>
      </c>
      <c r="C129">
        <v>4.5673966662970145</v>
      </c>
      <c r="D129">
        <v>521.43895533915895</v>
      </c>
      <c r="E129">
        <v>36.962945087936532</v>
      </c>
      <c r="F129">
        <v>0.51</v>
      </c>
      <c r="G129">
        <v>0.50452626609039108</v>
      </c>
      <c r="H129">
        <v>0.13140000343322761</v>
      </c>
    </row>
    <row r="130" spans="1:8">
      <c r="A130" s="1">
        <v>39440</v>
      </c>
      <c r="B130">
        <v>4.2673966662970146</v>
      </c>
      <c r="C130">
        <v>4.5673966662970145</v>
      </c>
      <c r="D130">
        <v>521.43895533915895</v>
      </c>
      <c r="E130">
        <v>36.962945087936532</v>
      </c>
      <c r="F130">
        <v>0.51</v>
      </c>
      <c r="G130">
        <v>0.56831385074041763</v>
      </c>
      <c r="H130">
        <v>0.1344999980926514</v>
      </c>
    </row>
    <row r="131" spans="1:8">
      <c r="A131" s="1">
        <v>39441</v>
      </c>
      <c r="B131">
        <v>4.2673966662970146</v>
      </c>
      <c r="C131">
        <v>4.5673966662970145</v>
      </c>
      <c r="D131">
        <v>521.43895533915895</v>
      </c>
      <c r="E131">
        <v>36.962945087936532</v>
      </c>
      <c r="F131">
        <v>0.51</v>
      </c>
      <c r="G131">
        <v>0.55358698969159004</v>
      </c>
      <c r="H131">
        <v>0.13260000228881841</v>
      </c>
    </row>
    <row r="132" spans="1:8">
      <c r="A132" s="1">
        <v>39442</v>
      </c>
      <c r="B132">
        <v>4.2673966662970146</v>
      </c>
      <c r="C132">
        <v>4.5673966662970145</v>
      </c>
      <c r="D132">
        <v>521.43895533915895</v>
      </c>
      <c r="E132">
        <v>36.962945087936532</v>
      </c>
      <c r="F132">
        <v>0.51</v>
      </c>
      <c r="G132">
        <v>0.6080764448183078</v>
      </c>
      <c r="H132">
        <v>0.13600000381469729</v>
      </c>
    </row>
    <row r="133" spans="1:8">
      <c r="A133" s="1">
        <v>39443</v>
      </c>
      <c r="B133">
        <v>4.2673966662970146</v>
      </c>
      <c r="C133">
        <v>4.5673966662970145</v>
      </c>
      <c r="D133">
        <v>521.43895533915895</v>
      </c>
      <c r="E133">
        <v>36.962945087936532</v>
      </c>
      <c r="F133">
        <v>0.51</v>
      </c>
      <c r="G133">
        <v>0.53926102556066191</v>
      </c>
      <c r="H133">
        <v>0.13880000114440921</v>
      </c>
    </row>
    <row r="134" spans="1:8">
      <c r="A134" s="1">
        <v>39444</v>
      </c>
      <c r="B134">
        <v>4.2673966662970146</v>
      </c>
      <c r="C134">
        <v>4.5673966662970145</v>
      </c>
      <c r="D134">
        <v>521.43895533915895</v>
      </c>
      <c r="E134">
        <v>36.962945087936532</v>
      </c>
      <c r="F134">
        <v>0.51</v>
      </c>
      <c r="G134">
        <v>0.57769404195639917</v>
      </c>
      <c r="H134">
        <v>0.13850000381469729</v>
      </c>
    </row>
    <row r="135" spans="1:8">
      <c r="A135" s="1">
        <v>39447</v>
      </c>
      <c r="B135">
        <v>4.2673966662970146</v>
      </c>
      <c r="C135">
        <v>4.5673966662970145</v>
      </c>
      <c r="D135">
        <v>521.43895533915895</v>
      </c>
      <c r="E135">
        <v>36.962945087936532</v>
      </c>
      <c r="F135">
        <v>0.51</v>
      </c>
      <c r="G135">
        <v>0.63151574588359261</v>
      </c>
      <c r="H135">
        <v>0.13670000076293939</v>
      </c>
    </row>
    <row r="136" spans="1:8">
      <c r="A136" s="1">
        <v>39448</v>
      </c>
      <c r="B136">
        <v>4.2673966662970146</v>
      </c>
      <c r="C136">
        <v>4.5673966662970145</v>
      </c>
      <c r="D136">
        <v>521.43895533915895</v>
      </c>
      <c r="E136">
        <v>36.962945087936532</v>
      </c>
      <c r="F136">
        <v>0.51</v>
      </c>
      <c r="G136">
        <v>0.63206439402259595</v>
      </c>
      <c r="H136">
        <v>0.13060000419616699</v>
      </c>
    </row>
    <row r="137" spans="1:8">
      <c r="A137" s="1">
        <v>39449</v>
      </c>
      <c r="B137">
        <v>4.2673966662970146</v>
      </c>
      <c r="C137">
        <v>4.5673966662970145</v>
      </c>
      <c r="D137">
        <v>521.43895533915895</v>
      </c>
      <c r="E137">
        <v>36.962945087936532</v>
      </c>
      <c r="F137">
        <v>0.51</v>
      </c>
      <c r="G137">
        <v>0.56107401448897587</v>
      </c>
      <c r="H137">
        <v>0.12829999923706051</v>
      </c>
    </row>
    <row r="138" spans="1:8">
      <c r="A138" s="1">
        <v>39450</v>
      </c>
      <c r="B138">
        <v>4.2673966662970146</v>
      </c>
      <c r="C138">
        <v>4.5673966662970145</v>
      </c>
      <c r="D138">
        <v>521.43895533915895</v>
      </c>
      <c r="E138">
        <v>36.962945087936532</v>
      </c>
      <c r="F138">
        <v>0.51</v>
      </c>
      <c r="G138">
        <v>0.57546800970452971</v>
      </c>
      <c r="H138">
        <v>0.1393000030517578</v>
      </c>
    </row>
    <row r="139" spans="1:8">
      <c r="A139" s="1">
        <v>39451</v>
      </c>
      <c r="B139">
        <v>4.2673966662970146</v>
      </c>
      <c r="C139">
        <v>4.5673966662970145</v>
      </c>
      <c r="D139">
        <v>521.43895533915895</v>
      </c>
      <c r="E139">
        <v>36.962945087936532</v>
      </c>
      <c r="F139">
        <v>0.51</v>
      </c>
      <c r="G139">
        <v>0.63231618668468004</v>
      </c>
      <c r="H139">
        <v>0.15850000381469731</v>
      </c>
    </row>
    <row r="140" spans="1:8">
      <c r="A140" s="1">
        <v>39454</v>
      </c>
      <c r="B140">
        <v>4.2673966662970146</v>
      </c>
      <c r="C140">
        <v>4.5673966662970145</v>
      </c>
      <c r="D140">
        <v>521.43895533915895</v>
      </c>
      <c r="E140">
        <v>36.962945087936532</v>
      </c>
      <c r="F140">
        <v>0.51</v>
      </c>
      <c r="G140">
        <v>0.64573003850288291</v>
      </c>
      <c r="H140">
        <v>0.14380000114440919</v>
      </c>
    </row>
    <row r="141" spans="1:8">
      <c r="A141" s="1">
        <v>39455</v>
      </c>
      <c r="B141">
        <v>4.2673966662970146</v>
      </c>
      <c r="C141">
        <v>4.5673966662970145</v>
      </c>
      <c r="D141">
        <v>521.43895533915895</v>
      </c>
      <c r="E141">
        <v>36.962945087936532</v>
      </c>
      <c r="F141">
        <v>0.51</v>
      </c>
      <c r="G141">
        <v>0.60444891926861799</v>
      </c>
      <c r="H141">
        <v>0.14010000228881839</v>
      </c>
    </row>
    <row r="142" spans="1:8">
      <c r="A142" s="1">
        <v>39456</v>
      </c>
      <c r="B142">
        <v>4.2673966662970146</v>
      </c>
      <c r="C142">
        <v>4.5673966662970145</v>
      </c>
      <c r="D142">
        <v>521.43895533915895</v>
      </c>
      <c r="E142">
        <v>36.962945087936532</v>
      </c>
      <c r="F142">
        <v>0.51</v>
      </c>
      <c r="G142">
        <v>0.58308934102721532</v>
      </c>
      <c r="H142">
        <v>0.14239999771118159</v>
      </c>
    </row>
    <row r="143" spans="1:8">
      <c r="A143" s="1">
        <v>39457</v>
      </c>
      <c r="B143">
        <v>4.2673966662970146</v>
      </c>
      <c r="C143">
        <v>4.5673966662970145</v>
      </c>
      <c r="D143">
        <v>521.43895533915895</v>
      </c>
      <c r="E143">
        <v>36.962945087936532</v>
      </c>
      <c r="F143">
        <v>0.51</v>
      </c>
      <c r="G143">
        <v>0.6325250394471067</v>
      </c>
      <c r="H143">
        <v>0.14539999961853031</v>
      </c>
    </row>
    <row r="144" spans="1:8">
      <c r="A144" s="1">
        <v>39458</v>
      </c>
      <c r="B144">
        <v>4.2673966662970146</v>
      </c>
      <c r="C144">
        <v>4.5673966662970145</v>
      </c>
      <c r="D144">
        <v>521.43895533915895</v>
      </c>
      <c r="E144">
        <v>36.962945087936532</v>
      </c>
      <c r="F144">
        <v>0.51</v>
      </c>
      <c r="G144">
        <v>0.63299317613709505</v>
      </c>
      <c r="H144">
        <v>0.13750000000000001</v>
      </c>
    </row>
    <row r="145" spans="1:8">
      <c r="A145" s="1">
        <v>39461</v>
      </c>
      <c r="B145">
        <v>4.2673966662970146</v>
      </c>
      <c r="C145">
        <v>4.5673966662970145</v>
      </c>
      <c r="D145">
        <v>521.43895533915895</v>
      </c>
      <c r="E145">
        <v>36.962945087936532</v>
      </c>
      <c r="F145">
        <v>0.51</v>
      </c>
      <c r="G145">
        <v>0.61779792074369444</v>
      </c>
      <c r="H145">
        <v>0.13739999771118161</v>
      </c>
    </row>
    <row r="146" spans="1:8">
      <c r="A146" s="1">
        <v>39462</v>
      </c>
      <c r="B146">
        <v>4.2673966662970146</v>
      </c>
      <c r="C146">
        <v>4.5673966662970145</v>
      </c>
      <c r="D146">
        <v>521.43895533915895</v>
      </c>
      <c r="E146">
        <v>36.962945087936532</v>
      </c>
      <c r="F146">
        <v>0.51</v>
      </c>
      <c r="G146">
        <v>0.61120073620815685</v>
      </c>
      <c r="H146">
        <v>0.13430000305175779</v>
      </c>
    </row>
    <row r="147" spans="1:8">
      <c r="A147" s="1">
        <v>39463</v>
      </c>
      <c r="B147">
        <v>4.2673966662970146</v>
      </c>
      <c r="C147">
        <v>4.5673966662970145</v>
      </c>
      <c r="D147">
        <v>521.43895533915895</v>
      </c>
      <c r="E147">
        <v>36.962945087936532</v>
      </c>
      <c r="F147">
        <v>0.51</v>
      </c>
      <c r="G147">
        <v>0.60288678548429164</v>
      </c>
      <c r="H147">
        <v>0.13840000152587889</v>
      </c>
    </row>
    <row r="148" spans="1:8">
      <c r="A148" s="1">
        <v>39464</v>
      </c>
      <c r="B148">
        <v>4.2673966662970146</v>
      </c>
      <c r="C148">
        <v>4.5673966662970145</v>
      </c>
      <c r="D148">
        <v>521.43895533915895</v>
      </c>
      <c r="E148">
        <v>36.962945087936532</v>
      </c>
      <c r="F148">
        <v>0.51</v>
      </c>
      <c r="G148">
        <v>0.70590958137286819</v>
      </c>
      <c r="H148">
        <v>0.13489999771118161</v>
      </c>
    </row>
    <row r="149" spans="1:8">
      <c r="A149" s="1">
        <v>39465</v>
      </c>
      <c r="B149">
        <v>4.2673966662970146</v>
      </c>
      <c r="C149">
        <v>4.5673966662970145</v>
      </c>
      <c r="D149">
        <v>521.43895533915895</v>
      </c>
      <c r="E149">
        <v>36.962945087936532</v>
      </c>
      <c r="F149">
        <v>0.51</v>
      </c>
      <c r="G149">
        <v>0.55864442233587575</v>
      </c>
      <c r="H149">
        <v>0.1446000003814697</v>
      </c>
    </row>
    <row r="150" spans="1:8">
      <c r="A150" s="1">
        <v>39468</v>
      </c>
      <c r="B150">
        <v>4.2673966662970146</v>
      </c>
      <c r="C150">
        <v>4.5673966662970145</v>
      </c>
      <c r="D150">
        <v>521.43895533915895</v>
      </c>
      <c r="E150">
        <v>36.962945087936532</v>
      </c>
      <c r="F150">
        <v>0.51</v>
      </c>
      <c r="G150">
        <v>0.58976675386414223</v>
      </c>
      <c r="H150">
        <v>0.14499999999999999</v>
      </c>
    </row>
    <row r="151" spans="1:8">
      <c r="A151" s="1">
        <v>39469</v>
      </c>
      <c r="B151">
        <v>4.2673966662970146</v>
      </c>
      <c r="C151">
        <v>4.5673966662970145</v>
      </c>
      <c r="D151">
        <v>521.43895533915895</v>
      </c>
      <c r="E151">
        <v>36.962945087936532</v>
      </c>
      <c r="F151">
        <v>0.51</v>
      </c>
      <c r="G151">
        <v>0.57327325840411991</v>
      </c>
      <c r="H151">
        <v>0.144399995803833</v>
      </c>
    </row>
    <row r="152" spans="1:8">
      <c r="A152" s="1">
        <v>39470</v>
      </c>
      <c r="B152">
        <v>4.2673966662970146</v>
      </c>
      <c r="C152">
        <v>4.5673966662970145</v>
      </c>
      <c r="D152">
        <v>521.43895533915895</v>
      </c>
      <c r="E152">
        <v>36.962945087936532</v>
      </c>
      <c r="F152">
        <v>0.51</v>
      </c>
      <c r="G152">
        <v>0.60637623854856593</v>
      </c>
      <c r="H152">
        <v>0.14739999771118159</v>
      </c>
    </row>
    <row r="153" spans="1:8">
      <c r="A153" s="1">
        <v>39471</v>
      </c>
      <c r="B153">
        <v>4.2673966662970146</v>
      </c>
      <c r="C153">
        <v>4.5673966662970145</v>
      </c>
      <c r="D153">
        <v>521.43895533915895</v>
      </c>
      <c r="E153">
        <v>36.962945087936532</v>
      </c>
      <c r="F153">
        <v>0.51</v>
      </c>
      <c r="G153">
        <v>0.67289801588716203</v>
      </c>
      <c r="H153">
        <v>0.13750000000000001</v>
      </c>
    </row>
    <row r="154" spans="1:8">
      <c r="A154" s="1">
        <v>39472</v>
      </c>
      <c r="B154">
        <v>4.2673966662970146</v>
      </c>
      <c r="C154">
        <v>4.5673966662970145</v>
      </c>
      <c r="D154">
        <v>521.43895533915895</v>
      </c>
      <c r="E154">
        <v>36.962945087936532</v>
      </c>
      <c r="F154">
        <v>0.51</v>
      </c>
      <c r="G154">
        <v>0.60872989726494298</v>
      </c>
      <c r="H154">
        <v>0.14399999618530271</v>
      </c>
    </row>
    <row r="155" spans="1:8">
      <c r="A155" s="1">
        <v>39475</v>
      </c>
      <c r="B155">
        <v>4.2673966662970146</v>
      </c>
      <c r="C155">
        <v>4.5673966662970145</v>
      </c>
      <c r="D155">
        <v>521.43895533915895</v>
      </c>
      <c r="E155">
        <v>36.962945087936532</v>
      </c>
      <c r="F155">
        <v>0.51</v>
      </c>
      <c r="G155">
        <v>0.68692143305944309</v>
      </c>
      <c r="H155">
        <v>0.14409999847412111</v>
      </c>
    </row>
    <row r="156" spans="1:8">
      <c r="A156" s="1">
        <v>39476</v>
      </c>
      <c r="B156">
        <v>4.2673966662970146</v>
      </c>
      <c r="C156">
        <v>4.5673966662970145</v>
      </c>
      <c r="D156">
        <v>521.43895533915895</v>
      </c>
      <c r="E156">
        <v>36.962945087936532</v>
      </c>
      <c r="F156">
        <v>0.51</v>
      </c>
      <c r="G156">
        <v>0.64068803001797381</v>
      </c>
      <c r="H156">
        <v>0.14329999923706049</v>
      </c>
    </row>
    <row r="157" spans="1:8">
      <c r="A157" s="1">
        <v>39477</v>
      </c>
      <c r="B157">
        <v>4.2673966662970146</v>
      </c>
      <c r="C157">
        <v>4.5673966662970145</v>
      </c>
      <c r="D157">
        <v>521.43895533915895</v>
      </c>
      <c r="E157">
        <v>36.962945087936532</v>
      </c>
      <c r="F157">
        <v>0.51</v>
      </c>
      <c r="G157">
        <v>0.67485523005085757</v>
      </c>
      <c r="H157">
        <v>0.1381999969482422</v>
      </c>
    </row>
    <row r="158" spans="1:8">
      <c r="A158" s="1">
        <v>39478</v>
      </c>
      <c r="B158">
        <v>4.2673966662970146</v>
      </c>
      <c r="C158">
        <v>4.5673966662970145</v>
      </c>
      <c r="D158">
        <v>521.43895533915895</v>
      </c>
      <c r="E158">
        <v>36.962945087936532</v>
      </c>
      <c r="F158">
        <v>0.51</v>
      </c>
      <c r="G158">
        <v>0.65249632948359138</v>
      </c>
      <c r="H158">
        <v>0.13060000419616699</v>
      </c>
    </row>
    <row r="159" spans="1:8">
      <c r="A159" s="1">
        <v>39479</v>
      </c>
      <c r="B159">
        <v>4.2673966662970146</v>
      </c>
      <c r="C159">
        <v>4.5673966662970145</v>
      </c>
      <c r="D159">
        <v>521.43895533915895</v>
      </c>
      <c r="E159">
        <v>36.962945087936532</v>
      </c>
      <c r="F159">
        <v>0.51</v>
      </c>
      <c r="G159">
        <v>0.58312000402672837</v>
      </c>
      <c r="H159">
        <v>0.13189999580383299</v>
      </c>
    </row>
    <row r="160" spans="1:8">
      <c r="A160" s="1">
        <v>39482</v>
      </c>
      <c r="B160">
        <v>4.2673966662970146</v>
      </c>
      <c r="C160">
        <v>4.5673966662970145</v>
      </c>
      <c r="D160">
        <v>521.43895533915895</v>
      </c>
      <c r="E160">
        <v>36.962945087936532</v>
      </c>
      <c r="F160">
        <v>0.51</v>
      </c>
      <c r="G160">
        <v>0.58578950411162201</v>
      </c>
      <c r="H160">
        <v>0.13239999771118161</v>
      </c>
    </row>
    <row r="161" spans="1:8">
      <c r="A161" s="1">
        <v>39483</v>
      </c>
      <c r="B161">
        <v>4.2673966662970146</v>
      </c>
      <c r="C161">
        <v>4.5673966662970145</v>
      </c>
      <c r="D161">
        <v>521.43895533915895</v>
      </c>
      <c r="E161">
        <v>36.962945087936532</v>
      </c>
      <c r="F161">
        <v>0.51</v>
      </c>
      <c r="G161">
        <v>0.58201223902651766</v>
      </c>
      <c r="H161">
        <v>0.1277999973297119</v>
      </c>
    </row>
    <row r="162" spans="1:8">
      <c r="A162" s="1">
        <v>39484</v>
      </c>
      <c r="B162">
        <v>4.2673966662970146</v>
      </c>
      <c r="C162">
        <v>4.5673966662970145</v>
      </c>
      <c r="D162">
        <v>521.43895533915895</v>
      </c>
      <c r="E162">
        <v>36.962945087936532</v>
      </c>
      <c r="F162">
        <v>0.51</v>
      </c>
      <c r="G162">
        <v>0.61115192432036058</v>
      </c>
      <c r="H162">
        <v>0.13010000228881841</v>
      </c>
    </row>
    <row r="163" spans="1:8">
      <c r="A163" s="1">
        <v>39485</v>
      </c>
      <c r="B163">
        <v>4.2673966662970146</v>
      </c>
      <c r="C163">
        <v>4.5673966662970145</v>
      </c>
      <c r="D163">
        <v>521.43895533915895</v>
      </c>
      <c r="E163">
        <v>36.962945087936532</v>
      </c>
      <c r="F163">
        <v>0.51</v>
      </c>
      <c r="G163">
        <v>0.63046346458137104</v>
      </c>
      <c r="H163">
        <v>0.14329999923706049</v>
      </c>
    </row>
    <row r="164" spans="1:8">
      <c r="A164" s="1">
        <v>39486</v>
      </c>
      <c r="B164">
        <v>4.2673966662970146</v>
      </c>
      <c r="C164">
        <v>4.5673966662970145</v>
      </c>
      <c r="D164">
        <v>521.43895533915895</v>
      </c>
      <c r="E164">
        <v>36.962945087936532</v>
      </c>
      <c r="F164">
        <v>0.51</v>
      </c>
      <c r="G164">
        <v>0.60963500675817262</v>
      </c>
      <c r="H164">
        <v>0.16350000381469729</v>
      </c>
    </row>
    <row r="165" spans="1:8">
      <c r="A165" s="1">
        <v>39489</v>
      </c>
      <c r="B165">
        <v>4.2673966662970146</v>
      </c>
      <c r="C165">
        <v>4.5673966662970145</v>
      </c>
      <c r="D165">
        <v>521.43895533915895</v>
      </c>
      <c r="E165">
        <v>36.962945087936532</v>
      </c>
      <c r="F165">
        <v>0.51</v>
      </c>
      <c r="G165">
        <v>0.64187906085450586</v>
      </c>
      <c r="H165">
        <v>0.1603000068664551</v>
      </c>
    </row>
    <row r="166" spans="1:8">
      <c r="A166" s="1">
        <v>39490</v>
      </c>
      <c r="B166">
        <v>4.2673966662970146</v>
      </c>
      <c r="C166">
        <v>4.5673966662970145</v>
      </c>
      <c r="D166">
        <v>521.43895533915895</v>
      </c>
      <c r="E166">
        <v>36.962945087936532</v>
      </c>
      <c r="F166">
        <v>0.51</v>
      </c>
      <c r="G166">
        <v>0.57189154170584555</v>
      </c>
      <c r="H166">
        <v>0.15189999580383301</v>
      </c>
    </row>
    <row r="167" spans="1:8">
      <c r="A167" s="1">
        <v>39491</v>
      </c>
      <c r="B167">
        <v>4.2673966662970146</v>
      </c>
      <c r="C167">
        <v>4.5673966662970145</v>
      </c>
      <c r="D167">
        <v>521.43895533915895</v>
      </c>
      <c r="E167">
        <v>36.962945087936532</v>
      </c>
      <c r="F167">
        <v>0.51</v>
      </c>
      <c r="G167">
        <v>0.58606120683906393</v>
      </c>
      <c r="H167">
        <v>0.1497999954223633</v>
      </c>
    </row>
    <row r="168" spans="1:8">
      <c r="A168" s="1">
        <v>39492</v>
      </c>
      <c r="B168">
        <v>4.2673966662970146</v>
      </c>
      <c r="C168">
        <v>4.5673966662970145</v>
      </c>
      <c r="D168">
        <v>521.43895533915895</v>
      </c>
      <c r="E168">
        <v>36.962945087936532</v>
      </c>
      <c r="F168">
        <v>0.51</v>
      </c>
      <c r="G168">
        <v>0.5957132428336096</v>
      </c>
      <c r="H168">
        <v>0.1730999946594238</v>
      </c>
    </row>
    <row r="169" spans="1:8">
      <c r="A169" s="1">
        <v>39493</v>
      </c>
      <c r="B169">
        <v>4.2673966662970146</v>
      </c>
      <c r="C169">
        <v>4.5673966662970145</v>
      </c>
      <c r="D169">
        <v>521.43895533915895</v>
      </c>
      <c r="E169">
        <v>36.962945087936532</v>
      </c>
      <c r="F169">
        <v>0.51</v>
      </c>
      <c r="G169">
        <v>0.61377267869572549</v>
      </c>
      <c r="H169">
        <v>0.19229999542236331</v>
      </c>
    </row>
    <row r="170" spans="1:8">
      <c r="A170" s="1">
        <v>39496</v>
      </c>
      <c r="B170">
        <v>4.2673966662970146</v>
      </c>
      <c r="C170">
        <v>4.5673966662970145</v>
      </c>
      <c r="D170">
        <v>521.43895533915895</v>
      </c>
      <c r="E170">
        <v>36.962945087936532</v>
      </c>
      <c r="F170">
        <v>0.51</v>
      </c>
      <c r="G170">
        <v>0.6487953498890604</v>
      </c>
      <c r="H170">
        <v>0.18399999618530269</v>
      </c>
    </row>
    <row r="171" spans="1:8">
      <c r="A171" s="1">
        <v>39497</v>
      </c>
      <c r="B171">
        <v>4.2673966662970146</v>
      </c>
      <c r="C171">
        <v>4.5673966662970145</v>
      </c>
      <c r="D171">
        <v>521.43895533915895</v>
      </c>
      <c r="E171">
        <v>36.962945087936532</v>
      </c>
      <c r="F171">
        <v>0.51</v>
      </c>
      <c r="G171">
        <v>0.60738323249194415</v>
      </c>
      <c r="H171">
        <v>0.18209999084472661</v>
      </c>
    </row>
    <row r="172" spans="1:8">
      <c r="A172" s="1">
        <v>39498</v>
      </c>
      <c r="B172">
        <v>4.2673966662970146</v>
      </c>
      <c r="C172">
        <v>4.5673966662970145</v>
      </c>
      <c r="D172">
        <v>521.43895533915895</v>
      </c>
      <c r="E172">
        <v>36.962945087936532</v>
      </c>
      <c r="F172">
        <v>0.51</v>
      </c>
      <c r="G172">
        <v>0.65958587239988131</v>
      </c>
      <c r="H172">
        <v>0.18</v>
      </c>
    </row>
    <row r="173" spans="1:8">
      <c r="A173" s="1">
        <v>39499</v>
      </c>
      <c r="B173">
        <v>4.2673966662970146</v>
      </c>
      <c r="C173">
        <v>4.5673966662970145</v>
      </c>
      <c r="D173">
        <v>521.43895533915895</v>
      </c>
      <c r="E173">
        <v>36.962945087936532</v>
      </c>
      <c r="F173">
        <v>0.51</v>
      </c>
      <c r="G173">
        <v>0.58467027258306903</v>
      </c>
      <c r="H173">
        <v>0.15689999580383299</v>
      </c>
    </row>
    <row r="174" spans="1:8">
      <c r="A174" s="1">
        <v>39500</v>
      </c>
      <c r="B174">
        <v>4.2673966662970146</v>
      </c>
      <c r="C174">
        <v>4.5673966662970145</v>
      </c>
      <c r="D174">
        <v>521.43895533915895</v>
      </c>
      <c r="E174">
        <v>36.962945087936532</v>
      </c>
      <c r="F174">
        <v>0.51</v>
      </c>
      <c r="G174">
        <v>0.58191460070976431</v>
      </c>
      <c r="H174">
        <v>0.15970000267028811</v>
      </c>
    </row>
    <row r="175" spans="1:8">
      <c r="A175" s="1">
        <v>39503</v>
      </c>
      <c r="B175">
        <v>4.2673966662970146</v>
      </c>
      <c r="C175">
        <v>4.5673966662970145</v>
      </c>
      <c r="D175">
        <v>521.43895533915895</v>
      </c>
      <c r="E175">
        <v>36.962945087936532</v>
      </c>
      <c r="F175">
        <v>0.51</v>
      </c>
      <c r="G175">
        <v>0.56815407565405573</v>
      </c>
      <c r="H175">
        <v>0.1536999988555908</v>
      </c>
    </row>
    <row r="176" spans="1:8">
      <c r="A176" s="1">
        <v>39504</v>
      </c>
      <c r="B176">
        <v>4.2673966662970146</v>
      </c>
      <c r="C176">
        <v>4.5673966662970145</v>
      </c>
      <c r="D176">
        <v>521.43895533915895</v>
      </c>
      <c r="E176">
        <v>36.962945087936532</v>
      </c>
      <c r="F176">
        <v>0.51</v>
      </c>
      <c r="G176">
        <v>0.68992946860329873</v>
      </c>
      <c r="H176">
        <v>0.15029999732971189</v>
      </c>
    </row>
    <row r="177" spans="1:8">
      <c r="A177" s="1">
        <v>39505</v>
      </c>
      <c r="B177">
        <v>4.2673966662970146</v>
      </c>
      <c r="C177">
        <v>4.5673966662970145</v>
      </c>
      <c r="D177">
        <v>521.43895533915895</v>
      </c>
      <c r="E177">
        <v>36.962945087936532</v>
      </c>
      <c r="F177">
        <v>0.51</v>
      </c>
      <c r="G177">
        <v>0.50710312212695852</v>
      </c>
      <c r="H177">
        <v>0.14670000076293949</v>
      </c>
    </row>
    <row r="178" spans="1:8">
      <c r="A178" s="1">
        <v>39506</v>
      </c>
      <c r="B178">
        <v>4.2673966662970146</v>
      </c>
      <c r="C178">
        <v>4.5673966662970145</v>
      </c>
      <c r="D178">
        <v>521.43895533915895</v>
      </c>
      <c r="E178">
        <v>36.962945087936532</v>
      </c>
      <c r="F178">
        <v>0.51</v>
      </c>
      <c r="G178">
        <v>0.60481326803198643</v>
      </c>
      <c r="H178">
        <v>0.1468000030517578</v>
      </c>
    </row>
    <row r="179" spans="1:8">
      <c r="A179" s="1">
        <v>39507</v>
      </c>
      <c r="B179">
        <v>4.2673966662970146</v>
      </c>
      <c r="C179">
        <v>4.5673966662970145</v>
      </c>
      <c r="D179">
        <v>521.43895533915895</v>
      </c>
      <c r="E179">
        <v>36.962945087936532</v>
      </c>
      <c r="F179">
        <v>0.51</v>
      </c>
      <c r="G179">
        <v>0.63960448254378555</v>
      </c>
      <c r="H179">
        <v>0.13489999771118161</v>
      </c>
    </row>
    <row r="180" spans="1:8">
      <c r="A180" s="1">
        <v>39510</v>
      </c>
      <c r="B180">
        <v>4.2673966662970146</v>
      </c>
      <c r="C180">
        <v>4.5673966662970145</v>
      </c>
      <c r="D180">
        <v>521.43895533915895</v>
      </c>
      <c r="E180">
        <v>36.962945087936532</v>
      </c>
      <c r="F180">
        <v>0.51</v>
      </c>
      <c r="G180">
        <v>0.5786433858972605</v>
      </c>
      <c r="H180">
        <v>0.13489999771118161</v>
      </c>
    </row>
    <row r="181" spans="1:8">
      <c r="A181" s="1">
        <v>39511</v>
      </c>
      <c r="B181">
        <v>4.2673966662970146</v>
      </c>
      <c r="C181">
        <v>4.5673966662970145</v>
      </c>
      <c r="D181">
        <v>521.43895533915895</v>
      </c>
      <c r="E181">
        <v>36.962945087936532</v>
      </c>
      <c r="F181">
        <v>0.51</v>
      </c>
      <c r="G181">
        <v>0.55485117104875115</v>
      </c>
      <c r="H181">
        <v>0.13229999542236329</v>
      </c>
    </row>
    <row r="182" spans="1:8">
      <c r="A182" s="1">
        <v>39512</v>
      </c>
      <c r="B182">
        <v>4.2673966662970146</v>
      </c>
      <c r="C182">
        <v>4.5673966662970145</v>
      </c>
      <c r="D182">
        <v>521.43895533915895</v>
      </c>
      <c r="E182">
        <v>36.962945087936532</v>
      </c>
      <c r="F182">
        <v>0.51</v>
      </c>
      <c r="G182">
        <v>0.58993057679338501</v>
      </c>
      <c r="H182">
        <v>0.13</v>
      </c>
    </row>
    <row r="183" spans="1:8">
      <c r="A183" s="1">
        <v>39513</v>
      </c>
      <c r="B183">
        <v>4.2673966662970146</v>
      </c>
      <c r="C183">
        <v>4.5673966662970145</v>
      </c>
      <c r="D183">
        <v>521.43895533915895</v>
      </c>
      <c r="E183">
        <v>36.962945087936532</v>
      </c>
      <c r="F183">
        <v>0.51</v>
      </c>
      <c r="G183">
        <v>0.60658391185776628</v>
      </c>
      <c r="H183">
        <v>0.13600000381469729</v>
      </c>
    </row>
    <row r="184" spans="1:8">
      <c r="A184" s="1">
        <v>39514</v>
      </c>
      <c r="B184">
        <v>4.2673966662970146</v>
      </c>
      <c r="C184">
        <v>4.5673966662970145</v>
      </c>
      <c r="D184">
        <v>521.43895533915895</v>
      </c>
      <c r="E184">
        <v>36.962945087936532</v>
      </c>
      <c r="F184">
        <v>0.51</v>
      </c>
      <c r="G184">
        <v>0.56167149709600406</v>
      </c>
      <c r="H184">
        <v>0.13420000076293939</v>
      </c>
    </row>
    <row r="185" spans="1:8">
      <c r="A185" s="1">
        <v>39517</v>
      </c>
      <c r="B185">
        <v>4.2673966662970146</v>
      </c>
      <c r="C185">
        <v>4.5673966662970145</v>
      </c>
      <c r="D185">
        <v>521.43895533915895</v>
      </c>
      <c r="E185">
        <v>36.962945087936532</v>
      </c>
      <c r="F185">
        <v>0.51</v>
      </c>
      <c r="G185">
        <v>0.6336838379045957</v>
      </c>
      <c r="H185">
        <v>0.1244999980926514</v>
      </c>
    </row>
    <row r="186" spans="1:8">
      <c r="A186" s="1">
        <v>39518</v>
      </c>
      <c r="B186">
        <v>4.2673966662970146</v>
      </c>
      <c r="C186">
        <v>4.5673966662970145</v>
      </c>
      <c r="D186">
        <v>521.43895533915895</v>
      </c>
      <c r="E186">
        <v>36.962945087936532</v>
      </c>
      <c r="F186">
        <v>0.51</v>
      </c>
      <c r="G186">
        <v>0.63149412494344836</v>
      </c>
      <c r="H186">
        <v>0.12420000076293949</v>
      </c>
    </row>
    <row r="187" spans="1:8">
      <c r="A187" s="1">
        <v>39519</v>
      </c>
      <c r="B187">
        <v>4.2673966662970146</v>
      </c>
      <c r="C187">
        <v>4.5673966662970145</v>
      </c>
      <c r="D187">
        <v>521.43895533915895</v>
      </c>
      <c r="E187">
        <v>36.962945087936532</v>
      </c>
      <c r="F187">
        <v>0.51</v>
      </c>
      <c r="G187">
        <v>0.59979654104302693</v>
      </c>
      <c r="H187">
        <v>0.11989999771118159</v>
      </c>
    </row>
    <row r="188" spans="1:8">
      <c r="A188" s="1">
        <v>39520</v>
      </c>
      <c r="B188">
        <v>4.2673966662970146</v>
      </c>
      <c r="C188">
        <v>4.5673966662970145</v>
      </c>
      <c r="D188">
        <v>521.43895533915895</v>
      </c>
      <c r="E188">
        <v>36.962945087936532</v>
      </c>
      <c r="F188">
        <v>0.51</v>
      </c>
      <c r="G188">
        <v>0.64774525075268641</v>
      </c>
      <c r="H188">
        <v>0.65288877805237533</v>
      </c>
    </row>
    <row r="189" spans="1:8">
      <c r="A189" s="1">
        <v>39521</v>
      </c>
      <c r="B189">
        <v>4.2673966662970146</v>
      </c>
      <c r="C189">
        <v>4.5673966662970145</v>
      </c>
      <c r="D189">
        <v>521.43895533915895</v>
      </c>
      <c r="E189">
        <v>36.962945087936532</v>
      </c>
      <c r="F189">
        <v>0.51</v>
      </c>
      <c r="G189">
        <v>0.54868843599346206</v>
      </c>
      <c r="H189">
        <v>0.60642847224372887</v>
      </c>
    </row>
    <row r="190" spans="1:8">
      <c r="A190" s="1">
        <v>39524</v>
      </c>
      <c r="B190">
        <v>4.2673966662970146</v>
      </c>
      <c r="C190">
        <v>4.5673966662970145</v>
      </c>
      <c r="D190">
        <v>521.43895533915895</v>
      </c>
      <c r="E190">
        <v>36.962945087936532</v>
      </c>
      <c r="F190">
        <v>0.51</v>
      </c>
      <c r="G190">
        <v>0.47284196019475011</v>
      </c>
      <c r="H190">
        <v>0.60514873414934534</v>
      </c>
    </row>
    <row r="191" spans="1:8">
      <c r="A191" s="1">
        <v>39525</v>
      </c>
      <c r="B191">
        <v>4.2673966662970146</v>
      </c>
      <c r="C191">
        <v>4.5673966662970145</v>
      </c>
      <c r="D191">
        <v>521.43895533915895</v>
      </c>
      <c r="E191">
        <v>36.962945087936532</v>
      </c>
      <c r="F191">
        <v>0.51</v>
      </c>
      <c r="G191">
        <v>0.66575565379214041</v>
      </c>
      <c r="H191">
        <v>0.70687396456756224</v>
      </c>
    </row>
    <row r="192" spans="1:8">
      <c r="A192" s="1">
        <v>39526</v>
      </c>
      <c r="B192">
        <v>4.2673966662970146</v>
      </c>
      <c r="C192">
        <v>4.5673966662970145</v>
      </c>
      <c r="D192">
        <v>521.43895533915895</v>
      </c>
      <c r="E192">
        <v>36.962945087936532</v>
      </c>
      <c r="F192">
        <v>0.51</v>
      </c>
      <c r="G192">
        <v>0.62240921990807807</v>
      </c>
      <c r="H192">
        <v>0.69923744306780822</v>
      </c>
    </row>
    <row r="193" spans="1:8">
      <c r="A193" s="1">
        <v>39527</v>
      </c>
      <c r="B193">
        <v>4.2673966662970146</v>
      </c>
      <c r="C193">
        <v>4.5673966662970145</v>
      </c>
      <c r="D193">
        <v>521.43895533915895</v>
      </c>
      <c r="E193">
        <v>36.962945087936532</v>
      </c>
      <c r="F193">
        <v>0.51</v>
      </c>
      <c r="G193">
        <v>0.59834345999328808</v>
      </c>
      <c r="H193">
        <v>0.77718672755033547</v>
      </c>
    </row>
    <row r="194" spans="1:8">
      <c r="A194" s="1">
        <v>39528</v>
      </c>
      <c r="B194">
        <v>4.2673966662970146</v>
      </c>
      <c r="C194">
        <v>4.5673966662970145</v>
      </c>
      <c r="D194">
        <v>521.43895533915895</v>
      </c>
      <c r="E194">
        <v>36.962945087936532</v>
      </c>
      <c r="F194">
        <v>0.51</v>
      </c>
      <c r="G194">
        <v>0.64649922466628884</v>
      </c>
      <c r="H194">
        <v>0.62033229575719684</v>
      </c>
    </row>
    <row r="195" spans="1:8">
      <c r="A195" s="1">
        <v>39531</v>
      </c>
      <c r="B195">
        <v>4.2673966662970146</v>
      </c>
      <c r="C195">
        <v>4.5673966662970145</v>
      </c>
      <c r="D195">
        <v>521.43895533915895</v>
      </c>
      <c r="E195">
        <v>36.962945087936532</v>
      </c>
      <c r="F195">
        <v>0.51</v>
      </c>
      <c r="G195">
        <v>0.6291318876201587</v>
      </c>
      <c r="H195">
        <v>0.60489426337578112</v>
      </c>
    </row>
    <row r="196" spans="1:8">
      <c r="A196" s="1">
        <v>39532</v>
      </c>
      <c r="B196">
        <v>4.2673966662970146</v>
      </c>
      <c r="C196">
        <v>4.5673966662970145</v>
      </c>
      <c r="D196">
        <v>521.43895533915895</v>
      </c>
      <c r="E196">
        <v>36.962945087936532</v>
      </c>
      <c r="F196">
        <v>0.51</v>
      </c>
      <c r="G196">
        <v>0.55208571114558413</v>
      </c>
      <c r="H196">
        <v>0.62920455708976308</v>
      </c>
    </row>
    <row r="197" spans="1:8">
      <c r="A197" s="1">
        <v>39533</v>
      </c>
      <c r="B197">
        <v>4.2673966662970146</v>
      </c>
      <c r="C197">
        <v>4.5673966662970145</v>
      </c>
      <c r="D197">
        <v>521.43895533915895</v>
      </c>
      <c r="E197">
        <v>36.962945087936532</v>
      </c>
      <c r="F197">
        <v>0.51</v>
      </c>
      <c r="G197">
        <v>0.62491675212968656</v>
      </c>
      <c r="H197">
        <v>0.56075076514962841</v>
      </c>
    </row>
    <row r="198" spans="1:8">
      <c r="A198" s="1">
        <v>39534</v>
      </c>
      <c r="B198">
        <v>4.2673966662970146</v>
      </c>
      <c r="C198">
        <v>4.5673966662970145</v>
      </c>
      <c r="D198">
        <v>521.43895533915895</v>
      </c>
      <c r="E198">
        <v>36.962945087936532</v>
      </c>
      <c r="F198">
        <v>0.51</v>
      </c>
      <c r="G198">
        <v>0.56297778968223322</v>
      </c>
      <c r="H198">
        <v>0.73662889122801101</v>
      </c>
    </row>
    <row r="199" spans="1:8">
      <c r="A199" s="1">
        <v>39535</v>
      </c>
      <c r="B199">
        <v>4.2673966662970146</v>
      </c>
      <c r="C199">
        <v>4.5673966662970145</v>
      </c>
      <c r="D199">
        <v>521.43895533915895</v>
      </c>
      <c r="E199">
        <v>36.962945087936532</v>
      </c>
      <c r="F199">
        <v>0.51</v>
      </c>
      <c r="G199">
        <v>0.59065167883620873</v>
      </c>
      <c r="H199">
        <v>0.56905645087673062</v>
      </c>
    </row>
    <row r="200" spans="1:8">
      <c r="A200" s="1">
        <v>39538</v>
      </c>
      <c r="B200">
        <v>4.2673966662970146</v>
      </c>
      <c r="C200">
        <v>4.5673966662970145</v>
      </c>
      <c r="D200">
        <v>521.43895533915895</v>
      </c>
      <c r="E200">
        <v>36.962945087936532</v>
      </c>
      <c r="F200">
        <v>0.51</v>
      </c>
      <c r="G200">
        <v>0.64144738603546037</v>
      </c>
      <c r="H200">
        <v>0.68207418600262726</v>
      </c>
    </row>
    <row r="201" spans="1:8">
      <c r="A201" s="1">
        <v>39539</v>
      </c>
      <c r="B201">
        <v>4.2673966662970146</v>
      </c>
      <c r="C201">
        <v>4.5673966662970145</v>
      </c>
      <c r="D201">
        <v>521.43895533915895</v>
      </c>
      <c r="E201">
        <v>36.962945087936532</v>
      </c>
      <c r="F201">
        <v>0.51</v>
      </c>
      <c r="G201">
        <v>0.58239670631388285</v>
      </c>
      <c r="H201">
        <v>0.6137893724610628</v>
      </c>
    </row>
    <row r="202" spans="1:8">
      <c r="A202" s="1">
        <v>39540</v>
      </c>
      <c r="B202">
        <v>4.2673966662970146</v>
      </c>
      <c r="C202">
        <v>4.5673966662970145</v>
      </c>
      <c r="D202">
        <v>521.43895533915895</v>
      </c>
      <c r="E202">
        <v>36.962945087936532</v>
      </c>
      <c r="F202">
        <v>0.51</v>
      </c>
      <c r="G202">
        <v>0.62504999273077733</v>
      </c>
      <c r="H202">
        <v>0.78099381143079993</v>
      </c>
    </row>
    <row r="203" spans="1:8">
      <c r="A203" s="1">
        <v>39541</v>
      </c>
      <c r="B203">
        <v>4.2673966662970146</v>
      </c>
      <c r="C203">
        <v>4.5673966662970145</v>
      </c>
      <c r="D203">
        <v>521.43895533915895</v>
      </c>
      <c r="E203">
        <v>36.962945087936532</v>
      </c>
      <c r="F203">
        <v>0.51</v>
      </c>
      <c r="G203">
        <v>0.49666846010990612</v>
      </c>
      <c r="H203">
        <v>0.68597470033611252</v>
      </c>
    </row>
    <row r="204" spans="1:8">
      <c r="A204" s="1">
        <v>39542</v>
      </c>
      <c r="B204">
        <v>4.2673966662970146</v>
      </c>
      <c r="C204">
        <v>4.5673966662970145</v>
      </c>
      <c r="D204">
        <v>521.43895533915895</v>
      </c>
      <c r="E204">
        <v>36.962945087936532</v>
      </c>
      <c r="F204">
        <v>0.51</v>
      </c>
      <c r="G204">
        <v>0.67491428589611691</v>
      </c>
      <c r="H204">
        <v>0.65225884680896962</v>
      </c>
    </row>
    <row r="205" spans="1:8">
      <c r="A205" s="1">
        <v>39545</v>
      </c>
      <c r="B205">
        <v>4.2673966662970146</v>
      </c>
      <c r="C205">
        <v>4.5673966662970145</v>
      </c>
      <c r="D205">
        <v>521.43895533915895</v>
      </c>
      <c r="E205">
        <v>36.962945087936532</v>
      </c>
      <c r="F205">
        <v>0.51</v>
      </c>
      <c r="G205">
        <v>0.59481119391157644</v>
      </c>
      <c r="H205">
        <v>0.62345745338550107</v>
      </c>
    </row>
    <row r="206" spans="1:8">
      <c r="A206" s="1">
        <v>39546</v>
      </c>
      <c r="B206">
        <v>4.2673966662970146</v>
      </c>
      <c r="C206">
        <v>4.5673966662970145</v>
      </c>
      <c r="D206">
        <v>521.43895533915895</v>
      </c>
      <c r="E206">
        <v>36.962945087936532</v>
      </c>
      <c r="F206">
        <v>0.51</v>
      </c>
      <c r="G206">
        <v>0.5749466972092131</v>
      </c>
      <c r="H206">
        <v>0.73592190501249333</v>
      </c>
    </row>
    <row r="207" spans="1:8">
      <c r="A207" s="1">
        <v>39547</v>
      </c>
      <c r="B207">
        <v>4.2673966662970146</v>
      </c>
      <c r="C207">
        <v>4.5673966662970145</v>
      </c>
      <c r="D207">
        <v>521.43895533915895</v>
      </c>
      <c r="E207">
        <v>36.962945087936532</v>
      </c>
      <c r="F207">
        <v>0.51</v>
      </c>
      <c r="G207">
        <v>0.57707021945637815</v>
      </c>
      <c r="H207">
        <v>0.69976593961818112</v>
      </c>
    </row>
    <row r="208" spans="1:8">
      <c r="A208" s="1">
        <v>39548</v>
      </c>
      <c r="B208">
        <v>4.2673966662970146</v>
      </c>
      <c r="C208">
        <v>4.5673966662970145</v>
      </c>
      <c r="D208">
        <v>521.43895533915895</v>
      </c>
      <c r="E208">
        <v>36.962945087936532</v>
      </c>
      <c r="F208">
        <v>0.51</v>
      </c>
      <c r="G208">
        <v>0.60250234733206831</v>
      </c>
      <c r="H208">
        <v>0.81574058432733776</v>
      </c>
    </row>
    <row r="209" spans="1:8">
      <c r="A209" s="1">
        <v>39549</v>
      </c>
      <c r="B209">
        <v>4.2673966662970146</v>
      </c>
      <c r="C209">
        <v>4.5673966662970145</v>
      </c>
      <c r="D209">
        <v>521.43895533915895</v>
      </c>
      <c r="E209">
        <v>36.962945087936532</v>
      </c>
      <c r="F209">
        <v>0.51</v>
      </c>
      <c r="G209">
        <v>0.58487709290802048</v>
      </c>
      <c r="H209">
        <v>0.70309943509346295</v>
      </c>
    </row>
    <row r="210" spans="1:8">
      <c r="A210" s="1">
        <v>39552</v>
      </c>
      <c r="B210">
        <v>4.2673966662970146</v>
      </c>
      <c r="C210">
        <v>4.5673966662970145</v>
      </c>
      <c r="D210">
        <v>521.43895533915895</v>
      </c>
      <c r="E210">
        <v>36.962945087936532</v>
      </c>
      <c r="F210">
        <v>0.51</v>
      </c>
      <c r="G210">
        <v>0.623854760560969</v>
      </c>
      <c r="H210">
        <v>0.69022858528749176</v>
      </c>
    </row>
    <row r="211" spans="1:8">
      <c r="A211" s="1">
        <v>39553</v>
      </c>
      <c r="B211">
        <v>4.2673966662970146</v>
      </c>
      <c r="C211">
        <v>4.5673966662970145</v>
      </c>
      <c r="D211">
        <v>521.43895533915895</v>
      </c>
      <c r="E211">
        <v>36.962945087936532</v>
      </c>
      <c r="F211">
        <v>0.51</v>
      </c>
      <c r="G211">
        <v>0.5499950518697384</v>
      </c>
      <c r="H211">
        <v>0.65844487787736949</v>
      </c>
    </row>
    <row r="212" spans="1:8">
      <c r="A212" s="1">
        <v>39554</v>
      </c>
      <c r="B212">
        <v>4.2673966662970146</v>
      </c>
      <c r="C212">
        <v>4.5673966662970145</v>
      </c>
      <c r="D212">
        <v>521.43895533915895</v>
      </c>
      <c r="E212">
        <v>36.962945087936532</v>
      </c>
      <c r="F212">
        <v>0.51</v>
      </c>
      <c r="G212">
        <v>0.59383330299871107</v>
      </c>
      <c r="H212">
        <v>0.6545718113424579</v>
      </c>
    </row>
    <row r="213" spans="1:8">
      <c r="A213" s="1">
        <v>39555</v>
      </c>
      <c r="B213">
        <v>4.2673966662970146</v>
      </c>
      <c r="C213">
        <v>4.5673966662970145</v>
      </c>
      <c r="D213">
        <v>521.43895533915895</v>
      </c>
      <c r="E213">
        <v>36.962945087936532</v>
      </c>
      <c r="F213">
        <v>0.51</v>
      </c>
      <c r="G213">
        <v>0.63560421322725191</v>
      </c>
      <c r="H213">
        <v>0.60192508903439323</v>
      </c>
    </row>
    <row r="214" spans="1:8">
      <c r="A214" s="1">
        <v>39556</v>
      </c>
      <c r="B214">
        <v>4.2673966662970146</v>
      </c>
      <c r="C214">
        <v>4.5673966662970145</v>
      </c>
      <c r="D214">
        <v>521.43895533915895</v>
      </c>
      <c r="E214">
        <v>36.962945087936532</v>
      </c>
      <c r="F214">
        <v>0.51</v>
      </c>
      <c r="G214">
        <v>0.61250777908296505</v>
      </c>
      <c r="H214">
        <v>0.73795665063723304</v>
      </c>
    </row>
    <row r="215" spans="1:8">
      <c r="A215" s="1">
        <v>39559</v>
      </c>
      <c r="B215">
        <v>4.2673966662970146</v>
      </c>
      <c r="C215">
        <v>4.5673966662970145</v>
      </c>
      <c r="D215">
        <v>521.43895533915895</v>
      </c>
      <c r="E215">
        <v>36.962945087936532</v>
      </c>
      <c r="F215">
        <v>0.51</v>
      </c>
      <c r="G215">
        <v>0.59269848144513104</v>
      </c>
      <c r="H215">
        <v>0.71105941654736526</v>
      </c>
    </row>
    <row r="216" spans="1:8">
      <c r="A216" s="1">
        <v>39560</v>
      </c>
      <c r="B216">
        <v>4.2673966662970146</v>
      </c>
      <c r="C216">
        <v>4.5673966662970145</v>
      </c>
      <c r="D216">
        <v>521.43895533915895</v>
      </c>
      <c r="E216">
        <v>36.962945087936532</v>
      </c>
      <c r="F216">
        <v>0.51</v>
      </c>
      <c r="G216">
        <v>0.73310454447823792</v>
      </c>
      <c r="H216">
        <v>0.75282618198776952</v>
      </c>
    </row>
    <row r="217" spans="1:8">
      <c r="A217" s="1">
        <v>39561</v>
      </c>
      <c r="B217">
        <v>4.2673966662970146</v>
      </c>
      <c r="C217">
        <v>4.5673966662970145</v>
      </c>
      <c r="D217">
        <v>521.43895533915895</v>
      </c>
      <c r="E217">
        <v>36.962945087936532</v>
      </c>
      <c r="F217">
        <v>0.51</v>
      </c>
      <c r="G217">
        <v>0.54305090260430855</v>
      </c>
      <c r="H217">
        <v>0.78826073293085219</v>
      </c>
    </row>
    <row r="218" spans="1:8">
      <c r="A218" s="1">
        <v>39562</v>
      </c>
      <c r="B218">
        <v>4.2673966662970146</v>
      </c>
      <c r="C218">
        <v>4.5673966662970145</v>
      </c>
      <c r="D218">
        <v>521.43895533915895</v>
      </c>
      <c r="E218">
        <v>36.962945087936532</v>
      </c>
      <c r="F218">
        <v>0.51</v>
      </c>
      <c r="G218">
        <v>0.66452581349752138</v>
      </c>
      <c r="H218">
        <v>0.76945479651204596</v>
      </c>
    </row>
    <row r="219" spans="1:8">
      <c r="A219" s="1">
        <v>39563</v>
      </c>
      <c r="B219">
        <v>4.2673966662970146</v>
      </c>
      <c r="C219">
        <v>4.5673966662970145</v>
      </c>
      <c r="D219">
        <v>521.43895533915895</v>
      </c>
      <c r="E219">
        <v>36.962945087936532</v>
      </c>
      <c r="F219">
        <v>0.51</v>
      </c>
      <c r="G219">
        <v>0.52424690207351932</v>
      </c>
      <c r="H219">
        <v>0.68733019191506328</v>
      </c>
    </row>
    <row r="220" spans="1:8">
      <c r="A220" s="1">
        <v>39566</v>
      </c>
      <c r="B220">
        <v>4.2673966662970146</v>
      </c>
      <c r="C220">
        <v>4.5673966662970145</v>
      </c>
      <c r="D220">
        <v>521.43895533915895</v>
      </c>
      <c r="E220">
        <v>36.962945087936532</v>
      </c>
      <c r="F220">
        <v>0.51</v>
      </c>
      <c r="G220">
        <v>0.48860980769793716</v>
      </c>
      <c r="H220">
        <v>0.65401686365330913</v>
      </c>
    </row>
    <row r="221" spans="1:8">
      <c r="A221" s="1">
        <v>39567</v>
      </c>
      <c r="B221">
        <v>4.2673966662970146</v>
      </c>
      <c r="C221">
        <v>4.5673966662970145</v>
      </c>
      <c r="D221">
        <v>521.43895533915895</v>
      </c>
      <c r="E221">
        <v>36.962945087936532</v>
      </c>
      <c r="F221">
        <v>0.51</v>
      </c>
      <c r="G221">
        <v>0.58413262860381232</v>
      </c>
      <c r="H221">
        <v>0.58101895430576878</v>
      </c>
    </row>
    <row r="222" spans="1:8">
      <c r="A222" s="1">
        <v>39568</v>
      </c>
      <c r="B222">
        <v>4.2673966662970146</v>
      </c>
      <c r="C222">
        <v>4.5673966662970145</v>
      </c>
      <c r="D222">
        <v>521.43895533915895</v>
      </c>
      <c r="E222">
        <v>36.962945087936532</v>
      </c>
      <c r="F222">
        <v>0.51</v>
      </c>
      <c r="G222">
        <v>0.57499380755116869</v>
      </c>
      <c r="H222">
        <v>0.70466658523141179</v>
      </c>
    </row>
    <row r="223" spans="1:8">
      <c r="A223" s="1">
        <v>39569</v>
      </c>
      <c r="B223">
        <v>4.2673966662970146</v>
      </c>
      <c r="C223">
        <v>4.5673966662970145</v>
      </c>
      <c r="D223">
        <v>521.43895533915895</v>
      </c>
      <c r="E223">
        <v>36.962945087936532</v>
      </c>
      <c r="F223">
        <v>0.51</v>
      </c>
      <c r="G223">
        <v>0.63250098095748841</v>
      </c>
      <c r="H223">
        <v>0.70373511938304967</v>
      </c>
    </row>
    <row r="224" spans="1:8">
      <c r="A224" s="1">
        <v>39570</v>
      </c>
      <c r="B224">
        <v>4.2673966662970146</v>
      </c>
      <c r="C224">
        <v>4.5673966662970145</v>
      </c>
      <c r="D224">
        <v>521.43895533915895</v>
      </c>
      <c r="E224">
        <v>36.962945087936532</v>
      </c>
      <c r="F224">
        <v>0.51</v>
      </c>
      <c r="G224">
        <v>0.59448415690155454</v>
      </c>
      <c r="H224">
        <v>0.72841151445814101</v>
      </c>
    </row>
    <row r="225" spans="1:8">
      <c r="A225" s="1">
        <v>39573</v>
      </c>
      <c r="B225">
        <v>4.2673966662970146</v>
      </c>
      <c r="C225">
        <v>4.5673966662970145</v>
      </c>
      <c r="D225">
        <v>521.43895533915895</v>
      </c>
      <c r="E225">
        <v>36.962945087936532</v>
      </c>
      <c r="F225">
        <v>0.51</v>
      </c>
      <c r="G225">
        <v>0.59216002044991989</v>
      </c>
      <c r="H225">
        <v>0.66665199566071198</v>
      </c>
    </row>
    <row r="226" spans="1:8">
      <c r="A226" s="1">
        <v>39574</v>
      </c>
      <c r="B226">
        <v>4.2673966662970146</v>
      </c>
      <c r="C226">
        <v>4.5673966662970145</v>
      </c>
      <c r="D226">
        <v>521.43895533915895</v>
      </c>
      <c r="E226">
        <v>36.962945087936532</v>
      </c>
      <c r="F226">
        <v>0.51</v>
      </c>
      <c r="G226">
        <v>0.60532088662288097</v>
      </c>
      <c r="H226">
        <v>0.65391422008088596</v>
      </c>
    </row>
    <row r="227" spans="1:8">
      <c r="A227" s="1">
        <v>39575</v>
      </c>
      <c r="B227">
        <v>4.2673966662970146</v>
      </c>
      <c r="C227">
        <v>4.5673966662970145</v>
      </c>
      <c r="D227">
        <v>521.43895533915895</v>
      </c>
      <c r="E227">
        <v>36.962945087936532</v>
      </c>
      <c r="F227">
        <v>0.51</v>
      </c>
      <c r="G227">
        <v>0.54242083692050591</v>
      </c>
      <c r="H227">
        <v>0.63442442952542455</v>
      </c>
    </row>
    <row r="228" spans="1:8">
      <c r="A228" s="1">
        <v>39576</v>
      </c>
      <c r="B228">
        <v>4.2673966662970146</v>
      </c>
      <c r="C228">
        <v>4.5673966662970145</v>
      </c>
      <c r="D228">
        <v>521.43895533915895</v>
      </c>
      <c r="E228">
        <v>36.962945087936532</v>
      </c>
      <c r="F228">
        <v>0.51</v>
      </c>
      <c r="G228">
        <v>0.52115058530752068</v>
      </c>
      <c r="H228">
        <v>0.54790741495179196</v>
      </c>
    </row>
    <row r="229" spans="1:8">
      <c r="A229" s="1">
        <v>39577</v>
      </c>
      <c r="B229">
        <v>4.2673966662970146</v>
      </c>
      <c r="C229">
        <v>4.5673966662970145</v>
      </c>
      <c r="D229">
        <v>521.43895533915895</v>
      </c>
      <c r="E229">
        <v>36.962945087936532</v>
      </c>
      <c r="F229">
        <v>0.51</v>
      </c>
      <c r="G229">
        <v>0.63485386280584888</v>
      </c>
      <c r="H229">
        <v>0.56871081597272122</v>
      </c>
    </row>
    <row r="230" spans="1:8">
      <c r="A230" s="1">
        <v>39580</v>
      </c>
      <c r="B230">
        <v>4.2673966662970146</v>
      </c>
      <c r="C230">
        <v>4.5673966662970145</v>
      </c>
      <c r="D230">
        <v>521.43895533915895</v>
      </c>
      <c r="E230">
        <v>36.962945087936532</v>
      </c>
      <c r="F230">
        <v>0.51</v>
      </c>
      <c r="G230">
        <v>0.71505430170664053</v>
      </c>
      <c r="H230">
        <v>0.70611139824594238</v>
      </c>
    </row>
    <row r="231" spans="1:8">
      <c r="A231" s="1">
        <v>39581</v>
      </c>
      <c r="B231">
        <v>4.2673966662970146</v>
      </c>
      <c r="C231">
        <v>4.5673966662970145</v>
      </c>
      <c r="D231">
        <v>521.43895533915895</v>
      </c>
      <c r="E231">
        <v>36.962945087936532</v>
      </c>
      <c r="F231">
        <v>0.51</v>
      </c>
      <c r="G231">
        <v>0.61894773953493465</v>
      </c>
      <c r="H231">
        <v>0.58573972653998441</v>
      </c>
    </row>
    <row r="232" spans="1:8">
      <c r="A232" s="1">
        <v>39582</v>
      </c>
      <c r="B232">
        <v>4.2673966662970146</v>
      </c>
      <c r="C232">
        <v>4.5673966662970145</v>
      </c>
      <c r="D232">
        <v>521.43895533915895</v>
      </c>
      <c r="E232">
        <v>36.962945087936532</v>
      </c>
      <c r="F232">
        <v>0.51</v>
      </c>
      <c r="G232">
        <v>0.53963215158154565</v>
      </c>
      <c r="H232">
        <v>0.69350582426194274</v>
      </c>
    </row>
    <row r="233" spans="1:8">
      <c r="A233" s="1">
        <v>39583</v>
      </c>
      <c r="B233">
        <v>4.2673966662970146</v>
      </c>
      <c r="C233">
        <v>4.5673966662970145</v>
      </c>
      <c r="D233">
        <v>521.43895533915895</v>
      </c>
      <c r="E233">
        <v>36.962945087936532</v>
      </c>
      <c r="F233">
        <v>0.51</v>
      </c>
      <c r="G233">
        <v>0.64587683882648117</v>
      </c>
      <c r="H233">
        <v>0.76462341243880994</v>
      </c>
    </row>
    <row r="234" spans="1:8">
      <c r="A234" s="1">
        <v>39584</v>
      </c>
      <c r="B234">
        <v>4.2673966662970146</v>
      </c>
      <c r="C234">
        <v>4.5673966662970145</v>
      </c>
      <c r="D234">
        <v>521.43895533915895</v>
      </c>
      <c r="E234">
        <v>36.962945087936532</v>
      </c>
      <c r="F234">
        <v>0.51</v>
      </c>
      <c r="G234">
        <v>0.60444672718333003</v>
      </c>
      <c r="H234">
        <v>0.69652965507099462</v>
      </c>
    </row>
    <row r="235" spans="1:8">
      <c r="A235" s="1">
        <v>39587</v>
      </c>
      <c r="B235">
        <v>4.2673966662970146</v>
      </c>
      <c r="C235">
        <v>4.5673966662970145</v>
      </c>
      <c r="D235">
        <v>521.43895533915895</v>
      </c>
      <c r="E235">
        <v>36.962945087936532</v>
      </c>
      <c r="F235">
        <v>0.51</v>
      </c>
      <c r="G235">
        <v>0.63694129844906366</v>
      </c>
      <c r="H235">
        <v>0.61757091284844612</v>
      </c>
    </row>
    <row r="236" spans="1:8">
      <c r="A236" s="1">
        <v>39588</v>
      </c>
      <c r="B236">
        <v>4.2673966662970146</v>
      </c>
      <c r="C236">
        <v>4.5673966662970145</v>
      </c>
      <c r="D236">
        <v>521.43895533915895</v>
      </c>
      <c r="E236">
        <v>36.962945087936532</v>
      </c>
      <c r="F236">
        <v>0.51</v>
      </c>
      <c r="G236">
        <v>0.61783305198375937</v>
      </c>
      <c r="H236">
        <v>0.70616022877117879</v>
      </c>
    </row>
    <row r="237" spans="1:8">
      <c r="A237" s="1">
        <v>39589</v>
      </c>
      <c r="B237">
        <v>4.2673966662970146</v>
      </c>
      <c r="C237">
        <v>4.5673966662970145</v>
      </c>
      <c r="D237">
        <v>521.43895533915895</v>
      </c>
      <c r="E237">
        <v>36.962945087936532</v>
      </c>
      <c r="F237">
        <v>0.51</v>
      </c>
      <c r="G237">
        <v>0.73969722277879346</v>
      </c>
      <c r="H237">
        <v>0.75501868809194683</v>
      </c>
    </row>
    <row r="238" spans="1:8">
      <c r="A238" s="1">
        <v>39590</v>
      </c>
      <c r="B238">
        <v>4.2673966662970146</v>
      </c>
      <c r="C238">
        <v>4.5673966662970145</v>
      </c>
      <c r="D238">
        <v>521.43895533915895</v>
      </c>
      <c r="E238">
        <v>36.962945087936532</v>
      </c>
      <c r="F238">
        <v>0.51</v>
      </c>
      <c r="G238">
        <v>0.55629413169753028</v>
      </c>
      <c r="H238">
        <v>0.74075845407815299</v>
      </c>
    </row>
    <row r="239" spans="1:8">
      <c r="A239" s="1">
        <v>39591</v>
      </c>
      <c r="B239">
        <v>4.2673966662970146</v>
      </c>
      <c r="C239">
        <v>4.5673966662970145</v>
      </c>
      <c r="D239">
        <v>521.43895533915895</v>
      </c>
      <c r="E239">
        <v>36.962945087936532</v>
      </c>
      <c r="F239">
        <v>0.51</v>
      </c>
      <c r="G239">
        <v>0.55607386510849488</v>
      </c>
      <c r="H239">
        <v>0.91629789345813872</v>
      </c>
    </row>
    <row r="240" spans="1:8">
      <c r="A240" s="1">
        <v>39594</v>
      </c>
      <c r="B240">
        <v>4.2673966662970146</v>
      </c>
      <c r="C240">
        <v>4.5673966662970145</v>
      </c>
      <c r="D240">
        <v>521.43895533915895</v>
      </c>
      <c r="E240">
        <v>36.962945087936532</v>
      </c>
      <c r="F240">
        <v>0.51</v>
      </c>
      <c r="G240">
        <v>0.66149778128264147</v>
      </c>
      <c r="H240">
        <v>0.6579238464092646</v>
      </c>
    </row>
    <row r="241" spans="1:8">
      <c r="A241" s="1">
        <v>39595</v>
      </c>
      <c r="B241">
        <v>4.2673966662970146</v>
      </c>
      <c r="C241">
        <v>4.5673966662970145</v>
      </c>
      <c r="D241">
        <v>521.43895533915895</v>
      </c>
      <c r="E241">
        <v>36.962945087936532</v>
      </c>
      <c r="F241">
        <v>0.51</v>
      </c>
      <c r="G241">
        <v>0.60208579039004895</v>
      </c>
      <c r="H241">
        <v>0.6385407409046</v>
      </c>
    </row>
    <row r="242" spans="1:8">
      <c r="A242" s="1">
        <v>39596</v>
      </c>
      <c r="B242">
        <v>4.2673966662970146</v>
      </c>
      <c r="C242">
        <v>4.5673966662970145</v>
      </c>
      <c r="D242">
        <v>521.43895533915895</v>
      </c>
      <c r="E242">
        <v>36.962945087936532</v>
      </c>
      <c r="F242">
        <v>0.51</v>
      </c>
      <c r="G242">
        <v>0.59794583810732505</v>
      </c>
      <c r="H242">
        <v>0.65548612466584844</v>
      </c>
    </row>
    <row r="243" spans="1:8">
      <c r="A243" s="1">
        <v>39597</v>
      </c>
      <c r="B243">
        <v>4.2673966662970146</v>
      </c>
      <c r="C243">
        <v>4.5673966662970145</v>
      </c>
      <c r="D243">
        <v>521.43895533915895</v>
      </c>
      <c r="E243">
        <v>36.962945087936532</v>
      </c>
      <c r="F243">
        <v>0.51</v>
      </c>
      <c r="G243">
        <v>0.5655320468149132</v>
      </c>
      <c r="H243">
        <v>0.75965719269968313</v>
      </c>
    </row>
    <row r="244" spans="1:8">
      <c r="A244" s="1">
        <v>39598</v>
      </c>
      <c r="B244">
        <v>4.2673966662970146</v>
      </c>
      <c r="C244">
        <v>4.5673966662970145</v>
      </c>
      <c r="D244">
        <v>521.43895533915895</v>
      </c>
      <c r="E244">
        <v>36.962945087936532</v>
      </c>
      <c r="F244">
        <v>0.51</v>
      </c>
      <c r="G244">
        <v>0.52873375585565519</v>
      </c>
      <c r="H244">
        <v>0.74574042416933495</v>
      </c>
    </row>
    <row r="245" spans="1:8">
      <c r="A245" s="1">
        <v>39601</v>
      </c>
      <c r="B245">
        <v>4.2673966662970146</v>
      </c>
      <c r="C245">
        <v>4.5673966662970145</v>
      </c>
      <c r="D245">
        <v>521.43895533915895</v>
      </c>
      <c r="E245">
        <v>36.962945087936532</v>
      </c>
      <c r="F245">
        <v>0.51</v>
      </c>
      <c r="G245">
        <v>0.60094980297850265</v>
      </c>
      <c r="H245">
        <v>0.64558354909330129</v>
      </c>
    </row>
    <row r="246" spans="1:8">
      <c r="A246" s="1">
        <v>39602</v>
      </c>
      <c r="B246">
        <v>4.2673966662970146</v>
      </c>
      <c r="C246">
        <v>4.5673966662970145</v>
      </c>
      <c r="D246">
        <v>521.43895533915895</v>
      </c>
      <c r="E246">
        <v>36.962945087936532</v>
      </c>
      <c r="F246">
        <v>0.51</v>
      </c>
      <c r="G246">
        <v>0.65085491564215758</v>
      </c>
      <c r="H246">
        <v>0.63980762857907492</v>
      </c>
    </row>
    <row r="247" spans="1:8">
      <c r="A247" s="1">
        <v>39603</v>
      </c>
      <c r="B247">
        <v>4.2673966662970146</v>
      </c>
      <c r="C247">
        <v>4.5673966662970145</v>
      </c>
      <c r="D247">
        <v>521.43895533915895</v>
      </c>
      <c r="E247">
        <v>36.962945087936532</v>
      </c>
      <c r="F247">
        <v>0.51</v>
      </c>
      <c r="G247">
        <v>0.55875267602928969</v>
      </c>
      <c r="H247">
        <v>0.64085603959994164</v>
      </c>
    </row>
    <row r="248" spans="1:8">
      <c r="A248" s="1">
        <v>39604</v>
      </c>
      <c r="B248">
        <v>4.2673966662970146</v>
      </c>
      <c r="C248">
        <v>4.5673966662970145</v>
      </c>
      <c r="D248">
        <v>521.43895533915895</v>
      </c>
      <c r="E248">
        <v>36.962945087936532</v>
      </c>
      <c r="F248">
        <v>0.51</v>
      </c>
      <c r="G248">
        <v>0.59089435433582482</v>
      </c>
      <c r="H248">
        <v>0.64946431822852502</v>
      </c>
    </row>
    <row r="249" spans="1:8">
      <c r="A249" s="1">
        <v>39605</v>
      </c>
      <c r="B249">
        <v>4.2673966662970146</v>
      </c>
      <c r="C249">
        <v>4.5673966662970145</v>
      </c>
      <c r="D249">
        <v>521.43895533915895</v>
      </c>
      <c r="E249">
        <v>36.962945087936532</v>
      </c>
      <c r="F249">
        <v>0.51</v>
      </c>
      <c r="G249">
        <v>0.63622532334431614</v>
      </c>
      <c r="H249">
        <v>0.58084259268424898</v>
      </c>
    </row>
    <row r="250" spans="1:8">
      <c r="A250" s="1">
        <v>39608</v>
      </c>
      <c r="B250">
        <v>4.2673966662970146</v>
      </c>
      <c r="C250">
        <v>4.5673966662970145</v>
      </c>
      <c r="D250">
        <v>521.43895533915895</v>
      </c>
      <c r="E250">
        <v>36.962945087936532</v>
      </c>
      <c r="F250">
        <v>0.51</v>
      </c>
      <c r="G250">
        <v>0.64043888982225128</v>
      </c>
      <c r="H250">
        <v>0.72627941877650659</v>
      </c>
    </row>
    <row r="251" spans="1:8">
      <c r="A251" s="1">
        <v>39609</v>
      </c>
      <c r="B251">
        <v>4.2673966662970146</v>
      </c>
      <c r="C251">
        <v>4.5673966662970145</v>
      </c>
      <c r="D251">
        <v>521.43895533915895</v>
      </c>
      <c r="E251">
        <v>36.962945087936532</v>
      </c>
      <c r="F251">
        <v>0.51</v>
      </c>
      <c r="G251">
        <v>0.57899493613189612</v>
      </c>
      <c r="H251">
        <v>0.6156454572509823</v>
      </c>
    </row>
    <row r="252" spans="1:8">
      <c r="A252" s="1">
        <v>39610</v>
      </c>
      <c r="B252">
        <v>4.2673966662970146</v>
      </c>
      <c r="C252">
        <v>4.5673966662970145</v>
      </c>
      <c r="D252">
        <v>521.43895533915895</v>
      </c>
      <c r="E252">
        <v>36.962945087936532</v>
      </c>
      <c r="F252">
        <v>0.51</v>
      </c>
      <c r="G252">
        <v>0.52933297211828245</v>
      </c>
      <c r="H252">
        <v>0.67758587018820371</v>
      </c>
    </row>
    <row r="253" spans="1:8">
      <c r="A253" s="1">
        <v>39611</v>
      </c>
      <c r="B253">
        <v>4.2673966662970146</v>
      </c>
      <c r="C253">
        <v>4.5673966662970145</v>
      </c>
      <c r="D253">
        <v>521.43895533915895</v>
      </c>
      <c r="E253">
        <v>36.962945087936532</v>
      </c>
      <c r="F253">
        <v>0.51</v>
      </c>
      <c r="G253">
        <v>0.54012500643934536</v>
      </c>
      <c r="H253">
        <v>0.67169907129561623</v>
      </c>
    </row>
    <row r="254" spans="1:8">
      <c r="A254" s="1">
        <v>39612</v>
      </c>
      <c r="B254">
        <v>4.2673966662970146</v>
      </c>
      <c r="C254">
        <v>4.5673966662970145</v>
      </c>
      <c r="D254">
        <v>521.43895533915895</v>
      </c>
      <c r="E254">
        <v>36.962945087936532</v>
      </c>
      <c r="F254">
        <v>0.51</v>
      </c>
      <c r="G254">
        <v>0.56954736382415971</v>
      </c>
      <c r="H254">
        <v>0.65672148042116907</v>
      </c>
    </row>
    <row r="255" spans="1:8">
      <c r="A255" s="1">
        <v>39615</v>
      </c>
      <c r="B255">
        <v>4.2673966662970146</v>
      </c>
      <c r="C255">
        <v>4.5673966662970145</v>
      </c>
      <c r="D255">
        <v>521.43895533915895</v>
      </c>
      <c r="E255">
        <v>36.962945087936532</v>
      </c>
      <c r="F255">
        <v>0.51</v>
      </c>
      <c r="G255">
        <v>0.65764818721600182</v>
      </c>
      <c r="H255">
        <v>0.5966888190070434</v>
      </c>
    </row>
    <row r="256" spans="1:8">
      <c r="A256" s="1">
        <v>39616</v>
      </c>
      <c r="B256">
        <v>4.2673966662970146</v>
      </c>
      <c r="C256">
        <v>4.5673966662970145</v>
      </c>
      <c r="D256">
        <v>521.43895533915895</v>
      </c>
      <c r="E256">
        <v>36.962945087936532</v>
      </c>
      <c r="F256">
        <v>0.51</v>
      </c>
      <c r="G256">
        <v>0.57409068100669958</v>
      </c>
      <c r="H256">
        <v>0.73220220614702869</v>
      </c>
    </row>
    <row r="257" spans="1:8">
      <c r="A257" s="1">
        <v>39617</v>
      </c>
      <c r="B257">
        <v>4.2673966662970146</v>
      </c>
      <c r="C257">
        <v>4.5673966662970145</v>
      </c>
      <c r="D257">
        <v>521.43895533915895</v>
      </c>
      <c r="E257">
        <v>36.962945087936532</v>
      </c>
      <c r="F257">
        <v>0.51</v>
      </c>
      <c r="G257">
        <v>0.65524431423341301</v>
      </c>
      <c r="H257">
        <v>0.65724165522941969</v>
      </c>
    </row>
    <row r="258" spans="1:8">
      <c r="A258" s="1">
        <v>39618</v>
      </c>
      <c r="B258">
        <v>4.2673966662970146</v>
      </c>
      <c r="C258">
        <v>4.5673966662970145</v>
      </c>
      <c r="D258">
        <v>521.43895533915895</v>
      </c>
      <c r="E258">
        <v>36.962945087936532</v>
      </c>
      <c r="F258">
        <v>0.51</v>
      </c>
      <c r="G258">
        <v>0.55349022209912402</v>
      </c>
      <c r="H258">
        <v>0.7790144357160419</v>
      </c>
    </row>
    <row r="259" spans="1:8">
      <c r="A259" s="1">
        <v>39619</v>
      </c>
      <c r="B259">
        <v>4.2673966662970146</v>
      </c>
      <c r="C259">
        <v>4.5673966662970145</v>
      </c>
      <c r="D259">
        <v>521.43895533915895</v>
      </c>
      <c r="E259">
        <v>36.962945087936532</v>
      </c>
      <c r="F259">
        <v>0.51</v>
      </c>
      <c r="G259">
        <v>0.60270693453026281</v>
      </c>
      <c r="H259">
        <v>0.77345502710757141</v>
      </c>
    </row>
    <row r="260" spans="1:8">
      <c r="A260" s="1">
        <v>39622</v>
      </c>
      <c r="B260">
        <v>4.2673966662970146</v>
      </c>
      <c r="C260">
        <v>4.5673966662970145</v>
      </c>
      <c r="D260">
        <v>521.43895533915895</v>
      </c>
      <c r="E260">
        <v>36.962945087936532</v>
      </c>
      <c r="F260">
        <v>0.51</v>
      </c>
      <c r="G260">
        <v>0.62958068471110695</v>
      </c>
      <c r="H260">
        <v>0.72598543429776852</v>
      </c>
    </row>
    <row r="261" spans="1:8">
      <c r="A261" s="1">
        <v>39623</v>
      </c>
      <c r="B261">
        <v>4.2673966662970146</v>
      </c>
      <c r="C261">
        <v>4.5673966662970145</v>
      </c>
      <c r="D261">
        <v>521.43895533915895</v>
      </c>
      <c r="E261">
        <v>36.962945087936532</v>
      </c>
      <c r="F261">
        <v>0.51</v>
      </c>
      <c r="G261">
        <v>0.64993833105661469</v>
      </c>
      <c r="H261">
        <v>0.60552694876039026</v>
      </c>
    </row>
    <row r="262" spans="1:8">
      <c r="A262" s="1">
        <v>39624</v>
      </c>
      <c r="B262">
        <v>4.2673966662970146</v>
      </c>
      <c r="C262">
        <v>4.5673966662970145</v>
      </c>
      <c r="D262">
        <v>521.43895533915895</v>
      </c>
      <c r="E262">
        <v>36.962945087936532</v>
      </c>
      <c r="F262">
        <v>0.51</v>
      </c>
      <c r="G262">
        <v>0.74771543293647225</v>
      </c>
      <c r="H262">
        <v>0.69798298284155447</v>
      </c>
    </row>
    <row r="263" spans="1:8">
      <c r="A263" s="1">
        <v>39625</v>
      </c>
      <c r="B263">
        <v>4.2673966662970146</v>
      </c>
      <c r="C263">
        <v>4.5673966662970145</v>
      </c>
      <c r="D263">
        <v>521.43895533915895</v>
      </c>
      <c r="E263">
        <v>36.962945087936532</v>
      </c>
      <c r="F263">
        <v>0.51</v>
      </c>
      <c r="G263">
        <v>0.64227219391795154</v>
      </c>
      <c r="H263">
        <v>0.62799142644401018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17BB-DAE2-4FB4-AA93-BD8BC2AA86AC}">
  <dimension ref="A1:I263"/>
  <sheetViews>
    <sheetView workbookViewId="0">
      <pane ySplit="2" topLeftCell="A245" activePane="bottomLeft" state="frozen"/>
      <selection pane="bottomLeft" activeCell="A3" sqref="A3:A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</cols>
  <sheetData>
    <row r="1" spans="1:9">
      <c r="C1" s="8" t="s">
        <v>40</v>
      </c>
      <c r="D1" s="8"/>
      <c r="E1" s="8"/>
      <c r="F1" s="8"/>
      <c r="G1" t="s">
        <v>41</v>
      </c>
      <c r="H1" t="s">
        <v>42</v>
      </c>
      <c r="I1" t="s">
        <v>43</v>
      </c>
    </row>
    <row r="2" spans="1:9" ht="69" customHeight="1">
      <c r="A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8</v>
      </c>
      <c r="H2" s="2" t="s">
        <v>7</v>
      </c>
      <c r="I2" s="2" t="s">
        <v>6</v>
      </c>
    </row>
    <row r="3" spans="1:9">
      <c r="A3" s="1">
        <v>39261</v>
      </c>
      <c r="B3" s="1" cm="1">
        <f t="array" ref="B3">_xlfn._xlws.FILTER(A3, WEEKDAY(A3, 2) &lt;= 5)</f>
        <v>39261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</row>
    <row r="4" spans="1:9">
      <c r="A4" s="1">
        <v>39262</v>
      </c>
      <c r="B4" s="1" cm="1">
        <f t="array" ref="B4">_xlfn._xlws.FILTER(A4, WEEKDAY(A4, 2) &lt;= 5)</f>
        <v>39262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0.17030000686645511</v>
      </c>
    </row>
    <row r="5" spans="1:9">
      <c r="A5" s="1">
        <v>39265</v>
      </c>
      <c r="B5" s="1" cm="1">
        <f t="array" ref="B5">_xlfn._xlws.FILTER(A5, WEEKDAY(A5, 2) &lt;= 5)</f>
        <v>39265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0.17120000839233401</v>
      </c>
    </row>
    <row r="6" spans="1:9">
      <c r="A6" s="1">
        <v>39266</v>
      </c>
      <c r="B6" s="1" cm="1">
        <f t="array" ref="B6">_xlfn._xlws.FILTER(A6, WEEKDAY(A6, 2) &lt;= 5)</f>
        <v>39266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0.17989999771118159</v>
      </c>
    </row>
    <row r="7" spans="1:9">
      <c r="A7" s="1">
        <v>39267</v>
      </c>
      <c r="B7" s="1" cm="1">
        <f t="array" ref="B7">_xlfn._xlws.FILTER(A7, WEEKDAY(A7, 2) &lt;= 5)</f>
        <v>39267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0.16870000839233401</v>
      </c>
    </row>
    <row r="8" spans="1:9">
      <c r="A8" s="1">
        <v>39268</v>
      </c>
      <c r="B8" s="1" cm="1">
        <f t="array" ref="B8">_xlfn._xlws.FILTER(A8, WEEKDAY(A8, 2) &lt;= 5)</f>
        <v>39268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0.17209999084472699</v>
      </c>
    </row>
    <row r="9" spans="1:9">
      <c r="A9" s="1">
        <v>39269</v>
      </c>
      <c r="B9" s="1" cm="1">
        <f t="array" ref="B9">_xlfn._xlws.FILTER(A9, WEEKDAY(A9, 2) &lt;= 5)</f>
        <v>39269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0.18530000686645509</v>
      </c>
    </row>
    <row r="10" spans="1:9">
      <c r="A10" s="1">
        <v>39272</v>
      </c>
      <c r="B10" s="1" cm="1">
        <f t="array" ref="B10">_xlfn._xlws.FILTER(A10, WEEKDAY(A10, 2) &lt;= 5)</f>
        <v>39272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0.2003000068664551</v>
      </c>
    </row>
    <row r="11" spans="1:9">
      <c r="A11" s="1">
        <v>39273</v>
      </c>
      <c r="B11" s="1" cm="1">
        <f t="array" ref="B11">_xlfn._xlws.FILTER(A11, WEEKDAY(A11, 2) &lt;= 5)</f>
        <v>39273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0.1913999938964844</v>
      </c>
    </row>
    <row r="12" spans="1:9">
      <c r="A12" s="1">
        <v>39274</v>
      </c>
      <c r="B12" s="1" cm="1">
        <f t="array" ref="B12">_xlfn._xlws.FILTER(A12, WEEKDAY(A12, 2) &lt;= 5)</f>
        <v>39274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0.1795000076293945</v>
      </c>
    </row>
    <row r="13" spans="1:9">
      <c r="A13" s="1">
        <v>39275</v>
      </c>
      <c r="B13" s="1" cm="1">
        <f t="array" ref="B13">_xlfn._xlws.FILTER(A13, WEEKDAY(A13, 2) &lt;= 5)</f>
        <v>39275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0.15649999618530269</v>
      </c>
    </row>
    <row r="14" spans="1:9">
      <c r="A14" s="1">
        <v>39276</v>
      </c>
      <c r="B14" s="1" cm="1">
        <f t="array" ref="B14">_xlfn._xlws.FILTER(A14, WEEKDAY(A14, 2) &lt;= 5)</f>
        <v>39276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0.1460000038146973</v>
      </c>
    </row>
    <row r="15" spans="1:9">
      <c r="A15" s="1">
        <v>39279</v>
      </c>
      <c r="B15" s="1" cm="1">
        <f t="array" ref="B15">_xlfn._xlws.FILTER(A15, WEEKDAY(A15, 2) &lt;= 5)</f>
        <v>39279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0.1472999954223633</v>
      </c>
    </row>
    <row r="16" spans="1:9">
      <c r="A16" s="1">
        <v>39280</v>
      </c>
      <c r="B16" s="1" cm="1">
        <f t="array" ref="B16">_xlfn._xlws.FILTER(A16, WEEKDAY(A16, 2) &lt;= 5)</f>
        <v>39280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0.13960000038146969</v>
      </c>
    </row>
    <row r="17" spans="1:9">
      <c r="A17" s="1">
        <v>39281</v>
      </c>
      <c r="B17" s="1" cm="1">
        <f t="array" ref="B17">_xlfn._xlws.FILTER(A17, WEEKDAY(A17, 2) &lt;= 5)</f>
        <v>39281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0.139399995803833</v>
      </c>
    </row>
    <row r="18" spans="1:9">
      <c r="A18" s="1">
        <v>39282</v>
      </c>
      <c r="B18" s="1" cm="1">
        <f t="array" ref="B18">_xlfn._xlws.FILTER(A18, WEEKDAY(A18, 2) &lt;= 5)</f>
        <v>39282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0.1501000022888184</v>
      </c>
    </row>
    <row r="19" spans="1:9">
      <c r="A19" s="1">
        <v>39283</v>
      </c>
      <c r="B19" s="1" cm="1">
        <f t="array" ref="B19">_xlfn._xlws.FILTER(A19, WEEKDAY(A19, 2) &lt;= 5)</f>
        <v>39283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0.1460999965667725</v>
      </c>
    </row>
    <row r="20" spans="1:9">
      <c r="A20" s="1">
        <v>39286</v>
      </c>
      <c r="B20" s="1" cm="1">
        <f t="array" ref="B20">_xlfn._xlws.FILTER(A20, WEEKDAY(A20, 2) &lt;= 5)</f>
        <v>39286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0.13880000114440921</v>
      </c>
    </row>
    <row r="21" spans="1:9">
      <c r="A21" s="1">
        <v>39287</v>
      </c>
      <c r="B21" s="1" cm="1">
        <f t="array" ref="B21">_xlfn._xlws.FILTER(A21, WEEKDAY(A21, 2) &lt;= 5)</f>
        <v>39287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0.14499999999999999</v>
      </c>
    </row>
    <row r="22" spans="1:9">
      <c r="A22" s="1">
        <v>39288</v>
      </c>
      <c r="B22" s="1" cm="1">
        <f t="array" ref="B22">_xlfn._xlws.FILTER(A22, WEEKDAY(A22, 2) &lt;= 5)</f>
        <v>39288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0.1353999996185303</v>
      </c>
    </row>
    <row r="23" spans="1:9">
      <c r="A23" s="1">
        <v>39289</v>
      </c>
      <c r="B23" s="1" cm="1">
        <f t="array" ref="B23">_xlfn._xlws.FILTER(A23, WEEKDAY(A23, 2) &lt;= 5)</f>
        <v>39289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0.1290999984741211</v>
      </c>
    </row>
    <row r="24" spans="1:9">
      <c r="A24" s="1">
        <v>39290</v>
      </c>
      <c r="B24" s="1" cm="1">
        <f t="array" ref="B24">_xlfn._xlws.FILTER(A24, WEEKDAY(A24, 2) &lt;= 5)</f>
        <v>39290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0.13439999580383299</v>
      </c>
    </row>
    <row r="25" spans="1:9">
      <c r="A25" s="1">
        <v>39293</v>
      </c>
      <c r="B25" s="1" cm="1">
        <f t="array" ref="B25">_xlfn._xlws.FILTER(A25, WEEKDAY(A25, 2) &lt;= 5)</f>
        <v>39293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0.14249999999999999</v>
      </c>
    </row>
    <row r="26" spans="1:9">
      <c r="A26" s="1">
        <v>39294</v>
      </c>
      <c r="B26" s="1" cm="1">
        <f t="array" ref="B26">_xlfn._xlws.FILTER(A26, WEEKDAY(A26, 2) &lt;= 5)</f>
        <v>39294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0.13739999771118161</v>
      </c>
    </row>
    <row r="27" spans="1:9">
      <c r="A27" s="1">
        <v>39295</v>
      </c>
      <c r="B27" s="1" cm="1">
        <f t="array" ref="B27">_xlfn._xlws.FILTER(A27, WEEKDAY(A27, 2) &lt;= 5)</f>
        <v>39295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0.13430000305175779</v>
      </c>
    </row>
    <row r="28" spans="1:9">
      <c r="A28" s="1">
        <v>39296</v>
      </c>
      <c r="B28" s="1" cm="1">
        <f t="array" ref="B28">_xlfn._xlws.FILTER(A28, WEEKDAY(A28, 2) &lt;= 5)</f>
        <v>39296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0.1356999969482422</v>
      </c>
    </row>
    <row r="29" spans="1:9">
      <c r="A29" s="1">
        <v>39297</v>
      </c>
      <c r="B29" s="1" cm="1">
        <f t="array" ref="B29">_xlfn._xlws.FILTER(A29, WEEKDAY(A29, 2) &lt;= 5)</f>
        <v>39297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0.1418000030517578</v>
      </c>
    </row>
    <row r="30" spans="1:9">
      <c r="A30" s="1">
        <v>39300</v>
      </c>
      <c r="B30" s="1" cm="1">
        <f t="array" ref="B30">_xlfn._xlws.FILTER(A30, WEEKDAY(A30, 2) &lt;= 5)</f>
        <v>39300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0.15439999580383301</v>
      </c>
    </row>
    <row r="31" spans="1:9">
      <c r="A31" s="1">
        <v>39301</v>
      </c>
      <c r="B31" s="1" cm="1">
        <f t="array" ref="B31">_xlfn._xlws.FILTER(A31, WEEKDAY(A31, 2) &lt;= 5)</f>
        <v>39301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0.14829999923706061</v>
      </c>
    </row>
    <row r="32" spans="1:9">
      <c r="A32" s="1">
        <v>39302</v>
      </c>
      <c r="B32" s="1" cm="1">
        <f t="array" ref="B32">_xlfn._xlws.FILTER(A32, WEEKDAY(A32, 2) &lt;= 5)</f>
        <v>39302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0.15069999694824221</v>
      </c>
    </row>
    <row r="33" spans="1:9">
      <c r="A33" s="1">
        <v>39303</v>
      </c>
      <c r="B33" s="1" cm="1">
        <f t="array" ref="B33">_xlfn._xlws.FILTER(A33, WEEKDAY(A33, 2) &lt;= 5)</f>
        <v>39303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0.13609999656677249</v>
      </c>
    </row>
    <row r="34" spans="1:9">
      <c r="A34" s="1">
        <v>39304</v>
      </c>
      <c r="B34" s="1" cm="1">
        <f t="array" ref="B34">_xlfn._xlws.FILTER(A34, WEEKDAY(A34, 2) &lt;= 5)</f>
        <v>39304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0.13340000152587889</v>
      </c>
    </row>
    <row r="35" spans="1:9">
      <c r="A35" s="1">
        <v>39307</v>
      </c>
      <c r="B35" s="1" cm="1">
        <f t="array" ref="B35">_xlfn._xlws.FILTER(A35, WEEKDAY(A35, 2) &lt;= 5)</f>
        <v>39307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0.13479999542236329</v>
      </c>
    </row>
    <row r="36" spans="1:9">
      <c r="A36" s="1">
        <v>39308</v>
      </c>
      <c r="B36" s="1" cm="1">
        <f t="array" ref="B36">_xlfn._xlws.FILTER(A36, WEEKDAY(A36, 2) &lt;= 5)</f>
        <v>39308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0.13300000190734859</v>
      </c>
    </row>
    <row r="37" spans="1:9">
      <c r="A37" s="1">
        <v>39309</v>
      </c>
      <c r="B37" s="1" cm="1">
        <f t="array" ref="B37">_xlfn._xlws.FILTER(A37, WEEKDAY(A37, 2) &lt;= 5)</f>
        <v>39309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0.13760000228881841</v>
      </c>
    </row>
    <row r="38" spans="1:9">
      <c r="A38" s="1">
        <v>39310</v>
      </c>
      <c r="B38" s="1" cm="1">
        <f t="array" ref="B38">_xlfn._xlws.FILTER(A38, WEEKDAY(A38, 2) &lt;= 5)</f>
        <v>39310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0.13909999847412111</v>
      </c>
    </row>
    <row r="39" spans="1:9">
      <c r="A39" s="1">
        <v>39311</v>
      </c>
      <c r="B39" s="1" cm="1">
        <f t="array" ref="B39">_xlfn._xlws.FILTER(A39, WEEKDAY(A39, 2) &lt;= 5)</f>
        <v>39311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0.13859999656677249</v>
      </c>
    </row>
    <row r="40" spans="1:9">
      <c r="A40" s="1">
        <v>39314</v>
      </c>
      <c r="B40" s="1" cm="1">
        <f t="array" ref="B40">_xlfn._xlws.FILTER(A40, WEEKDAY(A40, 2) &lt;= 5)</f>
        <v>39314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0.13189999580383299</v>
      </c>
    </row>
    <row r="41" spans="1:9">
      <c r="A41" s="1">
        <v>39315</v>
      </c>
      <c r="B41" s="1" cm="1">
        <f t="array" ref="B41">_xlfn._xlws.FILTER(A41, WEEKDAY(A41, 2) &lt;= 5)</f>
        <v>39315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0.14409999847412111</v>
      </c>
    </row>
    <row r="42" spans="1:9">
      <c r="A42" s="1">
        <v>39316</v>
      </c>
      <c r="B42" s="1" cm="1">
        <f t="array" ref="B42">_xlfn._xlws.FILTER(A42, WEEKDAY(A42, 2) &lt;= 5)</f>
        <v>39316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0.13329999923706051</v>
      </c>
    </row>
    <row r="43" spans="1:9">
      <c r="A43" s="1">
        <v>39317</v>
      </c>
      <c r="B43" s="1" cm="1">
        <f t="array" ref="B43">_xlfn._xlws.FILTER(A43, WEEKDAY(A43, 2) &lt;= 5)</f>
        <v>39317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0.16090000152587891</v>
      </c>
    </row>
    <row r="44" spans="1:9">
      <c r="A44" s="1">
        <v>39318</v>
      </c>
      <c r="B44" s="1" cm="1">
        <f t="array" ref="B44">_xlfn._xlws.FILTER(A44, WEEKDAY(A44, 2) &lt;= 5)</f>
        <v>39318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0.15920000076293939</v>
      </c>
    </row>
    <row r="45" spans="1:9">
      <c r="A45" s="1">
        <v>39321</v>
      </c>
      <c r="B45" s="1" cm="1">
        <f t="array" ref="B45">_xlfn._xlws.FILTER(A45, WEEKDAY(A45, 2) &lt;= 5)</f>
        <v>39321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0.17100000381469729</v>
      </c>
    </row>
    <row r="46" spans="1:9">
      <c r="A46" s="1">
        <v>39322</v>
      </c>
      <c r="B46" s="1" cm="1">
        <f t="array" ref="B46">_xlfn._xlws.FILTER(A46, WEEKDAY(A46, 2) &lt;= 5)</f>
        <v>39322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0.15770000457763669</v>
      </c>
    </row>
    <row r="47" spans="1:9">
      <c r="A47" s="1">
        <v>39323</v>
      </c>
      <c r="B47" s="1" cm="1">
        <f t="array" ref="B47">_xlfn._xlws.FILTER(A47, WEEKDAY(A47, 2) &lt;= 5)</f>
        <v>39323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0.1598999977111816</v>
      </c>
    </row>
    <row r="48" spans="1:9">
      <c r="A48" s="1">
        <v>39324</v>
      </c>
      <c r="B48" s="1" cm="1">
        <f t="array" ref="B48">_xlfn._xlws.FILTER(A48, WEEKDAY(A48, 2) &lt;= 5)</f>
        <v>39324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0.1484000015258789</v>
      </c>
    </row>
    <row r="49" spans="1:9">
      <c r="A49" s="1">
        <v>39325</v>
      </c>
      <c r="B49" s="1" cm="1">
        <f t="array" ref="B49">_xlfn._xlws.FILTER(A49, WEEKDAY(A49, 2) &lt;= 5)</f>
        <v>39325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0.14819999694824221</v>
      </c>
    </row>
    <row r="50" spans="1:9">
      <c r="A50" s="1">
        <v>39328</v>
      </c>
      <c r="B50" s="1" cm="1">
        <f t="array" ref="B50">_xlfn._xlws.FILTER(A50, WEEKDAY(A50, 2) &lt;= 5)</f>
        <v>39328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0.1645999908447266</v>
      </c>
    </row>
    <row r="51" spans="1:9">
      <c r="A51" s="1">
        <v>39329</v>
      </c>
      <c r="B51" s="1" cm="1">
        <f t="array" ref="B51">_xlfn._xlws.FILTER(A51, WEEKDAY(A51, 2) &lt;= 5)</f>
        <v>39329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0.1678000068664551</v>
      </c>
    </row>
    <row r="52" spans="1:9">
      <c r="A52" s="1">
        <v>39330</v>
      </c>
      <c r="B52" s="1" cm="1">
        <f t="array" ref="B52">_xlfn._xlws.FILTER(A52, WEEKDAY(A52, 2) &lt;= 5)</f>
        <v>39330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0.17889999389648439</v>
      </c>
    </row>
    <row r="53" spans="1:9">
      <c r="A53" s="1">
        <v>39331</v>
      </c>
      <c r="B53" s="1" cm="1">
        <f t="array" ref="B53">_xlfn._xlws.FILTER(A53, WEEKDAY(A53, 2) &lt;= 5)</f>
        <v>39331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0.16969999313354489</v>
      </c>
    </row>
    <row r="54" spans="1:9">
      <c r="A54" s="1">
        <v>39332</v>
      </c>
      <c r="B54" s="1" cm="1">
        <f t="array" ref="B54">_xlfn._xlws.FILTER(A54, WEEKDAY(A54, 2) &lt;= 5)</f>
        <v>39332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0.15979999542236331</v>
      </c>
    </row>
    <row r="55" spans="1:9">
      <c r="A55" s="1">
        <v>39335</v>
      </c>
      <c r="B55" s="1" cm="1">
        <f t="array" ref="B55">_xlfn._xlws.FILTER(A55, WEEKDAY(A55, 2) &lt;= 5)</f>
        <v>39335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0.17200000762939449</v>
      </c>
    </row>
    <row r="56" spans="1:9">
      <c r="A56" s="1">
        <v>39336</v>
      </c>
      <c r="B56" s="1" cm="1">
        <f t="array" ref="B56">_xlfn._xlws.FILTER(A56, WEEKDAY(A56, 2) &lt;= 5)</f>
        <v>39336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0.15680000305175781</v>
      </c>
    </row>
    <row r="57" spans="1:9">
      <c r="A57" s="1">
        <v>39337</v>
      </c>
      <c r="B57" s="1" cm="1">
        <f t="array" ref="B57">_xlfn._xlws.FILTER(A57, WEEKDAY(A57, 2) &lt;= 5)</f>
        <v>39337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0.15079999923706061</v>
      </c>
    </row>
    <row r="58" spans="1:9">
      <c r="A58" s="1">
        <v>39338</v>
      </c>
      <c r="B58" s="1" cm="1">
        <f t="array" ref="B58">_xlfn._xlws.FILTER(A58, WEEKDAY(A58, 2) &lt;= 5)</f>
        <v>39338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0.1356999969482422</v>
      </c>
    </row>
    <row r="59" spans="1:9">
      <c r="A59" s="1">
        <v>39339</v>
      </c>
      <c r="B59" s="1" cm="1">
        <f t="array" ref="B59">_xlfn._xlws.FILTER(A59, WEEKDAY(A59, 2) &lt;= 5)</f>
        <v>39339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0.13090000152587891</v>
      </c>
    </row>
    <row r="60" spans="1:9">
      <c r="A60" s="1">
        <v>39342</v>
      </c>
      <c r="B60" s="1" cm="1">
        <f t="array" ref="B60">_xlfn._xlws.FILTER(A60, WEEKDAY(A60, 2) &lt;= 5)</f>
        <v>39342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0.14010000228881839</v>
      </c>
    </row>
    <row r="61" spans="1:9">
      <c r="A61" s="1">
        <v>39343</v>
      </c>
      <c r="B61" s="1" cm="1">
        <f t="array" ref="B61">_xlfn._xlws.FILTER(A61, WEEKDAY(A61, 2) &lt;= 5)</f>
        <v>39343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0.1444999980926514</v>
      </c>
    </row>
    <row r="62" spans="1:9">
      <c r="A62" s="1">
        <v>39344</v>
      </c>
      <c r="B62" s="1" cm="1">
        <f t="array" ref="B62">_xlfn._xlws.FILTER(A62, WEEKDAY(A62, 2) &lt;= 5)</f>
        <v>39344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0.14399999618530271</v>
      </c>
    </row>
    <row r="63" spans="1:9">
      <c r="A63" s="1">
        <v>39345</v>
      </c>
      <c r="B63" s="1" cm="1">
        <f t="array" ref="B63">_xlfn._xlws.FILTER(A63, WEEKDAY(A63, 2) &lt;= 5)</f>
        <v>39345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0.1422999954223633</v>
      </c>
    </row>
    <row r="64" spans="1:9">
      <c r="A64" s="1">
        <v>39346</v>
      </c>
      <c r="B64" s="1" cm="1">
        <f t="array" ref="B64">_xlfn._xlws.FILTER(A64, WEEKDAY(A64, 2) &lt;= 5)</f>
        <v>39346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0.13479999542236329</v>
      </c>
    </row>
    <row r="65" spans="1:9">
      <c r="A65" s="1">
        <v>39349</v>
      </c>
      <c r="B65" s="1" cm="1">
        <f t="array" ref="B65">_xlfn._xlws.FILTER(A65, WEEKDAY(A65, 2) &lt;= 5)</f>
        <v>39349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0.12819999694824219</v>
      </c>
    </row>
    <row r="66" spans="1:9">
      <c r="A66" s="1">
        <v>39350</v>
      </c>
      <c r="B66" s="1" cm="1">
        <f t="array" ref="B66">_xlfn._xlws.FILTER(A66, WEEKDAY(A66, 2) &lt;= 5)</f>
        <v>39350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0.13789999961853031</v>
      </c>
    </row>
    <row r="67" spans="1:9">
      <c r="A67" s="1">
        <v>39351</v>
      </c>
      <c r="B67" s="1" cm="1">
        <f t="array" ref="B67">_xlfn._xlws.FILTER(A67, WEEKDAY(A67, 2) &lt;= 5)</f>
        <v>39351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0.14000000000000001</v>
      </c>
    </row>
    <row r="68" spans="1:9">
      <c r="A68" s="1">
        <v>39352</v>
      </c>
      <c r="B68" s="1" cm="1">
        <f t="array" ref="B68">_xlfn._xlws.FILTER(A68, WEEKDAY(A68, 2) &lt;= 5)</f>
        <v>39352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0.1754000091552734</v>
      </c>
    </row>
    <row r="69" spans="1:9">
      <c r="A69" s="1">
        <v>39353</v>
      </c>
      <c r="B69" s="1" cm="1">
        <f t="array" ref="B69">_xlfn._xlws.FILTER(A69, WEEKDAY(A69, 2) &lt;= 5)</f>
        <v>39353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0.17200000762939449</v>
      </c>
    </row>
    <row r="70" spans="1:9">
      <c r="A70" s="1">
        <v>39356</v>
      </c>
      <c r="B70" s="1" cm="1">
        <f t="array" ref="B70">_xlfn._xlws.FILTER(A70, WEEKDAY(A70, 2) &lt;= 5)</f>
        <v>39356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0.1689999961853027</v>
      </c>
    </row>
    <row r="71" spans="1:9">
      <c r="A71" s="1">
        <v>39357</v>
      </c>
      <c r="B71" s="1" cm="1">
        <f t="array" ref="B71">_xlfn._xlws.FILTER(A71, WEEKDAY(A71, 2) &lt;= 5)</f>
        <v>39357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0.18940000534057619</v>
      </c>
    </row>
    <row r="72" spans="1:9">
      <c r="A72" s="1">
        <v>39358</v>
      </c>
      <c r="B72" s="1" cm="1">
        <f t="array" ref="B72">_xlfn._xlws.FILTER(A72, WEEKDAY(A72, 2) &lt;= 5)</f>
        <v>39358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0.1821999931335449</v>
      </c>
    </row>
    <row r="73" spans="1:9">
      <c r="A73" s="1">
        <v>39359</v>
      </c>
      <c r="B73" s="1" cm="1">
        <f t="array" ref="B73">_xlfn._xlws.FILTER(A73, WEEKDAY(A73, 2) &lt;= 5)</f>
        <v>39359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0.17610000610351559</v>
      </c>
    </row>
    <row r="74" spans="1:9">
      <c r="A74" s="1">
        <v>39360</v>
      </c>
      <c r="B74" s="1" cm="1">
        <f t="array" ref="B74">_xlfn._xlws.FILTER(A74, WEEKDAY(A74, 2) &lt;= 5)</f>
        <v>39360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0.1978000068664551</v>
      </c>
    </row>
    <row r="75" spans="1:9">
      <c r="A75" s="1">
        <v>39363</v>
      </c>
      <c r="B75" s="1" cm="1">
        <f t="array" ref="B75">_xlfn._xlws.FILTER(A75, WEEKDAY(A75, 2) &lt;= 5)</f>
        <v>39363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0.18579999923706059</v>
      </c>
    </row>
    <row r="76" spans="1:9">
      <c r="A76" s="1">
        <v>39364</v>
      </c>
      <c r="B76" s="1" cm="1">
        <f t="array" ref="B76">_xlfn._xlws.FILTER(A76, WEEKDAY(A76, 2) &lt;= 5)</f>
        <v>39364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0.18489999771118171</v>
      </c>
    </row>
    <row r="77" spans="1:9">
      <c r="A77" s="1">
        <v>39365</v>
      </c>
      <c r="B77" s="1" cm="1">
        <f t="array" ref="B77">_xlfn._xlws.FILTER(A77, WEEKDAY(A77, 2) &lt;= 5)</f>
        <v>39365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0.17450000762939449</v>
      </c>
    </row>
    <row r="78" spans="1:9">
      <c r="A78" s="1">
        <v>39366</v>
      </c>
      <c r="B78" s="1" cm="1">
        <f t="array" ref="B78">_xlfn._xlws.FILTER(A78, WEEKDAY(A78, 2) &lt;= 5)</f>
        <v>39366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0.16090000152587891</v>
      </c>
    </row>
    <row r="79" spans="1:9">
      <c r="A79" s="1">
        <v>39367</v>
      </c>
      <c r="B79" s="1" cm="1">
        <f t="array" ref="B79">_xlfn._xlws.FILTER(A79, WEEKDAY(A79, 2) &lt;= 5)</f>
        <v>39367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0.1669000053405762</v>
      </c>
    </row>
    <row r="80" spans="1:9">
      <c r="A80" s="1">
        <v>39370</v>
      </c>
      <c r="B80" s="1" cm="1">
        <f t="array" ref="B80">_xlfn._xlws.FILTER(A80, WEEKDAY(A80, 2) &lt;= 5)</f>
        <v>39370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0.19319999694824219</v>
      </c>
    </row>
    <row r="81" spans="1:9">
      <c r="A81" s="1">
        <v>39371</v>
      </c>
      <c r="B81" s="1" cm="1">
        <f t="array" ref="B81">_xlfn._xlws.FILTER(A81, WEEKDAY(A81, 2) &lt;= 5)</f>
        <v>39371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0.1720999908447266</v>
      </c>
    </row>
    <row r="82" spans="1:9">
      <c r="A82" s="1">
        <v>39372</v>
      </c>
      <c r="B82" s="1" cm="1">
        <f t="array" ref="B82">_xlfn._xlws.FILTER(A82, WEEKDAY(A82, 2) &lt;= 5)</f>
        <v>39372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0.17879999160766599</v>
      </c>
    </row>
    <row r="83" spans="1:9">
      <c r="A83" s="1">
        <v>39373</v>
      </c>
      <c r="B83" s="1" cm="1">
        <f t="array" ref="B83">_xlfn._xlws.FILTER(A83, WEEKDAY(A83, 2) &lt;= 5)</f>
        <v>39373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0.21709999084472659</v>
      </c>
    </row>
    <row r="84" spans="1:9">
      <c r="A84" s="1">
        <v>39374</v>
      </c>
      <c r="B84" s="1" cm="1">
        <f t="array" ref="B84">_xlfn._xlws.FILTER(A84, WEEKDAY(A84, 2) &lt;= 5)</f>
        <v>39374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0.20370000839233399</v>
      </c>
    </row>
    <row r="85" spans="1:9">
      <c r="A85" s="1">
        <v>39377</v>
      </c>
      <c r="B85" s="1" cm="1">
        <f t="array" ref="B85">_xlfn._xlws.FILTER(A85, WEEKDAY(A85, 2) &lt;= 5)</f>
        <v>39377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0.18969999313354491</v>
      </c>
    </row>
    <row r="86" spans="1:9">
      <c r="A86" s="1">
        <v>39378</v>
      </c>
      <c r="B86" s="1" cm="1">
        <f t="array" ref="B86">_xlfn._xlws.FILTER(A86, WEEKDAY(A86, 2) &lt;= 5)</f>
        <v>39378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0.2019000053405762</v>
      </c>
    </row>
    <row r="87" spans="1:9">
      <c r="A87" s="1">
        <v>39379</v>
      </c>
      <c r="B87" s="1" cm="1">
        <f t="array" ref="B87">_xlfn._xlws.FILTER(A87, WEEKDAY(A87, 2) &lt;= 5)</f>
        <v>39379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0.2068000030517578</v>
      </c>
    </row>
    <row r="88" spans="1:9">
      <c r="A88" s="1">
        <v>39380</v>
      </c>
      <c r="B88" s="1" cm="1">
        <f t="array" ref="B88">_xlfn._xlws.FILTER(A88, WEEKDAY(A88, 2) &lt;= 5)</f>
        <v>39380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0.1813999938964844</v>
      </c>
    </row>
    <row r="89" spans="1:9">
      <c r="A89" s="1">
        <v>39381</v>
      </c>
      <c r="B89" s="1" cm="1">
        <f t="array" ref="B89">_xlfn._xlws.FILTER(A89, WEEKDAY(A89, 2) &lt;= 5)</f>
        <v>39381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0.16870000839233401</v>
      </c>
    </row>
    <row r="90" spans="1:9">
      <c r="A90" s="1">
        <v>39384</v>
      </c>
      <c r="B90" s="1" cm="1">
        <f t="array" ref="B90">_xlfn._xlws.FILTER(A90, WEEKDAY(A90, 2) &lt;= 5)</f>
        <v>39384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0.15659999847412109</v>
      </c>
    </row>
    <row r="91" spans="1:9">
      <c r="A91" s="1">
        <v>39385</v>
      </c>
      <c r="B91" s="1" cm="1">
        <f t="array" ref="B91">_xlfn._xlws.FILTER(A91, WEEKDAY(A91, 2) &lt;= 5)</f>
        <v>39385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0.14909999847412109</v>
      </c>
    </row>
    <row r="92" spans="1:9">
      <c r="A92" s="1">
        <v>39386</v>
      </c>
      <c r="B92" s="1" cm="1">
        <f t="array" ref="B92">_xlfn._xlws.FILTER(A92, WEEKDAY(A92, 2) &lt;= 5)</f>
        <v>39386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0.14890000343322751</v>
      </c>
    </row>
    <row r="93" spans="1:9">
      <c r="A93" s="1">
        <v>39387</v>
      </c>
      <c r="B93" s="1" cm="1">
        <f t="array" ref="B93">_xlfn._xlws.FILTER(A93, WEEKDAY(A93, 2) &lt;= 5)</f>
        <v>39387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0.15289999961853029</v>
      </c>
    </row>
    <row r="94" spans="1:9">
      <c r="A94" s="1">
        <v>39388</v>
      </c>
      <c r="B94" s="1" cm="1">
        <f t="array" ref="B94">_xlfn._xlws.FILTER(A94, WEEKDAY(A94, 2) &lt;= 5)</f>
        <v>39388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0.14170000076293951</v>
      </c>
    </row>
    <row r="95" spans="1:9">
      <c r="A95" s="1">
        <v>39391</v>
      </c>
      <c r="B95" s="1" cm="1">
        <f t="array" ref="B95">_xlfn._xlws.FILTER(A95, WEEKDAY(A95, 2) &lt;= 5)</f>
        <v>39391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0.14760000228881839</v>
      </c>
    </row>
    <row r="96" spans="1:9">
      <c r="A96" s="1">
        <v>39392</v>
      </c>
      <c r="B96" s="1" cm="1">
        <f t="array" ref="B96">_xlfn._xlws.FILTER(A96, WEEKDAY(A96, 2) &lt;= 5)</f>
        <v>39392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0.14159999847412111</v>
      </c>
    </row>
    <row r="97" spans="1:9">
      <c r="A97" s="1">
        <v>39393</v>
      </c>
      <c r="B97" s="1" cm="1">
        <f t="array" ref="B97">_xlfn._xlws.FILTER(A97, WEEKDAY(A97, 2) &lt;= 5)</f>
        <v>39393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0.1418000030517578</v>
      </c>
    </row>
    <row r="98" spans="1:9">
      <c r="A98" s="1">
        <v>39394</v>
      </c>
      <c r="B98" s="1" cm="1">
        <f t="array" ref="B98">_xlfn._xlws.FILTER(A98, WEEKDAY(A98, 2) &lt;= 5)</f>
        <v>39394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0.1340999984741211</v>
      </c>
    </row>
    <row r="99" spans="1:9">
      <c r="A99" s="1">
        <v>39395</v>
      </c>
      <c r="B99" s="1" cm="1">
        <f t="array" ref="B99">_xlfn._xlws.FILTER(A99, WEEKDAY(A99, 2) &lt;= 5)</f>
        <v>39395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0.13350000381469729</v>
      </c>
    </row>
    <row r="100" spans="1:9">
      <c r="A100" s="1">
        <v>39398</v>
      </c>
      <c r="B100" s="1" cm="1">
        <f t="array" ref="B100">_xlfn._xlws.FILTER(A100, WEEKDAY(A100, 2) &lt;= 5)</f>
        <v>39398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0.12850000381469731</v>
      </c>
    </row>
    <row r="101" spans="1:9">
      <c r="A101" s="1">
        <v>39399</v>
      </c>
      <c r="B101" s="1" cm="1">
        <f t="array" ref="B101">_xlfn._xlws.FILTER(A101, WEEKDAY(A101, 2) &lt;= 5)</f>
        <v>39399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0.12460000038146971</v>
      </c>
    </row>
    <row r="102" spans="1:9">
      <c r="A102" s="1">
        <v>39400</v>
      </c>
      <c r="B102" s="1" cm="1">
        <f t="array" ref="B102">_xlfn._xlws.FILTER(A102, WEEKDAY(A102, 2) &lt;= 5)</f>
        <v>39400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0.12689999580383299</v>
      </c>
    </row>
    <row r="103" spans="1:9">
      <c r="A103" s="1">
        <v>39401</v>
      </c>
      <c r="B103" s="1" cm="1">
        <f t="array" ref="B103">_xlfn._xlws.FILTER(A103, WEEKDAY(A103, 2) &lt;= 5)</f>
        <v>39401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0.12920000076293939</v>
      </c>
    </row>
    <row r="104" spans="1:9">
      <c r="A104" s="1">
        <v>39402</v>
      </c>
      <c r="B104" s="1" cm="1">
        <f t="array" ref="B104">_xlfn._xlws.FILTER(A104, WEEKDAY(A104, 2) &lt;= 5)</f>
        <v>39402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0.1263000011444092</v>
      </c>
    </row>
    <row r="105" spans="1:9">
      <c r="A105" s="1">
        <v>39405</v>
      </c>
      <c r="B105" s="1" cm="1">
        <f t="array" ref="B105">_xlfn._xlws.FILTER(A105, WEEKDAY(A105, 2) &lt;= 5)</f>
        <v>39405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0.13079999923706051</v>
      </c>
    </row>
    <row r="106" spans="1:9">
      <c r="A106" s="1">
        <v>39406</v>
      </c>
      <c r="B106" s="1" cm="1">
        <f t="array" ref="B106">_xlfn._xlws.FILTER(A106, WEEKDAY(A106, 2) &lt;= 5)</f>
        <v>39406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0.12850000381469731</v>
      </c>
    </row>
    <row r="107" spans="1:9">
      <c r="A107" s="1">
        <v>39407</v>
      </c>
      <c r="B107" s="1" cm="1">
        <f t="array" ref="B107">_xlfn._xlws.FILTER(A107, WEEKDAY(A107, 2) &lt;= 5)</f>
        <v>39407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0.12970000267028811</v>
      </c>
    </row>
    <row r="108" spans="1:9">
      <c r="A108" s="1">
        <v>39408</v>
      </c>
      <c r="B108" s="1" cm="1">
        <f t="array" ref="B108">_xlfn._xlws.FILTER(A108, WEEKDAY(A108, 2) &lt;= 5)</f>
        <v>39408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0.1263000011444092</v>
      </c>
    </row>
    <row r="109" spans="1:9">
      <c r="A109" s="1">
        <v>39409</v>
      </c>
      <c r="B109" s="1" cm="1">
        <f t="array" ref="B109">_xlfn._xlws.FILTER(A109, WEEKDAY(A109, 2) &lt;= 5)</f>
        <v>39409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0.1206999969482422</v>
      </c>
    </row>
    <row r="110" spans="1:9">
      <c r="A110" s="1">
        <v>39412</v>
      </c>
      <c r="B110" s="1" cm="1">
        <f t="array" ref="B110">_xlfn._xlws.FILTER(A110, WEEKDAY(A110, 2) &lt;= 5)</f>
        <v>39412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0.121899995803833</v>
      </c>
    </row>
    <row r="111" spans="1:9">
      <c r="A111" s="1">
        <v>39413</v>
      </c>
      <c r="B111" s="1" cm="1">
        <f t="array" ref="B111">_xlfn._xlws.FILTER(A111, WEEKDAY(A111, 2) &lt;= 5)</f>
        <v>39413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0.12479999542236329</v>
      </c>
    </row>
    <row r="112" spans="1:9">
      <c r="A112" s="1">
        <v>39414</v>
      </c>
      <c r="B112" s="1" cm="1">
        <f t="array" ref="B112">_xlfn._xlws.FILTER(A112, WEEKDAY(A112, 2) &lt;= 5)</f>
        <v>39414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0.1227999973297119</v>
      </c>
    </row>
    <row r="113" spans="1:9">
      <c r="A113" s="1">
        <v>39415</v>
      </c>
      <c r="B113" s="1" cm="1">
        <f t="array" ref="B113">_xlfn._xlws.FILTER(A113, WEEKDAY(A113, 2) &lt;= 5)</f>
        <v>39415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0.13670000076293939</v>
      </c>
    </row>
    <row r="114" spans="1:9">
      <c r="A114" s="1">
        <v>39416</v>
      </c>
      <c r="B114" s="1" cm="1">
        <f t="array" ref="B114">_xlfn._xlws.FILTER(A114, WEEKDAY(A114, 2) &lt;= 5)</f>
        <v>39416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0.1364999961853027</v>
      </c>
    </row>
    <row r="115" spans="1:9">
      <c r="A115" s="1">
        <v>39419</v>
      </c>
      <c r="B115" s="1" cm="1">
        <f t="array" ref="B115">_xlfn._xlws.FILTER(A115, WEEKDAY(A115, 2) &lt;= 5)</f>
        <v>39419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0.1302999973297119</v>
      </c>
    </row>
    <row r="116" spans="1:9">
      <c r="A116" s="1">
        <v>39420</v>
      </c>
      <c r="B116" s="1" cm="1">
        <f t="array" ref="B116">_xlfn._xlws.FILTER(A116, WEEKDAY(A116, 2) &lt;= 5)</f>
        <v>39420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0.1298999977111816</v>
      </c>
    </row>
    <row r="117" spans="1:9">
      <c r="A117" s="1">
        <v>39421</v>
      </c>
      <c r="B117" s="1" cm="1">
        <f t="array" ref="B117">_xlfn._xlws.FILTER(A117, WEEKDAY(A117, 2) &lt;= 5)</f>
        <v>39421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0.1243000030517578</v>
      </c>
    </row>
    <row r="118" spans="1:9">
      <c r="A118" s="1">
        <v>39422</v>
      </c>
      <c r="B118" s="1" cm="1">
        <f t="array" ref="B118">_xlfn._xlws.FILTER(A118, WEEKDAY(A118, 2) &lt;= 5)</f>
        <v>39422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0.13199999809265139</v>
      </c>
    </row>
    <row r="119" spans="1:9">
      <c r="A119" s="1">
        <v>39423</v>
      </c>
      <c r="B119" s="1" cm="1">
        <f t="array" ref="B119">_xlfn._xlws.FILTER(A119, WEEKDAY(A119, 2) &lt;= 5)</f>
        <v>39423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0.14039999961853031</v>
      </c>
    </row>
    <row r="120" spans="1:9">
      <c r="A120" s="1">
        <v>39426</v>
      </c>
      <c r="B120" s="1" cm="1">
        <f t="array" ref="B120">_xlfn._xlws.FILTER(A120, WEEKDAY(A120, 2) &lt;= 5)</f>
        <v>39426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0.14130000114440919</v>
      </c>
    </row>
    <row r="121" spans="1:9">
      <c r="A121" s="1">
        <v>39427</v>
      </c>
      <c r="B121" s="1" cm="1">
        <f t="array" ref="B121">_xlfn._xlws.FILTER(A121, WEEKDAY(A121, 2) &lt;= 5)</f>
        <v>39427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0.13350000381469729</v>
      </c>
    </row>
    <row r="122" spans="1:9">
      <c r="A122" s="1">
        <v>39428</v>
      </c>
      <c r="B122" s="1" cm="1">
        <f t="array" ref="B122">_xlfn._xlws.FILTER(A122, WEEKDAY(A122, 2) &lt;= 5)</f>
        <v>39428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0.13079999923706051</v>
      </c>
    </row>
    <row r="123" spans="1:9">
      <c r="A123" s="1">
        <v>39429</v>
      </c>
      <c r="B123" s="1" cm="1">
        <f t="array" ref="B123">_xlfn._xlws.FILTER(A123, WEEKDAY(A123, 2) &lt;= 5)</f>
        <v>39429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0.124399995803833</v>
      </c>
    </row>
    <row r="124" spans="1:9">
      <c r="A124" s="1">
        <v>39430</v>
      </c>
      <c r="B124" s="1" cm="1">
        <f t="array" ref="B124">_xlfn._xlws.FILTER(A124, WEEKDAY(A124, 2) &lt;= 5)</f>
        <v>39430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0.12699999809265139</v>
      </c>
    </row>
    <row r="125" spans="1:9">
      <c r="A125" s="1">
        <v>39433</v>
      </c>
      <c r="B125" s="1" cm="1">
        <f t="array" ref="B125">_xlfn._xlws.FILTER(A125, WEEKDAY(A125, 2) &lt;= 5)</f>
        <v>39433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0.13840000152587889</v>
      </c>
    </row>
    <row r="126" spans="1:9">
      <c r="A126" s="1">
        <v>39434</v>
      </c>
      <c r="B126" s="1" cm="1">
        <f t="array" ref="B126">_xlfn._xlws.FILTER(A126, WEEKDAY(A126, 2) &lt;= 5)</f>
        <v>39434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0.14789999961853029</v>
      </c>
    </row>
    <row r="127" spans="1:9">
      <c r="A127" s="1">
        <v>39435</v>
      </c>
      <c r="B127" s="1" cm="1">
        <f t="array" ref="B127">_xlfn._xlws.FILTER(A127, WEEKDAY(A127, 2) &lt;= 5)</f>
        <v>39435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0.14130000114440919</v>
      </c>
    </row>
    <row r="128" spans="1:9">
      <c r="A128" s="1">
        <v>39436</v>
      </c>
      <c r="B128" s="1" cm="1">
        <f t="array" ref="B128">_xlfn._xlws.FILTER(A128, WEEKDAY(A128, 2) &lt;= 5)</f>
        <v>39436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0.12550000190734861</v>
      </c>
    </row>
    <row r="129" spans="1:9">
      <c r="A129" s="1">
        <v>39437</v>
      </c>
      <c r="B129" s="1" cm="1">
        <f t="array" ref="B129">_xlfn._xlws.FILTER(A129, WEEKDAY(A129, 2) &lt;= 5)</f>
        <v>39437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0.13140000343322761</v>
      </c>
    </row>
    <row r="130" spans="1:9">
      <c r="A130" s="1">
        <v>39440</v>
      </c>
      <c r="B130" s="1" cm="1">
        <f t="array" ref="B130">_xlfn._xlws.FILTER(A130, WEEKDAY(A130, 2) &lt;= 5)</f>
        <v>39440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0.1344999980926514</v>
      </c>
    </row>
    <row r="131" spans="1:9">
      <c r="A131" s="1">
        <v>39441</v>
      </c>
      <c r="B131" s="1" cm="1">
        <f t="array" ref="B131">_xlfn._xlws.FILTER(A131, WEEKDAY(A131, 2) &lt;= 5)</f>
        <v>39441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0.13260000228881841</v>
      </c>
    </row>
    <row r="132" spans="1:9">
      <c r="A132" s="1">
        <v>39442</v>
      </c>
      <c r="B132" s="1" cm="1">
        <f t="array" ref="B132">_xlfn._xlws.FILTER(A132, WEEKDAY(A132, 2) &lt;= 5)</f>
        <v>39442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0.13600000381469729</v>
      </c>
    </row>
    <row r="133" spans="1:9">
      <c r="A133" s="1">
        <v>39443</v>
      </c>
      <c r="B133" s="1" cm="1">
        <f t="array" ref="B133">_xlfn._xlws.FILTER(A133, WEEKDAY(A133, 2) &lt;= 5)</f>
        <v>39443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0.13880000114440921</v>
      </c>
    </row>
    <row r="134" spans="1:9">
      <c r="A134" s="1">
        <v>39444</v>
      </c>
      <c r="B134" s="1" cm="1">
        <f t="array" ref="B134">_xlfn._xlws.FILTER(A134, WEEKDAY(A134, 2) &lt;= 5)</f>
        <v>39444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0.13850000381469729</v>
      </c>
    </row>
    <row r="135" spans="1:9">
      <c r="A135" s="1">
        <v>39447</v>
      </c>
      <c r="B135" s="1" cm="1">
        <f t="array" ref="B135">_xlfn._xlws.FILTER(A135, WEEKDAY(A135, 2) &lt;= 5)</f>
        <v>39447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0.13670000076293939</v>
      </c>
    </row>
    <row r="136" spans="1:9">
      <c r="A136" s="1">
        <v>39448</v>
      </c>
      <c r="B136" s="1" cm="1">
        <f t="array" ref="B136">_xlfn._xlws.FILTER(A136, WEEKDAY(A136, 2) &lt;= 5)</f>
        <v>39448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0.13060000419616699</v>
      </c>
    </row>
    <row r="137" spans="1:9">
      <c r="A137" s="1">
        <v>39449</v>
      </c>
      <c r="B137" s="1" cm="1">
        <f t="array" ref="B137">_xlfn._xlws.FILTER(A137, WEEKDAY(A137, 2) &lt;= 5)</f>
        <v>39449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0.12829999923706051</v>
      </c>
    </row>
    <row r="138" spans="1:9">
      <c r="A138" s="1">
        <v>39450</v>
      </c>
      <c r="B138" s="1" cm="1">
        <f t="array" ref="B138">_xlfn._xlws.FILTER(A138, WEEKDAY(A138, 2) &lt;= 5)</f>
        <v>39450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0.1393000030517578</v>
      </c>
    </row>
    <row r="139" spans="1:9">
      <c r="A139" s="1">
        <v>39451</v>
      </c>
      <c r="B139" s="1" cm="1">
        <f t="array" ref="B139">_xlfn._xlws.FILTER(A139, WEEKDAY(A139, 2) &lt;= 5)</f>
        <v>39451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0.15850000381469731</v>
      </c>
    </row>
    <row r="140" spans="1:9">
      <c r="A140" s="1">
        <v>39454</v>
      </c>
      <c r="B140" s="1" cm="1">
        <f t="array" ref="B140">_xlfn._xlws.FILTER(A140, WEEKDAY(A140, 2) &lt;= 5)</f>
        <v>39454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0.14380000114440919</v>
      </c>
    </row>
    <row r="141" spans="1:9">
      <c r="A141" s="1">
        <v>39455</v>
      </c>
      <c r="B141" s="1" cm="1">
        <f t="array" ref="B141">_xlfn._xlws.FILTER(A141, WEEKDAY(A141, 2) &lt;= 5)</f>
        <v>39455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0.14010000228881839</v>
      </c>
    </row>
    <row r="142" spans="1:9">
      <c r="A142" s="1">
        <v>39456</v>
      </c>
      <c r="B142" s="1" cm="1">
        <f t="array" ref="B142">_xlfn._xlws.FILTER(A142, WEEKDAY(A142, 2) &lt;= 5)</f>
        <v>39456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0.14239999771118159</v>
      </c>
    </row>
    <row r="143" spans="1:9">
      <c r="A143" s="1">
        <v>39457</v>
      </c>
      <c r="B143" s="1" cm="1">
        <f t="array" ref="B143">_xlfn._xlws.FILTER(A143, WEEKDAY(A143, 2) &lt;= 5)</f>
        <v>39457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0.14539999961853031</v>
      </c>
    </row>
    <row r="144" spans="1:9">
      <c r="A144" s="1">
        <v>39458</v>
      </c>
      <c r="B144" s="1" cm="1">
        <f t="array" ref="B144">_xlfn._xlws.FILTER(A144, WEEKDAY(A144, 2) &lt;= 5)</f>
        <v>39458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0.13750000000000001</v>
      </c>
    </row>
    <row r="145" spans="1:9">
      <c r="A145" s="1">
        <v>39461</v>
      </c>
      <c r="B145" s="1" cm="1">
        <f t="array" ref="B145">_xlfn._xlws.FILTER(A145, WEEKDAY(A145, 2) &lt;= 5)</f>
        <v>39461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0.13739999771118161</v>
      </c>
    </row>
    <row r="146" spans="1:9">
      <c r="A146" s="1">
        <v>39462</v>
      </c>
      <c r="B146" s="1" cm="1">
        <f t="array" ref="B146">_xlfn._xlws.FILTER(A146, WEEKDAY(A146, 2) &lt;= 5)</f>
        <v>39462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0.13430000305175779</v>
      </c>
    </row>
    <row r="147" spans="1:9">
      <c r="A147" s="1">
        <v>39463</v>
      </c>
      <c r="B147" s="1" cm="1">
        <f t="array" ref="B147">_xlfn._xlws.FILTER(A147, WEEKDAY(A147, 2) &lt;= 5)</f>
        <v>39463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0.13840000152587889</v>
      </c>
    </row>
    <row r="148" spans="1:9">
      <c r="A148" s="1">
        <v>39464</v>
      </c>
      <c r="B148" s="1" cm="1">
        <f t="array" ref="B148">_xlfn._xlws.FILTER(A148, WEEKDAY(A148, 2) &lt;= 5)</f>
        <v>39464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0.13489999771118161</v>
      </c>
    </row>
    <row r="149" spans="1:9">
      <c r="A149" s="1">
        <v>39465</v>
      </c>
      <c r="B149" s="1" cm="1">
        <f t="array" ref="B149">_xlfn._xlws.FILTER(A149, WEEKDAY(A149, 2) &lt;= 5)</f>
        <v>39465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0.1446000003814697</v>
      </c>
    </row>
    <row r="150" spans="1:9">
      <c r="A150" s="1">
        <v>39468</v>
      </c>
      <c r="B150" s="1" cm="1">
        <f t="array" ref="B150">_xlfn._xlws.FILTER(A150, WEEKDAY(A150, 2) &lt;= 5)</f>
        <v>39468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0.14499999999999999</v>
      </c>
    </row>
    <row r="151" spans="1:9">
      <c r="A151" s="1">
        <v>39469</v>
      </c>
      <c r="B151" s="1" cm="1">
        <f t="array" ref="B151">_xlfn._xlws.FILTER(A151, WEEKDAY(A151, 2) &lt;= 5)</f>
        <v>39469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0.144399995803833</v>
      </c>
    </row>
    <row r="152" spans="1:9">
      <c r="A152" s="1">
        <v>39470</v>
      </c>
      <c r="B152" s="1" cm="1">
        <f t="array" ref="B152">_xlfn._xlws.FILTER(A152, WEEKDAY(A152, 2) &lt;= 5)</f>
        <v>39470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0.14739999771118159</v>
      </c>
    </row>
    <row r="153" spans="1:9">
      <c r="A153" s="1">
        <v>39471</v>
      </c>
      <c r="B153" s="1" cm="1">
        <f t="array" ref="B153">_xlfn._xlws.FILTER(A153, WEEKDAY(A153, 2) &lt;= 5)</f>
        <v>39471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0.13750000000000001</v>
      </c>
    </row>
    <row r="154" spans="1:9">
      <c r="A154" s="1">
        <v>39472</v>
      </c>
      <c r="B154" s="1" cm="1">
        <f t="array" ref="B154">_xlfn._xlws.FILTER(A154, WEEKDAY(A154, 2) &lt;= 5)</f>
        <v>39472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0.14399999618530271</v>
      </c>
    </row>
    <row r="155" spans="1:9">
      <c r="A155" s="1">
        <v>39475</v>
      </c>
      <c r="B155" s="1" cm="1">
        <f t="array" ref="B155">_xlfn._xlws.FILTER(A155, WEEKDAY(A155, 2) &lt;= 5)</f>
        <v>39475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0.14409999847412111</v>
      </c>
    </row>
    <row r="156" spans="1:9">
      <c r="A156" s="1">
        <v>39476</v>
      </c>
      <c r="B156" s="1" cm="1">
        <f t="array" ref="B156">_xlfn._xlws.FILTER(A156, WEEKDAY(A156, 2) &lt;= 5)</f>
        <v>39476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0.14329999923706049</v>
      </c>
    </row>
    <row r="157" spans="1:9">
      <c r="A157" s="1">
        <v>39477</v>
      </c>
      <c r="B157" s="1" cm="1">
        <f t="array" ref="B157">_xlfn._xlws.FILTER(A157, WEEKDAY(A157, 2) &lt;= 5)</f>
        <v>39477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0.1381999969482422</v>
      </c>
    </row>
    <row r="158" spans="1:9">
      <c r="A158" s="1">
        <v>39478</v>
      </c>
      <c r="B158" s="1" cm="1">
        <f t="array" ref="B158">_xlfn._xlws.FILTER(A158, WEEKDAY(A158, 2) &lt;= 5)</f>
        <v>39478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0.13060000419616699</v>
      </c>
    </row>
    <row r="159" spans="1:9">
      <c r="A159" s="1">
        <v>39479</v>
      </c>
      <c r="B159" s="1" cm="1">
        <f t="array" ref="B159">_xlfn._xlws.FILTER(A159, WEEKDAY(A159, 2) &lt;= 5)</f>
        <v>39479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0.13189999580383299</v>
      </c>
    </row>
    <row r="160" spans="1:9">
      <c r="A160" s="1">
        <v>39482</v>
      </c>
      <c r="B160" s="1" cm="1">
        <f t="array" ref="B160">_xlfn._xlws.FILTER(A160, WEEKDAY(A160, 2) &lt;= 5)</f>
        <v>39482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0.13239999771118161</v>
      </c>
    </row>
    <row r="161" spans="1:9">
      <c r="A161" s="1">
        <v>39483</v>
      </c>
      <c r="B161" s="1" cm="1">
        <f t="array" ref="B161">_xlfn._xlws.FILTER(A161, WEEKDAY(A161, 2) &lt;= 5)</f>
        <v>39483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0.1277999973297119</v>
      </c>
    </row>
    <row r="162" spans="1:9">
      <c r="A162" s="1">
        <v>39484</v>
      </c>
      <c r="B162" s="1" cm="1">
        <f t="array" ref="B162">_xlfn._xlws.FILTER(A162, WEEKDAY(A162, 2) &lt;= 5)</f>
        <v>39484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0.13010000228881841</v>
      </c>
    </row>
    <row r="163" spans="1:9">
      <c r="A163" s="1">
        <v>39485</v>
      </c>
      <c r="B163" s="1" cm="1">
        <f t="array" ref="B163">_xlfn._xlws.FILTER(A163, WEEKDAY(A163, 2) &lt;= 5)</f>
        <v>39485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0.14329999923706049</v>
      </c>
    </row>
    <row r="164" spans="1:9">
      <c r="A164" s="1">
        <v>39486</v>
      </c>
      <c r="B164" s="1" cm="1">
        <f t="array" ref="B164">_xlfn._xlws.FILTER(A164, WEEKDAY(A164, 2) &lt;= 5)</f>
        <v>39486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0.16350000381469729</v>
      </c>
    </row>
    <row r="165" spans="1:9">
      <c r="A165" s="1">
        <v>39489</v>
      </c>
      <c r="B165" s="1" cm="1">
        <f t="array" ref="B165">_xlfn._xlws.FILTER(A165, WEEKDAY(A165, 2) &lt;= 5)</f>
        <v>39489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0.1603000068664551</v>
      </c>
    </row>
    <row r="166" spans="1:9">
      <c r="A166" s="1">
        <v>39490</v>
      </c>
      <c r="B166" s="1" cm="1">
        <f t="array" ref="B166">_xlfn._xlws.FILTER(A166, WEEKDAY(A166, 2) &lt;= 5)</f>
        <v>39490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0.15189999580383301</v>
      </c>
    </row>
    <row r="167" spans="1:9">
      <c r="A167" s="1">
        <v>39491</v>
      </c>
      <c r="B167" s="1" cm="1">
        <f t="array" ref="B167">_xlfn._xlws.FILTER(A167, WEEKDAY(A167, 2) &lt;= 5)</f>
        <v>39491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0.1497999954223633</v>
      </c>
    </row>
    <row r="168" spans="1:9">
      <c r="A168" s="1">
        <v>39492</v>
      </c>
      <c r="B168" s="1" cm="1">
        <f t="array" ref="B168">_xlfn._xlws.FILTER(A168, WEEKDAY(A168, 2) &lt;= 5)</f>
        <v>39492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0.1730999946594238</v>
      </c>
    </row>
    <row r="169" spans="1:9">
      <c r="A169" s="1">
        <v>39493</v>
      </c>
      <c r="B169" s="1" cm="1">
        <f t="array" ref="B169">_xlfn._xlws.FILTER(A169, WEEKDAY(A169, 2) &lt;= 5)</f>
        <v>39493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0.19229999542236331</v>
      </c>
    </row>
    <row r="170" spans="1:9">
      <c r="A170" s="1">
        <v>39496</v>
      </c>
      <c r="B170" s="1" cm="1">
        <f t="array" ref="B170">_xlfn._xlws.FILTER(A170, WEEKDAY(A170, 2) &lt;= 5)</f>
        <v>39496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0.18399999618530269</v>
      </c>
    </row>
    <row r="171" spans="1:9">
      <c r="A171" s="1">
        <v>39497</v>
      </c>
      <c r="B171" s="1" cm="1">
        <f t="array" ref="B171">_xlfn._xlws.FILTER(A171, WEEKDAY(A171, 2) &lt;= 5)</f>
        <v>39497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0.18209999084472661</v>
      </c>
    </row>
    <row r="172" spans="1:9">
      <c r="A172" s="1">
        <v>39498</v>
      </c>
      <c r="B172" s="1" cm="1">
        <f t="array" ref="B172">_xlfn._xlws.FILTER(A172, WEEKDAY(A172, 2) &lt;= 5)</f>
        <v>39498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0.18</v>
      </c>
    </row>
    <row r="173" spans="1:9">
      <c r="A173" s="1">
        <v>39499</v>
      </c>
      <c r="B173" s="1" cm="1">
        <f t="array" ref="B173">_xlfn._xlws.FILTER(A173, WEEKDAY(A173, 2) &lt;= 5)</f>
        <v>39499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0.15689999580383299</v>
      </c>
    </row>
    <row r="174" spans="1:9">
      <c r="A174" s="1">
        <v>39500</v>
      </c>
      <c r="B174" s="1" cm="1">
        <f t="array" ref="B174">_xlfn._xlws.FILTER(A174, WEEKDAY(A174, 2) &lt;= 5)</f>
        <v>39500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0.15970000267028811</v>
      </c>
    </row>
    <row r="175" spans="1:9">
      <c r="A175" s="1">
        <v>39503</v>
      </c>
      <c r="B175" s="1" cm="1">
        <f t="array" ref="B175">_xlfn._xlws.FILTER(A175, WEEKDAY(A175, 2) &lt;= 5)</f>
        <v>39503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0.1536999988555908</v>
      </c>
    </row>
    <row r="176" spans="1:9">
      <c r="A176" s="1">
        <v>39504</v>
      </c>
      <c r="B176" s="1" cm="1">
        <f t="array" ref="B176">_xlfn._xlws.FILTER(A176, WEEKDAY(A176, 2) &lt;= 5)</f>
        <v>39504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0.15029999732971189</v>
      </c>
    </row>
    <row r="177" spans="1:9">
      <c r="A177" s="1">
        <v>39505</v>
      </c>
      <c r="B177" s="1" cm="1">
        <f t="array" ref="B177">_xlfn._xlws.FILTER(A177, WEEKDAY(A177, 2) &lt;= 5)</f>
        <v>39505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0.14670000076293949</v>
      </c>
    </row>
    <row r="178" spans="1:9">
      <c r="A178" s="1">
        <v>39506</v>
      </c>
      <c r="B178" s="1" cm="1">
        <f t="array" ref="B178">_xlfn._xlws.FILTER(A178, WEEKDAY(A178, 2) &lt;= 5)</f>
        <v>39506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0.1468000030517578</v>
      </c>
    </row>
    <row r="179" spans="1:9">
      <c r="A179" s="1">
        <v>39507</v>
      </c>
      <c r="B179" s="1" cm="1">
        <f t="array" ref="B179">_xlfn._xlws.FILTER(A179, WEEKDAY(A179, 2) &lt;= 5)</f>
        <v>39507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0.13489999771118161</v>
      </c>
    </row>
    <row r="180" spans="1:9">
      <c r="A180" s="1">
        <v>39510</v>
      </c>
      <c r="B180" s="1" cm="1">
        <f t="array" ref="B180">_xlfn._xlws.FILTER(A180, WEEKDAY(A180, 2) &lt;= 5)</f>
        <v>39510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0.13489999771118161</v>
      </c>
    </row>
    <row r="181" spans="1:9">
      <c r="A181" s="1">
        <v>39511</v>
      </c>
      <c r="B181" s="1" cm="1">
        <f t="array" ref="B181">_xlfn._xlws.FILTER(A181, WEEKDAY(A181, 2) &lt;= 5)</f>
        <v>39511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0.13229999542236329</v>
      </c>
    </row>
    <row r="182" spans="1:9">
      <c r="A182" s="1">
        <v>39512</v>
      </c>
      <c r="B182" s="1" cm="1">
        <f t="array" ref="B182">_xlfn._xlws.FILTER(A182, WEEKDAY(A182, 2) &lt;= 5)</f>
        <v>39512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0.13</v>
      </c>
    </row>
    <row r="183" spans="1:9">
      <c r="A183" s="1">
        <v>39513</v>
      </c>
      <c r="B183" s="1" cm="1">
        <f t="array" ref="B183">_xlfn._xlws.FILTER(A183, WEEKDAY(A183, 2) &lt;= 5)</f>
        <v>39513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0.13600000381469729</v>
      </c>
    </row>
    <row r="184" spans="1:9">
      <c r="A184" s="1">
        <v>39514</v>
      </c>
      <c r="B184" s="1" cm="1">
        <f t="array" ref="B184">_xlfn._xlws.FILTER(A184, WEEKDAY(A184, 2) &lt;= 5)</f>
        <v>39514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0.13420000076293939</v>
      </c>
    </row>
    <row r="185" spans="1:9">
      <c r="A185" s="1">
        <v>39517</v>
      </c>
      <c r="B185" s="1" cm="1">
        <f t="array" ref="B185">_xlfn._xlws.FILTER(A185, WEEKDAY(A185, 2) &lt;= 5)</f>
        <v>39517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0.1244999980926514</v>
      </c>
    </row>
    <row r="186" spans="1:9">
      <c r="A186" s="1">
        <v>39518</v>
      </c>
      <c r="B186" s="1" cm="1">
        <f t="array" ref="B186">_xlfn._xlws.FILTER(A186, WEEKDAY(A186, 2) &lt;= 5)</f>
        <v>39518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0.12420000076293949</v>
      </c>
    </row>
    <row r="187" spans="1:9">
      <c r="A187" s="1">
        <v>39519</v>
      </c>
      <c r="B187" s="1" cm="1">
        <f t="array" ref="B187">_xlfn._xlws.FILTER(A187, WEEKDAY(A187, 2) &lt;= 5)</f>
        <v>39519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0.11989999771118159</v>
      </c>
    </row>
    <row r="188" spans="1:9">
      <c r="A188" s="1">
        <v>39520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0.65288877805237533</v>
      </c>
    </row>
    <row r="189" spans="1:9">
      <c r="A189" s="1">
        <v>39521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0.60642847224372887</v>
      </c>
    </row>
    <row r="190" spans="1:9">
      <c r="A190" s="1">
        <v>39524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0.60514873414934534</v>
      </c>
    </row>
    <row r="191" spans="1:9">
      <c r="A191" s="1">
        <v>39525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0.70687396456756224</v>
      </c>
    </row>
    <row r="192" spans="1:9">
      <c r="A192" s="1">
        <v>39526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0.69923744306780822</v>
      </c>
    </row>
    <row r="193" spans="1:9">
      <c r="A193" s="1">
        <v>39527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0.77718672755033547</v>
      </c>
    </row>
    <row r="194" spans="1:9">
      <c r="A194" s="1">
        <v>39528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0.62033229575719684</v>
      </c>
    </row>
    <row r="195" spans="1:9">
      <c r="A195" s="1">
        <v>39531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0.60489426337578112</v>
      </c>
    </row>
    <row r="196" spans="1:9">
      <c r="A196" s="1">
        <v>39532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0.62920455708976308</v>
      </c>
    </row>
    <row r="197" spans="1:9">
      <c r="A197" s="1">
        <v>39533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0.56075076514962841</v>
      </c>
    </row>
    <row r="198" spans="1:9">
      <c r="A198" s="1">
        <v>39534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0.73662889122801101</v>
      </c>
    </row>
    <row r="199" spans="1:9">
      <c r="A199" s="1">
        <v>39535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0.56905645087673062</v>
      </c>
    </row>
    <row r="200" spans="1:9">
      <c r="A200" s="1">
        <v>39538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0.68207418600262726</v>
      </c>
    </row>
    <row r="201" spans="1:9">
      <c r="A201" s="1">
        <v>39539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0.6137893724610628</v>
      </c>
    </row>
    <row r="202" spans="1:9">
      <c r="A202" s="1">
        <v>39540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0.78099381143079993</v>
      </c>
    </row>
    <row r="203" spans="1:9">
      <c r="A203" s="1">
        <v>39541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0.68597470033611252</v>
      </c>
    </row>
    <row r="204" spans="1:9">
      <c r="A204" s="1">
        <v>39542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0.65225884680896962</v>
      </c>
    </row>
    <row r="205" spans="1:9">
      <c r="A205" s="1">
        <v>39545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0.62345745338550107</v>
      </c>
    </row>
    <row r="206" spans="1:9">
      <c r="A206" s="1">
        <v>39546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0.73592190501249333</v>
      </c>
    </row>
    <row r="207" spans="1:9">
      <c r="A207" s="1">
        <v>39547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0.69976593961818112</v>
      </c>
    </row>
    <row r="208" spans="1:9">
      <c r="A208" s="1">
        <v>39548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0.81574058432733776</v>
      </c>
    </row>
    <row r="209" spans="1:9">
      <c r="A209" s="1">
        <v>39549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0.70309943509346295</v>
      </c>
    </row>
    <row r="210" spans="1:9">
      <c r="A210" s="1">
        <v>39552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0.69022858528749176</v>
      </c>
    </row>
    <row r="211" spans="1:9">
      <c r="A211" s="1">
        <v>39553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0.65844487787736949</v>
      </c>
    </row>
    <row r="212" spans="1:9">
      <c r="A212" s="1">
        <v>39554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0.6545718113424579</v>
      </c>
    </row>
    <row r="213" spans="1:9">
      <c r="A213" s="1">
        <v>39555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0.60192508903439323</v>
      </c>
    </row>
    <row r="214" spans="1:9">
      <c r="A214" s="1">
        <v>39556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0.73795665063723304</v>
      </c>
    </row>
    <row r="215" spans="1:9">
      <c r="A215" s="1">
        <v>39559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0.71105941654736526</v>
      </c>
    </row>
    <row r="216" spans="1:9">
      <c r="A216" s="1">
        <v>39560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0.75282618198776952</v>
      </c>
    </row>
    <row r="217" spans="1:9">
      <c r="A217" s="1">
        <v>39561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0.78826073293085219</v>
      </c>
    </row>
    <row r="218" spans="1:9">
      <c r="A218" s="1">
        <v>39562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0.76945479651204596</v>
      </c>
    </row>
    <row r="219" spans="1:9">
      <c r="A219" s="1">
        <v>39563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0.68733019191506328</v>
      </c>
    </row>
    <row r="220" spans="1:9">
      <c r="A220" s="1">
        <v>39566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0.65401686365330913</v>
      </c>
    </row>
    <row r="221" spans="1:9">
      <c r="A221" s="1">
        <v>39567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0.58101895430576878</v>
      </c>
    </row>
    <row r="222" spans="1:9">
      <c r="A222" s="1">
        <v>39568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0.70466658523141179</v>
      </c>
    </row>
    <row r="223" spans="1:9">
      <c r="A223" s="1">
        <v>39569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0.70373511938304967</v>
      </c>
    </row>
    <row r="224" spans="1:9">
      <c r="A224" s="1">
        <v>39570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0.72841151445814101</v>
      </c>
    </row>
    <row r="225" spans="1:9">
      <c r="A225" s="1">
        <v>39573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0.66665199566071198</v>
      </c>
    </row>
    <row r="226" spans="1:9">
      <c r="A226" s="1">
        <v>39574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0.65391422008088596</v>
      </c>
    </row>
    <row r="227" spans="1:9">
      <c r="A227" s="1">
        <v>39575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0.63442442952542455</v>
      </c>
    </row>
    <row r="228" spans="1:9">
      <c r="A228" s="1">
        <v>39576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0.54790741495179196</v>
      </c>
    </row>
    <row r="229" spans="1:9">
      <c r="A229" s="1">
        <v>39577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0.56871081597272122</v>
      </c>
    </row>
    <row r="230" spans="1:9">
      <c r="A230" s="1">
        <v>39580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0.70611139824594238</v>
      </c>
    </row>
    <row r="231" spans="1:9">
      <c r="A231" s="1">
        <v>39581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0.58573972653998441</v>
      </c>
    </row>
    <row r="232" spans="1:9">
      <c r="A232" s="1">
        <v>39582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0.69350582426194274</v>
      </c>
    </row>
    <row r="233" spans="1:9">
      <c r="A233" s="1">
        <v>39583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0.76462341243880994</v>
      </c>
    </row>
    <row r="234" spans="1:9">
      <c r="A234" s="1">
        <v>39584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0.69652965507099462</v>
      </c>
    </row>
    <row r="235" spans="1:9">
      <c r="A235" s="1">
        <v>39587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0.61757091284844612</v>
      </c>
    </row>
    <row r="236" spans="1:9">
      <c r="A236" s="1">
        <v>39588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0.70616022877117879</v>
      </c>
    </row>
    <row r="237" spans="1:9">
      <c r="A237" s="1">
        <v>39589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0.75501868809194683</v>
      </c>
    </row>
    <row r="238" spans="1:9">
      <c r="A238" s="1">
        <v>39590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0.74075845407815299</v>
      </c>
    </row>
    <row r="239" spans="1:9">
      <c r="A239" s="1">
        <v>39591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0.91629789345813872</v>
      </c>
    </row>
    <row r="240" spans="1:9">
      <c r="A240" s="1">
        <v>39594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0.6579238464092646</v>
      </c>
    </row>
    <row r="241" spans="1:9">
      <c r="A241" s="1">
        <v>39595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0.6385407409046</v>
      </c>
    </row>
    <row r="242" spans="1:9">
      <c r="A242" s="1">
        <v>39596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0.65548612466584844</v>
      </c>
    </row>
    <row r="243" spans="1:9">
      <c r="A243" s="1">
        <v>39597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0.75965719269968313</v>
      </c>
    </row>
    <row r="244" spans="1:9">
      <c r="A244" s="1">
        <v>39598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0.74574042416933495</v>
      </c>
    </row>
    <row r="245" spans="1:9">
      <c r="A245" s="1">
        <v>39601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0.64558354909330129</v>
      </c>
    </row>
    <row r="246" spans="1:9">
      <c r="A246" s="1">
        <v>39602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0.63980762857907492</v>
      </c>
    </row>
    <row r="247" spans="1:9">
      <c r="A247" s="1">
        <v>39603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0.64085603959994164</v>
      </c>
    </row>
    <row r="248" spans="1:9">
      <c r="A248" s="1">
        <v>39604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0.64946431822852502</v>
      </c>
    </row>
    <row r="249" spans="1:9">
      <c r="A249" s="1">
        <v>39605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0.58084259268424898</v>
      </c>
    </row>
    <row r="250" spans="1:9">
      <c r="A250" s="1">
        <v>39608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0.72627941877650659</v>
      </c>
    </row>
    <row r="251" spans="1:9">
      <c r="A251" s="1">
        <v>39609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0.6156454572509823</v>
      </c>
    </row>
    <row r="252" spans="1:9">
      <c r="A252" s="1">
        <v>39610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0.67758587018820371</v>
      </c>
    </row>
    <row r="253" spans="1:9">
      <c r="A253" s="1">
        <v>39611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0.67169907129561623</v>
      </c>
    </row>
    <row r="254" spans="1:9">
      <c r="A254" s="1">
        <v>39612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0.65672148042116907</v>
      </c>
    </row>
    <row r="255" spans="1:9">
      <c r="A255" s="1">
        <v>39615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0.5966888190070434</v>
      </c>
    </row>
    <row r="256" spans="1:9">
      <c r="A256" s="1">
        <v>39616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0.73220220614702869</v>
      </c>
    </row>
    <row r="257" spans="1:9">
      <c r="A257" s="1">
        <v>39617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0.65724165522941969</v>
      </c>
    </row>
    <row r="258" spans="1:9">
      <c r="A258" s="1">
        <v>39618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0.7790144357160419</v>
      </c>
    </row>
    <row r="259" spans="1:9">
      <c r="A259" s="1">
        <v>39619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0.77345502710757141</v>
      </c>
    </row>
    <row r="260" spans="1:9">
      <c r="A260" s="1">
        <v>39622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0.72598543429776852</v>
      </c>
    </row>
    <row r="261" spans="1:9">
      <c r="A261" s="1">
        <v>39623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0.60552694876039026</v>
      </c>
    </row>
    <row r="262" spans="1:9">
      <c r="A262" s="1">
        <v>39624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0.69798298284155447</v>
      </c>
    </row>
    <row r="263" spans="1:9">
      <c r="A263" s="1">
        <v>39625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0.62799142644401018</v>
      </c>
    </row>
  </sheetData>
  <mergeCells count="1"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D809-21E5-43F1-8ED4-0DF6C58D3DDA}">
  <dimension ref="A1:I263"/>
  <sheetViews>
    <sheetView workbookViewId="0">
      <pane ySplit="2" topLeftCell="A3" activePane="bottomLeft" state="frozen"/>
      <selection pane="bottomLeft" activeCell="A3" sqref="A3:A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</cols>
  <sheetData>
    <row r="1" spans="1:9">
      <c r="C1" s="8" t="s">
        <v>40</v>
      </c>
      <c r="D1" s="8"/>
      <c r="E1" s="8"/>
      <c r="F1" s="8"/>
      <c r="G1" t="s">
        <v>41</v>
      </c>
      <c r="H1" t="s">
        <v>42</v>
      </c>
      <c r="I1" t="s">
        <v>43</v>
      </c>
    </row>
    <row r="2" spans="1:9" ht="69" customHeight="1">
      <c r="A2" t="s">
        <v>0</v>
      </c>
      <c r="C2" t="s">
        <v>1</v>
      </c>
      <c r="D2" t="s">
        <v>2</v>
      </c>
      <c r="E2" t="s">
        <v>3</v>
      </c>
      <c r="F2" t="s">
        <v>4</v>
      </c>
      <c r="G2" s="2" t="s">
        <v>8</v>
      </c>
      <c r="H2" s="2" t="s">
        <v>7</v>
      </c>
      <c r="I2" s="2" t="s">
        <v>6</v>
      </c>
    </row>
    <row r="3" spans="1:9">
      <c r="A3" s="1">
        <v>39261</v>
      </c>
      <c r="B3" s="1" cm="1">
        <f t="array" ref="B3">_xlfn._xlws.FILTER(A3, WEEKDAY(A3, 2) &lt;= 5)</f>
        <v>39261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</row>
    <row r="4" spans="1:9">
      <c r="A4" s="1">
        <v>39262</v>
      </c>
      <c r="B4" s="1" cm="1">
        <f t="array" ref="B4">_xlfn._xlws.FILTER(A4, WEEKDAY(A4, 2) &lt;= 5)</f>
        <v>39262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0.1693000030517578</v>
      </c>
    </row>
    <row r="5" spans="1:9">
      <c r="A5" s="1">
        <v>39265</v>
      </c>
      <c r="B5" s="1" cm="1">
        <f t="array" ref="B5">_xlfn._xlws.FILTER(A5, WEEKDAY(A5, 2) &lt;= 5)</f>
        <v>39265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0.1693000030517578</v>
      </c>
    </row>
    <row r="6" spans="1:9">
      <c r="A6" s="1">
        <v>39266</v>
      </c>
      <c r="B6" s="1" cm="1">
        <f t="array" ref="B6">_xlfn._xlws.FILTER(A6, WEEKDAY(A6, 2) &lt;= 5)</f>
        <v>39266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0.1693000030517578</v>
      </c>
    </row>
    <row r="7" spans="1:9">
      <c r="A7" s="1">
        <v>39267</v>
      </c>
      <c r="B7" s="1" cm="1">
        <f t="array" ref="B7">_xlfn._xlws.FILTER(A7, WEEKDAY(A7, 2) &lt;= 5)</f>
        <v>39267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0.1693000030517578</v>
      </c>
    </row>
    <row r="8" spans="1:9">
      <c r="A8" s="1">
        <v>39268</v>
      </c>
      <c r="B8" s="1" cm="1">
        <f t="array" ref="B8">_xlfn._xlws.FILTER(A8, WEEKDAY(A8, 2) &lt;= 5)</f>
        <v>39268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0.1693000030517578</v>
      </c>
    </row>
    <row r="9" spans="1:9">
      <c r="A9" s="1">
        <v>39269</v>
      </c>
      <c r="B9" s="1" cm="1">
        <f t="array" ref="B9">_xlfn._xlws.FILTER(A9, WEEKDAY(A9, 2) &lt;= 5)</f>
        <v>39269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0.1693000030517578</v>
      </c>
    </row>
    <row r="10" spans="1:9">
      <c r="A10" s="1">
        <v>39272</v>
      </c>
      <c r="B10" s="1" cm="1">
        <f t="array" ref="B10">_xlfn._xlws.FILTER(A10, WEEKDAY(A10, 2) &lt;= 5)</f>
        <v>39272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0.1693000030517578</v>
      </c>
    </row>
    <row r="11" spans="1:9">
      <c r="A11" s="1">
        <v>39273</v>
      </c>
      <c r="B11" s="1" cm="1">
        <f t="array" ref="B11">_xlfn._xlws.FILTER(A11, WEEKDAY(A11, 2) &lt;= 5)</f>
        <v>39273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0.1693000030517578</v>
      </c>
    </row>
    <row r="12" spans="1:9">
      <c r="A12" s="1">
        <v>39274</v>
      </c>
      <c r="B12" s="1" cm="1">
        <f t="array" ref="B12">_xlfn._xlws.FILTER(A12, WEEKDAY(A12, 2) &lt;= 5)</f>
        <v>39274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0.1693000030517578</v>
      </c>
    </row>
    <row r="13" spans="1:9">
      <c r="A13" s="1">
        <v>39275</v>
      </c>
      <c r="B13" s="1" cm="1">
        <f t="array" ref="B13">_xlfn._xlws.FILTER(A13, WEEKDAY(A13, 2) &lt;= 5)</f>
        <v>39275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0.1693000030517578</v>
      </c>
    </row>
    <row r="14" spans="1:9">
      <c r="A14" s="1">
        <v>39276</v>
      </c>
      <c r="B14" s="1" cm="1">
        <f t="array" ref="B14">_xlfn._xlws.FILTER(A14, WEEKDAY(A14, 2) &lt;= 5)</f>
        <v>39276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0.1693000030517578</v>
      </c>
    </row>
    <row r="15" spans="1:9">
      <c r="A15" s="1">
        <v>39279</v>
      </c>
      <c r="B15" s="1" cm="1">
        <f t="array" ref="B15">_xlfn._xlws.FILTER(A15, WEEKDAY(A15, 2) &lt;= 5)</f>
        <v>39279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0.1693000030517578</v>
      </c>
    </row>
    <row r="16" spans="1:9">
      <c r="A16" s="1">
        <v>39280</v>
      </c>
      <c r="B16" s="1" cm="1">
        <f t="array" ref="B16">_xlfn._xlws.FILTER(A16, WEEKDAY(A16, 2) &lt;= 5)</f>
        <v>39280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0.1693000030517578</v>
      </c>
    </row>
    <row r="17" spans="1:9">
      <c r="A17" s="1">
        <v>39281</v>
      </c>
      <c r="B17" s="1" cm="1">
        <f t="array" ref="B17">_xlfn._xlws.FILTER(A17, WEEKDAY(A17, 2) &lt;= 5)</f>
        <v>39281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0.1693000030517578</v>
      </c>
    </row>
    <row r="18" spans="1:9">
      <c r="A18" s="1">
        <v>39282</v>
      </c>
      <c r="B18" s="1" cm="1">
        <f t="array" ref="B18">_xlfn._xlws.FILTER(A18, WEEKDAY(A18, 2) &lt;= 5)</f>
        <v>39282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0.1693000030517578</v>
      </c>
    </row>
    <row r="19" spans="1:9">
      <c r="A19" s="1">
        <v>39283</v>
      </c>
      <c r="B19" s="1" cm="1">
        <f t="array" ref="B19">_xlfn._xlws.FILTER(A19, WEEKDAY(A19, 2) &lt;= 5)</f>
        <v>39283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0.1693000030517578</v>
      </c>
    </row>
    <row r="20" spans="1:9">
      <c r="A20" s="1">
        <v>39286</v>
      </c>
      <c r="B20" s="1" cm="1">
        <f t="array" ref="B20">_xlfn._xlws.FILTER(A20, WEEKDAY(A20, 2) &lt;= 5)</f>
        <v>39286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0.1693000030517578</v>
      </c>
    </row>
    <row r="21" spans="1:9">
      <c r="A21" s="1">
        <v>39287</v>
      </c>
      <c r="B21" s="1" cm="1">
        <f t="array" ref="B21">_xlfn._xlws.FILTER(A21, WEEKDAY(A21, 2) &lt;= 5)</f>
        <v>39287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0.1693000030517578</v>
      </c>
    </row>
    <row r="22" spans="1:9">
      <c r="A22" s="1">
        <v>39288</v>
      </c>
      <c r="B22" s="1" cm="1">
        <f t="array" ref="B22">_xlfn._xlws.FILTER(A22, WEEKDAY(A22, 2) &lt;= 5)</f>
        <v>39288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0.1693000030517578</v>
      </c>
    </row>
    <row r="23" spans="1:9">
      <c r="A23" s="1">
        <v>39289</v>
      </c>
      <c r="B23" s="1" cm="1">
        <f t="array" ref="B23">_xlfn._xlws.FILTER(A23, WEEKDAY(A23, 2) &lt;= 5)</f>
        <v>39289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0.1693000030517578</v>
      </c>
    </row>
    <row r="24" spans="1:9">
      <c r="A24" s="1">
        <v>39290</v>
      </c>
      <c r="B24" s="1" cm="1">
        <f t="array" ref="B24">_xlfn._xlws.FILTER(A24, WEEKDAY(A24, 2) &lt;= 5)</f>
        <v>39290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0.1693000030517578</v>
      </c>
    </row>
    <row r="25" spans="1:9">
      <c r="A25" s="1">
        <v>39293</v>
      </c>
      <c r="B25" s="1" cm="1">
        <f t="array" ref="B25">_xlfn._xlws.FILTER(A25, WEEKDAY(A25, 2) &lt;= 5)</f>
        <v>39293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0.1693000030517578</v>
      </c>
    </row>
    <row r="26" spans="1:9">
      <c r="A26" s="1">
        <v>39294</v>
      </c>
      <c r="B26" s="1" cm="1">
        <f t="array" ref="B26">_xlfn._xlws.FILTER(A26, WEEKDAY(A26, 2) &lt;= 5)</f>
        <v>39294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0.1693000030517578</v>
      </c>
    </row>
    <row r="27" spans="1:9">
      <c r="A27" s="1">
        <v>39295</v>
      </c>
      <c r="B27" s="1" cm="1">
        <f t="array" ref="B27">_xlfn._xlws.FILTER(A27, WEEKDAY(A27, 2) &lt;= 5)</f>
        <v>39295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0.1693000030517578</v>
      </c>
    </row>
    <row r="28" spans="1:9">
      <c r="A28" s="1">
        <v>39296</v>
      </c>
      <c r="B28" s="1" cm="1">
        <f t="array" ref="B28">_xlfn._xlws.FILTER(A28, WEEKDAY(A28, 2) &lt;= 5)</f>
        <v>39296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0.1693000030517578</v>
      </c>
    </row>
    <row r="29" spans="1:9">
      <c r="A29" s="1">
        <v>39297</v>
      </c>
      <c r="B29" s="1" cm="1">
        <f t="array" ref="B29">_xlfn._xlws.FILTER(A29, WEEKDAY(A29, 2) &lt;= 5)</f>
        <v>39297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0.1693000030517578</v>
      </c>
    </row>
    <row r="30" spans="1:9">
      <c r="A30" s="1">
        <v>39300</v>
      </c>
      <c r="B30" s="1" cm="1">
        <f t="array" ref="B30">_xlfn._xlws.FILTER(A30, WEEKDAY(A30, 2) &lt;= 5)</f>
        <v>39300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0.1693000030517578</v>
      </c>
    </row>
    <row r="31" spans="1:9">
      <c r="A31" s="1">
        <v>39301</v>
      </c>
      <c r="B31" s="1" cm="1">
        <f t="array" ref="B31">_xlfn._xlws.FILTER(A31, WEEKDAY(A31, 2) &lt;= 5)</f>
        <v>39301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0.1693000030517578</v>
      </c>
    </row>
    <row r="32" spans="1:9">
      <c r="A32" s="1">
        <v>39302</v>
      </c>
      <c r="B32" s="1" cm="1">
        <f t="array" ref="B32">_xlfn._xlws.FILTER(A32, WEEKDAY(A32, 2) &lt;= 5)</f>
        <v>39302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0.1693000030517578</v>
      </c>
    </row>
    <row r="33" spans="1:9">
      <c r="A33" s="1">
        <v>39303</v>
      </c>
      <c r="B33" s="1" cm="1">
        <f t="array" ref="B33">_xlfn._xlws.FILTER(A33, WEEKDAY(A33, 2) &lt;= 5)</f>
        <v>39303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0.1693000030517578</v>
      </c>
    </row>
    <row r="34" spans="1:9">
      <c r="A34" s="1">
        <v>39304</v>
      </c>
      <c r="B34" s="1" cm="1">
        <f t="array" ref="B34">_xlfn._xlws.FILTER(A34, WEEKDAY(A34, 2) &lt;= 5)</f>
        <v>39304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0.1693000030517578</v>
      </c>
    </row>
    <row r="35" spans="1:9">
      <c r="A35" s="1">
        <v>39307</v>
      </c>
      <c r="B35" s="1" cm="1">
        <f t="array" ref="B35">_xlfn._xlws.FILTER(A35, WEEKDAY(A35, 2) &lt;= 5)</f>
        <v>39307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0.1693000030517578</v>
      </c>
    </row>
    <row r="36" spans="1:9">
      <c r="A36" s="1">
        <v>39308</v>
      </c>
      <c r="B36" s="1" cm="1">
        <f t="array" ref="B36">_xlfn._xlws.FILTER(A36, WEEKDAY(A36, 2) &lt;= 5)</f>
        <v>39308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0.1693000030517578</v>
      </c>
    </row>
    <row r="37" spans="1:9">
      <c r="A37" s="1">
        <v>39309</v>
      </c>
      <c r="B37" s="1" cm="1">
        <f t="array" ref="B37">_xlfn._xlws.FILTER(A37, WEEKDAY(A37, 2) &lt;= 5)</f>
        <v>39309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0.1693000030517578</v>
      </c>
    </row>
    <row r="38" spans="1:9">
      <c r="A38" s="1">
        <v>39310</v>
      </c>
      <c r="B38" s="1" cm="1">
        <f t="array" ref="B38">_xlfn._xlws.FILTER(A38, WEEKDAY(A38, 2) &lt;= 5)</f>
        <v>39310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0.1693000030517578</v>
      </c>
    </row>
    <row r="39" spans="1:9">
      <c r="A39" s="1">
        <v>39311</v>
      </c>
      <c r="B39" s="1" cm="1">
        <f t="array" ref="B39">_xlfn._xlws.FILTER(A39, WEEKDAY(A39, 2) &lt;= 5)</f>
        <v>39311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0.1693000030517578</v>
      </c>
    </row>
    <row r="40" spans="1:9">
      <c r="A40" s="1">
        <v>39314</v>
      </c>
      <c r="B40" s="1" cm="1">
        <f t="array" ref="B40">_xlfn._xlws.FILTER(A40, WEEKDAY(A40, 2) &lt;= 5)</f>
        <v>39314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0.1693000030517578</v>
      </c>
    </row>
    <row r="41" spans="1:9">
      <c r="A41" s="1">
        <v>39315</v>
      </c>
      <c r="B41" s="1" cm="1">
        <f t="array" ref="B41">_xlfn._xlws.FILTER(A41, WEEKDAY(A41, 2) &lt;= 5)</f>
        <v>39315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0.1693000030517578</v>
      </c>
    </row>
    <row r="42" spans="1:9">
      <c r="A42" s="1">
        <v>39316</v>
      </c>
      <c r="B42" s="1" cm="1">
        <f t="array" ref="B42">_xlfn._xlws.FILTER(A42, WEEKDAY(A42, 2) &lt;= 5)</f>
        <v>39316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0.1693000030517578</v>
      </c>
    </row>
    <row r="43" spans="1:9">
      <c r="A43" s="1">
        <v>39317</v>
      </c>
      <c r="B43" s="1" cm="1">
        <f t="array" ref="B43">_xlfn._xlws.FILTER(A43, WEEKDAY(A43, 2) &lt;= 5)</f>
        <v>39317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0.1693000030517578</v>
      </c>
    </row>
    <row r="44" spans="1:9">
      <c r="A44" s="1">
        <v>39318</v>
      </c>
      <c r="B44" s="1" cm="1">
        <f t="array" ref="B44">_xlfn._xlws.FILTER(A44, WEEKDAY(A44, 2) &lt;= 5)</f>
        <v>39318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0.1693000030517578</v>
      </c>
    </row>
    <row r="45" spans="1:9">
      <c r="A45" s="1">
        <v>39321</v>
      </c>
      <c r="B45" s="1" cm="1">
        <f t="array" ref="B45">_xlfn._xlws.FILTER(A45, WEEKDAY(A45, 2) &lt;= 5)</f>
        <v>39321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0.1693000030517578</v>
      </c>
    </row>
    <row r="46" spans="1:9">
      <c r="A46" s="1">
        <v>39322</v>
      </c>
      <c r="B46" s="1" cm="1">
        <f t="array" ref="B46">_xlfn._xlws.FILTER(A46, WEEKDAY(A46, 2) &lt;= 5)</f>
        <v>39322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0.1693000030517578</v>
      </c>
    </row>
    <row r="47" spans="1:9">
      <c r="A47" s="1">
        <v>39323</v>
      </c>
      <c r="B47" s="1" cm="1">
        <f t="array" ref="B47">_xlfn._xlws.FILTER(A47, WEEKDAY(A47, 2) &lt;= 5)</f>
        <v>39323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0.1693000030517578</v>
      </c>
    </row>
    <row r="48" spans="1:9">
      <c r="A48" s="1">
        <v>39324</v>
      </c>
      <c r="B48" s="1" cm="1">
        <f t="array" ref="B48">_xlfn._xlws.FILTER(A48, WEEKDAY(A48, 2) &lt;= 5)</f>
        <v>39324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0.1693000030517578</v>
      </c>
    </row>
    <row r="49" spans="1:9">
      <c r="A49" s="1">
        <v>39325</v>
      </c>
      <c r="B49" s="1" cm="1">
        <f t="array" ref="B49">_xlfn._xlws.FILTER(A49, WEEKDAY(A49, 2) &lt;= 5)</f>
        <v>39325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0.1693000030517578</v>
      </c>
    </row>
    <row r="50" spans="1:9">
      <c r="A50" s="1">
        <v>39328</v>
      </c>
      <c r="B50" s="1" cm="1">
        <f t="array" ref="B50">_xlfn._xlws.FILTER(A50, WEEKDAY(A50, 2) &lt;= 5)</f>
        <v>39328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0.1693000030517578</v>
      </c>
    </row>
    <row r="51" spans="1:9">
      <c r="A51" s="1">
        <v>39329</v>
      </c>
      <c r="B51" s="1" cm="1">
        <f t="array" ref="B51">_xlfn._xlws.FILTER(A51, WEEKDAY(A51, 2) &lt;= 5)</f>
        <v>39329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0.1693000030517578</v>
      </c>
    </row>
    <row r="52" spans="1:9">
      <c r="A52" s="1">
        <v>39330</v>
      </c>
      <c r="B52" s="1" cm="1">
        <f t="array" ref="B52">_xlfn._xlws.FILTER(A52, WEEKDAY(A52, 2) &lt;= 5)</f>
        <v>39330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0.1693000030517578</v>
      </c>
    </row>
    <row r="53" spans="1:9">
      <c r="A53" s="1">
        <v>39331</v>
      </c>
      <c r="B53" s="1" cm="1">
        <f t="array" ref="B53">_xlfn._xlws.FILTER(A53, WEEKDAY(A53, 2) &lt;= 5)</f>
        <v>39331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0.1693000030517578</v>
      </c>
    </row>
    <row r="54" spans="1:9">
      <c r="A54" s="1">
        <v>39332</v>
      </c>
      <c r="B54" s="1" cm="1">
        <f t="array" ref="B54">_xlfn._xlws.FILTER(A54, WEEKDAY(A54, 2) &lt;= 5)</f>
        <v>39332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0.1693000030517578</v>
      </c>
    </row>
    <row r="55" spans="1:9">
      <c r="A55" s="1">
        <v>39335</v>
      </c>
      <c r="B55" s="1" cm="1">
        <f t="array" ref="B55">_xlfn._xlws.FILTER(A55, WEEKDAY(A55, 2) &lt;= 5)</f>
        <v>39335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0.1693000030517578</v>
      </c>
    </row>
    <row r="56" spans="1:9">
      <c r="A56" s="1">
        <v>39336</v>
      </c>
      <c r="B56" s="1" cm="1">
        <f t="array" ref="B56">_xlfn._xlws.FILTER(A56, WEEKDAY(A56, 2) &lt;= 5)</f>
        <v>39336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0.1693000030517578</v>
      </c>
    </row>
    <row r="57" spans="1:9">
      <c r="A57" s="1">
        <v>39337</v>
      </c>
      <c r="B57" s="1" cm="1">
        <f t="array" ref="B57">_xlfn._xlws.FILTER(A57, WEEKDAY(A57, 2) &lt;= 5)</f>
        <v>39337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0.1693000030517578</v>
      </c>
    </row>
    <row r="58" spans="1:9">
      <c r="A58" s="1">
        <v>39338</v>
      </c>
      <c r="B58" s="1" cm="1">
        <f t="array" ref="B58">_xlfn._xlws.FILTER(A58, WEEKDAY(A58, 2) &lt;= 5)</f>
        <v>39338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0.1693000030517578</v>
      </c>
    </row>
    <row r="59" spans="1:9">
      <c r="A59" s="1">
        <v>39339</v>
      </c>
      <c r="B59" s="1" cm="1">
        <f t="array" ref="B59">_xlfn._xlws.FILTER(A59, WEEKDAY(A59, 2) &lt;= 5)</f>
        <v>39339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0.1693000030517578</v>
      </c>
    </row>
    <row r="60" spans="1:9">
      <c r="A60" s="1">
        <v>39342</v>
      </c>
      <c r="B60" s="1" cm="1">
        <f t="array" ref="B60">_xlfn._xlws.FILTER(A60, WEEKDAY(A60, 2) &lt;= 5)</f>
        <v>39342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0.1693000030517578</v>
      </c>
    </row>
    <row r="61" spans="1:9">
      <c r="A61" s="1">
        <v>39343</v>
      </c>
      <c r="B61" s="1" cm="1">
        <f t="array" ref="B61">_xlfn._xlws.FILTER(A61, WEEKDAY(A61, 2) &lt;= 5)</f>
        <v>39343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0.1693000030517578</v>
      </c>
    </row>
    <row r="62" spans="1:9">
      <c r="A62" s="1">
        <v>39344</v>
      </c>
      <c r="B62" s="1" cm="1">
        <f t="array" ref="B62">_xlfn._xlws.FILTER(A62, WEEKDAY(A62, 2) &lt;= 5)</f>
        <v>39344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0.1693000030517578</v>
      </c>
    </row>
    <row r="63" spans="1:9">
      <c r="A63" s="1">
        <v>39345</v>
      </c>
      <c r="B63" s="1" cm="1">
        <f t="array" ref="B63">_xlfn._xlws.FILTER(A63, WEEKDAY(A63, 2) &lt;= 5)</f>
        <v>39345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0.1693000030517578</v>
      </c>
    </row>
    <row r="64" spans="1:9">
      <c r="A64" s="1">
        <v>39346</v>
      </c>
      <c r="B64" s="1" cm="1">
        <f t="array" ref="B64">_xlfn._xlws.FILTER(A64, WEEKDAY(A64, 2) &lt;= 5)</f>
        <v>39346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0.1693000030517578</v>
      </c>
    </row>
    <row r="65" spans="1:9">
      <c r="A65" s="1">
        <v>39349</v>
      </c>
      <c r="B65" s="1" cm="1">
        <f t="array" ref="B65">_xlfn._xlws.FILTER(A65, WEEKDAY(A65, 2) &lt;= 5)</f>
        <v>39349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0.1693000030517578</v>
      </c>
    </row>
    <row r="66" spans="1:9">
      <c r="A66" s="1">
        <v>39350</v>
      </c>
      <c r="B66" s="1" cm="1">
        <f t="array" ref="B66">_xlfn._xlws.FILTER(A66, WEEKDAY(A66, 2) &lt;= 5)</f>
        <v>39350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0.1693000030517578</v>
      </c>
    </row>
    <row r="67" spans="1:9">
      <c r="A67" s="1">
        <v>39351</v>
      </c>
      <c r="B67" s="1" cm="1">
        <f t="array" ref="B67">_xlfn._xlws.FILTER(A67, WEEKDAY(A67, 2) &lt;= 5)</f>
        <v>39351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0.1693000030517578</v>
      </c>
    </row>
    <row r="68" spans="1:9">
      <c r="A68" s="1">
        <v>39352</v>
      </c>
      <c r="B68" s="1" cm="1">
        <f t="array" ref="B68">_xlfn._xlws.FILTER(A68, WEEKDAY(A68, 2) &lt;= 5)</f>
        <v>39352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0.1693000030517578</v>
      </c>
    </row>
    <row r="69" spans="1:9">
      <c r="A69" s="1">
        <v>39353</v>
      </c>
      <c r="B69" s="1" cm="1">
        <f t="array" ref="B69">_xlfn._xlws.FILTER(A69, WEEKDAY(A69, 2) &lt;= 5)</f>
        <v>39353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0.1693000030517578</v>
      </c>
    </row>
    <row r="70" spans="1:9">
      <c r="A70" s="1">
        <v>39356</v>
      </c>
      <c r="B70" s="1" cm="1">
        <f t="array" ref="B70">_xlfn._xlws.FILTER(A70, WEEKDAY(A70, 2) &lt;= 5)</f>
        <v>39356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0.1693000030517578</v>
      </c>
    </row>
    <row r="71" spans="1:9">
      <c r="A71" s="1">
        <v>39357</v>
      </c>
      <c r="B71" s="1" cm="1">
        <f t="array" ref="B71">_xlfn._xlws.FILTER(A71, WEEKDAY(A71, 2) &lt;= 5)</f>
        <v>39357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0.1693000030517578</v>
      </c>
    </row>
    <row r="72" spans="1:9">
      <c r="A72" s="1">
        <v>39358</v>
      </c>
      <c r="B72" s="1" cm="1">
        <f t="array" ref="B72">_xlfn._xlws.FILTER(A72, WEEKDAY(A72, 2) &lt;= 5)</f>
        <v>39358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0.1693000030517578</v>
      </c>
    </row>
    <row r="73" spans="1:9">
      <c r="A73" s="1">
        <v>39359</v>
      </c>
      <c r="B73" s="1" cm="1">
        <f t="array" ref="B73">_xlfn._xlws.FILTER(A73, WEEKDAY(A73, 2) &lt;= 5)</f>
        <v>39359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0.1693000030517578</v>
      </c>
    </row>
    <row r="74" spans="1:9">
      <c r="A74" s="1">
        <v>39360</v>
      </c>
      <c r="B74" s="1" cm="1">
        <f t="array" ref="B74">_xlfn._xlws.FILTER(A74, WEEKDAY(A74, 2) &lt;= 5)</f>
        <v>39360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0.1693000030517578</v>
      </c>
    </row>
    <row r="75" spans="1:9">
      <c r="A75" s="1">
        <v>39363</v>
      </c>
      <c r="B75" s="1" cm="1">
        <f t="array" ref="B75">_xlfn._xlws.FILTER(A75, WEEKDAY(A75, 2) &lt;= 5)</f>
        <v>39363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0.1693000030517578</v>
      </c>
    </row>
    <row r="76" spans="1:9">
      <c r="A76" s="1">
        <v>39364</v>
      </c>
      <c r="B76" s="1" cm="1">
        <f t="array" ref="B76">_xlfn._xlws.FILTER(A76, WEEKDAY(A76, 2) &lt;= 5)</f>
        <v>39364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0.1693000030517578</v>
      </c>
    </row>
    <row r="77" spans="1:9">
      <c r="A77" s="1">
        <v>39365</v>
      </c>
      <c r="B77" s="1" cm="1">
        <f t="array" ref="B77">_xlfn._xlws.FILTER(A77, WEEKDAY(A77, 2) &lt;= 5)</f>
        <v>39365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0.1693000030517578</v>
      </c>
    </row>
    <row r="78" spans="1:9">
      <c r="A78" s="1">
        <v>39366</v>
      </c>
      <c r="B78" s="1" cm="1">
        <f t="array" ref="B78">_xlfn._xlws.FILTER(A78, WEEKDAY(A78, 2) &lt;= 5)</f>
        <v>39366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0.1693000030517578</v>
      </c>
    </row>
    <row r="79" spans="1:9">
      <c r="A79" s="1">
        <v>39367</v>
      </c>
      <c r="B79" s="1" cm="1">
        <f t="array" ref="B79">_xlfn._xlws.FILTER(A79, WEEKDAY(A79, 2) &lt;= 5)</f>
        <v>39367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0.1693000030517578</v>
      </c>
    </row>
    <row r="80" spans="1:9">
      <c r="A80" s="1">
        <v>39370</v>
      </c>
      <c r="B80" s="1" cm="1">
        <f t="array" ref="B80">_xlfn._xlws.FILTER(A80, WEEKDAY(A80, 2) &lt;= 5)</f>
        <v>39370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0.1693000030517578</v>
      </c>
    </row>
    <row r="81" spans="1:9">
      <c r="A81" s="1">
        <v>39371</v>
      </c>
      <c r="B81" s="1" cm="1">
        <f t="array" ref="B81">_xlfn._xlws.FILTER(A81, WEEKDAY(A81, 2) &lt;= 5)</f>
        <v>39371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0.1693000030517578</v>
      </c>
    </row>
    <row r="82" spans="1:9">
      <c r="A82" s="1">
        <v>39372</v>
      </c>
      <c r="B82" s="1" cm="1">
        <f t="array" ref="B82">_xlfn._xlws.FILTER(A82, WEEKDAY(A82, 2) &lt;= 5)</f>
        <v>39372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0.1693000030517578</v>
      </c>
    </row>
    <row r="83" spans="1:9">
      <c r="A83" s="1">
        <v>39373</v>
      </c>
      <c r="B83" s="1" cm="1">
        <f t="array" ref="B83">_xlfn._xlws.FILTER(A83, WEEKDAY(A83, 2) &lt;= 5)</f>
        <v>39373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0.1693000030517578</v>
      </c>
    </row>
    <row r="84" spans="1:9">
      <c r="A84" s="1">
        <v>39374</v>
      </c>
      <c r="B84" s="1" cm="1">
        <f t="array" ref="B84">_xlfn._xlws.FILTER(A84, WEEKDAY(A84, 2) &lt;= 5)</f>
        <v>39374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0.1693000030517578</v>
      </c>
    </row>
    <row r="85" spans="1:9">
      <c r="A85" s="1">
        <v>39377</v>
      </c>
      <c r="B85" s="1" cm="1">
        <f t="array" ref="B85">_xlfn._xlws.FILTER(A85, WEEKDAY(A85, 2) &lt;= 5)</f>
        <v>39377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0.1693000030517578</v>
      </c>
    </row>
    <row r="86" spans="1:9">
      <c r="A86" s="1">
        <v>39378</v>
      </c>
      <c r="B86" s="1" cm="1">
        <f t="array" ref="B86">_xlfn._xlws.FILTER(A86, WEEKDAY(A86, 2) &lt;= 5)</f>
        <v>39378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0.1693000030517578</v>
      </c>
    </row>
    <row r="87" spans="1:9">
      <c r="A87" s="1">
        <v>39379</v>
      </c>
      <c r="B87" s="1" cm="1">
        <f t="array" ref="B87">_xlfn._xlws.FILTER(A87, WEEKDAY(A87, 2) &lt;= 5)</f>
        <v>39379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0.1693000030517578</v>
      </c>
    </row>
    <row r="88" spans="1:9">
      <c r="A88" s="1">
        <v>39380</v>
      </c>
      <c r="B88" s="1" cm="1">
        <f t="array" ref="B88">_xlfn._xlws.FILTER(A88, WEEKDAY(A88, 2) &lt;= 5)</f>
        <v>39380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0.1693000030517578</v>
      </c>
    </row>
    <row r="89" spans="1:9">
      <c r="A89" s="1">
        <v>39381</v>
      </c>
      <c r="B89" s="1" cm="1">
        <f t="array" ref="B89">_xlfn._xlws.FILTER(A89, WEEKDAY(A89, 2) &lt;= 5)</f>
        <v>39381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0.1693000030517578</v>
      </c>
    </row>
    <row r="90" spans="1:9">
      <c r="A90" s="1">
        <v>39384</v>
      </c>
      <c r="B90" s="1" cm="1">
        <f t="array" ref="B90">_xlfn._xlws.FILTER(A90, WEEKDAY(A90, 2) &lt;= 5)</f>
        <v>39384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0.1693000030517578</v>
      </c>
    </row>
    <row r="91" spans="1:9">
      <c r="A91" s="1">
        <v>39385</v>
      </c>
      <c r="B91" s="1" cm="1">
        <f t="array" ref="B91">_xlfn._xlws.FILTER(A91, WEEKDAY(A91, 2) &lt;= 5)</f>
        <v>39385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0.1693000030517578</v>
      </c>
    </row>
    <row r="92" spans="1:9">
      <c r="A92" s="1">
        <v>39386</v>
      </c>
      <c r="B92" s="1" cm="1">
        <f t="array" ref="B92">_xlfn._xlws.FILTER(A92, WEEKDAY(A92, 2) &lt;= 5)</f>
        <v>39386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0.1693000030517578</v>
      </c>
    </row>
    <row r="93" spans="1:9">
      <c r="A93" s="1">
        <v>39387</v>
      </c>
      <c r="B93" s="1" cm="1">
        <f t="array" ref="B93">_xlfn._xlws.FILTER(A93, WEEKDAY(A93, 2) &lt;= 5)</f>
        <v>39387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0.1693000030517578</v>
      </c>
    </row>
    <row r="94" spans="1:9">
      <c r="A94" s="1">
        <v>39388</v>
      </c>
      <c r="B94" s="1" cm="1">
        <f t="array" ref="B94">_xlfn._xlws.FILTER(A94, WEEKDAY(A94, 2) &lt;= 5)</f>
        <v>39388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0.1693000030517578</v>
      </c>
    </row>
    <row r="95" spans="1:9">
      <c r="A95" s="1">
        <v>39391</v>
      </c>
      <c r="B95" s="1" cm="1">
        <f t="array" ref="B95">_xlfn._xlws.FILTER(A95, WEEKDAY(A95, 2) &lt;= 5)</f>
        <v>39391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0.1693000030517578</v>
      </c>
    </row>
    <row r="96" spans="1:9">
      <c r="A96" s="1">
        <v>39392</v>
      </c>
      <c r="B96" s="1" cm="1">
        <f t="array" ref="B96">_xlfn._xlws.FILTER(A96, WEEKDAY(A96, 2) &lt;= 5)</f>
        <v>39392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0.1693000030517578</v>
      </c>
    </row>
    <row r="97" spans="1:9">
      <c r="A97" s="1">
        <v>39393</v>
      </c>
      <c r="B97" s="1" cm="1">
        <f t="array" ref="B97">_xlfn._xlws.FILTER(A97, WEEKDAY(A97, 2) &lt;= 5)</f>
        <v>39393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0.1693000030517578</v>
      </c>
    </row>
    <row r="98" spans="1:9">
      <c r="A98" s="1">
        <v>39394</v>
      </c>
      <c r="B98" s="1" cm="1">
        <f t="array" ref="B98">_xlfn._xlws.FILTER(A98, WEEKDAY(A98, 2) &lt;= 5)</f>
        <v>39394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0.1693000030517578</v>
      </c>
    </row>
    <row r="99" spans="1:9">
      <c r="A99" s="1">
        <v>39395</v>
      </c>
      <c r="B99" s="1" cm="1">
        <f t="array" ref="B99">_xlfn._xlws.FILTER(A99, WEEKDAY(A99, 2) &lt;= 5)</f>
        <v>39395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0.1693000030517578</v>
      </c>
    </row>
    <row r="100" spans="1:9">
      <c r="A100" s="1">
        <v>39398</v>
      </c>
      <c r="B100" s="1" cm="1">
        <f t="array" ref="B100">_xlfn._xlws.FILTER(A100, WEEKDAY(A100, 2) &lt;= 5)</f>
        <v>39398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0.1693000030517578</v>
      </c>
    </row>
    <row r="101" spans="1:9">
      <c r="A101" s="1">
        <v>39399</v>
      </c>
      <c r="B101" s="1" cm="1">
        <f t="array" ref="B101">_xlfn._xlws.FILTER(A101, WEEKDAY(A101, 2) &lt;= 5)</f>
        <v>39399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0.1693000030517578</v>
      </c>
    </row>
    <row r="102" spans="1:9">
      <c r="A102" s="1">
        <v>39400</v>
      </c>
      <c r="B102" s="1" cm="1">
        <f t="array" ref="B102">_xlfn._xlws.FILTER(A102, WEEKDAY(A102, 2) &lt;= 5)</f>
        <v>39400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0.1693000030517578</v>
      </c>
    </row>
    <row r="103" spans="1:9">
      <c r="A103" s="1">
        <v>39401</v>
      </c>
      <c r="B103" s="1" cm="1">
        <f t="array" ref="B103">_xlfn._xlws.FILTER(A103, WEEKDAY(A103, 2) &lt;= 5)</f>
        <v>39401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0.1693000030517578</v>
      </c>
    </row>
    <row r="104" spans="1:9">
      <c r="A104" s="1">
        <v>39402</v>
      </c>
      <c r="B104" s="1" cm="1">
        <f t="array" ref="B104">_xlfn._xlws.FILTER(A104, WEEKDAY(A104, 2) &lt;= 5)</f>
        <v>39402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0.1693000030517578</v>
      </c>
    </row>
    <row r="105" spans="1:9">
      <c r="A105" s="1">
        <v>39405</v>
      </c>
      <c r="B105" s="1" cm="1">
        <f t="array" ref="B105">_xlfn._xlws.FILTER(A105, WEEKDAY(A105, 2) &lt;= 5)</f>
        <v>39405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0.1693000030517578</v>
      </c>
    </row>
    <row r="106" spans="1:9">
      <c r="A106" s="1">
        <v>39406</v>
      </c>
      <c r="B106" s="1" cm="1">
        <f t="array" ref="B106">_xlfn._xlws.FILTER(A106, WEEKDAY(A106, 2) &lt;= 5)</f>
        <v>39406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0.1693000030517578</v>
      </c>
    </row>
    <row r="107" spans="1:9">
      <c r="A107" s="1">
        <v>39407</v>
      </c>
      <c r="B107" s="1" cm="1">
        <f t="array" ref="B107">_xlfn._xlws.FILTER(A107, WEEKDAY(A107, 2) &lt;= 5)</f>
        <v>39407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0.1693000030517578</v>
      </c>
    </row>
    <row r="108" spans="1:9">
      <c r="A108" s="1">
        <v>39408</v>
      </c>
      <c r="B108" s="1" cm="1">
        <f t="array" ref="B108">_xlfn._xlws.FILTER(A108, WEEKDAY(A108, 2) &lt;= 5)</f>
        <v>39408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0.1693000030517578</v>
      </c>
    </row>
    <row r="109" spans="1:9">
      <c r="A109" s="1">
        <v>39409</v>
      </c>
      <c r="B109" s="1" cm="1">
        <f t="array" ref="B109">_xlfn._xlws.FILTER(A109, WEEKDAY(A109, 2) &lt;= 5)</f>
        <v>39409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0.1693000030517578</v>
      </c>
    </row>
    <row r="110" spans="1:9">
      <c r="A110" s="1">
        <v>39412</v>
      </c>
      <c r="B110" s="1" cm="1">
        <f t="array" ref="B110">_xlfn._xlws.FILTER(A110, WEEKDAY(A110, 2) &lt;= 5)</f>
        <v>39412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0.1693000030517578</v>
      </c>
    </row>
    <row r="111" spans="1:9">
      <c r="A111" s="1">
        <v>39413</v>
      </c>
      <c r="B111" s="1" cm="1">
        <f t="array" ref="B111">_xlfn._xlws.FILTER(A111, WEEKDAY(A111, 2) &lt;= 5)</f>
        <v>39413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0.1693000030517578</v>
      </c>
    </row>
    <row r="112" spans="1:9">
      <c r="A112" s="1">
        <v>39414</v>
      </c>
      <c r="B112" s="1" cm="1">
        <f t="array" ref="B112">_xlfn._xlws.FILTER(A112, WEEKDAY(A112, 2) &lt;= 5)</f>
        <v>39414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0.1693000030517578</v>
      </c>
    </row>
    <row r="113" spans="1:9">
      <c r="A113" s="1">
        <v>39415</v>
      </c>
      <c r="B113" s="1" cm="1">
        <f t="array" ref="B113">_xlfn._xlws.FILTER(A113, WEEKDAY(A113, 2) &lt;= 5)</f>
        <v>39415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0.1693000030517578</v>
      </c>
    </row>
    <row r="114" spans="1:9">
      <c r="A114" s="1">
        <v>39416</v>
      </c>
      <c r="B114" s="1" cm="1">
        <f t="array" ref="B114">_xlfn._xlws.FILTER(A114, WEEKDAY(A114, 2) &lt;= 5)</f>
        <v>39416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0.1693000030517578</v>
      </c>
    </row>
    <row r="115" spans="1:9">
      <c r="A115" s="1">
        <v>39419</v>
      </c>
      <c r="B115" s="1" cm="1">
        <f t="array" ref="B115">_xlfn._xlws.FILTER(A115, WEEKDAY(A115, 2) &lt;= 5)</f>
        <v>39419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0.1693000030517578</v>
      </c>
    </row>
    <row r="116" spans="1:9">
      <c r="A116" s="1">
        <v>39420</v>
      </c>
      <c r="B116" s="1" cm="1">
        <f t="array" ref="B116">_xlfn._xlws.FILTER(A116, WEEKDAY(A116, 2) &lt;= 5)</f>
        <v>39420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0.1693000030517578</v>
      </c>
    </row>
    <row r="117" spans="1:9">
      <c r="A117" s="1">
        <v>39421</v>
      </c>
      <c r="B117" s="1" cm="1">
        <f t="array" ref="B117">_xlfn._xlws.FILTER(A117, WEEKDAY(A117, 2) &lt;= 5)</f>
        <v>39421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0.1693000030517578</v>
      </c>
    </row>
    <row r="118" spans="1:9">
      <c r="A118" s="1">
        <v>39422</v>
      </c>
      <c r="B118" s="1" cm="1">
        <f t="array" ref="B118">_xlfn._xlws.FILTER(A118, WEEKDAY(A118, 2) &lt;= 5)</f>
        <v>39422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0.1693000030517578</v>
      </c>
    </row>
    <row r="119" spans="1:9">
      <c r="A119" s="1">
        <v>39423</v>
      </c>
      <c r="B119" s="1" cm="1">
        <f t="array" ref="B119">_xlfn._xlws.FILTER(A119, WEEKDAY(A119, 2) &lt;= 5)</f>
        <v>39423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0.1693000030517578</v>
      </c>
    </row>
    <row r="120" spans="1:9">
      <c r="A120" s="1">
        <v>39426</v>
      </c>
      <c r="B120" s="1" cm="1">
        <f t="array" ref="B120">_xlfn._xlws.FILTER(A120, WEEKDAY(A120, 2) &lt;= 5)</f>
        <v>39426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0.1693000030517578</v>
      </c>
    </row>
    <row r="121" spans="1:9">
      <c r="A121" s="1">
        <v>39427</v>
      </c>
      <c r="B121" s="1" cm="1">
        <f t="array" ref="B121">_xlfn._xlws.FILTER(A121, WEEKDAY(A121, 2) &lt;= 5)</f>
        <v>39427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0.1693000030517578</v>
      </c>
    </row>
    <row r="122" spans="1:9">
      <c r="A122" s="1">
        <v>39428</v>
      </c>
      <c r="B122" s="1" cm="1">
        <f t="array" ref="B122">_xlfn._xlws.FILTER(A122, WEEKDAY(A122, 2) &lt;= 5)</f>
        <v>39428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0.1693000030517578</v>
      </c>
    </row>
    <row r="123" spans="1:9">
      <c r="A123" s="1">
        <v>39429</v>
      </c>
      <c r="B123" s="1" cm="1">
        <f t="array" ref="B123">_xlfn._xlws.FILTER(A123, WEEKDAY(A123, 2) &lt;= 5)</f>
        <v>39429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0.1693000030517578</v>
      </c>
    </row>
    <row r="124" spans="1:9">
      <c r="A124" s="1">
        <v>39430</v>
      </c>
      <c r="B124" s="1" cm="1">
        <f t="array" ref="B124">_xlfn._xlws.FILTER(A124, WEEKDAY(A124, 2) &lt;= 5)</f>
        <v>39430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0.1693000030517578</v>
      </c>
    </row>
    <row r="125" spans="1:9">
      <c r="A125" s="1">
        <v>39433</v>
      </c>
      <c r="B125" s="1" cm="1">
        <f t="array" ref="B125">_xlfn._xlws.FILTER(A125, WEEKDAY(A125, 2) &lt;= 5)</f>
        <v>39433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0.1693000030517578</v>
      </c>
    </row>
    <row r="126" spans="1:9">
      <c r="A126" s="1">
        <v>39434</v>
      </c>
      <c r="B126" s="1" cm="1">
        <f t="array" ref="B126">_xlfn._xlws.FILTER(A126, WEEKDAY(A126, 2) &lt;= 5)</f>
        <v>39434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0.1693000030517578</v>
      </c>
    </row>
    <row r="127" spans="1:9">
      <c r="A127" s="1">
        <v>39435</v>
      </c>
      <c r="B127" s="1" cm="1">
        <f t="array" ref="B127">_xlfn._xlws.FILTER(A127, WEEKDAY(A127, 2) &lt;= 5)</f>
        <v>39435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0.1693000030517578</v>
      </c>
    </row>
    <row r="128" spans="1:9">
      <c r="A128" s="1">
        <v>39436</v>
      </c>
      <c r="B128" s="1" cm="1">
        <f t="array" ref="B128">_xlfn._xlws.FILTER(A128, WEEKDAY(A128, 2) &lt;= 5)</f>
        <v>39436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0.1693000030517578</v>
      </c>
    </row>
    <row r="129" spans="1:9">
      <c r="A129" s="1">
        <v>39437</v>
      </c>
      <c r="B129" s="1" cm="1">
        <f t="array" ref="B129">_xlfn._xlws.FILTER(A129, WEEKDAY(A129, 2) &lt;= 5)</f>
        <v>39437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0.1693000030517578</v>
      </c>
    </row>
    <row r="130" spans="1:9">
      <c r="A130" s="1">
        <v>39440</v>
      </c>
      <c r="B130" s="1" cm="1">
        <f t="array" ref="B130">_xlfn._xlws.FILTER(A130, WEEKDAY(A130, 2) &lt;= 5)</f>
        <v>39440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0.1693000030517578</v>
      </c>
    </row>
    <row r="131" spans="1:9">
      <c r="A131" s="1">
        <v>39441</v>
      </c>
      <c r="B131" s="1" cm="1">
        <f t="array" ref="B131">_xlfn._xlws.FILTER(A131, WEEKDAY(A131, 2) &lt;= 5)</f>
        <v>39441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0.1693000030517578</v>
      </c>
    </row>
    <row r="132" spans="1:9">
      <c r="A132" s="1">
        <v>39442</v>
      </c>
      <c r="B132" s="1" cm="1">
        <f t="array" ref="B132">_xlfn._xlws.FILTER(A132, WEEKDAY(A132, 2) &lt;= 5)</f>
        <v>39442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0.1693000030517578</v>
      </c>
    </row>
    <row r="133" spans="1:9">
      <c r="A133" s="1">
        <v>39443</v>
      </c>
      <c r="B133" s="1" cm="1">
        <f t="array" ref="B133">_xlfn._xlws.FILTER(A133, WEEKDAY(A133, 2) &lt;= 5)</f>
        <v>39443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0.1693000030517578</v>
      </c>
    </row>
    <row r="134" spans="1:9">
      <c r="A134" s="1">
        <v>39444</v>
      </c>
      <c r="B134" s="1" cm="1">
        <f t="array" ref="B134">_xlfn._xlws.FILTER(A134, WEEKDAY(A134, 2) &lt;= 5)</f>
        <v>39444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0.1693000030517578</v>
      </c>
    </row>
    <row r="135" spans="1:9">
      <c r="A135" s="1">
        <v>39447</v>
      </c>
      <c r="B135" s="1" cm="1">
        <f t="array" ref="B135">_xlfn._xlws.FILTER(A135, WEEKDAY(A135, 2) &lt;= 5)</f>
        <v>39447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0.1693000030517578</v>
      </c>
    </row>
    <row r="136" spans="1:9">
      <c r="A136" s="1">
        <v>39448</v>
      </c>
      <c r="B136" s="1" cm="1">
        <f t="array" ref="B136">_xlfn._xlws.FILTER(A136, WEEKDAY(A136, 2) &lt;= 5)</f>
        <v>39448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0.1693000030517578</v>
      </c>
    </row>
    <row r="137" spans="1:9">
      <c r="A137" s="1">
        <v>39449</v>
      </c>
      <c r="B137" s="1" cm="1">
        <f t="array" ref="B137">_xlfn._xlws.FILTER(A137, WEEKDAY(A137, 2) &lt;= 5)</f>
        <v>39449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0.1693000030517578</v>
      </c>
    </row>
    <row r="138" spans="1:9">
      <c r="A138" s="1">
        <v>39450</v>
      </c>
      <c r="B138" s="1" cm="1">
        <f t="array" ref="B138">_xlfn._xlws.FILTER(A138, WEEKDAY(A138, 2) &lt;= 5)</f>
        <v>39450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0.1693000030517578</v>
      </c>
    </row>
    <row r="139" spans="1:9">
      <c r="A139" s="1">
        <v>39451</v>
      </c>
      <c r="B139" s="1" cm="1">
        <f t="array" ref="B139">_xlfn._xlws.FILTER(A139, WEEKDAY(A139, 2) &lt;= 5)</f>
        <v>39451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0.1693000030517578</v>
      </c>
    </row>
    <row r="140" spans="1:9">
      <c r="A140" s="1">
        <v>39454</v>
      </c>
      <c r="B140" s="1" cm="1">
        <f t="array" ref="B140">_xlfn._xlws.FILTER(A140, WEEKDAY(A140, 2) &lt;= 5)</f>
        <v>39454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0.1693000030517578</v>
      </c>
    </row>
    <row r="141" spans="1:9">
      <c r="A141" s="1">
        <v>39455</v>
      </c>
      <c r="B141" s="1" cm="1">
        <f t="array" ref="B141">_xlfn._xlws.FILTER(A141, WEEKDAY(A141, 2) &lt;= 5)</f>
        <v>39455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0.1693000030517578</v>
      </c>
    </row>
    <row r="142" spans="1:9">
      <c r="A142" s="1">
        <v>39456</v>
      </c>
      <c r="B142" s="1" cm="1">
        <f t="array" ref="B142">_xlfn._xlws.FILTER(A142, WEEKDAY(A142, 2) &lt;= 5)</f>
        <v>39456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0.1693000030517578</v>
      </c>
    </row>
    <row r="143" spans="1:9">
      <c r="A143" s="1">
        <v>39457</v>
      </c>
      <c r="B143" s="1" cm="1">
        <f t="array" ref="B143">_xlfn._xlws.FILTER(A143, WEEKDAY(A143, 2) &lt;= 5)</f>
        <v>39457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0.1693000030517578</v>
      </c>
    </row>
    <row r="144" spans="1:9">
      <c r="A144" s="1">
        <v>39458</v>
      </c>
      <c r="B144" s="1" cm="1">
        <f t="array" ref="B144">_xlfn._xlws.FILTER(A144, WEEKDAY(A144, 2) &lt;= 5)</f>
        <v>39458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0.1693000030517578</v>
      </c>
    </row>
    <row r="145" spans="1:9">
      <c r="A145" s="1">
        <v>39461</v>
      </c>
      <c r="B145" s="1" cm="1">
        <f t="array" ref="B145">_xlfn._xlws.FILTER(A145, WEEKDAY(A145, 2) &lt;= 5)</f>
        <v>39461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0.1693000030517578</v>
      </c>
    </row>
    <row r="146" spans="1:9">
      <c r="A146" s="1">
        <v>39462</v>
      </c>
      <c r="B146" s="1" cm="1">
        <f t="array" ref="B146">_xlfn._xlws.FILTER(A146, WEEKDAY(A146, 2) &lt;= 5)</f>
        <v>39462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0.1693000030517578</v>
      </c>
    </row>
    <row r="147" spans="1:9">
      <c r="A147" s="1">
        <v>39463</v>
      </c>
      <c r="B147" s="1" cm="1">
        <f t="array" ref="B147">_xlfn._xlws.FILTER(A147, WEEKDAY(A147, 2) &lt;= 5)</f>
        <v>39463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0.1693000030517578</v>
      </c>
    </row>
    <row r="148" spans="1:9">
      <c r="A148" s="1">
        <v>39464</v>
      </c>
      <c r="B148" s="1" cm="1">
        <f t="array" ref="B148">_xlfn._xlws.FILTER(A148, WEEKDAY(A148, 2) &lt;= 5)</f>
        <v>39464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0.1693000030517578</v>
      </c>
    </row>
    <row r="149" spans="1:9">
      <c r="A149" s="1">
        <v>39465</v>
      </c>
      <c r="B149" s="1" cm="1">
        <f t="array" ref="B149">_xlfn._xlws.FILTER(A149, WEEKDAY(A149, 2) &lt;= 5)</f>
        <v>39465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0.1693000030517578</v>
      </c>
    </row>
    <row r="150" spans="1:9">
      <c r="A150" s="1">
        <v>39468</v>
      </c>
      <c r="B150" s="1" cm="1">
        <f t="array" ref="B150">_xlfn._xlws.FILTER(A150, WEEKDAY(A150, 2) &lt;= 5)</f>
        <v>39468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0.1693000030517578</v>
      </c>
    </row>
    <row r="151" spans="1:9">
      <c r="A151" s="1">
        <v>39469</v>
      </c>
      <c r="B151" s="1" cm="1">
        <f t="array" ref="B151">_xlfn._xlws.FILTER(A151, WEEKDAY(A151, 2) &lt;= 5)</f>
        <v>39469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0.1693000030517578</v>
      </c>
    </row>
    <row r="152" spans="1:9">
      <c r="A152" s="1">
        <v>39470</v>
      </c>
      <c r="B152" s="1" cm="1">
        <f t="array" ref="B152">_xlfn._xlws.FILTER(A152, WEEKDAY(A152, 2) &lt;= 5)</f>
        <v>39470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0.1693000030517578</v>
      </c>
    </row>
    <row r="153" spans="1:9">
      <c r="A153" s="1">
        <v>39471</v>
      </c>
      <c r="B153" s="1" cm="1">
        <f t="array" ref="B153">_xlfn._xlws.FILTER(A153, WEEKDAY(A153, 2) &lt;= 5)</f>
        <v>39471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0.1693000030517578</v>
      </c>
    </row>
    <row r="154" spans="1:9">
      <c r="A154" s="1">
        <v>39472</v>
      </c>
      <c r="B154" s="1" cm="1">
        <f t="array" ref="B154">_xlfn._xlws.FILTER(A154, WEEKDAY(A154, 2) &lt;= 5)</f>
        <v>39472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0.1693000030517578</v>
      </c>
    </row>
    <row r="155" spans="1:9">
      <c r="A155" s="1">
        <v>39475</v>
      </c>
      <c r="B155" s="1" cm="1">
        <f t="array" ref="B155">_xlfn._xlws.FILTER(A155, WEEKDAY(A155, 2) &lt;= 5)</f>
        <v>39475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0.1693000030517578</v>
      </c>
    </row>
    <row r="156" spans="1:9">
      <c r="A156" s="1">
        <v>39476</v>
      </c>
      <c r="B156" s="1" cm="1">
        <f t="array" ref="B156">_xlfn._xlws.FILTER(A156, WEEKDAY(A156, 2) &lt;= 5)</f>
        <v>39476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0.1693000030517578</v>
      </c>
    </row>
    <row r="157" spans="1:9">
      <c r="A157" s="1">
        <v>39477</v>
      </c>
      <c r="B157" s="1" cm="1">
        <f t="array" ref="B157">_xlfn._xlws.FILTER(A157, WEEKDAY(A157, 2) &lt;= 5)</f>
        <v>39477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0.1693000030517578</v>
      </c>
    </row>
    <row r="158" spans="1:9">
      <c r="A158" s="1">
        <v>39478</v>
      </c>
      <c r="B158" s="1" cm="1">
        <f t="array" ref="B158">_xlfn._xlws.FILTER(A158, WEEKDAY(A158, 2) &lt;= 5)</f>
        <v>39478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0.1693000030517578</v>
      </c>
    </row>
    <row r="159" spans="1:9">
      <c r="A159" s="1">
        <v>39479</v>
      </c>
      <c r="B159" s="1" cm="1">
        <f t="array" ref="B159">_xlfn._xlws.FILTER(A159, WEEKDAY(A159, 2) &lt;= 5)</f>
        <v>39479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0.1693000030517578</v>
      </c>
    </row>
    <row r="160" spans="1:9">
      <c r="A160" s="1">
        <v>39482</v>
      </c>
      <c r="B160" s="1" cm="1">
        <f t="array" ref="B160">_xlfn._xlws.FILTER(A160, WEEKDAY(A160, 2) &lt;= 5)</f>
        <v>39482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0.1693000030517578</v>
      </c>
    </row>
    <row r="161" spans="1:9">
      <c r="A161" s="1">
        <v>39483</v>
      </c>
      <c r="B161" s="1" cm="1">
        <f t="array" ref="B161">_xlfn._xlws.FILTER(A161, WEEKDAY(A161, 2) &lt;= 5)</f>
        <v>39483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0.1693000030517578</v>
      </c>
    </row>
    <row r="162" spans="1:9">
      <c r="A162" s="1">
        <v>39484</v>
      </c>
      <c r="B162" s="1" cm="1">
        <f t="array" ref="B162">_xlfn._xlws.FILTER(A162, WEEKDAY(A162, 2) &lt;= 5)</f>
        <v>39484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0.1693000030517578</v>
      </c>
    </row>
    <row r="163" spans="1:9">
      <c r="A163" s="1">
        <v>39485</v>
      </c>
      <c r="B163" s="1" cm="1">
        <f t="array" ref="B163">_xlfn._xlws.FILTER(A163, WEEKDAY(A163, 2) &lt;= 5)</f>
        <v>39485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0.1693000030517578</v>
      </c>
    </row>
    <row r="164" spans="1:9">
      <c r="A164" s="1">
        <v>39486</v>
      </c>
      <c r="B164" s="1" cm="1">
        <f t="array" ref="B164">_xlfn._xlws.FILTER(A164, WEEKDAY(A164, 2) &lt;= 5)</f>
        <v>39486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0.1693000030517578</v>
      </c>
    </row>
    <row r="165" spans="1:9">
      <c r="A165" s="1">
        <v>39489</v>
      </c>
      <c r="B165" s="1" cm="1">
        <f t="array" ref="B165">_xlfn._xlws.FILTER(A165, WEEKDAY(A165, 2) &lt;= 5)</f>
        <v>39489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0.1693000030517578</v>
      </c>
    </row>
    <row r="166" spans="1:9">
      <c r="A166" s="1">
        <v>39490</v>
      </c>
      <c r="B166" s="1" cm="1">
        <f t="array" ref="B166">_xlfn._xlws.FILTER(A166, WEEKDAY(A166, 2) &lt;= 5)</f>
        <v>39490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0.1693000030517578</v>
      </c>
    </row>
    <row r="167" spans="1:9">
      <c r="A167" s="1">
        <v>39491</v>
      </c>
      <c r="B167" s="1" cm="1">
        <f t="array" ref="B167">_xlfn._xlws.FILTER(A167, WEEKDAY(A167, 2) &lt;= 5)</f>
        <v>39491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0.1693000030517578</v>
      </c>
    </row>
    <row r="168" spans="1:9">
      <c r="A168" s="1">
        <v>39492</v>
      </c>
      <c r="B168" s="1" cm="1">
        <f t="array" ref="B168">_xlfn._xlws.FILTER(A168, WEEKDAY(A168, 2) &lt;= 5)</f>
        <v>39492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0.1693000030517578</v>
      </c>
    </row>
    <row r="169" spans="1:9">
      <c r="A169" s="1">
        <v>39493</v>
      </c>
      <c r="B169" s="1" cm="1">
        <f t="array" ref="B169">_xlfn._xlws.FILTER(A169, WEEKDAY(A169, 2) &lt;= 5)</f>
        <v>39493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0.1693000030517578</v>
      </c>
    </row>
    <row r="170" spans="1:9">
      <c r="A170" s="1">
        <v>39496</v>
      </c>
      <c r="B170" s="1" cm="1">
        <f t="array" ref="B170">_xlfn._xlws.FILTER(A170, WEEKDAY(A170, 2) &lt;= 5)</f>
        <v>39496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0.1693000030517578</v>
      </c>
    </row>
    <row r="171" spans="1:9">
      <c r="A171" s="1">
        <v>39497</v>
      </c>
      <c r="B171" s="1" cm="1">
        <f t="array" ref="B171">_xlfn._xlws.FILTER(A171, WEEKDAY(A171, 2) &lt;= 5)</f>
        <v>39497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0.1693000030517578</v>
      </c>
    </row>
    <row r="172" spans="1:9">
      <c r="A172" s="1">
        <v>39498</v>
      </c>
      <c r="B172" s="1" cm="1">
        <f t="array" ref="B172">_xlfn._xlws.FILTER(A172, WEEKDAY(A172, 2) &lt;= 5)</f>
        <v>39498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0.1693000030517578</v>
      </c>
    </row>
    <row r="173" spans="1:9">
      <c r="A173" s="1">
        <v>39499</v>
      </c>
      <c r="B173" s="1" cm="1">
        <f t="array" ref="B173">_xlfn._xlws.FILTER(A173, WEEKDAY(A173, 2) &lt;= 5)</f>
        <v>39499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0.1693000030517578</v>
      </c>
    </row>
    <row r="174" spans="1:9">
      <c r="A174" s="1">
        <v>39500</v>
      </c>
      <c r="B174" s="1" cm="1">
        <f t="array" ref="B174">_xlfn._xlws.FILTER(A174, WEEKDAY(A174, 2) &lt;= 5)</f>
        <v>39500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0.1693000030517578</v>
      </c>
    </row>
    <row r="175" spans="1:9">
      <c r="A175" s="1">
        <v>39503</v>
      </c>
      <c r="B175" s="1" cm="1">
        <f t="array" ref="B175">_xlfn._xlws.FILTER(A175, WEEKDAY(A175, 2) &lt;= 5)</f>
        <v>39503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0.1693000030517578</v>
      </c>
    </row>
    <row r="176" spans="1:9">
      <c r="A176" s="1">
        <v>39504</v>
      </c>
      <c r="B176" s="1" cm="1">
        <f t="array" ref="B176">_xlfn._xlws.FILTER(A176, WEEKDAY(A176, 2) &lt;= 5)</f>
        <v>39504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0.1693000030517578</v>
      </c>
    </row>
    <row r="177" spans="1:9">
      <c r="A177" s="1">
        <v>39505</v>
      </c>
      <c r="B177" s="1" cm="1">
        <f t="array" ref="B177">_xlfn._xlws.FILTER(A177, WEEKDAY(A177, 2) &lt;= 5)</f>
        <v>39505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0.1693000030517578</v>
      </c>
    </row>
    <row r="178" spans="1:9">
      <c r="A178" s="1">
        <v>39506</v>
      </c>
      <c r="B178" s="1" cm="1">
        <f t="array" ref="B178">_xlfn._xlws.FILTER(A178, WEEKDAY(A178, 2) &lt;= 5)</f>
        <v>39506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0.1693000030517578</v>
      </c>
    </row>
    <row r="179" spans="1:9">
      <c r="A179" s="1">
        <v>39507</v>
      </c>
      <c r="B179" s="1" cm="1">
        <f t="array" ref="B179">_xlfn._xlws.FILTER(A179, WEEKDAY(A179, 2) &lt;= 5)</f>
        <v>39507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0.1693000030517578</v>
      </c>
    </row>
    <row r="180" spans="1:9">
      <c r="A180" s="1">
        <v>39510</v>
      </c>
      <c r="B180" s="1" cm="1">
        <f t="array" ref="B180">_xlfn._xlws.FILTER(A180, WEEKDAY(A180, 2) &lt;= 5)</f>
        <v>39510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0.1693000030517578</v>
      </c>
    </row>
    <row r="181" spans="1:9">
      <c r="A181" s="1">
        <v>39511</v>
      </c>
      <c r="B181" s="1" cm="1">
        <f t="array" ref="B181">_xlfn._xlws.FILTER(A181, WEEKDAY(A181, 2) &lt;= 5)</f>
        <v>39511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0.1693000030517578</v>
      </c>
    </row>
    <row r="182" spans="1:9">
      <c r="A182" s="1">
        <v>39512</v>
      </c>
      <c r="B182" s="1" cm="1">
        <f t="array" ref="B182">_xlfn._xlws.FILTER(A182, WEEKDAY(A182, 2) &lt;= 5)</f>
        <v>39512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0.1693000030517578</v>
      </c>
    </row>
    <row r="183" spans="1:9">
      <c r="A183" s="1">
        <v>39513</v>
      </c>
      <c r="B183" s="1" cm="1">
        <f t="array" ref="B183">_xlfn._xlws.FILTER(A183, WEEKDAY(A183, 2) &lt;= 5)</f>
        <v>39513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0.1693000030517578</v>
      </c>
    </row>
    <row r="184" spans="1:9">
      <c r="A184" s="1">
        <v>39514</v>
      </c>
      <c r="B184" s="1" cm="1">
        <f t="array" ref="B184">_xlfn._xlws.FILTER(A184, WEEKDAY(A184, 2) &lt;= 5)</f>
        <v>39514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0.1693000030517578</v>
      </c>
    </row>
    <row r="185" spans="1:9">
      <c r="A185" s="1">
        <v>39517</v>
      </c>
      <c r="B185" s="1" cm="1">
        <f t="array" ref="B185">_xlfn._xlws.FILTER(A185, WEEKDAY(A185, 2) &lt;= 5)</f>
        <v>39517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0.1693000030517578</v>
      </c>
    </row>
    <row r="186" spans="1:9">
      <c r="A186" s="1">
        <v>39518</v>
      </c>
      <c r="B186" s="1" cm="1">
        <f t="array" ref="B186">_xlfn._xlws.FILTER(A186, WEEKDAY(A186, 2) &lt;= 5)</f>
        <v>39518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0.1693000030517578</v>
      </c>
    </row>
    <row r="187" spans="1:9">
      <c r="A187" s="1">
        <v>39519</v>
      </c>
      <c r="B187" s="1" cm="1">
        <f t="array" ref="B187">_xlfn._xlws.FILTER(A187, WEEKDAY(A187, 2) &lt;= 5)</f>
        <v>39519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0.1693000030517578</v>
      </c>
    </row>
    <row r="188" spans="1:9">
      <c r="A188" s="1">
        <v>39520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0.1693000030517578</v>
      </c>
    </row>
    <row r="189" spans="1:9">
      <c r="A189" s="1">
        <v>39521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0.1693000030517578</v>
      </c>
    </row>
    <row r="190" spans="1:9">
      <c r="A190" s="1">
        <v>39524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0.1693000030517578</v>
      </c>
    </row>
    <row r="191" spans="1:9">
      <c r="A191" s="1">
        <v>39525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0.1693000030517578</v>
      </c>
    </row>
    <row r="192" spans="1:9">
      <c r="A192" s="1">
        <v>39526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0.1693000030517578</v>
      </c>
    </row>
    <row r="193" spans="1:9">
      <c r="A193" s="1">
        <v>39527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0.1693000030517578</v>
      </c>
    </row>
    <row r="194" spans="1:9">
      <c r="A194" s="1">
        <v>39528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0.1693000030517578</v>
      </c>
    </row>
    <row r="195" spans="1:9">
      <c r="A195" s="1">
        <v>39531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0.1693000030517578</v>
      </c>
    </row>
    <row r="196" spans="1:9">
      <c r="A196" s="1">
        <v>39532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0.1693000030517578</v>
      </c>
    </row>
    <row r="197" spans="1:9">
      <c r="A197" s="1">
        <v>39533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0.1693000030517578</v>
      </c>
    </row>
    <row r="198" spans="1:9">
      <c r="A198" s="1">
        <v>39534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0.1693000030517578</v>
      </c>
    </row>
    <row r="199" spans="1:9">
      <c r="A199" s="1">
        <v>39535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0.1693000030517578</v>
      </c>
    </row>
    <row r="200" spans="1:9">
      <c r="A200" s="1">
        <v>39538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0.1693000030517578</v>
      </c>
    </row>
    <row r="201" spans="1:9">
      <c r="A201" s="1">
        <v>39539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0.1693000030517578</v>
      </c>
    </row>
    <row r="202" spans="1:9">
      <c r="A202" s="1">
        <v>39540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0.1693000030517578</v>
      </c>
    </row>
    <row r="203" spans="1:9">
      <c r="A203" s="1">
        <v>39541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0.1693000030517578</v>
      </c>
    </row>
    <row r="204" spans="1:9">
      <c r="A204" s="1">
        <v>39542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0.1693000030517578</v>
      </c>
    </row>
    <row r="205" spans="1:9">
      <c r="A205" s="1">
        <v>39545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0.1693000030517578</v>
      </c>
    </row>
    <row r="206" spans="1:9">
      <c r="A206" s="1">
        <v>39546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0.1693000030517578</v>
      </c>
    </row>
    <row r="207" spans="1:9">
      <c r="A207" s="1">
        <v>39547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0.1693000030517578</v>
      </c>
    </row>
    <row r="208" spans="1:9">
      <c r="A208" s="1">
        <v>39548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0.1693000030517578</v>
      </c>
    </row>
    <row r="209" spans="1:9">
      <c r="A209" s="1">
        <v>39549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0.1693000030517578</v>
      </c>
    </row>
    <row r="210" spans="1:9">
      <c r="A210" s="1">
        <v>39552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0.1693000030517578</v>
      </c>
    </row>
    <row r="211" spans="1:9">
      <c r="A211" s="1">
        <v>39553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0.1693000030517578</v>
      </c>
    </row>
    <row r="212" spans="1:9">
      <c r="A212" s="1">
        <v>39554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0.1693000030517578</v>
      </c>
    </row>
    <row r="213" spans="1:9">
      <c r="A213" s="1">
        <v>39555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0.1693000030517578</v>
      </c>
    </row>
    <row r="214" spans="1:9">
      <c r="A214" s="1">
        <v>39556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0.1693000030517578</v>
      </c>
    </row>
    <row r="215" spans="1:9">
      <c r="A215" s="1">
        <v>39559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0.1693000030517578</v>
      </c>
    </row>
    <row r="216" spans="1:9">
      <c r="A216" s="1">
        <v>39560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0.1693000030517578</v>
      </c>
    </row>
    <row r="217" spans="1:9">
      <c r="A217" s="1">
        <v>39561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0.1693000030517578</v>
      </c>
    </row>
    <row r="218" spans="1:9">
      <c r="A218" s="1">
        <v>39562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0.1693000030517578</v>
      </c>
    </row>
    <row r="219" spans="1:9">
      <c r="A219" s="1">
        <v>39563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0.1693000030517578</v>
      </c>
    </row>
    <row r="220" spans="1:9">
      <c r="A220" s="1">
        <v>39566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0.1693000030517578</v>
      </c>
    </row>
    <row r="221" spans="1:9">
      <c r="A221" s="1">
        <v>39567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0.1693000030517578</v>
      </c>
    </row>
    <row r="222" spans="1:9">
      <c r="A222" s="1">
        <v>39568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0.1693000030517578</v>
      </c>
    </row>
    <row r="223" spans="1:9">
      <c r="A223" s="1">
        <v>39569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0.1693000030517578</v>
      </c>
    </row>
    <row r="224" spans="1:9">
      <c r="A224" s="1">
        <v>39570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0.1693000030517578</v>
      </c>
    </row>
    <row r="225" spans="1:9">
      <c r="A225" s="1">
        <v>39573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0.1693000030517578</v>
      </c>
    </row>
    <row r="226" spans="1:9">
      <c r="A226" s="1">
        <v>39574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0.1693000030517578</v>
      </c>
    </row>
    <row r="227" spans="1:9">
      <c r="A227" s="1">
        <v>39575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0.1693000030517578</v>
      </c>
    </row>
    <row r="228" spans="1:9">
      <c r="A228" s="1">
        <v>39576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0.1693000030517578</v>
      </c>
    </row>
    <row r="229" spans="1:9">
      <c r="A229" s="1">
        <v>39577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0.1693000030517578</v>
      </c>
    </row>
    <row r="230" spans="1:9">
      <c r="A230" s="1">
        <v>39580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0.1693000030517578</v>
      </c>
    </row>
    <row r="231" spans="1:9">
      <c r="A231" s="1">
        <v>39581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0.1693000030517578</v>
      </c>
    </row>
    <row r="232" spans="1:9">
      <c r="A232" s="1">
        <v>39582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0.1693000030517578</v>
      </c>
    </row>
    <row r="233" spans="1:9">
      <c r="A233" s="1">
        <v>39583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0.1693000030517578</v>
      </c>
    </row>
    <row r="234" spans="1:9">
      <c r="A234" s="1">
        <v>39584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0.1693000030517578</v>
      </c>
    </row>
    <row r="235" spans="1:9">
      <c r="A235" s="1">
        <v>39587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0.1693000030517578</v>
      </c>
    </row>
    <row r="236" spans="1:9">
      <c r="A236" s="1">
        <v>39588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0.1693000030517578</v>
      </c>
    </row>
    <row r="237" spans="1:9">
      <c r="A237" s="1">
        <v>39589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0.1693000030517578</v>
      </c>
    </row>
    <row r="238" spans="1:9">
      <c r="A238" s="1">
        <v>39590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0.1693000030517578</v>
      </c>
    </row>
    <row r="239" spans="1:9">
      <c r="A239" s="1">
        <v>39591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0.1693000030517578</v>
      </c>
    </row>
    <row r="240" spans="1:9">
      <c r="A240" s="1">
        <v>39594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0.1693000030517578</v>
      </c>
    </row>
    <row r="241" spans="1:9">
      <c r="A241" s="1">
        <v>39595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0.1693000030517578</v>
      </c>
    </row>
    <row r="242" spans="1:9">
      <c r="A242" s="1">
        <v>39596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0.1693000030517578</v>
      </c>
    </row>
    <row r="243" spans="1:9">
      <c r="A243" s="1">
        <v>39597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0.1693000030517578</v>
      </c>
    </row>
    <row r="244" spans="1:9">
      <c r="A244" s="1">
        <v>39598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0.1693000030517578</v>
      </c>
    </row>
    <row r="245" spans="1:9">
      <c r="A245" s="1">
        <v>39601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0.1693000030517578</v>
      </c>
    </row>
    <row r="246" spans="1:9">
      <c r="A246" s="1">
        <v>39602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0.1693000030517578</v>
      </c>
    </row>
    <row r="247" spans="1:9">
      <c r="A247" s="1">
        <v>39603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0.1693000030517578</v>
      </c>
    </row>
    <row r="248" spans="1:9">
      <c r="A248" s="1">
        <v>39604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0.1693000030517578</v>
      </c>
    </row>
    <row r="249" spans="1:9">
      <c r="A249" s="1">
        <v>39605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0.1693000030517578</v>
      </c>
    </row>
    <row r="250" spans="1:9">
      <c r="A250" s="1">
        <v>39608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0.1693000030517578</v>
      </c>
    </row>
    <row r="251" spans="1:9">
      <c r="A251" s="1">
        <v>39609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0.1693000030517578</v>
      </c>
    </row>
    <row r="252" spans="1:9">
      <c r="A252" s="1">
        <v>39610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0.1693000030517578</v>
      </c>
    </row>
    <row r="253" spans="1:9">
      <c r="A253" s="1">
        <v>39611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0.1693000030517578</v>
      </c>
    </row>
    <row r="254" spans="1:9">
      <c r="A254" s="1">
        <v>39612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0.1693000030517578</v>
      </c>
    </row>
    <row r="255" spans="1:9">
      <c r="A255" s="1">
        <v>39615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0.1693000030517578</v>
      </c>
    </row>
    <row r="256" spans="1:9">
      <c r="A256" s="1">
        <v>39616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0.1693000030517578</v>
      </c>
    </row>
    <row r="257" spans="1:9">
      <c r="A257" s="1">
        <v>39617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0.1693000030517578</v>
      </c>
    </row>
    <row r="258" spans="1:9">
      <c r="A258" s="1">
        <v>39618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0.1693000030517578</v>
      </c>
    </row>
    <row r="259" spans="1:9">
      <c r="A259" s="1">
        <v>39619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0.1693000030517578</v>
      </c>
    </row>
    <row r="260" spans="1:9">
      <c r="A260" s="1">
        <v>39622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0.1693000030517578</v>
      </c>
    </row>
    <row r="261" spans="1:9">
      <c r="A261" s="1">
        <v>39623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0.1693000030517578</v>
      </c>
    </row>
    <row r="262" spans="1:9">
      <c r="A262" s="1">
        <v>39624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0.1693000030517578</v>
      </c>
    </row>
    <row r="263" spans="1:9">
      <c r="A263" s="1">
        <v>39625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0.1693000030517578</v>
      </c>
    </row>
  </sheetData>
  <mergeCells count="1"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8"/>
  <sheetViews>
    <sheetView workbookViewId="0">
      <selection activeCell="Q4" sqref="Q4"/>
    </sheetView>
  </sheetViews>
  <sheetFormatPr defaultRowHeight="14.5"/>
  <cols>
    <col min="1" max="1" width="13.08984375" bestFit="1" customWidth="1"/>
    <col min="16" max="16" width="11.1796875" customWidth="1"/>
    <col min="17" max="17" width="17" customWidth="1"/>
  </cols>
  <sheetData>
    <row r="1" spans="1:17">
      <c r="A1" t="s">
        <v>10</v>
      </c>
      <c r="B1" t="s">
        <v>11</v>
      </c>
      <c r="C1" t="s">
        <v>5</v>
      </c>
      <c r="D1" t="s">
        <v>12</v>
      </c>
      <c r="E1" t="s">
        <v>15</v>
      </c>
      <c r="F1" t="s">
        <v>47</v>
      </c>
      <c r="J1" t="s">
        <v>48</v>
      </c>
      <c r="N1" t="s">
        <v>46</v>
      </c>
      <c r="O1" t="s">
        <v>24</v>
      </c>
      <c r="P1" t="s">
        <v>44</v>
      </c>
      <c r="Q1" t="s">
        <v>45</v>
      </c>
    </row>
    <row r="2" spans="1:17" ht="16.5">
      <c r="A2" t="s">
        <v>9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36</v>
      </c>
      <c r="N2">
        <v>10</v>
      </c>
      <c r="O2">
        <f>'ES, All factor movement'!K3</f>
        <v>-3506.7804344674182</v>
      </c>
      <c r="P2">
        <f>ABS(O2)</f>
        <v>3506.7804344674182</v>
      </c>
      <c r="Q2" s="5">
        <f>P2*P2</f>
        <v>12297509.015563494</v>
      </c>
    </row>
    <row r="3" spans="1:17" ht="16.5">
      <c r="A3" t="s">
        <v>14</v>
      </c>
      <c r="B3">
        <v>100</v>
      </c>
      <c r="C3">
        <v>3</v>
      </c>
      <c r="D3">
        <v>100</v>
      </c>
      <c r="F3">
        <f t="shared" ref="F3:F4" si="0">B3*D3</f>
        <v>10000</v>
      </c>
      <c r="M3" t="s">
        <v>37</v>
      </c>
      <c r="N3">
        <v>20</v>
      </c>
      <c r="O3">
        <f>'ES,N10 unchanged'!K3</f>
        <v>-136.78969524683947</v>
      </c>
      <c r="P3">
        <f t="shared" ref="P3:P5" si="1">ABS(O3)</f>
        <v>136.78969524683947</v>
      </c>
      <c r="Q3" s="5">
        <f>POWER(P3*SQRT(10/10),2)</f>
        <v>18711.420725723216</v>
      </c>
    </row>
    <row r="4" spans="1:17" ht="16.5">
      <c r="A4" t="s">
        <v>13</v>
      </c>
      <c r="B4">
        <v>100</v>
      </c>
      <c r="C4">
        <v>3</v>
      </c>
      <c r="D4">
        <v>100</v>
      </c>
      <c r="F4">
        <f t="shared" si="0"/>
        <v>10000</v>
      </c>
      <c r="M4" t="s">
        <v>38</v>
      </c>
      <c r="N4">
        <v>40</v>
      </c>
      <c r="O4">
        <f>'ES,N10,20 unchanged'!K3</f>
        <v>-102.83546639993854</v>
      </c>
      <c r="P4">
        <f t="shared" si="1"/>
        <v>102.83546639993854</v>
      </c>
      <c r="Q4" s="5">
        <f>POWER(P4*SQRT(20/10),2)</f>
        <v>21150.266299385778</v>
      </c>
    </row>
    <row r="5" spans="1:17" ht="16.5">
      <c r="A5" t="s">
        <v>16</v>
      </c>
      <c r="B5">
        <v>100</v>
      </c>
      <c r="E5">
        <v>500</v>
      </c>
      <c r="F5">
        <f>B5*E5</f>
        <v>50000</v>
      </c>
      <c r="M5" t="s">
        <v>39</v>
      </c>
      <c r="N5">
        <v>60</v>
      </c>
      <c r="O5">
        <f>'ES,N10,20,40 unchanged'!K3</f>
        <v>-97.202109999216717</v>
      </c>
      <c r="P5">
        <f t="shared" si="1"/>
        <v>97.202109999216717</v>
      </c>
      <c r="Q5" s="5">
        <f>POWER(P5*SQRT(20/10),2)</f>
        <v>18896.500376599652</v>
      </c>
    </row>
    <row r="6" spans="1:17" ht="20.5">
      <c r="A6" t="s">
        <v>17</v>
      </c>
      <c r="B6">
        <v>100</v>
      </c>
      <c r="E6">
        <v>36</v>
      </c>
      <c r="F6">
        <f t="shared" ref="F6" si="2">B6*E6</f>
        <v>3600</v>
      </c>
      <c r="P6" s="6" t="s">
        <v>49</v>
      </c>
      <c r="Q6" s="7">
        <f>SQRT(SUM(Q2:Q5))</f>
        <v>3515.1482476511856</v>
      </c>
    </row>
    <row r="7" spans="1:17">
      <c r="A7" t="s">
        <v>30</v>
      </c>
      <c r="B7">
        <v>100</v>
      </c>
      <c r="C7">
        <v>3</v>
      </c>
      <c r="D7">
        <v>100</v>
      </c>
      <c r="F7">
        <f>B7*D7</f>
        <v>10000</v>
      </c>
    </row>
    <row r="8" spans="1:17">
      <c r="F8">
        <f>SUM(F2:F7)</f>
        <v>93600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K263"/>
  <sheetViews>
    <sheetView workbookViewId="0">
      <selection activeCell="A3" sqref="A3:A26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26</v>
      </c>
      <c r="C1" t="s">
        <v>27</v>
      </c>
      <c r="D1" t="s">
        <v>28</v>
      </c>
      <c r="E1" t="s">
        <v>31</v>
      </c>
      <c r="F1" t="s">
        <v>26</v>
      </c>
      <c r="G1" t="s">
        <v>26</v>
      </c>
    </row>
    <row r="2" spans="1:11">
      <c r="B2" t="s">
        <v>18</v>
      </c>
      <c r="C2" t="s">
        <v>19</v>
      </c>
      <c r="D2" t="s">
        <v>7</v>
      </c>
      <c r="E2" t="s">
        <v>29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35</v>
      </c>
    </row>
    <row r="3" spans="1:11">
      <c r="A3" s="1">
        <v>39261</v>
      </c>
      <c r="B3">
        <f>(3/(1+('CurrentPor-All Factor Movements'!B3)/100)+103/POWER(1+('CurrentPor-All Factor Movements'!C3)/100,2))*100</f>
        <v>9852.9653713604457</v>
      </c>
      <c r="C3">
        <f>(3/(1+('CurrentPor-All Factor Movements'!B3+'CurrentPor-All Factor Movements'!F3)/100)+103/POWER(1+('CurrentPor-All Factor Movements'!C3+'CurrentPor-All Factor Movements'!F3)/100,2))*100</f>
        <v>9751.4033912512077</v>
      </c>
      <c r="D3">
        <f>(3/(1+('CurrentPor-All Factor Movements'!B3+'CurrentPor-All Factor Movements'!G3)/100)+103/POWER(1+('CurrentPor-All Factor Movements'!C3+'CurrentPor-All Factor Movements'!G3)/100,2))*100</f>
        <v>9751.5887571270123</v>
      </c>
      <c r="E3">
        <f>(3/(1+('CurrentPor-All Factor Movements'!B3+'CurrentPor-All Factor Movements'!H3)/100)+103/POWER(1+('CurrentPor-All Factor Movements'!C3+'CurrentPor-All Factor Movements'!H3)/100,2))*100</f>
        <v>9717.5026595190066</v>
      </c>
      <c r="F3">
        <f>Portfolio!B$5*'CurrentPor-All Factor Movements'!D3</f>
        <v>53006.710240945395</v>
      </c>
      <c r="G3">
        <f>Portfolio!B$6*'CurrentPor-All Factor Movements'!E3</f>
        <v>3848.6313274164081</v>
      </c>
      <c r="H3">
        <f t="shared" ref="H3:H34" si="0">SUM(B3:G3)</f>
        <v>95928.80174761948</v>
      </c>
      <c r="J3" s="3">
        <f>_xlfn.PERCENTILE.INC(I13:I263, 0.025)</f>
        <v>-3152.1892011447962</v>
      </c>
      <c r="K3">
        <f>AVERAGEIF(I13:I263, "&lt;="&amp;J3,I13:I263)</f>
        <v>-3506.7804344674182</v>
      </c>
    </row>
    <row r="4" spans="1:11">
      <c r="A4" s="1">
        <v>39262</v>
      </c>
      <c r="B4">
        <f>(3/(1+('CurrentPor-All Factor Movements'!B4)/100)+103/POWER(1+('CurrentPor-All Factor Movements'!C4)/100,2))*100</f>
        <v>9755.2076408799985</v>
      </c>
      <c r="C4">
        <f>(3/(1+('CurrentPor-All Factor Movements'!B4+'CurrentPor-All Factor Movements'!F4)/100)+103/POWER(1+('CurrentPor-All Factor Movements'!C4+'CurrentPor-All Factor Movements'!F4)/100,2))*100</f>
        <v>9667.9250802075476</v>
      </c>
      <c r="D4">
        <f>(3/(1+('CurrentPor-All Factor Movements'!B4+'CurrentPor-All Factor Movements'!G4)/100)+103/POWER(1+('CurrentPor-All Factor Movements'!C4+'CurrentPor-All Factor Movements'!G4)/100,2))*100</f>
        <v>9627.5204505831971</v>
      </c>
      <c r="E4">
        <f>(3/(1+('CurrentPor-All Factor Movements'!B4+'CurrentPor-All Factor Movements'!H4)/100)+103/POWER(1+('CurrentPor-All Factor Movements'!C4+'CurrentPor-All Factor Movements'!H4)/100,2))*100</f>
        <v>9655.0536444645622</v>
      </c>
      <c r="F4">
        <f>Portfolio!B$5*'CurrentPor-All Factor Movements'!D4</f>
        <v>52282.800367758842</v>
      </c>
      <c r="G4">
        <f>Portfolio!B$6*'CurrentPor-All Factor Movements'!E4</f>
        <v>3552.5855533449467</v>
      </c>
      <c r="H4">
        <f t="shared" si="0"/>
        <v>94541.092737239102</v>
      </c>
    </row>
    <row r="5" spans="1:11">
      <c r="A5" s="1">
        <v>39265</v>
      </c>
      <c r="B5">
        <f>(3/(1+('CurrentPor-All Factor Movements'!B5)/100)+103/POWER(1+('CurrentPor-All Factor Movements'!C5)/100,2))*100</f>
        <v>9686.0402798832383</v>
      </c>
      <c r="C5">
        <f>(3/(1+('CurrentPor-All Factor Movements'!B5+'CurrentPor-All Factor Movements'!F5)/100)+103/POWER(1+('CurrentPor-All Factor Movements'!C5+'CurrentPor-All Factor Movements'!F5)/100,2))*100</f>
        <v>9594.3172183388015</v>
      </c>
      <c r="D5">
        <f>(3/(1+('CurrentPor-All Factor Movements'!B5+'CurrentPor-All Factor Movements'!G5)/100)+103/POWER(1+('CurrentPor-All Factor Movements'!C5+'CurrentPor-All Factor Movements'!G5)/100,2))*100</f>
        <v>9580.0434129681562</v>
      </c>
      <c r="E5">
        <f>(3/(1+('CurrentPor-All Factor Movements'!B5+'CurrentPor-All Factor Movements'!H5)/100)+103/POWER(1+('CurrentPor-All Factor Movements'!C5+'CurrentPor-All Factor Movements'!H5)/100,2))*100</f>
        <v>9550.6463584439934</v>
      </c>
      <c r="F5">
        <f>Portfolio!B$5*'CurrentPor-All Factor Movements'!D5</f>
        <v>51011.849651987475</v>
      </c>
      <c r="G5">
        <f>Portfolio!B$6*'CurrentPor-All Factor Movements'!E5</f>
        <v>3637.8867997537618</v>
      </c>
      <c r="H5">
        <f t="shared" si="0"/>
        <v>93060.783721375425</v>
      </c>
    </row>
    <row r="6" spans="1:11">
      <c r="A6" s="1">
        <v>39266</v>
      </c>
      <c r="B6">
        <f>(3/(1+('CurrentPor-All Factor Movements'!B6)/100)+103/POWER(1+('CurrentPor-All Factor Movements'!C6)/100,2))*100</f>
        <v>9784.0155713044533</v>
      </c>
      <c r="C6">
        <f>(3/(1+('CurrentPor-All Factor Movements'!B6+'CurrentPor-All Factor Movements'!F6)/100)+103/POWER(1+('CurrentPor-All Factor Movements'!C6+'CurrentPor-All Factor Movements'!F6)/100,2))*100</f>
        <v>9697.5972180002464</v>
      </c>
      <c r="D6">
        <f>(3/(1+('CurrentPor-All Factor Movements'!B6+'CurrentPor-All Factor Movements'!G6)/100)+103/POWER(1+('CurrentPor-All Factor Movements'!C6+'CurrentPor-All Factor Movements'!G6)/100,2))*100</f>
        <v>9670.7032469909882</v>
      </c>
      <c r="E6">
        <f>(3/(1+('CurrentPor-All Factor Movements'!B6+'CurrentPor-All Factor Movements'!H6)/100)+103/POWER(1+('CurrentPor-All Factor Movements'!C6+'CurrentPor-All Factor Movements'!H6)/100,2))*100</f>
        <v>9648.0030109826603</v>
      </c>
      <c r="F6">
        <f>Portfolio!B$5*'CurrentPor-All Factor Movements'!D6</f>
        <v>51668.968050493095</v>
      </c>
      <c r="G6">
        <f>Portfolio!B$6*'CurrentPor-All Factor Movements'!E6</f>
        <v>3613.8275735084526</v>
      </c>
      <c r="H6">
        <f t="shared" si="0"/>
        <v>94083.114671279895</v>
      </c>
    </row>
    <row r="7" spans="1:11">
      <c r="A7" s="1">
        <v>39267</v>
      </c>
      <c r="B7">
        <f>(3/(1+('CurrentPor-All Factor Movements'!B7)/100)+103/POWER(1+('CurrentPor-All Factor Movements'!C7)/100,2))*100</f>
        <v>9738.1604408837011</v>
      </c>
      <c r="C7">
        <f>(3/(1+('CurrentPor-All Factor Movements'!B7+'CurrentPor-All Factor Movements'!F7)/100)+103/POWER(1+('CurrentPor-All Factor Movements'!C7+'CurrentPor-All Factor Movements'!F7)/100,2))*100</f>
        <v>9640.1269214574768</v>
      </c>
      <c r="D7">
        <f>(3/(1+('CurrentPor-All Factor Movements'!B7+'CurrentPor-All Factor Movements'!G7)/100)+103/POWER(1+('CurrentPor-All Factor Movements'!C7+'CurrentPor-All Factor Movements'!G7)/100,2))*100</f>
        <v>9631.6841357896028</v>
      </c>
      <c r="E7">
        <f>(3/(1+('CurrentPor-All Factor Movements'!B7+'CurrentPor-All Factor Movements'!H7)/100)+103/POWER(1+('CurrentPor-All Factor Movements'!C7+'CurrentPor-All Factor Movements'!H7)/100,2))*100</f>
        <v>9629.2688690404757</v>
      </c>
      <c r="F7">
        <f>Portfolio!B$5*'CurrentPor-All Factor Movements'!D7</f>
        <v>51190.515501946436</v>
      </c>
      <c r="G7">
        <f>Portfolio!B$6*'CurrentPor-All Factor Movements'!E7</f>
        <v>3561.1753551103661</v>
      </c>
      <c r="H7">
        <f t="shared" si="0"/>
        <v>93390.931224228058</v>
      </c>
    </row>
    <row r="8" spans="1:11">
      <c r="A8" s="1">
        <v>39268</v>
      </c>
      <c r="B8">
        <f>(3/(1+('CurrentPor-All Factor Movements'!B8)/100)+103/POWER(1+('CurrentPor-All Factor Movements'!C8)/100,2))*100</f>
        <v>9601.9559341637014</v>
      </c>
      <c r="C8">
        <f>(3/(1+('CurrentPor-All Factor Movements'!B8+'CurrentPor-All Factor Movements'!F8)/100)+103/POWER(1+('CurrentPor-All Factor Movements'!C8+'CurrentPor-All Factor Movements'!F8)/100,2))*100</f>
        <v>9518.3063812221644</v>
      </c>
      <c r="D8">
        <f>(3/(1+('CurrentPor-All Factor Movements'!B8+'CurrentPor-All Factor Movements'!G8)/100)+103/POWER(1+('CurrentPor-All Factor Movements'!C8+'CurrentPor-All Factor Movements'!G8)/100,2))*100</f>
        <v>9488.4287819452311</v>
      </c>
      <c r="E8">
        <f>(3/(1+('CurrentPor-All Factor Movements'!B8+'CurrentPor-All Factor Movements'!H8)/100)+103/POWER(1+('CurrentPor-All Factor Movements'!C8+'CurrentPor-All Factor Movements'!H8)/100,2))*100</f>
        <v>9480.1440905046129</v>
      </c>
      <c r="F8">
        <f>Portfolio!B$5*'CurrentPor-All Factor Movements'!D8</f>
        <v>51345.231464911361</v>
      </c>
      <c r="G8">
        <f>Portfolio!B$6*'CurrentPor-All Factor Movements'!E8</f>
        <v>3770.9248469977197</v>
      </c>
      <c r="H8">
        <f t="shared" si="0"/>
        <v>93204.991499744792</v>
      </c>
    </row>
    <row r="9" spans="1:11">
      <c r="A9" s="1">
        <v>39269</v>
      </c>
      <c r="B9">
        <f>(3/(1+('CurrentPor-All Factor Movements'!B9)/100)+103/POWER(1+('CurrentPor-All Factor Movements'!C9)/100,2))*100</f>
        <v>9562.8650834099226</v>
      </c>
      <c r="C9">
        <f>(3/(1+('CurrentPor-All Factor Movements'!B9+'CurrentPor-All Factor Movements'!F9)/100)+103/POWER(1+('CurrentPor-All Factor Movements'!C9+'CurrentPor-All Factor Movements'!F9)/100,2))*100</f>
        <v>9471.5283051658062</v>
      </c>
      <c r="D9">
        <f>(3/(1+('CurrentPor-All Factor Movements'!B9+'CurrentPor-All Factor Movements'!G9)/100)+103/POWER(1+('CurrentPor-All Factor Movements'!C9+'CurrentPor-All Factor Movements'!G9)/100,2))*100</f>
        <v>9462.2078287582681</v>
      </c>
      <c r="E9">
        <f>(3/(1+('CurrentPor-All Factor Movements'!B9+'CurrentPor-All Factor Movements'!H9)/100)+103/POWER(1+('CurrentPor-All Factor Movements'!C9+'CurrentPor-All Factor Movements'!H9)/100,2))*100</f>
        <v>9442.5161037923917</v>
      </c>
      <c r="F9">
        <f>Portfolio!B$5*'CurrentPor-All Factor Movements'!D9</f>
        <v>51933.854022642619</v>
      </c>
      <c r="G9">
        <f>Portfolio!B$6*'CurrentPor-All Factor Movements'!E9</f>
        <v>3625.6977751499667</v>
      </c>
      <c r="H9">
        <f t="shared" si="0"/>
        <v>93498.669118918973</v>
      </c>
    </row>
    <row r="10" spans="1:11">
      <c r="A10" s="1">
        <v>39272</v>
      </c>
      <c r="B10">
        <f>(3/(1+('CurrentPor-All Factor Movements'!B10)/100)+103/POWER(1+('CurrentPor-All Factor Movements'!C10)/100,2))*100</f>
        <v>9662.092430648232</v>
      </c>
      <c r="C10">
        <f>(3/(1+('CurrentPor-All Factor Movements'!B10+'CurrentPor-All Factor Movements'!F10)/100)+103/POWER(1+('CurrentPor-All Factor Movements'!C10+'CurrentPor-All Factor Movements'!F10)/100,2))*100</f>
        <v>9572.3352558597362</v>
      </c>
      <c r="D10">
        <f>(3/(1+('CurrentPor-All Factor Movements'!B10+'CurrentPor-All Factor Movements'!G10)/100)+103/POWER(1+('CurrentPor-All Factor Movements'!C10+'CurrentPor-All Factor Movements'!G10)/100,2))*100</f>
        <v>9567.3283906792221</v>
      </c>
      <c r="E10">
        <f>(3/(1+('CurrentPor-All Factor Movements'!B10+'CurrentPor-All Factor Movements'!H10)/100)+103/POWER(1+('CurrentPor-All Factor Movements'!C10+'CurrentPor-All Factor Movements'!H10)/100,2))*100</f>
        <v>9537.0074239061505</v>
      </c>
      <c r="F10">
        <f>Portfolio!B$5*'CurrentPor-All Factor Movements'!D10</f>
        <v>51582.191972998793</v>
      </c>
      <c r="G10">
        <f>Portfolio!B$6*'CurrentPor-All Factor Movements'!E10</f>
        <v>3511.2746324286968</v>
      </c>
      <c r="H10">
        <f t="shared" si="0"/>
        <v>93432.23010652083</v>
      </c>
    </row>
    <row r="11" spans="1:11">
      <c r="A11" s="1">
        <v>39273</v>
      </c>
      <c r="B11">
        <f>(3/(1+('CurrentPor-All Factor Movements'!B11)/100)+103/POWER(1+('CurrentPor-All Factor Movements'!C11)/100,2))*100</f>
        <v>9712.0164048991846</v>
      </c>
      <c r="C11">
        <f>(3/(1+('CurrentPor-All Factor Movements'!B11+'CurrentPor-All Factor Movements'!F11)/100)+103/POWER(1+('CurrentPor-All Factor Movements'!C11+'CurrentPor-All Factor Movements'!F11)/100,2))*100</f>
        <v>9627.163561760799</v>
      </c>
      <c r="D11">
        <f>(3/(1+('CurrentPor-All Factor Movements'!B11+'CurrentPor-All Factor Movements'!G11)/100)+103/POWER(1+('CurrentPor-All Factor Movements'!C11+'CurrentPor-All Factor Movements'!G11)/100,2))*100</f>
        <v>9595.6002571055287</v>
      </c>
      <c r="E11">
        <f>(3/(1+('CurrentPor-All Factor Movements'!B11+'CurrentPor-All Factor Movements'!H11)/100)+103/POWER(1+('CurrentPor-All Factor Movements'!C11+'CurrentPor-All Factor Movements'!H11)/100,2))*100</f>
        <v>9587.5203871121521</v>
      </c>
      <c r="F11">
        <f>Portfolio!B$5*'CurrentPor-All Factor Movements'!D11</f>
        <v>52918.294628763746</v>
      </c>
      <c r="G11">
        <f>Portfolio!B$6*'CurrentPor-All Factor Movements'!E11</f>
        <v>3586.6392214103512</v>
      </c>
      <c r="H11">
        <f t="shared" si="0"/>
        <v>95027.234461051761</v>
      </c>
    </row>
    <row r="12" spans="1:11">
      <c r="A12" s="1">
        <v>39274</v>
      </c>
      <c r="B12">
        <f>(3/(1+('CurrentPor-All Factor Movements'!B12)/100)+103/POWER(1+('CurrentPor-All Factor Movements'!C12)/100,2))*100</f>
        <v>9750.6058974132666</v>
      </c>
      <c r="C12">
        <f>(3/(1+('CurrentPor-All Factor Movements'!B12+'CurrentPor-All Factor Movements'!F12)/100)+103/POWER(1+('CurrentPor-All Factor Movements'!C12+'CurrentPor-All Factor Movements'!F12)/100,2))*100</f>
        <v>9655.7196525009676</v>
      </c>
      <c r="D12">
        <f>(3/(1+('CurrentPor-All Factor Movements'!B12+'CurrentPor-All Factor Movements'!G12)/100)+103/POWER(1+('CurrentPor-All Factor Movements'!C12+'CurrentPor-All Factor Movements'!G12)/100,2))*100</f>
        <v>9645.7330167805503</v>
      </c>
      <c r="E12">
        <f>(3/(1+('CurrentPor-All Factor Movements'!B12+'CurrentPor-All Factor Movements'!H12)/100)+103/POWER(1+('CurrentPor-All Factor Movements'!C12+'CurrentPor-All Factor Movements'!H12)/100,2))*100</f>
        <v>9613.2736805475197</v>
      </c>
      <c r="F12">
        <f>Portfolio!B$5*'CurrentPor-All Factor Movements'!D12</f>
        <v>52877.17561498846</v>
      </c>
      <c r="G12">
        <f>Portfolio!B$6*'CurrentPor-All Factor Movements'!E12</f>
        <v>3484.0449833649841</v>
      </c>
      <c r="H12">
        <f t="shared" si="0"/>
        <v>95026.552845595754</v>
      </c>
    </row>
    <row r="13" spans="1:11">
      <c r="A13" s="1">
        <v>39275</v>
      </c>
      <c r="B13">
        <f>(3/(1+('CurrentPor-All Factor Movements'!B13)/100)+103/POWER(1+('CurrentPor-All Factor Movements'!C13)/100,2))*100</f>
        <v>9571.1927192378498</v>
      </c>
      <c r="C13">
        <f>(3/(1+('CurrentPor-All Factor Movements'!B13+'CurrentPor-All Factor Movements'!F13)/100)+103/POWER(1+('CurrentPor-All Factor Movements'!C13+'CurrentPor-All Factor Movements'!F13)/100,2))*100</f>
        <v>9474.1392208001998</v>
      </c>
      <c r="D13">
        <f>(3/(1+('CurrentPor-All Factor Movements'!B13+'CurrentPor-All Factor Movements'!G13)/100)+103/POWER(1+('CurrentPor-All Factor Movements'!C13+'CurrentPor-All Factor Movements'!G13)/100,2))*100</f>
        <v>9468.2717591953697</v>
      </c>
      <c r="E13">
        <f>(3/(1+('CurrentPor-All Factor Movements'!B13+'CurrentPor-All Factor Movements'!H13)/100)+103/POWER(1+('CurrentPor-All Factor Movements'!C13+'CurrentPor-All Factor Movements'!H13)/100,2))*100</f>
        <v>9451.450611296641</v>
      </c>
      <c r="F13">
        <f>Portfolio!B$5*'CurrentPor-All Factor Movements'!D13</f>
        <v>50946.564220321656</v>
      </c>
      <c r="G13">
        <f>Portfolio!B$6*'CurrentPor-All Factor Movements'!E13</f>
        <v>3881.2221022818335</v>
      </c>
      <c r="H13">
        <f t="shared" si="0"/>
        <v>92792.840633133543</v>
      </c>
      <c r="I13">
        <f>H13-H3</f>
        <v>-3135.9611144859373</v>
      </c>
    </row>
    <row r="14" spans="1:11">
      <c r="A14" s="1">
        <v>39276</v>
      </c>
      <c r="B14">
        <f>(3/(1+('CurrentPor-All Factor Movements'!B14)/100)+103/POWER(1+('CurrentPor-All Factor Movements'!C14)/100,2))*100</f>
        <v>9730.255778755014</v>
      </c>
      <c r="C14">
        <f>(3/(1+('CurrentPor-All Factor Movements'!B14+'CurrentPor-All Factor Movements'!F14)/100)+103/POWER(1+('CurrentPor-All Factor Movements'!C14+'CurrentPor-All Factor Movements'!F14)/100,2))*100</f>
        <v>9628.6048615363525</v>
      </c>
      <c r="D14">
        <f>(3/(1+('CurrentPor-All Factor Movements'!B14+'CurrentPor-All Factor Movements'!G14)/100)+103/POWER(1+('CurrentPor-All Factor Movements'!C14+'CurrentPor-All Factor Movements'!G14)/100,2))*100</f>
        <v>9610.1124100333236</v>
      </c>
      <c r="E14">
        <f>(3/(1+('CurrentPor-All Factor Movements'!B14+'CurrentPor-All Factor Movements'!H14)/100)+103/POWER(1+('CurrentPor-All Factor Movements'!C14+'CurrentPor-All Factor Movements'!H14)/100,2))*100</f>
        <v>9612.0126457024435</v>
      </c>
      <c r="F14">
        <f>Portfolio!B$5*'CurrentPor-All Factor Movements'!D14</f>
        <v>54408.626392776183</v>
      </c>
      <c r="G14">
        <f>Portfolio!B$6*'CurrentPor-All Factor Movements'!E14</f>
        <v>3656.6971116933892</v>
      </c>
      <c r="H14">
        <f t="shared" si="0"/>
        <v>96646.309200496704</v>
      </c>
      <c r="I14">
        <f t="shared" ref="I14:I77" si="1">H14-H4</f>
        <v>2105.2164632576023</v>
      </c>
    </row>
    <row r="15" spans="1:11">
      <c r="A15" s="1">
        <v>39279</v>
      </c>
      <c r="B15">
        <f>(3/(1+('CurrentPor-All Factor Movements'!B15)/100)+103/POWER(1+('CurrentPor-All Factor Movements'!C15)/100,2))*100</f>
        <v>9666.4741820702857</v>
      </c>
      <c r="C15">
        <f>(3/(1+('CurrentPor-All Factor Movements'!B15+'CurrentPor-All Factor Movements'!F15)/100)+103/POWER(1+('CurrentPor-All Factor Movements'!C15+'CurrentPor-All Factor Movements'!F15)/100,2))*100</f>
        <v>9578.1519789706799</v>
      </c>
      <c r="D15">
        <f>(3/(1+('CurrentPor-All Factor Movements'!B15+'CurrentPor-All Factor Movements'!G15)/100)+103/POWER(1+('CurrentPor-All Factor Movements'!C15+'CurrentPor-All Factor Movements'!G15)/100,2))*100</f>
        <v>9564.7146294226204</v>
      </c>
      <c r="E15">
        <f>(3/(1+('CurrentPor-All Factor Movements'!B15+'CurrentPor-All Factor Movements'!H15)/100)+103/POWER(1+('CurrentPor-All Factor Movements'!C15+'CurrentPor-All Factor Movements'!H15)/100,2))*100</f>
        <v>9546.3969004332703</v>
      </c>
      <c r="F15">
        <f>Portfolio!B$5*'CurrentPor-All Factor Movements'!D15</f>
        <v>53948.766051215935</v>
      </c>
      <c r="G15">
        <f>Portfolio!B$6*'CurrentPor-All Factor Movements'!E15</f>
        <v>3392.1064986889214</v>
      </c>
      <c r="H15">
        <f t="shared" si="0"/>
        <v>95696.610240801703</v>
      </c>
      <c r="I15">
        <f t="shared" si="1"/>
        <v>2635.8265194262785</v>
      </c>
    </row>
    <row r="16" spans="1:11">
      <c r="A16" s="1">
        <v>39280</v>
      </c>
      <c r="B16">
        <f>(3/(1+('CurrentPor-All Factor Movements'!B16)/100)+103/POWER(1+('CurrentPor-All Factor Movements'!C16)/100,2))*100</f>
        <v>9607.9795374138685</v>
      </c>
      <c r="C16">
        <f>(3/(1+('CurrentPor-All Factor Movements'!B16+'CurrentPor-All Factor Movements'!F16)/100)+103/POWER(1+('CurrentPor-All Factor Movements'!C16+'CurrentPor-All Factor Movements'!F16)/100,2))*100</f>
        <v>9517.6032450645307</v>
      </c>
      <c r="D16">
        <f>(3/(1+('CurrentPor-All Factor Movements'!B16+'CurrentPor-All Factor Movements'!G16)/100)+103/POWER(1+('CurrentPor-All Factor Movements'!C16+'CurrentPor-All Factor Movements'!G16)/100,2))*100</f>
        <v>9494.8546866207325</v>
      </c>
      <c r="E16">
        <f>(3/(1+('CurrentPor-All Factor Movements'!B16+'CurrentPor-All Factor Movements'!H16)/100)+103/POWER(1+('CurrentPor-All Factor Movements'!C16+'CurrentPor-All Factor Movements'!H16)/100,2))*100</f>
        <v>9485.8533020405921</v>
      </c>
      <c r="F16">
        <f>Portfolio!B$5*'CurrentPor-All Factor Movements'!D16</f>
        <v>52647.210168309401</v>
      </c>
      <c r="G16">
        <f>Portfolio!B$6*'CurrentPor-All Factor Movements'!E16</f>
        <v>3870.6259864512513</v>
      </c>
      <c r="H16">
        <f t="shared" si="0"/>
        <v>94624.126925900375</v>
      </c>
      <c r="I16">
        <f t="shared" si="1"/>
        <v>541.01225462048023</v>
      </c>
    </row>
    <row r="17" spans="1:9">
      <c r="A17" s="1">
        <v>39281</v>
      </c>
      <c r="B17">
        <f>(3/(1+('CurrentPor-All Factor Movements'!B17)/100)+103/POWER(1+('CurrentPor-All Factor Movements'!C17)/100,2))*100</f>
        <v>9638.908736642079</v>
      </c>
      <c r="C17">
        <f>(3/(1+('CurrentPor-All Factor Movements'!B17+'CurrentPor-All Factor Movements'!F17)/100)+103/POWER(1+('CurrentPor-All Factor Movements'!C17+'CurrentPor-All Factor Movements'!F17)/100,2))*100</f>
        <v>9544.0302108287215</v>
      </c>
      <c r="D17">
        <f>(3/(1+('CurrentPor-All Factor Movements'!B17+'CurrentPor-All Factor Movements'!G17)/100)+103/POWER(1+('CurrentPor-All Factor Movements'!C17+'CurrentPor-All Factor Movements'!G17)/100,2))*100</f>
        <v>9551.5923273249573</v>
      </c>
      <c r="E17">
        <f>(3/(1+('CurrentPor-All Factor Movements'!B17+'CurrentPor-All Factor Movements'!H17)/100)+103/POWER(1+('CurrentPor-All Factor Movements'!C17+'CurrentPor-All Factor Movements'!H17)/100,2))*100</f>
        <v>9506.4246338226021</v>
      </c>
      <c r="F17">
        <f>Portfolio!B$5*'CurrentPor-All Factor Movements'!D17</f>
        <v>52006.071289457861</v>
      </c>
      <c r="G17">
        <f>Portfolio!B$6*'CurrentPor-All Factor Movements'!E17</f>
        <v>3649.8394129436888</v>
      </c>
      <c r="H17">
        <f t="shared" si="0"/>
        <v>93896.866611019912</v>
      </c>
      <c r="I17">
        <f t="shared" si="1"/>
        <v>505.9353867918544</v>
      </c>
    </row>
    <row r="18" spans="1:9">
      <c r="A18" s="1">
        <v>39282</v>
      </c>
      <c r="B18">
        <f>(3/(1+('CurrentPor-All Factor Movements'!B18)/100)+103/POWER(1+('CurrentPor-All Factor Movements'!C18)/100,2))*100</f>
        <v>9985.3821722923549</v>
      </c>
      <c r="C18">
        <f>(3/(1+('CurrentPor-All Factor Movements'!B18+'CurrentPor-All Factor Movements'!F18)/100)+103/POWER(1+('CurrentPor-All Factor Movements'!C18+'CurrentPor-All Factor Movements'!F18)/100,2))*100</f>
        <v>9887.9612713771312</v>
      </c>
      <c r="D18">
        <f>(3/(1+('CurrentPor-All Factor Movements'!B18+'CurrentPor-All Factor Movements'!G18)/100)+103/POWER(1+('CurrentPor-All Factor Movements'!C18+'CurrentPor-All Factor Movements'!G18)/100,2))*100</f>
        <v>9862.8757033500351</v>
      </c>
      <c r="E18">
        <f>(3/(1+('CurrentPor-All Factor Movements'!B18+'CurrentPor-All Factor Movements'!H18)/100)+103/POWER(1+('CurrentPor-All Factor Movements'!C18+'CurrentPor-All Factor Movements'!H18)/100,2))*100</f>
        <v>9826.2560302188231</v>
      </c>
      <c r="F18">
        <f>Portfolio!B$5*'CurrentPor-All Factor Movements'!D18</f>
        <v>52195.676728882543</v>
      </c>
      <c r="G18">
        <f>Portfolio!B$6*'CurrentPor-All Factor Movements'!E18</f>
        <v>3504.6739376390833</v>
      </c>
      <c r="H18">
        <f t="shared" si="0"/>
        <v>95262.825843759958</v>
      </c>
      <c r="I18">
        <f t="shared" si="1"/>
        <v>2057.8343440151657</v>
      </c>
    </row>
    <row r="19" spans="1:9">
      <c r="A19" s="1">
        <v>39283</v>
      </c>
      <c r="B19">
        <f>(3/(1+('CurrentPor-All Factor Movements'!B19)/100)+103/POWER(1+('CurrentPor-All Factor Movements'!C19)/100,2))*100</f>
        <v>9506.7158353001196</v>
      </c>
      <c r="C19">
        <f>(3/(1+('CurrentPor-All Factor Movements'!B19+'CurrentPor-All Factor Movements'!F19)/100)+103/POWER(1+('CurrentPor-All Factor Movements'!C19+'CurrentPor-All Factor Movements'!F19)/100,2))*100</f>
        <v>9424.0182208918777</v>
      </c>
      <c r="D19">
        <f>(3/(1+('CurrentPor-All Factor Movements'!B19+'CurrentPor-All Factor Movements'!G19)/100)+103/POWER(1+('CurrentPor-All Factor Movements'!C19+'CurrentPor-All Factor Movements'!G19)/100,2))*100</f>
        <v>9415.1687790823562</v>
      </c>
      <c r="E19">
        <f>(3/(1+('CurrentPor-All Factor Movements'!B19+'CurrentPor-All Factor Movements'!H19)/100)+103/POWER(1+('CurrentPor-All Factor Movements'!C19+'CurrentPor-All Factor Movements'!H19)/100,2))*100</f>
        <v>9380.0327552945055</v>
      </c>
      <c r="F19">
        <f>Portfolio!B$5*'CurrentPor-All Factor Movements'!D19</f>
        <v>52357.378087324672</v>
      </c>
      <c r="G19">
        <f>Portfolio!B$6*'CurrentPor-All Factor Movements'!E19</f>
        <v>3703.6453570394856</v>
      </c>
      <c r="H19">
        <f t="shared" si="0"/>
        <v>93786.95903493301</v>
      </c>
      <c r="I19">
        <f t="shared" si="1"/>
        <v>288.28991601403686</v>
      </c>
    </row>
    <row r="20" spans="1:9">
      <c r="A20" s="1">
        <v>39286</v>
      </c>
      <c r="B20">
        <f>(3/(1+('CurrentPor-All Factor Movements'!B20)/100)+103/POWER(1+('CurrentPor-All Factor Movements'!C20)/100,2))*100</f>
        <v>9661.4502459823634</v>
      </c>
      <c r="C20">
        <f>(3/(1+('CurrentPor-All Factor Movements'!B20+'CurrentPor-All Factor Movements'!F20)/100)+103/POWER(1+('CurrentPor-All Factor Movements'!C20+'CurrentPor-All Factor Movements'!F20)/100,2))*100</f>
        <v>9582.6587262555367</v>
      </c>
      <c r="D20">
        <f>(3/(1+('CurrentPor-All Factor Movements'!B20+'CurrentPor-All Factor Movements'!G20)/100)+103/POWER(1+('CurrentPor-All Factor Movements'!C20+'CurrentPor-All Factor Movements'!G20)/100,2))*100</f>
        <v>9554.0767364509829</v>
      </c>
      <c r="E20">
        <f>(3/(1+('CurrentPor-All Factor Movements'!B20+'CurrentPor-All Factor Movements'!H20)/100)+103/POWER(1+('CurrentPor-All Factor Movements'!C20+'CurrentPor-All Factor Movements'!H20)/100,2))*100</f>
        <v>9543.135735076843</v>
      </c>
      <c r="F20">
        <f>Portfolio!B$5*'CurrentPor-All Factor Movements'!D20</f>
        <v>51942.921215497139</v>
      </c>
      <c r="G20">
        <f>Portfolio!B$6*'CurrentPor-All Factor Movements'!E20</f>
        <v>3347.2185914688594</v>
      </c>
      <c r="H20">
        <f t="shared" si="0"/>
        <v>93631.461250731736</v>
      </c>
      <c r="I20">
        <f t="shared" si="1"/>
        <v>199.23114421090577</v>
      </c>
    </row>
    <row r="21" spans="1:9">
      <c r="A21" s="1">
        <v>39287</v>
      </c>
      <c r="B21">
        <f>(3/(1+('CurrentPor-All Factor Movements'!B21)/100)+103/POWER(1+('CurrentPor-All Factor Movements'!C21)/100,2))*100</f>
        <v>9843.5831380346335</v>
      </c>
      <c r="C21">
        <f>(3/(1+('CurrentPor-All Factor Movements'!B21+'CurrentPor-All Factor Movements'!F21)/100)+103/POWER(1+('CurrentPor-All Factor Movements'!C21+'CurrentPor-All Factor Movements'!F21)/100,2))*100</f>
        <v>9748.985614864514</v>
      </c>
      <c r="D21">
        <f>(3/(1+('CurrentPor-All Factor Movements'!B21+'CurrentPor-All Factor Movements'!G21)/100)+103/POWER(1+('CurrentPor-All Factor Movements'!C21+'CurrentPor-All Factor Movements'!G21)/100,2))*100</f>
        <v>9716.9629010962999</v>
      </c>
      <c r="E21">
        <f>(3/(1+('CurrentPor-All Factor Movements'!B21+'CurrentPor-All Factor Movements'!H21)/100)+103/POWER(1+('CurrentPor-All Factor Movements'!C21+'CurrentPor-All Factor Movements'!H21)/100,2))*100</f>
        <v>9709.7529641270557</v>
      </c>
      <c r="F21">
        <f>Portfolio!B$5*'CurrentPor-All Factor Movements'!D21</f>
        <v>53461.003889323489</v>
      </c>
      <c r="G21">
        <f>Portfolio!B$6*'CurrentPor-All Factor Movements'!E21</f>
        <v>3668.1116720145369</v>
      </c>
      <c r="H21">
        <f t="shared" si="0"/>
        <v>96148.400179460528</v>
      </c>
      <c r="I21">
        <f t="shared" si="1"/>
        <v>1121.1657184087671</v>
      </c>
    </row>
    <row r="22" spans="1:9">
      <c r="A22" s="1">
        <v>39288</v>
      </c>
      <c r="B22">
        <f>(3/(1+('CurrentPor-All Factor Movements'!B22)/100)+103/POWER(1+('CurrentPor-All Factor Movements'!C22)/100,2))*100</f>
        <v>9751.3225294873773</v>
      </c>
      <c r="C22">
        <f>(3/(1+('CurrentPor-All Factor Movements'!B22+'CurrentPor-All Factor Movements'!F22)/100)+103/POWER(1+('CurrentPor-All Factor Movements'!C22+'CurrentPor-All Factor Movements'!F22)/100,2))*100</f>
        <v>9646.8005872122849</v>
      </c>
      <c r="D22">
        <f>(3/(1+('CurrentPor-All Factor Movements'!B22+'CurrentPor-All Factor Movements'!G22)/100)+103/POWER(1+('CurrentPor-All Factor Movements'!C22+'CurrentPor-All Factor Movements'!G22)/100,2))*100</f>
        <v>9647.314537908378</v>
      </c>
      <c r="E22">
        <f>(3/(1+('CurrentPor-All Factor Movements'!B22+'CurrentPor-All Factor Movements'!H22)/100)+103/POWER(1+('CurrentPor-All Factor Movements'!C22+'CurrentPor-All Factor Movements'!H22)/100,2))*100</f>
        <v>9618.7275454158571</v>
      </c>
      <c r="F22">
        <f>Portfolio!B$5*'CurrentPor-All Factor Movements'!D22</f>
        <v>52396.80814377591</v>
      </c>
      <c r="G22">
        <f>Portfolio!B$6*'CurrentPor-All Factor Movements'!E22</f>
        <v>3507.8559509999773</v>
      </c>
      <c r="H22">
        <f t="shared" si="0"/>
        <v>94568.829294799783</v>
      </c>
      <c r="I22">
        <f t="shared" si="1"/>
        <v>-457.72355079597037</v>
      </c>
    </row>
    <row r="23" spans="1:9">
      <c r="A23" s="1">
        <v>39289</v>
      </c>
      <c r="B23">
        <f>(3/(1+('CurrentPor-All Factor Movements'!B23)/100)+103/POWER(1+('CurrentPor-All Factor Movements'!C23)/100,2))*100</f>
        <v>9750.9855552715926</v>
      </c>
      <c r="C23">
        <f>(3/(1+('CurrentPor-All Factor Movements'!B23+'CurrentPor-All Factor Movements'!F23)/100)+103/POWER(1+('CurrentPor-All Factor Movements'!C23+'CurrentPor-All Factor Movements'!F23)/100,2))*100</f>
        <v>9646.6598006610366</v>
      </c>
      <c r="D23">
        <f>(3/(1+('CurrentPor-All Factor Movements'!B23+'CurrentPor-All Factor Movements'!G23)/100)+103/POWER(1+('CurrentPor-All Factor Movements'!C23+'CurrentPor-All Factor Movements'!G23)/100,2))*100</f>
        <v>9628.344152877633</v>
      </c>
      <c r="E23">
        <f>(3/(1+('CurrentPor-All Factor Movements'!B23+'CurrentPor-All Factor Movements'!H23)/100)+103/POWER(1+('CurrentPor-All Factor Movements'!C23+'CurrentPor-All Factor Movements'!H23)/100,2))*100</f>
        <v>9648.5942588667003</v>
      </c>
      <c r="F23">
        <f>Portfolio!B$5*'CurrentPor-All Factor Movements'!D23</f>
        <v>51493.500370123991</v>
      </c>
      <c r="G23">
        <f>Portfolio!B$6*'CurrentPor-All Factor Movements'!E23</f>
        <v>3468.3565700839699</v>
      </c>
      <c r="H23">
        <f t="shared" si="0"/>
        <v>93636.440707884933</v>
      </c>
      <c r="I23">
        <f t="shared" si="1"/>
        <v>843.60007475138991</v>
      </c>
    </row>
    <row r="24" spans="1:9">
      <c r="A24" s="1">
        <v>39290</v>
      </c>
      <c r="B24">
        <f>(3/(1+('CurrentPor-All Factor Movements'!B24)/100)+103/POWER(1+('CurrentPor-All Factor Movements'!C24)/100,2))*100</f>
        <v>9768.16790798888</v>
      </c>
      <c r="C24">
        <f>(3/(1+('CurrentPor-All Factor Movements'!B24+'CurrentPor-All Factor Movements'!F24)/100)+103/POWER(1+('CurrentPor-All Factor Movements'!C24+'CurrentPor-All Factor Movements'!F24)/100,2))*100</f>
        <v>9677.4408848057374</v>
      </c>
      <c r="D24">
        <f>(3/(1+('CurrentPor-All Factor Movements'!B24+'CurrentPor-All Factor Movements'!G24)/100)+103/POWER(1+('CurrentPor-All Factor Movements'!C24+'CurrentPor-All Factor Movements'!G24)/100,2))*100</f>
        <v>9647.1860787808073</v>
      </c>
      <c r="E24">
        <f>(3/(1+('CurrentPor-All Factor Movements'!B24+'CurrentPor-All Factor Movements'!H24)/100)+103/POWER(1+('CurrentPor-All Factor Movements'!C24+'CurrentPor-All Factor Movements'!H24)/100,2))*100</f>
        <v>9629.6562072032029</v>
      </c>
      <c r="F24">
        <f>Portfolio!B$5*'CurrentPor-All Factor Movements'!D24</f>
        <v>51737.828023041424</v>
      </c>
      <c r="G24">
        <f>Portfolio!B$6*'CurrentPor-All Factor Movements'!E24</f>
        <v>3669.7268945337464</v>
      </c>
      <c r="H24">
        <f t="shared" si="0"/>
        <v>94130.005996353793</v>
      </c>
      <c r="I24">
        <f t="shared" si="1"/>
        <v>-2516.3032041429105</v>
      </c>
    </row>
    <row r="25" spans="1:9">
      <c r="A25" s="1">
        <v>39293</v>
      </c>
      <c r="B25">
        <f>(3/(1+('CurrentPor-All Factor Movements'!B25)/100)+103/POWER(1+('CurrentPor-All Factor Movements'!C25)/100,2))*100</f>
        <v>9768.5470236355923</v>
      </c>
      <c r="C25">
        <f>(3/(1+('CurrentPor-All Factor Movements'!B25+'CurrentPor-All Factor Movements'!F25)/100)+103/POWER(1+('CurrentPor-All Factor Movements'!C25+'CurrentPor-All Factor Movements'!F25)/100,2))*100</f>
        <v>9669.9282845301295</v>
      </c>
      <c r="D25">
        <f>(3/(1+('CurrentPor-All Factor Movements'!B25+'CurrentPor-All Factor Movements'!G25)/100)+103/POWER(1+('CurrentPor-All Factor Movements'!C25+'CurrentPor-All Factor Movements'!G25)/100,2))*100</f>
        <v>9646.8442414073215</v>
      </c>
      <c r="E25">
        <f>(3/(1+('CurrentPor-All Factor Movements'!B25+'CurrentPor-All Factor Movements'!H25)/100)+103/POWER(1+('CurrentPor-All Factor Movements'!C25+'CurrentPor-All Factor Movements'!H25)/100,2))*100</f>
        <v>9645.0226102940014</v>
      </c>
      <c r="F25">
        <f>Portfolio!B$5*'CurrentPor-All Factor Movements'!D25</f>
        <v>52935.420297006007</v>
      </c>
      <c r="G25">
        <f>Portfolio!B$6*'CurrentPor-All Factor Movements'!E25</f>
        <v>3535.7722761455611</v>
      </c>
      <c r="H25">
        <f t="shared" si="0"/>
        <v>95201.53473301862</v>
      </c>
      <c r="I25">
        <f t="shared" si="1"/>
        <v>-495.07550778308359</v>
      </c>
    </row>
    <row r="26" spans="1:9">
      <c r="A26" s="1">
        <v>39294</v>
      </c>
      <c r="B26">
        <f>(3/(1+('CurrentPor-All Factor Movements'!B26)/100)+103/POWER(1+('CurrentPor-All Factor Movements'!C26)/100,2))*100</f>
        <v>9661.7647447176005</v>
      </c>
      <c r="C26">
        <f>(3/(1+('CurrentPor-All Factor Movements'!B26+'CurrentPor-All Factor Movements'!F26)/100)+103/POWER(1+('CurrentPor-All Factor Movements'!C26+'CurrentPor-All Factor Movements'!F26)/100,2))*100</f>
        <v>9567.054823525792</v>
      </c>
      <c r="D26">
        <f>(3/(1+('CurrentPor-All Factor Movements'!B26+'CurrentPor-All Factor Movements'!G26)/100)+103/POWER(1+('CurrentPor-All Factor Movements'!C26+'CurrentPor-All Factor Movements'!G26)/100,2))*100</f>
        <v>9553.5535103002858</v>
      </c>
      <c r="E26">
        <f>(3/(1+('CurrentPor-All Factor Movements'!B26+'CurrentPor-All Factor Movements'!H26)/100)+103/POWER(1+('CurrentPor-All Factor Movements'!C26+'CurrentPor-All Factor Movements'!H26)/100,2))*100</f>
        <v>9546.752234694708</v>
      </c>
      <c r="F26">
        <f>Portfolio!B$5*'CurrentPor-All Factor Movements'!D26</f>
        <v>51078.987651258889</v>
      </c>
      <c r="G26">
        <f>Portfolio!B$6*'CurrentPor-All Factor Movements'!E26</f>
        <v>3420.8132480182599</v>
      </c>
      <c r="H26">
        <f t="shared" si="0"/>
        <v>92828.926212515522</v>
      </c>
      <c r="I26">
        <f t="shared" si="1"/>
        <v>-1795.2007133848529</v>
      </c>
    </row>
    <row r="27" spans="1:9">
      <c r="A27" s="1">
        <v>39295</v>
      </c>
      <c r="B27">
        <f>(3/(1+('CurrentPor-All Factor Movements'!B27)/100)+103/POWER(1+('CurrentPor-All Factor Movements'!C27)/100,2))*100</f>
        <v>9684.9049965602735</v>
      </c>
      <c r="C27">
        <f>(3/(1+('CurrentPor-All Factor Movements'!B27+'CurrentPor-All Factor Movements'!F27)/100)+103/POWER(1+('CurrentPor-All Factor Movements'!C27+'CurrentPor-All Factor Movements'!F27)/100,2))*100</f>
        <v>9603.5986336233727</v>
      </c>
      <c r="D27">
        <f>(3/(1+('CurrentPor-All Factor Movements'!B27+'CurrentPor-All Factor Movements'!G27)/100)+103/POWER(1+('CurrentPor-All Factor Movements'!C27+'CurrentPor-All Factor Movements'!G27)/100,2))*100</f>
        <v>9581.5474508039006</v>
      </c>
      <c r="E27">
        <f>(3/(1+('CurrentPor-All Factor Movements'!B27+'CurrentPor-All Factor Movements'!H27)/100)+103/POWER(1+('CurrentPor-All Factor Movements'!C27+'CurrentPor-All Factor Movements'!H27)/100,2))*100</f>
        <v>9554.9610681914928</v>
      </c>
      <c r="F27">
        <f>Portfolio!B$5*'CurrentPor-All Factor Movements'!D27</f>
        <v>53094.745862151191</v>
      </c>
      <c r="G27">
        <f>Portfolio!B$6*'CurrentPor-All Factor Movements'!E27</f>
        <v>3560.1389290231205</v>
      </c>
      <c r="H27">
        <f t="shared" si="0"/>
        <v>95079.896940353341</v>
      </c>
      <c r="I27">
        <f t="shared" si="1"/>
        <v>1183.0303293334291</v>
      </c>
    </row>
    <row r="28" spans="1:9">
      <c r="A28" s="1">
        <v>39296</v>
      </c>
      <c r="B28">
        <f>(3/(1+('CurrentPor-All Factor Movements'!B28)/100)+103/POWER(1+('CurrentPor-All Factor Movements'!C28)/100,2))*100</f>
        <v>9580.159575881502</v>
      </c>
      <c r="C28">
        <f>(3/(1+('CurrentPor-All Factor Movements'!B28+'CurrentPor-All Factor Movements'!F28)/100)+103/POWER(1+('CurrentPor-All Factor Movements'!C28+'CurrentPor-All Factor Movements'!F28)/100,2))*100</f>
        <v>9484.8966468374565</v>
      </c>
      <c r="D28">
        <f>(3/(1+('CurrentPor-All Factor Movements'!B28+'CurrentPor-All Factor Movements'!G28)/100)+103/POWER(1+('CurrentPor-All Factor Movements'!C28+'CurrentPor-All Factor Movements'!G28)/100,2))*100</f>
        <v>9474.0092886591246</v>
      </c>
      <c r="E28">
        <f>(3/(1+('CurrentPor-All Factor Movements'!B28+'CurrentPor-All Factor Movements'!H28)/100)+103/POWER(1+('CurrentPor-All Factor Movements'!C28+'CurrentPor-All Factor Movements'!H28)/100,2))*100</f>
        <v>9467.8747136808743</v>
      </c>
      <c r="F28">
        <f>Portfolio!B$5*'CurrentPor-All Factor Movements'!D28</f>
        <v>53306.791892536639</v>
      </c>
      <c r="G28">
        <f>Portfolio!B$6*'CurrentPor-All Factor Movements'!E28</f>
        <v>3131.4446936067925</v>
      </c>
      <c r="H28">
        <f t="shared" si="0"/>
        <v>94445.176811202386</v>
      </c>
      <c r="I28">
        <f t="shared" si="1"/>
        <v>-817.64903255757235</v>
      </c>
    </row>
    <row r="29" spans="1:9">
      <c r="A29" s="1">
        <v>39297</v>
      </c>
      <c r="B29">
        <f>(3/(1+('CurrentPor-All Factor Movements'!B29)/100)+103/POWER(1+('CurrentPor-All Factor Movements'!C29)/100,2))*100</f>
        <v>10028.449747459603</v>
      </c>
      <c r="C29">
        <f>(3/(1+('CurrentPor-All Factor Movements'!B29+'CurrentPor-All Factor Movements'!F29)/100)+103/POWER(1+('CurrentPor-All Factor Movements'!C29+'CurrentPor-All Factor Movements'!F29)/100,2))*100</f>
        <v>9926.8130571043966</v>
      </c>
      <c r="D29">
        <f>(3/(1+('CurrentPor-All Factor Movements'!B29+'CurrentPor-All Factor Movements'!G29)/100)+103/POWER(1+('CurrentPor-All Factor Movements'!C29+'CurrentPor-All Factor Movements'!G29)/100,2))*100</f>
        <v>9906.8935711386002</v>
      </c>
      <c r="E29">
        <f>(3/(1+('CurrentPor-All Factor Movements'!B29+'CurrentPor-All Factor Movements'!H29)/100)+103/POWER(1+('CurrentPor-All Factor Movements'!C29+'CurrentPor-All Factor Movements'!H29)/100,2))*100</f>
        <v>9899.2019918114893</v>
      </c>
      <c r="F29">
        <f>Portfolio!B$5*'CurrentPor-All Factor Movements'!D29</f>
        <v>49945.735904042187</v>
      </c>
      <c r="G29">
        <f>Portfolio!B$6*'CurrentPor-All Factor Movements'!E29</f>
        <v>3836.5307324004184</v>
      </c>
      <c r="H29">
        <f t="shared" si="0"/>
        <v>93543.625003956695</v>
      </c>
      <c r="I29">
        <f t="shared" si="1"/>
        <v>-243.33403097631526</v>
      </c>
    </row>
    <row r="30" spans="1:9">
      <c r="A30" s="1">
        <v>39300</v>
      </c>
      <c r="B30">
        <f>(3/(1+('CurrentPor-All Factor Movements'!B30)/100)+103/POWER(1+('CurrentPor-All Factor Movements'!C30)/100,2))*100</f>
        <v>9611.1205866567489</v>
      </c>
      <c r="C30">
        <f>(3/(1+('CurrentPor-All Factor Movements'!B30+'CurrentPor-All Factor Movements'!F30)/100)+103/POWER(1+('CurrentPor-All Factor Movements'!C30+'CurrentPor-All Factor Movements'!F30)/100,2))*100</f>
        <v>9525.6811250635692</v>
      </c>
      <c r="D30">
        <f>(3/(1+('CurrentPor-All Factor Movements'!B30+'CurrentPor-All Factor Movements'!G30)/100)+103/POWER(1+('CurrentPor-All Factor Movements'!C30+'CurrentPor-All Factor Movements'!G30)/100,2))*100</f>
        <v>9501.4773987144727</v>
      </c>
      <c r="E30">
        <f>(3/(1+('CurrentPor-All Factor Movements'!B30+'CurrentPor-All Factor Movements'!H30)/100)+103/POWER(1+('CurrentPor-All Factor Movements'!C30+'CurrentPor-All Factor Movements'!H30)/100,2))*100</f>
        <v>9482.9264362779577</v>
      </c>
      <c r="F30">
        <f>Portfolio!B$5*'CurrentPor-All Factor Movements'!D30</f>
        <v>52392.563281701281</v>
      </c>
      <c r="G30">
        <f>Portfolio!B$6*'CurrentPor-All Factor Movements'!E30</f>
        <v>3481.6254407783995</v>
      </c>
      <c r="H30">
        <f t="shared" si="0"/>
        <v>93995.394269192431</v>
      </c>
      <c r="I30">
        <f t="shared" si="1"/>
        <v>363.93301846069517</v>
      </c>
    </row>
    <row r="31" spans="1:9">
      <c r="A31" s="1">
        <v>39301</v>
      </c>
      <c r="B31">
        <f>(3/(1+('CurrentPor-All Factor Movements'!B31)/100)+103/POWER(1+('CurrentPor-All Factor Movements'!C31)/100,2))*100</f>
        <v>9743.9873601263207</v>
      </c>
      <c r="C31">
        <f>(3/(1+('CurrentPor-All Factor Movements'!B31+'CurrentPor-All Factor Movements'!F31)/100)+103/POWER(1+('CurrentPor-All Factor Movements'!C31+'CurrentPor-All Factor Movements'!F31)/100,2))*100</f>
        <v>9632.6460117846964</v>
      </c>
      <c r="D31">
        <f>(3/(1+('CurrentPor-All Factor Movements'!B31+'CurrentPor-All Factor Movements'!G31)/100)+103/POWER(1+('CurrentPor-All Factor Movements'!C31+'CurrentPor-All Factor Movements'!G31)/100,2))*100</f>
        <v>9635.1236202613836</v>
      </c>
      <c r="E31">
        <f>(3/(1+('CurrentPor-All Factor Movements'!B31+'CurrentPor-All Factor Movements'!H31)/100)+103/POWER(1+('CurrentPor-All Factor Movements'!C31+'CurrentPor-All Factor Movements'!H31)/100,2))*100</f>
        <v>9596.7480434307072</v>
      </c>
      <c r="F31">
        <f>Portfolio!B$5*'CurrentPor-All Factor Movements'!D31</f>
        <v>53101.840122166483</v>
      </c>
      <c r="G31">
        <f>Portfolio!B$6*'CurrentPor-All Factor Movements'!E31</f>
        <v>3422.264187543813</v>
      </c>
      <c r="H31">
        <f t="shared" si="0"/>
        <v>95132.609345313409</v>
      </c>
      <c r="I31">
        <f t="shared" si="1"/>
        <v>-1015.7908341471193</v>
      </c>
    </row>
    <row r="32" spans="1:9">
      <c r="A32" s="1">
        <v>39302</v>
      </c>
      <c r="B32">
        <f>(3/(1+('CurrentPor-All Factor Movements'!B32)/100)+103/POWER(1+('CurrentPor-All Factor Movements'!C32)/100,2))*100</f>
        <v>9717.4095936392478</v>
      </c>
      <c r="C32">
        <f>(3/(1+('CurrentPor-All Factor Movements'!B32+'CurrentPor-All Factor Movements'!F32)/100)+103/POWER(1+('CurrentPor-All Factor Movements'!C32+'CurrentPor-All Factor Movements'!F32)/100,2))*100</f>
        <v>9625.1312084921756</v>
      </c>
      <c r="D32">
        <f>(3/(1+('CurrentPor-All Factor Movements'!B32+'CurrentPor-All Factor Movements'!G32)/100)+103/POWER(1+('CurrentPor-All Factor Movements'!C32+'CurrentPor-All Factor Movements'!G32)/100,2))*100</f>
        <v>9602.2145184711317</v>
      </c>
      <c r="E32">
        <f>(3/(1+('CurrentPor-All Factor Movements'!B32+'CurrentPor-All Factor Movements'!H32)/100)+103/POWER(1+('CurrentPor-All Factor Movements'!C32+'CurrentPor-All Factor Movements'!H32)/100,2))*100</f>
        <v>9590.479150134599</v>
      </c>
      <c r="F32">
        <f>Portfolio!B$5*'CurrentPor-All Factor Movements'!D32</f>
        <v>52602.515449995291</v>
      </c>
      <c r="G32">
        <f>Portfolio!B$6*'CurrentPor-All Factor Movements'!E32</f>
        <v>3845.2867746852994</v>
      </c>
      <c r="H32">
        <f t="shared" si="0"/>
        <v>94983.036695417744</v>
      </c>
      <c r="I32">
        <f t="shared" si="1"/>
        <v>414.20740061796096</v>
      </c>
    </row>
    <row r="33" spans="1:9">
      <c r="A33" s="1">
        <v>39303</v>
      </c>
      <c r="B33">
        <f>(3/(1+('CurrentPor-All Factor Movements'!B33)/100)+103/POWER(1+('CurrentPor-All Factor Movements'!C33)/100,2))*100</f>
        <v>9460.3353744436426</v>
      </c>
      <c r="C33">
        <f>(3/(1+('CurrentPor-All Factor Movements'!B33+'CurrentPor-All Factor Movements'!F33)/100)+103/POWER(1+('CurrentPor-All Factor Movements'!C33+'CurrentPor-All Factor Movements'!F33)/100,2))*100</f>
        <v>9379.0384552516662</v>
      </c>
      <c r="D33">
        <f>(3/(1+('CurrentPor-All Factor Movements'!B33+'CurrentPor-All Factor Movements'!G33)/100)+103/POWER(1+('CurrentPor-All Factor Movements'!C33+'CurrentPor-All Factor Movements'!G33)/100,2))*100</f>
        <v>9369.7372316173842</v>
      </c>
      <c r="E33">
        <f>(3/(1+('CurrentPor-All Factor Movements'!B33+'CurrentPor-All Factor Movements'!H33)/100)+103/POWER(1+('CurrentPor-All Factor Movements'!C33+'CurrentPor-All Factor Movements'!H33)/100,2))*100</f>
        <v>9333.0264351806054</v>
      </c>
      <c r="F33">
        <f>Portfolio!B$5*'CurrentPor-All Factor Movements'!D33</f>
        <v>49952.569486946893</v>
      </c>
      <c r="G33">
        <f>Portfolio!B$6*'CurrentPor-All Factor Movements'!E33</f>
        <v>3622.9981049777953</v>
      </c>
      <c r="H33">
        <f t="shared" si="0"/>
        <v>91117.705088417992</v>
      </c>
      <c r="I33">
        <f t="shared" si="1"/>
        <v>-2518.735619466941</v>
      </c>
    </row>
    <row r="34" spans="1:9">
      <c r="A34" s="1">
        <v>39304</v>
      </c>
      <c r="B34">
        <f>(3/(1+('CurrentPor-All Factor Movements'!B34)/100)+103/POWER(1+('CurrentPor-All Factor Movements'!C34)/100,2))*100</f>
        <v>9839.7419322722326</v>
      </c>
      <c r="C34">
        <f>(3/(1+('CurrentPor-All Factor Movements'!B34+'CurrentPor-All Factor Movements'!F34)/100)+103/POWER(1+('CurrentPor-All Factor Movements'!C34+'CurrentPor-All Factor Movements'!F34)/100,2))*100</f>
        <v>9752.7160899396567</v>
      </c>
      <c r="D34">
        <f>(3/(1+('CurrentPor-All Factor Movements'!B34+'CurrentPor-All Factor Movements'!G34)/100)+103/POWER(1+('CurrentPor-All Factor Movements'!C34+'CurrentPor-All Factor Movements'!G34)/100,2))*100</f>
        <v>9729.910283547908</v>
      </c>
      <c r="E34">
        <f>(3/(1+('CurrentPor-All Factor Movements'!B34+'CurrentPor-All Factor Movements'!H34)/100)+103/POWER(1+('CurrentPor-All Factor Movements'!C34+'CurrentPor-All Factor Movements'!H34)/100,2))*100</f>
        <v>9713.9296938016632</v>
      </c>
      <c r="F34">
        <f>Portfolio!B$5*'CurrentPor-All Factor Movements'!D34</f>
        <v>50517.806411197911</v>
      </c>
      <c r="G34">
        <f>Portfolio!B$6*'CurrentPor-All Factor Movements'!E34</f>
        <v>3590.9641182489131</v>
      </c>
      <c r="H34">
        <f t="shared" si="0"/>
        <v>93145.068529008291</v>
      </c>
      <c r="I34">
        <f t="shared" si="1"/>
        <v>-984.93746734550223</v>
      </c>
    </row>
    <row r="35" spans="1:9">
      <c r="A35" s="1">
        <v>39307</v>
      </c>
      <c r="B35">
        <f>(3/(1+('CurrentPor-All Factor Movements'!B35)/100)+103/POWER(1+('CurrentPor-All Factor Movements'!C35)/100,2))*100</f>
        <v>9731.397942623129</v>
      </c>
      <c r="C35">
        <f>(3/(1+('CurrentPor-All Factor Movements'!B35+'CurrentPor-All Factor Movements'!F35)/100)+103/POWER(1+('CurrentPor-All Factor Movements'!C35+'CurrentPor-All Factor Movements'!F35)/100,2))*100</f>
        <v>9640.6135073894475</v>
      </c>
      <c r="D35">
        <f>(3/(1+('CurrentPor-All Factor Movements'!B35+'CurrentPor-All Factor Movements'!G35)/100)+103/POWER(1+('CurrentPor-All Factor Movements'!C35+'CurrentPor-All Factor Movements'!G35)/100,2))*100</f>
        <v>9640.9408706533868</v>
      </c>
      <c r="E35">
        <f>(3/(1+('CurrentPor-All Factor Movements'!B35+'CurrentPor-All Factor Movements'!H35)/100)+103/POWER(1+('CurrentPor-All Factor Movements'!C35+'CurrentPor-All Factor Movements'!H35)/100,2))*100</f>
        <v>9612.4712674173479</v>
      </c>
      <c r="F35">
        <f>Portfolio!B$5*'CurrentPor-All Factor Movements'!D35</f>
        <v>51514.97408768312</v>
      </c>
      <c r="G35">
        <f>Portfolio!B$6*'CurrentPor-All Factor Movements'!E35</f>
        <v>3639.0149752933594</v>
      </c>
      <c r="H35">
        <f t="shared" ref="H35:H66" si="2">SUM(B35:G35)</f>
        <v>93779.4126510598</v>
      </c>
      <c r="I35">
        <f t="shared" si="1"/>
        <v>-1422.1220819588198</v>
      </c>
    </row>
    <row r="36" spans="1:9">
      <c r="A36" s="1">
        <v>39308</v>
      </c>
      <c r="B36">
        <f>(3/(1+('CurrentPor-All Factor Movements'!B36)/100)+103/POWER(1+('CurrentPor-All Factor Movements'!C36)/100,2))*100</f>
        <v>9784.6871198194603</v>
      </c>
      <c r="C36">
        <f>(3/(1+('CurrentPor-All Factor Movements'!B36+'CurrentPor-All Factor Movements'!F36)/100)+103/POWER(1+('CurrentPor-All Factor Movements'!C36+'CurrentPor-All Factor Movements'!F36)/100,2))*100</f>
        <v>9706.4050115598329</v>
      </c>
      <c r="D36">
        <f>(3/(1+('CurrentPor-All Factor Movements'!B36+'CurrentPor-All Factor Movements'!G36)/100)+103/POWER(1+('CurrentPor-All Factor Movements'!C36+'CurrentPor-All Factor Movements'!G36)/100,2))*100</f>
        <v>9682.3181924110668</v>
      </c>
      <c r="E36">
        <f>(3/(1+('CurrentPor-All Factor Movements'!B36+'CurrentPor-All Factor Movements'!H36)/100)+103/POWER(1+('CurrentPor-All Factor Movements'!C36+'CurrentPor-All Factor Movements'!H36)/100,2))*100</f>
        <v>9654.0122773850544</v>
      </c>
      <c r="F36">
        <f>Portfolio!B$5*'CurrentPor-All Factor Movements'!D36</f>
        <v>52206.786315914083</v>
      </c>
      <c r="G36">
        <f>Portfolio!B$6*'CurrentPor-All Factor Movements'!E36</f>
        <v>3447.8503638314578</v>
      </c>
      <c r="H36">
        <f t="shared" si="2"/>
        <v>94482.059280920963</v>
      </c>
      <c r="I36">
        <f t="shared" si="1"/>
        <v>1653.133068405441</v>
      </c>
    </row>
    <row r="37" spans="1:9">
      <c r="A37" s="1">
        <v>39309</v>
      </c>
      <c r="B37">
        <f>(3/(1+('CurrentPor-All Factor Movements'!B37)/100)+103/POWER(1+('CurrentPor-All Factor Movements'!C37)/100,2))*100</f>
        <v>9729.651032789392</v>
      </c>
      <c r="C37">
        <f>(3/(1+('CurrentPor-All Factor Movements'!B37+'CurrentPor-All Factor Movements'!F37)/100)+103/POWER(1+('CurrentPor-All Factor Movements'!C37+'CurrentPor-All Factor Movements'!F37)/100,2))*100</f>
        <v>9641.7636172574184</v>
      </c>
      <c r="D37">
        <f>(3/(1+('CurrentPor-All Factor Movements'!B37+'CurrentPor-All Factor Movements'!G37)/100)+103/POWER(1+('CurrentPor-All Factor Movements'!C37+'CurrentPor-All Factor Movements'!G37)/100,2))*100</f>
        <v>9623.533232830574</v>
      </c>
      <c r="E37">
        <f>(3/(1+('CurrentPor-All Factor Movements'!B37+'CurrentPor-All Factor Movements'!H37)/100)+103/POWER(1+('CurrentPor-All Factor Movements'!C37+'CurrentPor-All Factor Movements'!H37)/100,2))*100</f>
        <v>9585.8809181661945</v>
      </c>
      <c r="F37">
        <f>Portfolio!B$5*'CurrentPor-All Factor Movements'!D37</f>
        <v>51285.629695383206</v>
      </c>
      <c r="G37">
        <f>Portfolio!B$6*'CurrentPor-All Factor Movements'!E37</f>
        <v>3719.5599132284237</v>
      </c>
      <c r="H37">
        <f t="shared" si="2"/>
        <v>93586.018409655211</v>
      </c>
      <c r="I37">
        <f t="shared" si="1"/>
        <v>-1493.8785306981299</v>
      </c>
    </row>
    <row r="38" spans="1:9">
      <c r="A38" s="1">
        <v>39310</v>
      </c>
      <c r="B38">
        <f>(3/(1+('CurrentPor-All Factor Movements'!B38)/100)+103/POWER(1+('CurrentPor-All Factor Movements'!C38)/100,2))*100</f>
        <v>9662.4769010321506</v>
      </c>
      <c r="C38">
        <f>(3/(1+('CurrentPor-All Factor Movements'!B38+'CurrentPor-All Factor Movements'!F38)/100)+103/POWER(1+('CurrentPor-All Factor Movements'!C38+'CurrentPor-All Factor Movements'!F38)/100,2))*100</f>
        <v>9567.878641645113</v>
      </c>
      <c r="D38">
        <f>(3/(1+('CurrentPor-All Factor Movements'!B38+'CurrentPor-All Factor Movements'!G38)/100)+103/POWER(1+('CurrentPor-All Factor Movements'!C38+'CurrentPor-All Factor Movements'!G38)/100,2))*100</f>
        <v>9548.3495040770176</v>
      </c>
      <c r="E38">
        <f>(3/(1+('CurrentPor-All Factor Movements'!B38+'CurrentPor-All Factor Movements'!H38)/100)+103/POWER(1+('CurrentPor-All Factor Movements'!C38+'CurrentPor-All Factor Movements'!H38)/100,2))*100</f>
        <v>9528.8586426429738</v>
      </c>
      <c r="F38">
        <f>Portfolio!B$5*'CurrentPor-All Factor Movements'!D38</f>
        <v>52720.089650478134</v>
      </c>
      <c r="G38">
        <f>Portfolio!B$6*'CurrentPor-All Factor Movements'!E38</f>
        <v>3727.8982664368968</v>
      </c>
      <c r="H38">
        <f t="shared" si="2"/>
        <v>94755.551606312292</v>
      </c>
      <c r="I38">
        <f t="shared" si="1"/>
        <v>310.3747951099067</v>
      </c>
    </row>
    <row r="39" spans="1:9">
      <c r="A39" s="1">
        <v>39311</v>
      </c>
      <c r="B39">
        <f>(3/(1+('CurrentPor-All Factor Movements'!B39)/100)+103/POWER(1+('CurrentPor-All Factor Movements'!C39)/100,2))*100</f>
        <v>9704.2979375848081</v>
      </c>
      <c r="C39">
        <f>(3/(1+('CurrentPor-All Factor Movements'!B39+'CurrentPor-All Factor Movements'!F39)/100)+103/POWER(1+('CurrentPor-All Factor Movements'!C39+'CurrentPor-All Factor Movements'!F39)/100,2))*100</f>
        <v>9616.2603499634351</v>
      </c>
      <c r="D39">
        <f>(3/(1+('CurrentPor-All Factor Movements'!B39+'CurrentPor-All Factor Movements'!G39)/100)+103/POWER(1+('CurrentPor-All Factor Movements'!C39+'CurrentPor-All Factor Movements'!G39)/100,2))*100</f>
        <v>9621.9259379714294</v>
      </c>
      <c r="E39">
        <f>(3/(1+('CurrentPor-All Factor Movements'!B39+'CurrentPor-All Factor Movements'!H39)/100)+103/POWER(1+('CurrentPor-All Factor Movements'!C39+'CurrentPor-All Factor Movements'!H39)/100,2))*100</f>
        <v>9579.4044558060268</v>
      </c>
      <c r="F39">
        <f>Portfolio!B$5*'CurrentPor-All Factor Movements'!D39</f>
        <v>51232.057717349235</v>
      </c>
      <c r="G39">
        <f>Portfolio!B$6*'CurrentPor-All Factor Movements'!E39</f>
        <v>3194.2457283626973</v>
      </c>
      <c r="H39">
        <f t="shared" si="2"/>
        <v>92948.192127037633</v>
      </c>
      <c r="I39">
        <f t="shared" si="1"/>
        <v>-595.43287691906153</v>
      </c>
    </row>
    <row r="40" spans="1:9">
      <c r="A40" s="1">
        <v>39314</v>
      </c>
      <c r="B40">
        <f>(3/(1+('CurrentPor-All Factor Movements'!B40)/100)+103/POWER(1+('CurrentPor-All Factor Movements'!C40)/100,2))*100</f>
        <v>9880.1196944945423</v>
      </c>
      <c r="C40">
        <f>(3/(1+('CurrentPor-All Factor Movements'!B40+'CurrentPor-All Factor Movements'!F40)/100)+103/POWER(1+('CurrentPor-All Factor Movements'!C40+'CurrentPor-All Factor Movements'!F40)/100,2))*100</f>
        <v>9791.1610612602453</v>
      </c>
      <c r="D40">
        <f>(3/(1+('CurrentPor-All Factor Movements'!B40+'CurrentPor-All Factor Movements'!G40)/100)+103/POWER(1+('CurrentPor-All Factor Movements'!C40+'CurrentPor-All Factor Movements'!G40)/100,2))*100</f>
        <v>9769.8771824241412</v>
      </c>
      <c r="E40">
        <f>(3/(1+('CurrentPor-All Factor Movements'!B40+'CurrentPor-All Factor Movements'!H40)/100)+103/POWER(1+('CurrentPor-All Factor Movements'!C40+'CurrentPor-All Factor Movements'!H40)/100,2))*100</f>
        <v>9742.9774370924151</v>
      </c>
      <c r="F40">
        <f>Portfolio!B$5*'CurrentPor-All Factor Movements'!D40</f>
        <v>51366.240442529954</v>
      </c>
      <c r="G40">
        <f>Portfolio!B$6*'CurrentPor-All Factor Movements'!E40</f>
        <v>3511.2381376347826</v>
      </c>
      <c r="H40">
        <f t="shared" si="2"/>
        <v>94061.613955436071</v>
      </c>
      <c r="I40">
        <f t="shared" si="1"/>
        <v>66.219686243639444</v>
      </c>
    </row>
    <row r="41" spans="1:9">
      <c r="A41" s="1">
        <v>39315</v>
      </c>
      <c r="B41">
        <f>(3/(1+('CurrentPor-All Factor Movements'!B41)/100)+103/POWER(1+('CurrentPor-All Factor Movements'!C41)/100,2))*100</f>
        <v>9931.855105556675</v>
      </c>
      <c r="C41">
        <f>(3/(1+('CurrentPor-All Factor Movements'!B41+'CurrentPor-All Factor Movements'!F41)/100)+103/POWER(1+('CurrentPor-All Factor Movements'!C41+'CurrentPor-All Factor Movements'!F41)/100,2))*100</f>
        <v>9841.9256326639807</v>
      </c>
      <c r="D41">
        <f>(3/(1+('CurrentPor-All Factor Movements'!B41+'CurrentPor-All Factor Movements'!G41)/100)+103/POWER(1+('CurrentPor-All Factor Movements'!C41+'CurrentPor-All Factor Movements'!G41)/100,2))*100</f>
        <v>9806.4643627697315</v>
      </c>
      <c r="E41">
        <f>(3/(1+('CurrentPor-All Factor Movements'!B41+'CurrentPor-All Factor Movements'!H41)/100)+103/POWER(1+('CurrentPor-All Factor Movements'!C41+'CurrentPor-All Factor Movements'!H41)/100,2))*100</f>
        <v>9808.6544500762211</v>
      </c>
      <c r="F41">
        <f>Portfolio!B$5*'CurrentPor-All Factor Movements'!D41</f>
        <v>54420.29796690723</v>
      </c>
      <c r="G41">
        <f>Portfolio!B$6*'CurrentPor-All Factor Movements'!E41</f>
        <v>3473.9391252530913</v>
      </c>
      <c r="H41">
        <f t="shared" si="2"/>
        <v>97283.136643226928</v>
      </c>
      <c r="I41">
        <f t="shared" si="1"/>
        <v>2150.5272979135189</v>
      </c>
    </row>
    <row r="42" spans="1:9">
      <c r="A42" s="1">
        <v>39316</v>
      </c>
      <c r="B42">
        <f>(3/(1+('CurrentPor-All Factor Movements'!B42)/100)+103/POWER(1+('CurrentPor-All Factor Movements'!C42)/100,2))*100</f>
        <v>9618.240291596976</v>
      </c>
      <c r="C42">
        <f>(3/(1+('CurrentPor-All Factor Movements'!B42+'CurrentPor-All Factor Movements'!F42)/100)+103/POWER(1+('CurrentPor-All Factor Movements'!C42+'CurrentPor-All Factor Movements'!F42)/100,2))*100</f>
        <v>9518.2850691766998</v>
      </c>
      <c r="D42">
        <f>(3/(1+('CurrentPor-All Factor Movements'!B42+'CurrentPor-All Factor Movements'!G42)/100)+103/POWER(1+('CurrentPor-All Factor Movements'!C42+'CurrentPor-All Factor Movements'!G42)/100,2))*100</f>
        <v>9513.0060184159829</v>
      </c>
      <c r="E42">
        <f>(3/(1+('CurrentPor-All Factor Movements'!B42+'CurrentPor-All Factor Movements'!H42)/100)+103/POWER(1+('CurrentPor-All Factor Movements'!C42+'CurrentPor-All Factor Movements'!H42)/100,2))*100</f>
        <v>9495.3224217582083</v>
      </c>
      <c r="F42">
        <f>Portfolio!B$5*'CurrentPor-All Factor Movements'!D42</f>
        <v>52913.518037104026</v>
      </c>
      <c r="G42">
        <f>Portfolio!B$6*'CurrentPor-All Factor Movements'!E42</f>
        <v>3426.2221509155111</v>
      </c>
      <c r="H42">
        <f t="shared" si="2"/>
        <v>94484.59398896739</v>
      </c>
      <c r="I42">
        <f t="shared" si="1"/>
        <v>-498.44270645035431</v>
      </c>
    </row>
    <row r="43" spans="1:9">
      <c r="A43" s="1">
        <v>39317</v>
      </c>
      <c r="B43">
        <f>(3/(1+('CurrentPor-All Factor Movements'!B43)/100)+103/POWER(1+('CurrentPor-All Factor Movements'!C43)/100,2))*100</f>
        <v>9745.9805872205507</v>
      </c>
      <c r="C43">
        <f>(3/(1+('CurrentPor-All Factor Movements'!B43+'CurrentPor-All Factor Movements'!F43)/100)+103/POWER(1+('CurrentPor-All Factor Movements'!C43+'CurrentPor-All Factor Movements'!F43)/100,2))*100</f>
        <v>9660.1268675330957</v>
      </c>
      <c r="D43">
        <f>(3/(1+('CurrentPor-All Factor Movements'!B43+'CurrentPor-All Factor Movements'!G43)/100)+103/POWER(1+('CurrentPor-All Factor Movements'!C43+'CurrentPor-All Factor Movements'!G43)/100,2))*100</f>
        <v>9640.7898566515814</v>
      </c>
      <c r="E43">
        <f>(3/(1+('CurrentPor-All Factor Movements'!B43+'CurrentPor-All Factor Movements'!H43)/100)+103/POWER(1+('CurrentPor-All Factor Movements'!C43+'CurrentPor-All Factor Movements'!H43)/100,2))*100</f>
        <v>9629.8656612972591</v>
      </c>
      <c r="F43">
        <f>Portfolio!B$5*'CurrentPor-All Factor Movements'!D43</f>
        <v>49995.819038488487</v>
      </c>
      <c r="G43">
        <f>Portfolio!B$6*'CurrentPor-All Factor Movements'!E43</f>
        <v>3419.1303298671237</v>
      </c>
      <c r="H43">
        <f t="shared" si="2"/>
        <v>92091.712341058097</v>
      </c>
      <c r="I43">
        <f t="shared" si="1"/>
        <v>974.00725264010543</v>
      </c>
    </row>
    <row r="44" spans="1:9">
      <c r="A44" s="1">
        <v>39318</v>
      </c>
      <c r="B44">
        <f>(3/(1+('CurrentPor-All Factor Movements'!B44)/100)+103/POWER(1+('CurrentPor-All Factor Movements'!C44)/100,2))*100</f>
        <v>9850.0002937849222</v>
      </c>
      <c r="C44">
        <f>(3/(1+('CurrentPor-All Factor Movements'!B44+'CurrentPor-All Factor Movements'!F44)/100)+103/POWER(1+('CurrentPor-All Factor Movements'!C44+'CurrentPor-All Factor Movements'!F44)/100,2))*100</f>
        <v>9758.2860285383704</v>
      </c>
      <c r="D44">
        <f>(3/(1+('CurrentPor-All Factor Movements'!B44+'CurrentPor-All Factor Movements'!G44)/100)+103/POWER(1+('CurrentPor-All Factor Movements'!C44+'CurrentPor-All Factor Movements'!G44)/100,2))*100</f>
        <v>9740.2052738645052</v>
      </c>
      <c r="E44">
        <f>(3/(1+('CurrentPor-All Factor Movements'!B44+'CurrentPor-All Factor Movements'!H44)/100)+103/POWER(1+('CurrentPor-All Factor Movements'!C44+'CurrentPor-All Factor Movements'!H44)/100,2))*100</f>
        <v>9714.19711376534</v>
      </c>
      <c r="F44">
        <f>Portfolio!B$5*'CurrentPor-All Factor Movements'!D44</f>
        <v>51578.900527026155</v>
      </c>
      <c r="G44">
        <f>Portfolio!B$6*'CurrentPor-All Factor Movements'!E44</f>
        <v>3741.6746321614064</v>
      </c>
      <c r="H44">
        <f t="shared" si="2"/>
        <v>94383.26386914069</v>
      </c>
      <c r="I44">
        <f t="shared" si="1"/>
        <v>1238.195340132399</v>
      </c>
    </row>
    <row r="45" spans="1:9">
      <c r="A45" s="1">
        <v>39321</v>
      </c>
      <c r="B45">
        <f>(3/(1+('CurrentPor-All Factor Movements'!B45)/100)+103/POWER(1+('CurrentPor-All Factor Movements'!C45)/100,2))*100</f>
        <v>9802.3868683042983</v>
      </c>
      <c r="C45">
        <f>(3/(1+('CurrentPor-All Factor Movements'!B45+'CurrentPor-All Factor Movements'!F45)/100)+103/POWER(1+('CurrentPor-All Factor Movements'!C45+'CurrentPor-All Factor Movements'!F45)/100,2))*100</f>
        <v>9702.8801965565563</v>
      </c>
      <c r="D45">
        <f>(3/(1+('CurrentPor-All Factor Movements'!B45+'CurrentPor-All Factor Movements'!G45)/100)+103/POWER(1+('CurrentPor-All Factor Movements'!C45+'CurrentPor-All Factor Movements'!G45)/100,2))*100</f>
        <v>9685.239290764086</v>
      </c>
      <c r="E45">
        <f>(3/(1+('CurrentPor-All Factor Movements'!B45+'CurrentPor-All Factor Movements'!H45)/100)+103/POWER(1+('CurrentPor-All Factor Movements'!C45+'CurrentPor-All Factor Movements'!H45)/100,2))*100</f>
        <v>9664.3999789074551</v>
      </c>
      <c r="F45">
        <f>Portfolio!B$5*'CurrentPor-All Factor Movements'!D45</f>
        <v>52730.945996103466</v>
      </c>
      <c r="G45">
        <f>Portfolio!B$6*'CurrentPor-All Factor Movements'!E45</f>
        <v>3775.5530031945532</v>
      </c>
      <c r="H45">
        <f t="shared" si="2"/>
        <v>95361.405333830407</v>
      </c>
      <c r="I45">
        <f t="shared" si="1"/>
        <v>1581.9926827706076</v>
      </c>
    </row>
    <row r="46" spans="1:9">
      <c r="A46" s="1">
        <v>39322</v>
      </c>
      <c r="B46">
        <f>(3/(1+('CurrentPor-All Factor Movements'!B46)/100)+103/POWER(1+('CurrentPor-All Factor Movements'!C46)/100,2))*100</f>
        <v>9863.6029504087419</v>
      </c>
      <c r="C46">
        <f>(3/(1+('CurrentPor-All Factor Movements'!B46+'CurrentPor-All Factor Movements'!F46)/100)+103/POWER(1+('CurrentPor-All Factor Movements'!C46+'CurrentPor-All Factor Movements'!F46)/100,2))*100</f>
        <v>9774.6147163871119</v>
      </c>
      <c r="D46">
        <f>(3/(1+('CurrentPor-All Factor Movements'!B46+'CurrentPor-All Factor Movements'!G46)/100)+103/POWER(1+('CurrentPor-All Factor Movements'!C46+'CurrentPor-All Factor Movements'!G46)/100,2))*100</f>
        <v>9737.8473959710482</v>
      </c>
      <c r="E46">
        <f>(3/(1+('CurrentPor-All Factor Movements'!B46+'CurrentPor-All Factor Movements'!H46)/100)+103/POWER(1+('CurrentPor-All Factor Movements'!C46+'CurrentPor-All Factor Movements'!H46)/100,2))*100</f>
        <v>9742.9527188156299</v>
      </c>
      <c r="F46">
        <f>Portfolio!B$5*'CurrentPor-All Factor Movements'!D46</f>
        <v>54307.256661379324</v>
      </c>
      <c r="G46">
        <f>Portfolio!B$6*'CurrentPor-All Factor Movements'!E46</f>
        <v>3476.7280111536693</v>
      </c>
      <c r="H46">
        <f t="shared" si="2"/>
        <v>96903.002454115514</v>
      </c>
      <c r="I46">
        <f t="shared" si="1"/>
        <v>2420.9431731945515</v>
      </c>
    </row>
    <row r="47" spans="1:9">
      <c r="A47" s="1">
        <v>39323</v>
      </c>
      <c r="B47">
        <f>(3/(1+('CurrentPor-All Factor Movements'!B47)/100)+103/POWER(1+('CurrentPor-All Factor Movements'!C47)/100,2))*100</f>
        <v>9846.8808643619195</v>
      </c>
      <c r="C47">
        <f>(3/(1+('CurrentPor-All Factor Movements'!B47+'CurrentPor-All Factor Movements'!F47)/100)+103/POWER(1+('CurrentPor-All Factor Movements'!C47+'CurrentPor-All Factor Movements'!F47)/100,2))*100</f>
        <v>9740.2925543217152</v>
      </c>
      <c r="D47">
        <f>(3/(1+('CurrentPor-All Factor Movements'!B47+'CurrentPor-All Factor Movements'!G47)/100)+103/POWER(1+('CurrentPor-All Factor Movements'!C47+'CurrentPor-All Factor Movements'!G47)/100,2))*100</f>
        <v>9744.5391332690724</v>
      </c>
      <c r="E47">
        <f>(3/(1+('CurrentPor-All Factor Movements'!B47+'CurrentPor-All Factor Movements'!H47)/100)+103/POWER(1+('CurrentPor-All Factor Movements'!C47+'CurrentPor-All Factor Movements'!H47)/100,2))*100</f>
        <v>9705.8023176983043</v>
      </c>
      <c r="F47">
        <f>Portfolio!B$5*'CurrentPor-All Factor Movements'!D47</f>
        <v>53131.19536266636</v>
      </c>
      <c r="G47">
        <f>Portfolio!B$6*'CurrentPor-All Factor Movements'!E47</f>
        <v>3562.6539359468338</v>
      </c>
      <c r="H47">
        <f t="shared" si="2"/>
        <v>95731.36416826419</v>
      </c>
      <c r="I47">
        <f t="shared" si="1"/>
        <v>2145.3457586089789</v>
      </c>
    </row>
    <row r="48" spans="1:9">
      <c r="A48" s="1">
        <v>39324</v>
      </c>
      <c r="B48">
        <f>(3/(1+('CurrentPor-All Factor Movements'!B48)/100)+103/POWER(1+('CurrentPor-All Factor Movements'!C48)/100,2))*100</f>
        <v>9814.666637005721</v>
      </c>
      <c r="C48">
        <f>(3/(1+('CurrentPor-All Factor Movements'!B48+'CurrentPor-All Factor Movements'!F48)/100)+103/POWER(1+('CurrentPor-All Factor Movements'!C48+'CurrentPor-All Factor Movements'!F48)/100,2))*100</f>
        <v>9725.4958616637286</v>
      </c>
      <c r="D48">
        <f>(3/(1+('CurrentPor-All Factor Movements'!B48+'CurrentPor-All Factor Movements'!G48)/100)+103/POWER(1+('CurrentPor-All Factor Movements'!C48+'CurrentPor-All Factor Movements'!G48)/100,2))*100</f>
        <v>9691.7670586808181</v>
      </c>
      <c r="E48">
        <f>(3/(1+('CurrentPor-All Factor Movements'!B48+'CurrentPor-All Factor Movements'!H48)/100)+103/POWER(1+('CurrentPor-All Factor Movements'!C48+'CurrentPor-All Factor Movements'!H48)/100,2))*100</f>
        <v>9695.4148904983595</v>
      </c>
      <c r="F48">
        <f>Portfolio!B$5*'CurrentPor-All Factor Movements'!D48</f>
        <v>53516.816357682648</v>
      </c>
      <c r="G48">
        <f>Portfolio!B$6*'CurrentPor-All Factor Movements'!E48</f>
        <v>3490.8946698382429</v>
      </c>
      <c r="H48">
        <f t="shared" si="2"/>
        <v>95935.055475369532</v>
      </c>
      <c r="I48">
        <f t="shared" si="1"/>
        <v>1179.5038690572401</v>
      </c>
    </row>
    <row r="49" spans="1:9">
      <c r="A49" s="1">
        <v>39325</v>
      </c>
      <c r="B49">
        <f>(3/(1+('CurrentPor-All Factor Movements'!B49)/100)+103/POWER(1+('CurrentPor-All Factor Movements'!C49)/100,2))*100</f>
        <v>9892.3687805897844</v>
      </c>
      <c r="C49">
        <f>(3/(1+('CurrentPor-All Factor Movements'!B49+'CurrentPor-All Factor Movements'!F49)/100)+103/POWER(1+('CurrentPor-All Factor Movements'!C49+'CurrentPor-All Factor Movements'!F49)/100,2))*100</f>
        <v>9803.3888026817986</v>
      </c>
      <c r="D49">
        <f>(3/(1+('CurrentPor-All Factor Movements'!B49+'CurrentPor-All Factor Movements'!G49)/100)+103/POWER(1+('CurrentPor-All Factor Movements'!C49+'CurrentPor-All Factor Movements'!G49)/100,2))*100</f>
        <v>9780.9890250906356</v>
      </c>
      <c r="E49">
        <f>(3/(1+('CurrentPor-All Factor Movements'!B49+'CurrentPor-All Factor Movements'!H49)/100)+103/POWER(1+('CurrentPor-All Factor Movements'!C49+'CurrentPor-All Factor Movements'!H49)/100,2))*100</f>
        <v>9771.7296010266109</v>
      </c>
      <c r="F49">
        <f>Portfolio!B$5*'CurrentPor-All Factor Movements'!D49</f>
        <v>51370.713223692459</v>
      </c>
      <c r="G49">
        <f>Portfolio!B$6*'CurrentPor-All Factor Movements'!E49</f>
        <v>3354.0917124953266</v>
      </c>
      <c r="H49">
        <f t="shared" si="2"/>
        <v>93973.281145576606</v>
      </c>
      <c r="I49">
        <f t="shared" si="1"/>
        <v>1025.0890185389726</v>
      </c>
    </row>
    <row r="50" spans="1:9">
      <c r="A50" s="1">
        <v>39328</v>
      </c>
      <c r="B50">
        <f>(3/(1+('CurrentPor-All Factor Movements'!B50)/100)+103/POWER(1+('CurrentPor-All Factor Movements'!C50)/100,2))*100</f>
        <v>9657.5716549035697</v>
      </c>
      <c r="C50">
        <f>(3/(1+('CurrentPor-All Factor Movements'!B50+'CurrentPor-All Factor Movements'!F50)/100)+103/POWER(1+('CurrentPor-All Factor Movements'!C50+'CurrentPor-All Factor Movements'!F50)/100,2))*100</f>
        <v>9574.4417620805143</v>
      </c>
      <c r="D50">
        <f>(3/(1+('CurrentPor-All Factor Movements'!B50+'CurrentPor-All Factor Movements'!G50)/100)+103/POWER(1+('CurrentPor-All Factor Movements'!C50+'CurrentPor-All Factor Movements'!G50)/100,2))*100</f>
        <v>9541.1769587989093</v>
      </c>
      <c r="E50">
        <f>(3/(1+('CurrentPor-All Factor Movements'!B50+'CurrentPor-All Factor Movements'!H50)/100)+103/POWER(1+('CurrentPor-All Factor Movements'!C50+'CurrentPor-All Factor Movements'!H50)/100,2))*100</f>
        <v>9521.2572911085153</v>
      </c>
      <c r="F50">
        <f>Portfolio!B$5*'CurrentPor-All Factor Movements'!D50</f>
        <v>51175.308218747261</v>
      </c>
      <c r="G50">
        <f>Portfolio!B$6*'CurrentPor-All Factor Movements'!E50</f>
        <v>3741.0727081650307</v>
      </c>
      <c r="H50">
        <f t="shared" si="2"/>
        <v>93210.828593803788</v>
      </c>
      <c r="I50">
        <f t="shared" si="1"/>
        <v>-850.78536163228273</v>
      </c>
    </row>
    <row r="51" spans="1:9">
      <c r="A51" s="1">
        <v>39329</v>
      </c>
      <c r="B51">
        <f>(3/(1+('CurrentPor-All Factor Movements'!B51)/100)+103/POWER(1+('CurrentPor-All Factor Movements'!C51)/100,2))*100</f>
        <v>9776.5632643095923</v>
      </c>
      <c r="C51">
        <f>(3/(1+('CurrentPor-All Factor Movements'!B51+'CurrentPor-All Factor Movements'!F51)/100)+103/POWER(1+('CurrentPor-All Factor Movements'!C51+'CurrentPor-All Factor Movements'!F51)/100,2))*100</f>
        <v>9672.160591353977</v>
      </c>
      <c r="D51">
        <f>(3/(1+('CurrentPor-All Factor Movements'!B51+'CurrentPor-All Factor Movements'!G51)/100)+103/POWER(1+('CurrentPor-All Factor Movements'!C51+'CurrentPor-All Factor Movements'!G51)/100,2))*100</f>
        <v>9676.2811960577801</v>
      </c>
      <c r="E51">
        <f>(3/(1+('CurrentPor-All Factor Movements'!B51+'CurrentPor-All Factor Movements'!H51)/100)+103/POWER(1+('CurrentPor-All Factor Movements'!C51+'CurrentPor-All Factor Movements'!H51)/100,2))*100</f>
        <v>9650.8136536446218</v>
      </c>
      <c r="F51">
        <f>Portfolio!B$5*'CurrentPor-All Factor Movements'!D51</f>
        <v>52270.656857082882</v>
      </c>
      <c r="G51">
        <f>Portfolio!B$6*'CurrentPor-All Factor Movements'!E51</f>
        <v>3639.5857410505564</v>
      </c>
      <c r="H51">
        <f t="shared" si="2"/>
        <v>94686.061303499417</v>
      </c>
      <c r="I51">
        <f t="shared" si="1"/>
        <v>-2597.0753397275112</v>
      </c>
    </row>
    <row r="52" spans="1:9">
      <c r="A52" s="1">
        <v>39330</v>
      </c>
      <c r="B52">
        <f>(3/(1+('CurrentPor-All Factor Movements'!B52)/100)+103/POWER(1+('CurrentPor-All Factor Movements'!C52)/100,2))*100</f>
        <v>9628.9615985998171</v>
      </c>
      <c r="C52">
        <f>(3/(1+('CurrentPor-All Factor Movements'!B52+'CurrentPor-All Factor Movements'!F52)/100)+103/POWER(1+('CurrentPor-All Factor Movements'!C52+'CurrentPor-All Factor Movements'!F52)/100,2))*100</f>
        <v>9545.6039675277098</v>
      </c>
      <c r="D52">
        <f>(3/(1+('CurrentPor-All Factor Movements'!B52+'CurrentPor-All Factor Movements'!G52)/100)+103/POWER(1+('CurrentPor-All Factor Movements'!C52+'CurrentPor-All Factor Movements'!G52)/100,2))*100</f>
        <v>9527.1009658509538</v>
      </c>
      <c r="E52">
        <f>(3/(1+('CurrentPor-All Factor Movements'!B52+'CurrentPor-All Factor Movements'!H52)/100)+103/POWER(1+('CurrentPor-All Factor Movements'!C52+'CurrentPor-All Factor Movements'!H52)/100,2))*100</f>
        <v>9509.2281053201641</v>
      </c>
      <c r="F52">
        <f>Portfolio!B$5*'CurrentPor-All Factor Movements'!D52</f>
        <v>53218.8131066653</v>
      </c>
      <c r="G52">
        <f>Portfolio!B$6*'CurrentPor-All Factor Movements'!E52</f>
        <v>3650.7951964224453</v>
      </c>
      <c r="H52">
        <f t="shared" si="2"/>
        <v>95080.502940386403</v>
      </c>
      <c r="I52">
        <f t="shared" si="1"/>
        <v>595.90895141901274</v>
      </c>
    </row>
    <row r="53" spans="1:9">
      <c r="A53" s="1">
        <v>39331</v>
      </c>
      <c r="B53">
        <f>(3/(1+('CurrentPor-All Factor Movements'!B53)/100)+103/POWER(1+('CurrentPor-All Factor Movements'!C53)/100,2))*100</f>
        <v>9648.0265790379381</v>
      </c>
      <c r="C53">
        <f>(3/(1+('CurrentPor-All Factor Movements'!B53+'CurrentPor-All Factor Movements'!F53)/100)+103/POWER(1+('CurrentPor-All Factor Movements'!C53+'CurrentPor-All Factor Movements'!F53)/100,2))*100</f>
        <v>9561.8019972833135</v>
      </c>
      <c r="D53">
        <f>(3/(1+('CurrentPor-All Factor Movements'!B53+'CurrentPor-All Factor Movements'!G53)/100)+103/POWER(1+('CurrentPor-All Factor Movements'!C53+'CurrentPor-All Factor Movements'!G53)/100,2))*100</f>
        <v>9532.4739276982709</v>
      </c>
      <c r="E53">
        <f>(3/(1+('CurrentPor-All Factor Movements'!B53+'CurrentPor-All Factor Movements'!H53)/100)+103/POWER(1+('CurrentPor-All Factor Movements'!C53+'CurrentPor-All Factor Movements'!H53)/100,2))*100</f>
        <v>9524.6433706193366</v>
      </c>
      <c r="F53">
        <f>Portfolio!B$5*'CurrentPor-All Factor Movements'!D53</f>
        <v>51731.164558544973</v>
      </c>
      <c r="G53">
        <f>Portfolio!B$6*'CurrentPor-All Factor Movements'!E53</f>
        <v>3743.1692692754505</v>
      </c>
      <c r="H53">
        <f t="shared" si="2"/>
        <v>93741.279702459273</v>
      </c>
      <c r="I53">
        <f t="shared" si="1"/>
        <v>1649.5673614011757</v>
      </c>
    </row>
    <row r="54" spans="1:9">
      <c r="A54" s="1">
        <v>39332</v>
      </c>
      <c r="B54">
        <f>(3/(1+('CurrentPor-All Factor Movements'!B54)/100)+103/POWER(1+('CurrentPor-All Factor Movements'!C54)/100,2))*100</f>
        <v>9751.5630569815294</v>
      </c>
      <c r="C54">
        <f>(3/(1+('CurrentPor-All Factor Movements'!B54+'CurrentPor-All Factor Movements'!F54)/100)+103/POWER(1+('CurrentPor-All Factor Movements'!C54+'CurrentPor-All Factor Movements'!F54)/100,2))*100</f>
        <v>9674.261797409381</v>
      </c>
      <c r="D54">
        <f>(3/(1+('CurrentPor-All Factor Movements'!B54+'CurrentPor-All Factor Movements'!G54)/100)+103/POWER(1+('CurrentPor-All Factor Movements'!C54+'CurrentPor-All Factor Movements'!G54)/100,2))*100</f>
        <v>9646.4561018526601</v>
      </c>
      <c r="E54">
        <f>(3/(1+('CurrentPor-All Factor Movements'!B54+'CurrentPor-All Factor Movements'!H54)/100)+103/POWER(1+('CurrentPor-All Factor Movements'!C54+'CurrentPor-All Factor Movements'!H54)/100,2))*100</f>
        <v>9609.7007786383565</v>
      </c>
      <c r="F54">
        <f>Portfolio!B$5*'CurrentPor-All Factor Movements'!D54</f>
        <v>49737.124106053947</v>
      </c>
      <c r="G54">
        <f>Portfolio!B$6*'CurrentPor-All Factor Movements'!E54</f>
        <v>3750.3844178929498</v>
      </c>
      <c r="H54">
        <f t="shared" si="2"/>
        <v>92169.49025882881</v>
      </c>
      <c r="I54">
        <f t="shared" si="1"/>
        <v>-2213.7736103118805</v>
      </c>
    </row>
    <row r="55" spans="1:9">
      <c r="A55" s="1">
        <v>39335</v>
      </c>
      <c r="B55">
        <f>(3/(1+('CurrentPor-All Factor Movements'!B55)/100)+103/POWER(1+('CurrentPor-All Factor Movements'!C55)/100,2))*100</f>
        <v>9597.4864079875042</v>
      </c>
      <c r="C55">
        <f>(3/(1+('CurrentPor-All Factor Movements'!B55+'CurrentPor-All Factor Movements'!F55)/100)+103/POWER(1+('CurrentPor-All Factor Movements'!C55+'CurrentPor-All Factor Movements'!F55)/100,2))*100</f>
        <v>9492.4379357897396</v>
      </c>
      <c r="D55">
        <f>(3/(1+('CurrentPor-All Factor Movements'!B55+'CurrentPor-All Factor Movements'!G55)/100)+103/POWER(1+('CurrentPor-All Factor Movements'!C55+'CurrentPor-All Factor Movements'!G55)/100,2))*100</f>
        <v>9472.5502711170848</v>
      </c>
      <c r="E55">
        <f>(3/(1+('CurrentPor-All Factor Movements'!B55+'CurrentPor-All Factor Movements'!H55)/100)+103/POWER(1+('CurrentPor-All Factor Movements'!C55+'CurrentPor-All Factor Movements'!H55)/100,2))*100</f>
        <v>9494.919251282472</v>
      </c>
      <c r="F55">
        <f>Portfolio!B$5*'CurrentPor-All Factor Movements'!D55</f>
        <v>52747.091092554547</v>
      </c>
      <c r="G55">
        <f>Portfolio!B$6*'CurrentPor-All Factor Movements'!E55</f>
        <v>3537.3299071793276</v>
      </c>
      <c r="H55">
        <f t="shared" si="2"/>
        <v>94341.814865910681</v>
      </c>
      <c r="I55">
        <f t="shared" si="1"/>
        <v>-1019.5904679197265</v>
      </c>
    </row>
    <row r="56" spans="1:9">
      <c r="A56" s="1">
        <v>39336</v>
      </c>
      <c r="B56">
        <f>(3/(1+('CurrentPor-All Factor Movements'!B56)/100)+103/POWER(1+('CurrentPor-All Factor Movements'!C56)/100,2))*100</f>
        <v>9684.4123317064659</v>
      </c>
      <c r="C56">
        <f>(3/(1+('CurrentPor-All Factor Movements'!B56+'CurrentPor-All Factor Movements'!F56)/100)+103/POWER(1+('CurrentPor-All Factor Movements'!C56+'CurrentPor-All Factor Movements'!F56)/100,2))*100</f>
        <v>9587.1736098102374</v>
      </c>
      <c r="D56">
        <f>(3/(1+('CurrentPor-All Factor Movements'!B56+'CurrentPor-All Factor Movements'!G56)/100)+103/POWER(1+('CurrentPor-All Factor Movements'!C56+'CurrentPor-All Factor Movements'!G56)/100,2))*100</f>
        <v>9575.3328025517185</v>
      </c>
      <c r="E56">
        <f>(3/(1+('CurrentPor-All Factor Movements'!B56+'CurrentPor-All Factor Movements'!H56)/100)+103/POWER(1+('CurrentPor-All Factor Movements'!C56+'CurrentPor-All Factor Movements'!H56)/100,2))*100</f>
        <v>9574.7425751475857</v>
      </c>
      <c r="F56">
        <f>Portfolio!B$5*'CurrentPor-All Factor Movements'!D56</f>
        <v>51334.508315746709</v>
      </c>
      <c r="G56">
        <f>Portfolio!B$6*'CurrentPor-All Factor Movements'!E56</f>
        <v>3520.4769721896937</v>
      </c>
      <c r="H56">
        <f t="shared" si="2"/>
        <v>93276.646607152405</v>
      </c>
      <c r="I56">
        <f t="shared" si="1"/>
        <v>-3626.3558469631098</v>
      </c>
    </row>
    <row r="57" spans="1:9">
      <c r="A57" s="1">
        <v>39337</v>
      </c>
      <c r="B57">
        <f>(3/(1+('CurrentPor-All Factor Movements'!B57)/100)+103/POWER(1+('CurrentPor-All Factor Movements'!C57)/100,2))*100</f>
        <v>9788.9799732120828</v>
      </c>
      <c r="C57">
        <f>(3/(1+('CurrentPor-All Factor Movements'!B57+'CurrentPor-All Factor Movements'!F57)/100)+103/POWER(1+('CurrentPor-All Factor Movements'!C57+'CurrentPor-All Factor Movements'!F57)/100,2))*100</f>
        <v>9699.0704858924964</v>
      </c>
      <c r="D57">
        <f>(3/(1+('CurrentPor-All Factor Movements'!B57+'CurrentPor-All Factor Movements'!G57)/100)+103/POWER(1+('CurrentPor-All Factor Movements'!C57+'CurrentPor-All Factor Movements'!G57)/100,2))*100</f>
        <v>9683.1379502956406</v>
      </c>
      <c r="E57">
        <f>(3/(1+('CurrentPor-All Factor Movements'!B57+'CurrentPor-All Factor Movements'!H57)/100)+103/POWER(1+('CurrentPor-All Factor Movements'!C57+'CurrentPor-All Factor Movements'!H57)/100,2))*100</f>
        <v>9678.7960713270149</v>
      </c>
      <c r="F57">
        <f>Portfolio!B$5*'CurrentPor-All Factor Movements'!D57</f>
        <v>52074.367749715973</v>
      </c>
      <c r="G57">
        <f>Portfolio!B$6*'CurrentPor-All Factor Movements'!E57</f>
        <v>3608.7773065868705</v>
      </c>
      <c r="H57">
        <f t="shared" si="2"/>
        <v>94533.12953703008</v>
      </c>
      <c r="I57">
        <f t="shared" si="1"/>
        <v>-1198.2346312341106</v>
      </c>
    </row>
    <row r="58" spans="1:9">
      <c r="A58" s="1">
        <v>39338</v>
      </c>
      <c r="B58">
        <f>(3/(1+('CurrentPor-All Factor Movements'!B58)/100)+103/POWER(1+('CurrentPor-All Factor Movements'!C58)/100,2))*100</f>
        <v>9875.2916790078889</v>
      </c>
      <c r="C58">
        <f>(3/(1+('CurrentPor-All Factor Movements'!B58+'CurrentPor-All Factor Movements'!F58)/100)+103/POWER(1+('CurrentPor-All Factor Movements'!C58+'CurrentPor-All Factor Movements'!F58)/100,2))*100</f>
        <v>9788.6956062931895</v>
      </c>
      <c r="D58">
        <f>(3/(1+('CurrentPor-All Factor Movements'!B58+'CurrentPor-All Factor Movements'!G58)/100)+103/POWER(1+('CurrentPor-All Factor Movements'!C58+'CurrentPor-All Factor Movements'!G58)/100,2))*100</f>
        <v>9770.2049896065128</v>
      </c>
      <c r="E58">
        <f>(3/(1+('CurrentPor-All Factor Movements'!B58+'CurrentPor-All Factor Movements'!H58)/100)+103/POWER(1+('CurrentPor-All Factor Movements'!C58+'CurrentPor-All Factor Movements'!H58)/100,2))*100</f>
        <v>9723.3297309339232</v>
      </c>
      <c r="F58">
        <f>Portfolio!B$5*'CurrentPor-All Factor Movements'!D58</f>
        <v>52313.096162455113</v>
      </c>
      <c r="G58">
        <f>Portfolio!B$6*'CurrentPor-All Factor Movements'!E58</f>
        <v>3500.7736653853563</v>
      </c>
      <c r="H58">
        <f t="shared" si="2"/>
        <v>94971.391833681977</v>
      </c>
      <c r="I58">
        <f t="shared" si="1"/>
        <v>-963.66364168755536</v>
      </c>
    </row>
    <row r="59" spans="1:9">
      <c r="A59" s="1">
        <v>39339</v>
      </c>
      <c r="B59">
        <f>(3/(1+('CurrentPor-All Factor Movements'!B59)/100)+103/POWER(1+('CurrentPor-All Factor Movements'!C59)/100,2))*100</f>
        <v>9733.4782274027875</v>
      </c>
      <c r="C59">
        <f>(3/(1+('CurrentPor-All Factor Movements'!B59+'CurrentPor-All Factor Movements'!F59)/100)+103/POWER(1+('CurrentPor-All Factor Movements'!C59+'CurrentPor-All Factor Movements'!F59)/100,2))*100</f>
        <v>9643.2966014003086</v>
      </c>
      <c r="D59">
        <f>(3/(1+('CurrentPor-All Factor Movements'!B59+'CurrentPor-All Factor Movements'!G59)/100)+103/POWER(1+('CurrentPor-All Factor Movements'!C59+'CurrentPor-All Factor Movements'!G59)/100,2))*100</f>
        <v>9623.7749600057523</v>
      </c>
      <c r="E59">
        <f>(3/(1+('CurrentPor-All Factor Movements'!B59+'CurrentPor-All Factor Movements'!H59)/100)+103/POWER(1+('CurrentPor-All Factor Movements'!C59+'CurrentPor-All Factor Movements'!H59)/100,2))*100</f>
        <v>9607.8896674983625</v>
      </c>
      <c r="F59">
        <f>Portfolio!B$5*'CurrentPor-All Factor Movements'!D59</f>
        <v>52731.384931180706</v>
      </c>
      <c r="G59">
        <f>Portfolio!B$6*'CurrentPor-All Factor Movements'!E59</f>
        <v>3650.7903824806967</v>
      </c>
      <c r="H59">
        <f t="shared" si="2"/>
        <v>94990.614769968626</v>
      </c>
      <c r="I59">
        <f t="shared" si="1"/>
        <v>1017.3336243920203</v>
      </c>
    </row>
    <row r="60" spans="1:9">
      <c r="A60" s="1">
        <v>39342</v>
      </c>
      <c r="B60">
        <f>(3/(1+('CurrentPor-All Factor Movements'!B60)/100)+103/POWER(1+('CurrentPor-All Factor Movements'!C60)/100,2))*100</f>
        <v>9845.9078177288211</v>
      </c>
      <c r="C60">
        <f>(3/(1+('CurrentPor-All Factor Movements'!B60+'CurrentPor-All Factor Movements'!F60)/100)+103/POWER(1+('CurrentPor-All Factor Movements'!C60+'CurrentPor-All Factor Movements'!F60)/100,2))*100</f>
        <v>9746.196916592191</v>
      </c>
      <c r="D60">
        <f>(3/(1+('CurrentPor-All Factor Movements'!B60+'CurrentPor-All Factor Movements'!G60)/100)+103/POWER(1+('CurrentPor-All Factor Movements'!C60+'CurrentPor-All Factor Movements'!G60)/100,2))*100</f>
        <v>9744.7518108213444</v>
      </c>
      <c r="E60">
        <f>(3/(1+('CurrentPor-All Factor Movements'!B60+'CurrentPor-All Factor Movements'!H60)/100)+103/POWER(1+('CurrentPor-All Factor Movements'!C60+'CurrentPor-All Factor Movements'!H60)/100,2))*100</f>
        <v>9701.691544008987</v>
      </c>
      <c r="F60">
        <f>Portfolio!B$5*'CurrentPor-All Factor Movements'!D60</f>
        <v>51296.135942059118</v>
      </c>
      <c r="G60">
        <f>Portfolio!B$6*'CurrentPor-All Factor Movements'!E60</f>
        <v>3467.4962341486889</v>
      </c>
      <c r="H60">
        <f t="shared" si="2"/>
        <v>93802.180265359144</v>
      </c>
      <c r="I60">
        <f t="shared" si="1"/>
        <v>591.35167155535601</v>
      </c>
    </row>
    <row r="61" spans="1:9">
      <c r="A61" s="1">
        <v>39343</v>
      </c>
      <c r="B61">
        <f>(3/(1+('CurrentPor-All Factor Movements'!B61)/100)+103/POWER(1+('CurrentPor-All Factor Movements'!C61)/100,2))*100</f>
        <v>9740.5426299058909</v>
      </c>
      <c r="C61">
        <f>(3/(1+('CurrentPor-All Factor Movements'!B61+'CurrentPor-All Factor Movements'!F61)/100)+103/POWER(1+('CurrentPor-All Factor Movements'!C61+'CurrentPor-All Factor Movements'!F61)/100,2))*100</f>
        <v>9637.4122896596673</v>
      </c>
      <c r="D61">
        <f>(3/(1+('CurrentPor-All Factor Movements'!B61+'CurrentPor-All Factor Movements'!G61)/100)+103/POWER(1+('CurrentPor-All Factor Movements'!C61+'CurrentPor-All Factor Movements'!G61)/100,2))*100</f>
        <v>9630.2578930620948</v>
      </c>
      <c r="E61">
        <f>(3/(1+('CurrentPor-All Factor Movements'!B61+'CurrentPor-All Factor Movements'!H61)/100)+103/POWER(1+('CurrentPor-All Factor Movements'!C61+'CurrentPor-All Factor Movements'!H61)/100,2))*100</f>
        <v>9625.1248345794884</v>
      </c>
      <c r="F61">
        <f>Portfolio!B$5*'CurrentPor-All Factor Movements'!D61</f>
        <v>52315.118662818793</v>
      </c>
      <c r="G61">
        <f>Portfolio!B$6*'CurrentPor-All Factor Movements'!E61</f>
        <v>3686.9108188255859</v>
      </c>
      <c r="H61">
        <f t="shared" si="2"/>
        <v>94635.367128851532</v>
      </c>
      <c r="I61">
        <f t="shared" si="1"/>
        <v>-50.694174647884211</v>
      </c>
    </row>
    <row r="62" spans="1:9">
      <c r="A62" s="1">
        <v>39344</v>
      </c>
      <c r="B62">
        <f>(3/(1+('CurrentPor-All Factor Movements'!B62)/100)+103/POWER(1+('CurrentPor-All Factor Movements'!C62)/100,2))*100</f>
        <v>9778.9989068509803</v>
      </c>
      <c r="C62">
        <f>(3/(1+('CurrentPor-All Factor Movements'!B62+'CurrentPor-All Factor Movements'!F62)/100)+103/POWER(1+('CurrentPor-All Factor Movements'!C62+'CurrentPor-All Factor Movements'!F62)/100,2))*100</f>
        <v>9682.5305742281707</v>
      </c>
      <c r="D62">
        <f>(3/(1+('CurrentPor-All Factor Movements'!B62+'CurrentPor-All Factor Movements'!G62)/100)+103/POWER(1+('CurrentPor-All Factor Movements'!C62+'CurrentPor-All Factor Movements'!G62)/100,2))*100</f>
        <v>9679.4703431871021</v>
      </c>
      <c r="E62">
        <f>(3/(1+('CurrentPor-All Factor Movements'!B62+'CurrentPor-All Factor Movements'!H62)/100)+103/POWER(1+('CurrentPor-All Factor Movements'!C62+'CurrentPor-All Factor Movements'!H62)/100,2))*100</f>
        <v>9660.9594504813977</v>
      </c>
      <c r="F62">
        <f>Portfolio!B$5*'CurrentPor-All Factor Movements'!D62</f>
        <v>53788.559293176935</v>
      </c>
      <c r="G62">
        <f>Portfolio!B$6*'CurrentPor-All Factor Movements'!E62</f>
        <v>3746.2433338710198</v>
      </c>
      <c r="H62">
        <f t="shared" si="2"/>
        <v>96336.761901795617</v>
      </c>
      <c r="I62">
        <f t="shared" si="1"/>
        <v>1256.258961409214</v>
      </c>
    </row>
    <row r="63" spans="1:9">
      <c r="A63" s="1">
        <v>39345</v>
      </c>
      <c r="B63">
        <f>(3/(1+('CurrentPor-All Factor Movements'!B63)/100)+103/POWER(1+('CurrentPor-All Factor Movements'!C63)/100,2))*100</f>
        <v>9606.5861677854518</v>
      </c>
      <c r="C63">
        <f>(3/(1+('CurrentPor-All Factor Movements'!B63+'CurrentPor-All Factor Movements'!F63)/100)+103/POWER(1+('CurrentPor-All Factor Movements'!C63+'CurrentPor-All Factor Movements'!F63)/100,2))*100</f>
        <v>9509.831401446676</v>
      </c>
      <c r="D63">
        <f>(3/(1+('CurrentPor-All Factor Movements'!B63+'CurrentPor-All Factor Movements'!G63)/100)+103/POWER(1+('CurrentPor-All Factor Movements'!C63+'CurrentPor-All Factor Movements'!G63)/100,2))*100</f>
        <v>9508.2312462178324</v>
      </c>
      <c r="E63">
        <f>(3/(1+('CurrentPor-All Factor Movements'!B63+'CurrentPor-All Factor Movements'!H63)/100)+103/POWER(1+('CurrentPor-All Factor Movements'!C63+'CurrentPor-All Factor Movements'!H63)/100,2))*100</f>
        <v>9496.3807242844177</v>
      </c>
      <c r="F63">
        <f>Portfolio!B$5*'CurrentPor-All Factor Movements'!D63</f>
        <v>53224.727065476851</v>
      </c>
      <c r="G63">
        <f>Portfolio!B$6*'CurrentPor-All Factor Movements'!E63</f>
        <v>3436.9551203292217</v>
      </c>
      <c r="H63">
        <f t="shared" si="2"/>
        <v>94782.711725540459</v>
      </c>
      <c r="I63">
        <f t="shared" si="1"/>
        <v>1041.4320230811863</v>
      </c>
    </row>
    <row r="64" spans="1:9">
      <c r="A64" s="1">
        <v>39346</v>
      </c>
      <c r="B64">
        <f>(3/(1+('CurrentPor-All Factor Movements'!B64)/100)+103/POWER(1+('CurrentPor-All Factor Movements'!C64)/100,2))*100</f>
        <v>9651.6680739872027</v>
      </c>
      <c r="C64">
        <f>(3/(1+('CurrentPor-All Factor Movements'!B64+'CurrentPor-All Factor Movements'!F64)/100)+103/POWER(1+('CurrentPor-All Factor Movements'!C64+'CurrentPor-All Factor Movements'!F64)/100,2))*100</f>
        <v>9541.5568695541624</v>
      </c>
      <c r="D64">
        <f>(3/(1+('CurrentPor-All Factor Movements'!B64+'CurrentPor-All Factor Movements'!G64)/100)+103/POWER(1+('CurrentPor-All Factor Movements'!C64+'CurrentPor-All Factor Movements'!G64)/100,2))*100</f>
        <v>9551.4334267806389</v>
      </c>
      <c r="E64">
        <f>(3/(1+('CurrentPor-All Factor Movements'!B64+'CurrentPor-All Factor Movements'!H64)/100)+103/POWER(1+('CurrentPor-All Factor Movements'!C64+'CurrentPor-All Factor Movements'!H64)/100,2))*100</f>
        <v>9523.4914260572114</v>
      </c>
      <c r="F64">
        <f>Portfolio!B$5*'CurrentPor-All Factor Movements'!D64</f>
        <v>52204.348060472548</v>
      </c>
      <c r="G64">
        <f>Portfolio!B$6*'CurrentPor-All Factor Movements'!E64</f>
        <v>3605.6053697585789</v>
      </c>
      <c r="H64">
        <f t="shared" si="2"/>
        <v>94078.103226610328</v>
      </c>
      <c r="I64">
        <f t="shared" si="1"/>
        <v>1908.6129677815188</v>
      </c>
    </row>
    <row r="65" spans="1:9">
      <c r="A65" s="1">
        <v>39349</v>
      </c>
      <c r="B65">
        <f>(3/(1+('CurrentPor-All Factor Movements'!B65)/100)+103/POWER(1+('CurrentPor-All Factor Movements'!C65)/100,2))*100</f>
        <v>9731.1373935191041</v>
      </c>
      <c r="C65">
        <f>(3/(1+('CurrentPor-All Factor Movements'!B65+'CurrentPor-All Factor Movements'!F65)/100)+103/POWER(1+('CurrentPor-All Factor Movements'!C65+'CurrentPor-All Factor Movements'!F65)/100,2))*100</f>
        <v>9647.1605756828885</v>
      </c>
      <c r="D65">
        <f>(3/(1+('CurrentPor-All Factor Movements'!B65+'CurrentPor-All Factor Movements'!G65)/100)+103/POWER(1+('CurrentPor-All Factor Movements'!C65+'CurrentPor-All Factor Movements'!G65)/100,2))*100</f>
        <v>9624.3030884741329</v>
      </c>
      <c r="E65">
        <f>(3/(1+('CurrentPor-All Factor Movements'!B65+'CurrentPor-All Factor Movements'!H65)/100)+103/POWER(1+('CurrentPor-All Factor Movements'!C65+'CurrentPor-All Factor Movements'!H65)/100,2))*100</f>
        <v>9597.3491987073521</v>
      </c>
      <c r="F65">
        <f>Portfolio!B$5*'CurrentPor-All Factor Movements'!D65</f>
        <v>52009.199299431813</v>
      </c>
      <c r="G65">
        <f>Portfolio!B$6*'CurrentPor-All Factor Movements'!E65</f>
        <v>3654.2902715825276</v>
      </c>
      <c r="H65">
        <f t="shared" si="2"/>
        <v>94263.43982739783</v>
      </c>
      <c r="I65">
        <f t="shared" si="1"/>
        <v>-78.375038512851461</v>
      </c>
    </row>
    <row r="66" spans="1:9">
      <c r="A66" s="1">
        <v>39350</v>
      </c>
      <c r="B66">
        <f>(3/(1+('CurrentPor-All Factor Movements'!B66)/100)+103/POWER(1+('CurrentPor-All Factor Movements'!C66)/100,2))*100</f>
        <v>9807.802171831785</v>
      </c>
      <c r="C66">
        <f>(3/(1+('CurrentPor-All Factor Movements'!B66+'CurrentPor-All Factor Movements'!F66)/100)+103/POWER(1+('CurrentPor-All Factor Movements'!C66+'CurrentPor-All Factor Movements'!F66)/100,2))*100</f>
        <v>9708.9662117482058</v>
      </c>
      <c r="D66">
        <f>(3/(1+('CurrentPor-All Factor Movements'!B66+'CurrentPor-All Factor Movements'!G66)/100)+103/POWER(1+('CurrentPor-All Factor Movements'!C66+'CurrentPor-All Factor Movements'!G66)/100,2))*100</f>
        <v>9703.6058951018185</v>
      </c>
      <c r="E66">
        <f>(3/(1+('CurrentPor-All Factor Movements'!B66+'CurrentPor-All Factor Movements'!H66)/100)+103/POWER(1+('CurrentPor-All Factor Movements'!C66+'CurrentPor-All Factor Movements'!H66)/100,2))*100</f>
        <v>9659.0615302443784</v>
      </c>
      <c r="F66">
        <f>Portfolio!B$5*'CurrentPor-All Factor Movements'!D66</f>
        <v>54012.883892343249</v>
      </c>
      <c r="G66">
        <f>Portfolio!B$6*'CurrentPor-All Factor Movements'!E66</f>
        <v>3163.9460356579984</v>
      </c>
      <c r="H66">
        <f t="shared" si="2"/>
        <v>96056.265736927438</v>
      </c>
      <c r="I66">
        <f t="shared" si="1"/>
        <v>2779.6191297750338</v>
      </c>
    </row>
    <row r="67" spans="1:9">
      <c r="A67" s="1">
        <v>39351</v>
      </c>
      <c r="B67">
        <f>(3/(1+('CurrentPor-All Factor Movements'!B67)/100)+103/POWER(1+('CurrentPor-All Factor Movements'!C67)/100,2))*100</f>
        <v>9770.370094009073</v>
      </c>
      <c r="C67">
        <f>(3/(1+('CurrentPor-All Factor Movements'!B67+'CurrentPor-All Factor Movements'!F67)/100)+103/POWER(1+('CurrentPor-All Factor Movements'!C67+'CurrentPor-All Factor Movements'!F67)/100,2))*100</f>
        <v>9690.8093155526531</v>
      </c>
      <c r="D67">
        <f>(3/(1+('CurrentPor-All Factor Movements'!B67+'CurrentPor-All Factor Movements'!G67)/100)+103/POWER(1+('CurrentPor-All Factor Movements'!C67+'CurrentPor-All Factor Movements'!G67)/100,2))*100</f>
        <v>9649.994569049888</v>
      </c>
      <c r="E67">
        <f>(3/(1+('CurrentPor-All Factor Movements'!B67+'CurrentPor-All Factor Movements'!H67)/100)+103/POWER(1+('CurrentPor-All Factor Movements'!C67+'CurrentPor-All Factor Movements'!H67)/100,2))*100</f>
        <v>9645.1300755771554</v>
      </c>
      <c r="F67">
        <f>Portfolio!B$5*'CurrentPor-All Factor Movements'!D67</f>
        <v>53626.648933581433</v>
      </c>
      <c r="G67">
        <f>Portfolio!B$6*'CurrentPor-All Factor Movements'!E67</f>
        <v>3797.7390000372034</v>
      </c>
      <c r="H67">
        <f t="shared" ref="H67:H98" si="3">SUM(B67:G67)</f>
        <v>96180.691987807397</v>
      </c>
      <c r="I67">
        <f t="shared" si="1"/>
        <v>1647.5624507773173</v>
      </c>
    </row>
    <row r="68" spans="1:9">
      <c r="A68" s="1">
        <v>39352</v>
      </c>
      <c r="B68">
        <f>(3/(1+('CurrentPor-All Factor Movements'!B68)/100)+103/POWER(1+('CurrentPor-All Factor Movements'!C68)/100,2))*100</f>
        <v>9794.6883757805535</v>
      </c>
      <c r="C68">
        <f>(3/(1+('CurrentPor-All Factor Movements'!B68+'CurrentPor-All Factor Movements'!F68)/100)+103/POWER(1+('CurrentPor-All Factor Movements'!C68+'CurrentPor-All Factor Movements'!F68)/100,2))*100</f>
        <v>9698.3291484118745</v>
      </c>
      <c r="D68">
        <f>(3/(1+('CurrentPor-All Factor Movements'!B68+'CurrentPor-All Factor Movements'!G68)/100)+103/POWER(1+('CurrentPor-All Factor Movements'!C68+'CurrentPor-All Factor Movements'!G68)/100,2))*100</f>
        <v>9690.6965774103555</v>
      </c>
      <c r="E68">
        <f>(3/(1+('CurrentPor-All Factor Movements'!B68+'CurrentPor-All Factor Movements'!H68)/100)+103/POWER(1+('CurrentPor-All Factor Movements'!C68+'CurrentPor-All Factor Movements'!H68)/100,2))*100</f>
        <v>9660.9044998022491</v>
      </c>
      <c r="F68">
        <f>Portfolio!B$5*'CurrentPor-All Factor Movements'!D68</f>
        <v>51809.408162026884</v>
      </c>
      <c r="G68">
        <f>Portfolio!B$6*'CurrentPor-All Factor Movements'!E68</f>
        <v>3887.1389157128233</v>
      </c>
      <c r="H68">
        <f t="shared" si="3"/>
        <v>94541.165679144746</v>
      </c>
      <c r="I68">
        <f t="shared" si="1"/>
        <v>-430.2261545372312</v>
      </c>
    </row>
    <row r="69" spans="1:9">
      <c r="A69" s="1">
        <v>39353</v>
      </c>
      <c r="B69">
        <f>(3/(1+('CurrentPor-All Factor Movements'!B69)/100)+103/POWER(1+('CurrentPor-All Factor Movements'!C69)/100,2))*100</f>
        <v>9728.7061965681442</v>
      </c>
      <c r="C69">
        <f>(3/(1+('CurrentPor-All Factor Movements'!B69+'CurrentPor-All Factor Movements'!F69)/100)+103/POWER(1+('CurrentPor-All Factor Movements'!C69+'CurrentPor-All Factor Movements'!F69)/100,2))*100</f>
        <v>9642.38163565578</v>
      </c>
      <c r="D69">
        <f>(3/(1+('CurrentPor-All Factor Movements'!B69+'CurrentPor-All Factor Movements'!G69)/100)+103/POWER(1+('CurrentPor-All Factor Movements'!C69+'CurrentPor-All Factor Movements'!G69)/100,2))*100</f>
        <v>9614.4706084465161</v>
      </c>
      <c r="E69">
        <f>(3/(1+('CurrentPor-All Factor Movements'!B69+'CurrentPor-All Factor Movements'!H69)/100)+103/POWER(1+('CurrentPor-All Factor Movements'!C69+'CurrentPor-All Factor Movements'!H69)/100,2))*100</f>
        <v>9589.2206549948278</v>
      </c>
      <c r="F69">
        <f>Portfolio!B$5*'CurrentPor-All Factor Movements'!D69</f>
        <v>52106.811410363938</v>
      </c>
      <c r="G69">
        <f>Portfolio!B$6*'CurrentPor-All Factor Movements'!E69</f>
        <v>3817.7538871691117</v>
      </c>
      <c r="H69">
        <f t="shared" si="3"/>
        <v>94499.344393198306</v>
      </c>
      <c r="I69">
        <f t="shared" si="1"/>
        <v>-491.27037677032058</v>
      </c>
    </row>
    <row r="70" spans="1:9">
      <c r="A70" s="1">
        <v>39356</v>
      </c>
      <c r="B70">
        <f>(3/(1+('CurrentPor-All Factor Movements'!B70)/100)+103/POWER(1+('CurrentPor-All Factor Movements'!C70)/100,2))*100</f>
        <v>9749.0797757280852</v>
      </c>
      <c r="C70">
        <f>(3/(1+('CurrentPor-All Factor Movements'!B70+'CurrentPor-All Factor Movements'!F70)/100)+103/POWER(1+('CurrentPor-All Factor Movements'!C70+'CurrentPor-All Factor Movements'!F70)/100,2))*100</f>
        <v>9666.2456473765396</v>
      </c>
      <c r="D70">
        <f>(3/(1+('CurrentPor-All Factor Movements'!B70+'CurrentPor-All Factor Movements'!G70)/100)+103/POWER(1+('CurrentPor-All Factor Movements'!C70+'CurrentPor-All Factor Movements'!G70)/100,2))*100</f>
        <v>9629.1190206547726</v>
      </c>
      <c r="E70">
        <f>(3/(1+('CurrentPor-All Factor Movements'!B70+'CurrentPor-All Factor Movements'!H70)/100)+103/POWER(1+('CurrentPor-All Factor Movements'!C70+'CurrentPor-All Factor Movements'!H70)/100,2))*100</f>
        <v>9621.2046557819231</v>
      </c>
      <c r="F70">
        <f>Portfolio!B$5*'CurrentPor-All Factor Movements'!D70</f>
        <v>51963.760474574097</v>
      </c>
      <c r="G70">
        <f>Portfolio!B$6*'CurrentPor-All Factor Movements'!E70</f>
        <v>3661.9308886075032</v>
      </c>
      <c r="H70">
        <f t="shared" si="3"/>
        <v>94291.340462722917</v>
      </c>
      <c r="I70">
        <f t="shared" si="1"/>
        <v>489.16019736377348</v>
      </c>
    </row>
    <row r="71" spans="1:9">
      <c r="A71" s="1">
        <v>39357</v>
      </c>
      <c r="B71">
        <f>(3/(1+('CurrentPor-All Factor Movements'!B71)/100)+103/POWER(1+('CurrentPor-All Factor Movements'!C71)/100,2))*100</f>
        <v>9769.6942291587184</v>
      </c>
      <c r="C71">
        <f>(3/(1+('CurrentPor-All Factor Movements'!B71+'CurrentPor-All Factor Movements'!F71)/100)+103/POWER(1+('CurrentPor-All Factor Movements'!C71+'CurrentPor-All Factor Movements'!F71)/100,2))*100</f>
        <v>9677.9157944353483</v>
      </c>
      <c r="D71">
        <f>(3/(1+('CurrentPor-All Factor Movements'!B71+'CurrentPor-All Factor Movements'!G71)/100)+103/POWER(1+('CurrentPor-All Factor Movements'!C71+'CurrentPor-All Factor Movements'!G71)/100,2))*100</f>
        <v>9644.2211778126621</v>
      </c>
      <c r="E71">
        <f>(3/(1+('CurrentPor-All Factor Movements'!B71+'CurrentPor-All Factor Movements'!H71)/100)+103/POWER(1+('CurrentPor-All Factor Movements'!C71+'CurrentPor-All Factor Movements'!H71)/100,2))*100</f>
        <v>9642.3525548945418</v>
      </c>
      <c r="F71">
        <f>Portfolio!B$5*'CurrentPor-All Factor Movements'!D71</f>
        <v>50517.360342139174</v>
      </c>
      <c r="G71">
        <f>Portfolio!B$6*'CurrentPor-All Factor Movements'!E71</f>
        <v>3421.4608536746646</v>
      </c>
      <c r="H71">
        <f t="shared" si="3"/>
        <v>92673.004952115109</v>
      </c>
      <c r="I71">
        <f t="shared" si="1"/>
        <v>-1962.3621767364239</v>
      </c>
    </row>
    <row r="72" spans="1:9">
      <c r="A72" s="1">
        <v>39358</v>
      </c>
      <c r="B72">
        <f>(3/(1+('CurrentPor-All Factor Movements'!B72)/100)+103/POWER(1+('CurrentPor-All Factor Movements'!C72)/100,2))*100</f>
        <v>9798.6280219382825</v>
      </c>
      <c r="C72">
        <f>(3/(1+('CurrentPor-All Factor Movements'!B72+'CurrentPor-All Factor Movements'!F72)/100)+103/POWER(1+('CurrentPor-All Factor Movements'!C72+'CurrentPor-All Factor Movements'!F72)/100,2))*100</f>
        <v>9709.9483203244399</v>
      </c>
      <c r="D72">
        <f>(3/(1+('CurrentPor-All Factor Movements'!B72+'CurrentPor-All Factor Movements'!G72)/100)+103/POWER(1+('CurrentPor-All Factor Movements'!C72+'CurrentPor-All Factor Movements'!G72)/100,2))*100</f>
        <v>9693.4300045602376</v>
      </c>
      <c r="E72">
        <f>(3/(1+('CurrentPor-All Factor Movements'!B72+'CurrentPor-All Factor Movements'!H72)/100)+103/POWER(1+('CurrentPor-All Factor Movements'!C72+'CurrentPor-All Factor Movements'!H72)/100,2))*100</f>
        <v>9665.3964577009992</v>
      </c>
      <c r="F72">
        <f>Portfolio!B$5*'CurrentPor-All Factor Movements'!D72</f>
        <v>50772.189019385485</v>
      </c>
      <c r="G72">
        <f>Portfolio!B$6*'CurrentPor-All Factor Movements'!E72</f>
        <v>3522.3102431270368</v>
      </c>
      <c r="H72">
        <f t="shared" si="3"/>
        <v>93161.90206703647</v>
      </c>
      <c r="I72">
        <f t="shared" si="1"/>
        <v>-3174.8598347591469</v>
      </c>
    </row>
    <row r="73" spans="1:9">
      <c r="A73" s="1">
        <v>39359</v>
      </c>
      <c r="B73">
        <f>(3/(1+('CurrentPor-All Factor Movements'!B73)/100)+103/POWER(1+('CurrentPor-All Factor Movements'!C73)/100,2))*100</f>
        <v>9893.3271178072482</v>
      </c>
      <c r="C73">
        <f>(3/(1+('CurrentPor-All Factor Movements'!B73+'CurrentPor-All Factor Movements'!F73)/100)+103/POWER(1+('CurrentPor-All Factor Movements'!C73+'CurrentPor-All Factor Movements'!F73)/100,2))*100</f>
        <v>9816.3912519426085</v>
      </c>
      <c r="D73">
        <f>(3/(1+('CurrentPor-All Factor Movements'!B73+'CurrentPor-All Factor Movements'!G73)/100)+103/POWER(1+('CurrentPor-All Factor Movements'!C73+'CurrentPor-All Factor Movements'!G73)/100,2))*100</f>
        <v>9781.4334531300392</v>
      </c>
      <c r="E73">
        <f>(3/(1+('CurrentPor-All Factor Movements'!B73+'CurrentPor-All Factor Movements'!H73)/100)+103/POWER(1+('CurrentPor-All Factor Movements'!C73+'CurrentPor-All Factor Movements'!H73)/100,2))*100</f>
        <v>9787.2072163706525</v>
      </c>
      <c r="F73">
        <f>Portfolio!B$5*'CurrentPor-All Factor Movements'!D73</f>
        <v>51731.698614699562</v>
      </c>
      <c r="G73">
        <f>Portfolio!B$6*'CurrentPor-All Factor Movements'!E73</f>
        <v>3602.618245714204</v>
      </c>
      <c r="H73">
        <f t="shared" si="3"/>
        <v>94612.675899664318</v>
      </c>
      <c r="I73">
        <f t="shared" si="1"/>
        <v>-170.03582587614073</v>
      </c>
    </row>
    <row r="74" spans="1:9">
      <c r="A74" s="1">
        <v>39360</v>
      </c>
      <c r="B74">
        <f>(3/(1+('CurrentPor-All Factor Movements'!B74)/100)+103/POWER(1+('CurrentPor-All Factor Movements'!C74)/100,2))*100</f>
        <v>9687.0375487597939</v>
      </c>
      <c r="C74">
        <f>(3/(1+('CurrentPor-All Factor Movements'!B74+'CurrentPor-All Factor Movements'!F74)/100)+103/POWER(1+('CurrentPor-All Factor Movements'!C74+'CurrentPor-All Factor Movements'!F74)/100,2))*100</f>
        <v>9588.161727855826</v>
      </c>
      <c r="D74">
        <f>(3/(1+('CurrentPor-All Factor Movements'!B74+'CurrentPor-All Factor Movements'!G74)/100)+103/POWER(1+('CurrentPor-All Factor Movements'!C74+'CurrentPor-All Factor Movements'!G74)/100,2))*100</f>
        <v>9601.6693273331748</v>
      </c>
      <c r="E74">
        <f>(3/(1+('CurrentPor-All Factor Movements'!B74+'CurrentPor-All Factor Movements'!H74)/100)+103/POWER(1+('CurrentPor-All Factor Movements'!C74+'CurrentPor-All Factor Movements'!H74)/100,2))*100</f>
        <v>9567.9694490825932</v>
      </c>
      <c r="F74">
        <f>Portfolio!B$5*'CurrentPor-All Factor Movements'!D74</f>
        <v>52543.073217534256</v>
      </c>
      <c r="G74">
        <f>Portfolio!B$6*'CurrentPor-All Factor Movements'!E74</f>
        <v>3723.4504262236492</v>
      </c>
      <c r="H74">
        <f t="shared" si="3"/>
        <v>94711.361696789289</v>
      </c>
      <c r="I74">
        <f t="shared" si="1"/>
        <v>633.25847017896012</v>
      </c>
    </row>
    <row r="75" spans="1:9">
      <c r="A75" s="1">
        <v>39363</v>
      </c>
      <c r="B75">
        <f>(3/(1+('CurrentPor-All Factor Movements'!B75)/100)+103/POWER(1+('CurrentPor-All Factor Movements'!C75)/100,2))*100</f>
        <v>9601.3427031633873</v>
      </c>
      <c r="C75">
        <f>(3/(1+('CurrentPor-All Factor Movements'!B75+'CurrentPor-All Factor Movements'!F75)/100)+103/POWER(1+('CurrentPor-All Factor Movements'!C75+'CurrentPor-All Factor Movements'!F75)/100,2))*100</f>
        <v>9513.1816150353388</v>
      </c>
      <c r="D75">
        <f>(3/(1+('CurrentPor-All Factor Movements'!B75+'CurrentPor-All Factor Movements'!G75)/100)+103/POWER(1+('CurrentPor-All Factor Movements'!C75+'CurrentPor-All Factor Movements'!G75)/100,2))*100</f>
        <v>9488.5608935034561</v>
      </c>
      <c r="E75">
        <f>(3/(1+('CurrentPor-All Factor Movements'!B75+'CurrentPor-All Factor Movements'!H75)/100)+103/POWER(1+('CurrentPor-All Factor Movements'!C75+'CurrentPor-All Factor Movements'!H75)/100,2))*100</f>
        <v>9471.1652169992212</v>
      </c>
      <c r="F75">
        <f>Portfolio!B$5*'CurrentPor-All Factor Movements'!D75</f>
        <v>53058.644878684325</v>
      </c>
      <c r="G75">
        <f>Portfolio!B$6*'CurrentPor-All Factor Movements'!E75</f>
        <v>3859.3047701854489</v>
      </c>
      <c r="H75">
        <f t="shared" si="3"/>
        <v>94992.200077571179</v>
      </c>
      <c r="I75">
        <f t="shared" si="1"/>
        <v>728.76025017334905</v>
      </c>
    </row>
    <row r="76" spans="1:9">
      <c r="A76" s="1">
        <v>39364</v>
      </c>
      <c r="B76">
        <f>(3/(1+('CurrentPor-All Factor Movements'!B76)/100)+103/POWER(1+('CurrentPor-All Factor Movements'!C76)/100,2))*100</f>
        <v>9670.9889539186406</v>
      </c>
      <c r="C76">
        <f>(3/(1+('CurrentPor-All Factor Movements'!B76+'CurrentPor-All Factor Movements'!F76)/100)+103/POWER(1+('CurrentPor-All Factor Movements'!C76+'CurrentPor-All Factor Movements'!F76)/100,2))*100</f>
        <v>9573.2707122032898</v>
      </c>
      <c r="D76">
        <f>(3/(1+('CurrentPor-All Factor Movements'!B76+'CurrentPor-All Factor Movements'!G76)/100)+103/POWER(1+('CurrentPor-All Factor Movements'!C76+'CurrentPor-All Factor Movements'!G76)/100,2))*100</f>
        <v>9581.3460553978457</v>
      </c>
      <c r="E76">
        <f>(3/(1+('CurrentPor-All Factor Movements'!B76+'CurrentPor-All Factor Movements'!H76)/100)+103/POWER(1+('CurrentPor-All Factor Movements'!C76+'CurrentPor-All Factor Movements'!H76)/100,2))*100</f>
        <v>9563.9689059863358</v>
      </c>
      <c r="F76">
        <f>Portfolio!B$5*'CurrentPor-All Factor Movements'!D76</f>
        <v>52684.773178507246</v>
      </c>
      <c r="G76">
        <f>Portfolio!B$6*'CurrentPor-All Factor Movements'!E76</f>
        <v>3440.9934910960269</v>
      </c>
      <c r="H76">
        <f t="shared" si="3"/>
        <v>94515.341297109393</v>
      </c>
      <c r="I76">
        <f t="shared" si="1"/>
        <v>-1540.9244398180454</v>
      </c>
    </row>
    <row r="77" spans="1:9">
      <c r="A77" s="1">
        <v>39365</v>
      </c>
      <c r="B77">
        <f>(3/(1+('CurrentPor-All Factor Movements'!B77)/100)+103/POWER(1+('CurrentPor-All Factor Movements'!C77)/100,2))*100</f>
        <v>9781.4675659034601</v>
      </c>
      <c r="C77">
        <f>(3/(1+('CurrentPor-All Factor Movements'!B77+'CurrentPor-All Factor Movements'!F77)/100)+103/POWER(1+('CurrentPor-All Factor Movements'!C77+'CurrentPor-All Factor Movements'!F77)/100,2))*100</f>
        <v>9682.7810001365269</v>
      </c>
      <c r="D77">
        <f>(3/(1+('CurrentPor-All Factor Movements'!B77+'CurrentPor-All Factor Movements'!G77)/100)+103/POWER(1+('CurrentPor-All Factor Movements'!C77+'CurrentPor-All Factor Movements'!G77)/100,2))*100</f>
        <v>9670.2001198372127</v>
      </c>
      <c r="E77">
        <f>(3/(1+('CurrentPor-All Factor Movements'!B77+'CurrentPor-All Factor Movements'!H77)/100)+103/POWER(1+('CurrentPor-All Factor Movements'!C77+'CurrentPor-All Factor Movements'!H77)/100,2))*100</f>
        <v>9650.0417675367535</v>
      </c>
      <c r="F77">
        <f>Portfolio!B$5*'CurrentPor-All Factor Movements'!D77</f>
        <v>53728.883621502588</v>
      </c>
      <c r="G77">
        <f>Portfolio!B$6*'CurrentPor-All Factor Movements'!E77</f>
        <v>3567.7632587277058</v>
      </c>
      <c r="H77">
        <f t="shared" si="3"/>
        <v>96081.137333644234</v>
      </c>
      <c r="I77">
        <f t="shared" si="1"/>
        <v>-99.554654163162922</v>
      </c>
    </row>
    <row r="78" spans="1:9">
      <c r="A78" s="1">
        <v>39366</v>
      </c>
      <c r="B78">
        <f>(3/(1+('CurrentPor-All Factor Movements'!B78)/100)+103/POWER(1+('CurrentPor-All Factor Movements'!C78)/100,2))*100</f>
        <v>9596.8250036887839</v>
      </c>
      <c r="C78">
        <f>(3/(1+('CurrentPor-All Factor Movements'!B78+'CurrentPor-All Factor Movements'!F78)/100)+103/POWER(1+('CurrentPor-All Factor Movements'!C78+'CurrentPor-All Factor Movements'!F78)/100,2))*100</f>
        <v>9509.5818555163296</v>
      </c>
      <c r="D78">
        <f>(3/(1+('CurrentPor-All Factor Movements'!B78+'CurrentPor-All Factor Movements'!G78)/100)+103/POWER(1+('CurrentPor-All Factor Movements'!C78+'CurrentPor-All Factor Movements'!G78)/100,2))*100</f>
        <v>9484.0976741458508</v>
      </c>
      <c r="E78">
        <f>(3/(1+('CurrentPor-All Factor Movements'!B78+'CurrentPor-All Factor Movements'!H78)/100)+103/POWER(1+('CurrentPor-All Factor Movements'!C78+'CurrentPor-All Factor Movements'!H78)/100,2))*100</f>
        <v>9499.5078228015991</v>
      </c>
      <c r="F78">
        <f>Portfolio!B$5*'CurrentPor-All Factor Movements'!D78</f>
        <v>51095.75578329571</v>
      </c>
      <c r="G78">
        <f>Portfolio!B$6*'CurrentPor-All Factor Movements'!E78</f>
        <v>3636.1235403707774</v>
      </c>
      <c r="H78">
        <f t="shared" si="3"/>
        <v>92821.891679819062</v>
      </c>
      <c r="I78">
        <f t="shared" ref="I78:I141" si="4">H78-H68</f>
        <v>-1719.2739993256837</v>
      </c>
    </row>
    <row r="79" spans="1:9">
      <c r="A79" s="1">
        <v>39367</v>
      </c>
      <c r="B79">
        <f>(3/(1+('CurrentPor-All Factor Movements'!B79)/100)+103/POWER(1+('CurrentPor-All Factor Movements'!C79)/100,2))*100</f>
        <v>9693.6861452861704</v>
      </c>
      <c r="C79">
        <f>(3/(1+('CurrentPor-All Factor Movements'!B79+'CurrentPor-All Factor Movements'!F79)/100)+103/POWER(1+('CurrentPor-All Factor Movements'!C79+'CurrentPor-All Factor Movements'!F79)/100,2))*100</f>
        <v>9593.5983371384082</v>
      </c>
      <c r="D79">
        <f>(3/(1+('CurrentPor-All Factor Movements'!B79+'CurrentPor-All Factor Movements'!G79)/100)+103/POWER(1+('CurrentPor-All Factor Movements'!C79+'CurrentPor-All Factor Movements'!G79)/100,2))*100</f>
        <v>9599.9336666676336</v>
      </c>
      <c r="E79">
        <f>(3/(1+('CurrentPor-All Factor Movements'!B79+'CurrentPor-All Factor Movements'!H79)/100)+103/POWER(1+('CurrentPor-All Factor Movements'!C79+'CurrentPor-All Factor Movements'!H79)/100,2))*100</f>
        <v>9597.247540608445</v>
      </c>
      <c r="F79">
        <f>Portfolio!B$5*'CurrentPor-All Factor Movements'!D79</f>
        <v>52442.784001604174</v>
      </c>
      <c r="G79">
        <f>Portfolio!B$6*'CurrentPor-All Factor Movements'!E79</f>
        <v>3451.8441146780879</v>
      </c>
      <c r="H79">
        <f t="shared" si="3"/>
        <v>94379.093805982906</v>
      </c>
      <c r="I79">
        <f t="shared" si="4"/>
        <v>-120.25058721539972</v>
      </c>
    </row>
    <row r="80" spans="1:9">
      <c r="A80" s="1">
        <v>39370</v>
      </c>
      <c r="B80">
        <f>(3/(1+('CurrentPor-All Factor Movements'!B80)/100)+103/POWER(1+('CurrentPor-All Factor Movements'!C80)/100,2))*100</f>
        <v>9917.918215057116</v>
      </c>
      <c r="C80">
        <f>(3/(1+('CurrentPor-All Factor Movements'!B80+'CurrentPor-All Factor Movements'!F80)/100)+103/POWER(1+('CurrentPor-All Factor Movements'!C80+'CurrentPor-All Factor Movements'!F80)/100,2))*100</f>
        <v>9831.4412929692753</v>
      </c>
      <c r="D80">
        <f>(3/(1+('CurrentPor-All Factor Movements'!B80+'CurrentPor-All Factor Movements'!G80)/100)+103/POWER(1+('CurrentPor-All Factor Movements'!C80+'CurrentPor-All Factor Movements'!G80)/100,2))*100</f>
        <v>9798.2609942827785</v>
      </c>
      <c r="E80">
        <f>(3/(1+('CurrentPor-All Factor Movements'!B80+'CurrentPor-All Factor Movements'!H80)/100)+103/POWER(1+('CurrentPor-All Factor Movements'!C80+'CurrentPor-All Factor Movements'!H80)/100,2))*100</f>
        <v>9790.1310856168511</v>
      </c>
      <c r="F80">
        <f>Portfolio!B$5*'CurrentPor-All Factor Movements'!D80</f>
        <v>51324.489245494238</v>
      </c>
      <c r="G80">
        <f>Portfolio!B$6*'CurrentPor-All Factor Movements'!E80</f>
        <v>3296.4519277322865</v>
      </c>
      <c r="H80">
        <f t="shared" si="3"/>
        <v>93958.692761152532</v>
      </c>
      <c r="I80">
        <f t="shared" si="4"/>
        <v>-332.64770157038583</v>
      </c>
    </row>
    <row r="81" spans="1:9">
      <c r="A81" s="1">
        <v>39371</v>
      </c>
      <c r="B81">
        <f>(3/(1+('CurrentPor-All Factor Movements'!B81)/100)+103/POWER(1+('CurrentPor-All Factor Movements'!C81)/100,2))*100</f>
        <v>9611.2011528084859</v>
      </c>
      <c r="C81">
        <f>(3/(1+('CurrentPor-All Factor Movements'!B81+'CurrentPor-All Factor Movements'!F81)/100)+103/POWER(1+('CurrentPor-All Factor Movements'!C81+'CurrentPor-All Factor Movements'!F81)/100,2))*100</f>
        <v>9524.0568192073551</v>
      </c>
      <c r="D81">
        <f>(3/(1+('CurrentPor-All Factor Movements'!B81+'CurrentPor-All Factor Movements'!G81)/100)+103/POWER(1+('CurrentPor-All Factor Movements'!C81+'CurrentPor-All Factor Movements'!G81)/100,2))*100</f>
        <v>9512.6726959292137</v>
      </c>
      <c r="E81">
        <f>(3/(1+('CurrentPor-All Factor Movements'!B81+'CurrentPor-All Factor Movements'!H81)/100)+103/POWER(1+('CurrentPor-All Factor Movements'!C81+'CurrentPor-All Factor Movements'!H81)/100,2))*100</f>
        <v>9503.9149077074217</v>
      </c>
      <c r="F81">
        <f>Portfolio!B$5*'CurrentPor-All Factor Movements'!D81</f>
        <v>51054.982754314813</v>
      </c>
      <c r="G81">
        <f>Portfolio!B$6*'CurrentPor-All Factor Movements'!E81</f>
        <v>3884.3388877012585</v>
      </c>
      <c r="H81">
        <f t="shared" si="3"/>
        <v>93091.167217668553</v>
      </c>
      <c r="I81">
        <f t="shared" si="4"/>
        <v>418.16226555344474</v>
      </c>
    </row>
    <row r="82" spans="1:9">
      <c r="A82" s="1">
        <v>39372</v>
      </c>
      <c r="B82">
        <f>(3/(1+('CurrentPor-All Factor Movements'!B82)/100)+103/POWER(1+('CurrentPor-All Factor Movements'!C82)/100,2))*100</f>
        <v>9550.0272507283917</v>
      </c>
      <c r="C82">
        <f>(3/(1+('CurrentPor-All Factor Movements'!B82+'CurrentPor-All Factor Movements'!F82)/100)+103/POWER(1+('CurrentPor-All Factor Movements'!C82+'CurrentPor-All Factor Movements'!F82)/100,2))*100</f>
        <v>9463.6703365580252</v>
      </c>
      <c r="D82">
        <f>(3/(1+('CurrentPor-All Factor Movements'!B82+'CurrentPor-All Factor Movements'!G82)/100)+103/POWER(1+('CurrentPor-All Factor Movements'!C82+'CurrentPor-All Factor Movements'!G82)/100,2))*100</f>
        <v>9432.1305209358125</v>
      </c>
      <c r="E82">
        <f>(3/(1+('CurrentPor-All Factor Movements'!B82+'CurrentPor-All Factor Movements'!H82)/100)+103/POWER(1+('CurrentPor-All Factor Movements'!C82+'CurrentPor-All Factor Movements'!H82)/100,2))*100</f>
        <v>9419.2875989552103</v>
      </c>
      <c r="F82">
        <f>Portfolio!B$5*'CurrentPor-All Factor Movements'!D82</f>
        <v>50065.524021553218</v>
      </c>
      <c r="G82">
        <f>Portfolio!B$6*'CurrentPor-All Factor Movements'!E82</f>
        <v>3619.7863612777246</v>
      </c>
      <c r="H82">
        <f t="shared" si="3"/>
        <v>91550.42609000839</v>
      </c>
      <c r="I82">
        <f t="shared" si="4"/>
        <v>-1611.4759770280798</v>
      </c>
    </row>
    <row r="83" spans="1:9">
      <c r="A83" s="1">
        <v>39373</v>
      </c>
      <c r="B83">
        <f>(3/(1+('CurrentPor-All Factor Movements'!B83)/100)+103/POWER(1+('CurrentPor-All Factor Movements'!C83)/100,2))*100</f>
        <v>9753.326657775382</v>
      </c>
      <c r="C83">
        <f>(3/(1+('CurrentPor-All Factor Movements'!B83+'CurrentPor-All Factor Movements'!F83)/100)+103/POWER(1+('CurrentPor-All Factor Movements'!C83+'CurrentPor-All Factor Movements'!F83)/100,2))*100</f>
        <v>9646.8986918413611</v>
      </c>
      <c r="D83">
        <f>(3/(1+('CurrentPor-All Factor Movements'!B83+'CurrentPor-All Factor Movements'!G83)/100)+103/POWER(1+('CurrentPor-All Factor Movements'!C83+'CurrentPor-All Factor Movements'!G83)/100,2))*100</f>
        <v>9641.1218296012903</v>
      </c>
      <c r="E83">
        <f>(3/(1+('CurrentPor-All Factor Movements'!B83+'CurrentPor-All Factor Movements'!H83)/100)+103/POWER(1+('CurrentPor-All Factor Movements'!C83+'CurrentPor-All Factor Movements'!H83)/100,2))*100</f>
        <v>9638.8315861233405</v>
      </c>
      <c r="F83">
        <f>Portfolio!B$5*'CurrentPor-All Factor Movements'!D83</f>
        <v>52630.764188086025</v>
      </c>
      <c r="G83">
        <f>Portfolio!B$6*'CurrentPor-All Factor Movements'!E83</f>
        <v>3190.3766033590832</v>
      </c>
      <c r="H83">
        <f t="shared" si="3"/>
        <v>94501.31955678649</v>
      </c>
      <c r="I83">
        <f t="shared" si="4"/>
        <v>-111.35634287782887</v>
      </c>
    </row>
    <row r="84" spans="1:9">
      <c r="A84" s="1">
        <v>39374</v>
      </c>
      <c r="B84">
        <f>(3/(1+('CurrentPor-All Factor Movements'!B84)/100)+103/POWER(1+('CurrentPor-All Factor Movements'!C84)/100,2))*100</f>
        <v>9766.1015155123787</v>
      </c>
      <c r="C84">
        <f>(3/(1+('CurrentPor-All Factor Movements'!B84+'CurrentPor-All Factor Movements'!F84)/100)+103/POWER(1+('CurrentPor-All Factor Movements'!C84+'CurrentPor-All Factor Movements'!F84)/100,2))*100</f>
        <v>9686.9961715506142</v>
      </c>
      <c r="D84">
        <f>(3/(1+('CurrentPor-All Factor Movements'!B84+'CurrentPor-All Factor Movements'!G84)/100)+103/POWER(1+('CurrentPor-All Factor Movements'!C84+'CurrentPor-All Factor Movements'!G84)/100,2))*100</f>
        <v>9670.2685241819599</v>
      </c>
      <c r="E84">
        <f>(3/(1+('CurrentPor-All Factor Movements'!B84+'CurrentPor-All Factor Movements'!H84)/100)+103/POWER(1+('CurrentPor-All Factor Movements'!C84+'CurrentPor-All Factor Movements'!H84)/100,2))*100</f>
        <v>9646.7203896254232</v>
      </c>
      <c r="F84">
        <f>Portfolio!B$5*'CurrentPor-All Factor Movements'!D84</f>
        <v>50327.772887100982</v>
      </c>
      <c r="G84">
        <f>Portfolio!B$6*'CurrentPor-All Factor Movements'!E84</f>
        <v>3470.029907455792</v>
      </c>
      <c r="H84">
        <f t="shared" si="3"/>
        <v>92567.889395427148</v>
      </c>
      <c r="I84">
        <f t="shared" si="4"/>
        <v>-2143.4723013621406</v>
      </c>
    </row>
    <row r="85" spans="1:9">
      <c r="A85" s="1">
        <v>39377</v>
      </c>
      <c r="B85">
        <f>(3/(1+('CurrentPor-All Factor Movements'!B85)/100)+103/POWER(1+('CurrentPor-All Factor Movements'!C85)/100,2))*100</f>
        <v>9841.7559330762469</v>
      </c>
      <c r="C85">
        <f>(3/(1+('CurrentPor-All Factor Movements'!B85+'CurrentPor-All Factor Movements'!F85)/100)+103/POWER(1+('CurrentPor-All Factor Movements'!C85+'CurrentPor-All Factor Movements'!F85)/100,2))*100</f>
        <v>9758.4663708376665</v>
      </c>
      <c r="D85">
        <f>(3/(1+('CurrentPor-All Factor Movements'!B85+'CurrentPor-All Factor Movements'!G85)/100)+103/POWER(1+('CurrentPor-All Factor Movements'!C85+'CurrentPor-All Factor Movements'!G85)/100,2))*100</f>
        <v>9740.9815159574046</v>
      </c>
      <c r="E85">
        <f>(3/(1+('CurrentPor-All Factor Movements'!B85+'CurrentPor-All Factor Movements'!H85)/100)+103/POWER(1+('CurrentPor-All Factor Movements'!C85+'CurrentPor-All Factor Movements'!H85)/100,2))*100</f>
        <v>9731.4073995493363</v>
      </c>
      <c r="F85">
        <f>Portfolio!B$5*'CurrentPor-All Factor Movements'!D85</f>
        <v>52450.71871005198</v>
      </c>
      <c r="G85">
        <f>Portfolio!B$6*'CurrentPor-All Factor Movements'!E85</f>
        <v>3678.5113066406998</v>
      </c>
      <c r="H85">
        <f t="shared" si="3"/>
        <v>95201.841236113352</v>
      </c>
      <c r="I85">
        <f t="shared" si="4"/>
        <v>209.6411585421738</v>
      </c>
    </row>
    <row r="86" spans="1:9">
      <c r="A86" s="1">
        <v>39378</v>
      </c>
      <c r="B86">
        <f>(3/(1+('CurrentPor-All Factor Movements'!B86)/100)+103/POWER(1+('CurrentPor-All Factor Movements'!C86)/100,2))*100</f>
        <v>9569.8905563907938</v>
      </c>
      <c r="C86">
        <f>(3/(1+('CurrentPor-All Factor Movements'!B86+'CurrentPor-All Factor Movements'!F86)/100)+103/POWER(1+('CurrentPor-All Factor Movements'!C86+'CurrentPor-All Factor Movements'!F86)/100,2))*100</f>
        <v>9495.596464430273</v>
      </c>
      <c r="D86">
        <f>(3/(1+('CurrentPor-All Factor Movements'!B86+'CurrentPor-All Factor Movements'!G86)/100)+103/POWER(1+('CurrentPor-All Factor Movements'!C86+'CurrentPor-All Factor Movements'!G86)/100,2))*100</f>
        <v>9467.4270369237256</v>
      </c>
      <c r="E86">
        <f>(3/(1+('CurrentPor-All Factor Movements'!B86+'CurrentPor-All Factor Movements'!H86)/100)+103/POWER(1+('CurrentPor-All Factor Movements'!C86+'CurrentPor-All Factor Movements'!H86)/100,2))*100</f>
        <v>9437.0313136704135</v>
      </c>
      <c r="F86">
        <f>Portfolio!B$5*'CurrentPor-All Factor Movements'!D86</f>
        <v>51536.175151013711</v>
      </c>
      <c r="G86">
        <f>Portfolio!B$6*'CurrentPor-All Factor Movements'!E86</f>
        <v>3266.3660020704328</v>
      </c>
      <c r="H86">
        <f t="shared" si="3"/>
        <v>92772.486524499342</v>
      </c>
      <c r="I86">
        <f t="shared" si="4"/>
        <v>-1742.8547726100514</v>
      </c>
    </row>
    <row r="87" spans="1:9">
      <c r="A87" s="1">
        <v>39379</v>
      </c>
      <c r="B87">
        <f>(3/(1+('CurrentPor-All Factor Movements'!B87)/100)+103/POWER(1+('CurrentPor-All Factor Movements'!C87)/100,2))*100</f>
        <v>9787.9144834386043</v>
      </c>
      <c r="C87">
        <f>(3/(1+('CurrentPor-All Factor Movements'!B87+'CurrentPor-All Factor Movements'!F87)/100)+103/POWER(1+('CurrentPor-All Factor Movements'!C87+'CurrentPor-All Factor Movements'!F87)/100,2))*100</f>
        <v>9707.417976216384</v>
      </c>
      <c r="D87">
        <f>(3/(1+('CurrentPor-All Factor Movements'!B87+'CurrentPor-All Factor Movements'!G87)/100)+103/POWER(1+('CurrentPor-All Factor Movements'!C87+'CurrentPor-All Factor Movements'!G87)/100,2))*100</f>
        <v>9686.6326087510006</v>
      </c>
      <c r="E87">
        <f>(3/(1+('CurrentPor-All Factor Movements'!B87+'CurrentPor-All Factor Movements'!H87)/100)+103/POWER(1+('CurrentPor-All Factor Movements'!C87+'CurrentPor-All Factor Movements'!H87)/100,2))*100</f>
        <v>9681.523491749389</v>
      </c>
      <c r="F87">
        <f>Portfolio!B$5*'CurrentPor-All Factor Movements'!D87</f>
        <v>51714.969430926707</v>
      </c>
      <c r="G87">
        <f>Portfolio!B$6*'CurrentPor-All Factor Movements'!E87</f>
        <v>3375.3214450807341</v>
      </c>
      <c r="H87">
        <f t="shared" si="3"/>
        <v>93953.779436162804</v>
      </c>
      <c r="I87">
        <f t="shared" si="4"/>
        <v>-2127.35789748143</v>
      </c>
    </row>
    <row r="88" spans="1:9">
      <c r="A88" s="1">
        <v>39380</v>
      </c>
      <c r="B88">
        <f>(3/(1+('CurrentPor-All Factor Movements'!B88)/100)+103/POWER(1+('CurrentPor-All Factor Movements'!C88)/100,2))*100</f>
        <v>9654.7666647074984</v>
      </c>
      <c r="C88">
        <f>(3/(1+('CurrentPor-All Factor Movements'!B88+'CurrentPor-All Factor Movements'!F88)/100)+103/POWER(1+('CurrentPor-All Factor Movements'!C88+'CurrentPor-All Factor Movements'!F88)/100,2))*100</f>
        <v>9559.5265433002405</v>
      </c>
      <c r="D88">
        <f>(3/(1+('CurrentPor-All Factor Movements'!B88+'CurrentPor-All Factor Movements'!G88)/100)+103/POWER(1+('CurrentPor-All Factor Movements'!C88+'CurrentPor-All Factor Movements'!G88)/100,2))*100</f>
        <v>9536.5937205081318</v>
      </c>
      <c r="E88">
        <f>(3/(1+('CurrentPor-All Factor Movements'!B88+'CurrentPor-All Factor Movements'!H88)/100)+103/POWER(1+('CurrentPor-All Factor Movements'!C88+'CurrentPor-All Factor Movements'!H88)/100,2))*100</f>
        <v>9540.4511274342749</v>
      </c>
      <c r="F88">
        <f>Portfolio!B$5*'CurrentPor-All Factor Movements'!D88</f>
        <v>52048.882112331128</v>
      </c>
      <c r="G88">
        <f>Portfolio!B$6*'CurrentPor-All Factor Movements'!E88</f>
        <v>3557.6750546470512</v>
      </c>
      <c r="H88">
        <f t="shared" si="3"/>
        <v>93897.895222928331</v>
      </c>
      <c r="I88">
        <f t="shared" si="4"/>
        <v>1076.0035431092692</v>
      </c>
    </row>
    <row r="89" spans="1:9">
      <c r="A89" s="1">
        <v>39381</v>
      </c>
      <c r="B89">
        <f>(3/(1+('CurrentPor-All Factor Movements'!B89)/100)+103/POWER(1+('CurrentPor-All Factor Movements'!C89)/100,2))*100</f>
        <v>9777.3182870891251</v>
      </c>
      <c r="C89">
        <f>(3/(1+('CurrentPor-All Factor Movements'!B89+'CurrentPor-All Factor Movements'!F89)/100)+103/POWER(1+('CurrentPor-All Factor Movements'!C89+'CurrentPor-All Factor Movements'!F89)/100,2))*100</f>
        <v>9685.7461595751556</v>
      </c>
      <c r="D89">
        <f>(3/(1+('CurrentPor-All Factor Movements'!B89+'CurrentPor-All Factor Movements'!G89)/100)+103/POWER(1+('CurrentPor-All Factor Movements'!C89+'CurrentPor-All Factor Movements'!G89)/100,2))*100</f>
        <v>9671.7907804906608</v>
      </c>
      <c r="E89">
        <f>(3/(1+('CurrentPor-All Factor Movements'!B89+'CurrentPor-All Factor Movements'!H89)/100)+103/POWER(1+('CurrentPor-All Factor Movements'!C89+'CurrentPor-All Factor Movements'!H89)/100,2))*100</f>
        <v>9650.273690306527</v>
      </c>
      <c r="F89">
        <f>Portfolio!B$5*'CurrentPor-All Factor Movements'!D89</f>
        <v>51441.442644072209</v>
      </c>
      <c r="G89">
        <f>Portfolio!B$6*'CurrentPor-All Factor Movements'!E89</f>
        <v>3593.5791902463038</v>
      </c>
      <c r="H89">
        <f t="shared" si="3"/>
        <v>93820.150751779976</v>
      </c>
      <c r="I89">
        <f t="shared" si="4"/>
        <v>-558.94305420292949</v>
      </c>
    </row>
    <row r="90" spans="1:9">
      <c r="A90" s="1">
        <v>39384</v>
      </c>
      <c r="B90">
        <f>(3/(1+('CurrentPor-All Factor Movements'!B90)/100)+103/POWER(1+('CurrentPor-All Factor Movements'!C90)/100,2))*100</f>
        <v>9741.2621901958992</v>
      </c>
      <c r="C90">
        <f>(3/(1+('CurrentPor-All Factor Movements'!B90+'CurrentPor-All Factor Movements'!F90)/100)+103/POWER(1+('CurrentPor-All Factor Movements'!C90+'CurrentPor-All Factor Movements'!F90)/100,2))*100</f>
        <v>9639.5892065541539</v>
      </c>
      <c r="D90">
        <f>(3/(1+('CurrentPor-All Factor Movements'!B90+'CurrentPor-All Factor Movements'!G90)/100)+103/POWER(1+('CurrentPor-All Factor Movements'!C90+'CurrentPor-All Factor Movements'!G90)/100,2))*100</f>
        <v>9624.82842928635</v>
      </c>
      <c r="E90">
        <f>(3/(1+('CurrentPor-All Factor Movements'!B90+'CurrentPor-All Factor Movements'!H90)/100)+103/POWER(1+('CurrentPor-All Factor Movements'!C90+'CurrentPor-All Factor Movements'!H90)/100,2))*100</f>
        <v>9619.154899476589</v>
      </c>
      <c r="F90">
        <f>Portfolio!B$5*'CurrentPor-All Factor Movements'!D90</f>
        <v>52135.320758712376</v>
      </c>
      <c r="G90">
        <f>Portfolio!B$6*'CurrentPor-All Factor Movements'!E90</f>
        <v>3985.2168698482492</v>
      </c>
      <c r="H90">
        <f t="shared" si="3"/>
        <v>94745.372354073625</v>
      </c>
      <c r="I90">
        <f t="shared" si="4"/>
        <v>786.67959292109299</v>
      </c>
    </row>
    <row r="91" spans="1:9">
      <c r="A91" s="1">
        <v>39385</v>
      </c>
      <c r="B91">
        <f>(3/(1+('CurrentPor-All Factor Movements'!B91)/100)+103/POWER(1+('CurrentPor-All Factor Movements'!C91)/100,2))*100</f>
        <v>9709.6413015087273</v>
      </c>
      <c r="C91">
        <f>(3/(1+('CurrentPor-All Factor Movements'!B91+'CurrentPor-All Factor Movements'!F91)/100)+103/POWER(1+('CurrentPor-All Factor Movements'!C91+'CurrentPor-All Factor Movements'!F91)/100,2))*100</f>
        <v>9628.387910917656</v>
      </c>
      <c r="D91">
        <f>(3/(1+('CurrentPor-All Factor Movements'!B91+'CurrentPor-All Factor Movements'!G91)/100)+103/POWER(1+('CurrentPor-All Factor Movements'!C91+'CurrentPor-All Factor Movements'!G91)/100,2))*100</f>
        <v>9593.4130723988092</v>
      </c>
      <c r="E91">
        <f>(3/(1+('CurrentPor-All Factor Movements'!B91+'CurrentPor-All Factor Movements'!H91)/100)+103/POWER(1+('CurrentPor-All Factor Movements'!C91+'CurrentPor-All Factor Movements'!H91)/100,2))*100</f>
        <v>9601.5139550793247</v>
      </c>
      <c r="F91">
        <f>Portfolio!B$5*'CurrentPor-All Factor Movements'!D91</f>
        <v>52547.126336773508</v>
      </c>
      <c r="G91">
        <f>Portfolio!B$6*'CurrentPor-All Factor Movements'!E91</f>
        <v>3336.9281534794359</v>
      </c>
      <c r="H91">
        <f t="shared" si="3"/>
        <v>94417.010730157461</v>
      </c>
      <c r="I91">
        <f t="shared" si="4"/>
        <v>1325.8435124889074</v>
      </c>
    </row>
    <row r="92" spans="1:9">
      <c r="A92" s="1">
        <v>39386</v>
      </c>
      <c r="B92">
        <f>(3/(1+('CurrentPor-All Factor Movements'!B92)/100)+103/POWER(1+('CurrentPor-All Factor Movements'!C92)/100,2))*100</f>
        <v>9566.4377597087805</v>
      </c>
      <c r="C92">
        <f>(3/(1+('CurrentPor-All Factor Movements'!B92+'CurrentPor-All Factor Movements'!F92)/100)+103/POWER(1+('CurrentPor-All Factor Movements'!C92+'CurrentPor-All Factor Movements'!F92)/100,2))*100</f>
        <v>9464.1218396969762</v>
      </c>
      <c r="D92">
        <f>(3/(1+('CurrentPor-All Factor Movements'!B92+'CurrentPor-All Factor Movements'!G92)/100)+103/POWER(1+('CurrentPor-All Factor Movements'!C92+'CurrentPor-All Factor Movements'!G92)/100,2))*100</f>
        <v>9471.5499069461821</v>
      </c>
      <c r="E92">
        <f>(3/(1+('CurrentPor-All Factor Movements'!B92+'CurrentPor-All Factor Movements'!H92)/100)+103/POWER(1+('CurrentPor-All Factor Movements'!C92+'CurrentPor-All Factor Movements'!H92)/100,2))*100</f>
        <v>9441.5401623043399</v>
      </c>
      <c r="F92">
        <f>Portfolio!B$5*'CurrentPor-All Factor Movements'!D92</f>
        <v>52492.422847234855</v>
      </c>
      <c r="G92">
        <f>Portfolio!B$6*'CurrentPor-All Factor Movements'!E92</f>
        <v>3728.8061425361457</v>
      </c>
      <c r="H92">
        <f t="shared" si="3"/>
        <v>94164.878658427289</v>
      </c>
      <c r="I92">
        <f t="shared" si="4"/>
        <v>2614.4525684188993</v>
      </c>
    </row>
    <row r="93" spans="1:9">
      <c r="A93" s="1">
        <v>39387</v>
      </c>
      <c r="B93">
        <f>(3/(1+('CurrentPor-All Factor Movements'!B93)/100)+103/POWER(1+('CurrentPor-All Factor Movements'!C93)/100,2))*100</f>
        <v>9566.7068269243809</v>
      </c>
      <c r="C93">
        <f>(3/(1+('CurrentPor-All Factor Movements'!B93+'CurrentPor-All Factor Movements'!F93)/100)+103/POWER(1+('CurrentPor-All Factor Movements'!C93+'CurrentPor-All Factor Movements'!F93)/100,2))*100</f>
        <v>9482.8821054356631</v>
      </c>
      <c r="D93">
        <f>(3/(1+('CurrentPor-All Factor Movements'!B93+'CurrentPor-All Factor Movements'!G93)/100)+103/POWER(1+('CurrentPor-All Factor Movements'!C93+'CurrentPor-All Factor Movements'!G93)/100,2))*100</f>
        <v>9441.4650828973427</v>
      </c>
      <c r="E93">
        <f>(3/(1+('CurrentPor-All Factor Movements'!B93+'CurrentPor-All Factor Movements'!H93)/100)+103/POWER(1+('CurrentPor-All Factor Movements'!C93+'CurrentPor-All Factor Movements'!H93)/100,2))*100</f>
        <v>9439.7948393803599</v>
      </c>
      <c r="F93">
        <f>Portfolio!B$5*'CurrentPor-All Factor Movements'!D93</f>
        <v>52220.713424205329</v>
      </c>
      <c r="G93">
        <f>Portfolio!B$6*'CurrentPor-All Factor Movements'!E93</f>
        <v>3165.0322904748691</v>
      </c>
      <c r="H93">
        <f t="shared" si="3"/>
        <v>93316.594569317953</v>
      </c>
      <c r="I93">
        <f t="shared" si="4"/>
        <v>-1184.7249874685367</v>
      </c>
    </row>
    <row r="94" spans="1:9">
      <c r="A94" s="1">
        <v>39388</v>
      </c>
      <c r="B94">
        <f>(3/(1+('CurrentPor-All Factor Movements'!B94)/100)+103/POWER(1+('CurrentPor-All Factor Movements'!C94)/100,2))*100</f>
        <v>9806.4067710288091</v>
      </c>
      <c r="C94">
        <f>(3/(1+('CurrentPor-All Factor Movements'!B94+'CurrentPor-All Factor Movements'!F94)/100)+103/POWER(1+('CurrentPor-All Factor Movements'!C94+'CurrentPor-All Factor Movements'!F94)/100,2))*100</f>
        <v>9706.367721161907</v>
      </c>
      <c r="D94">
        <f>(3/(1+('CurrentPor-All Factor Movements'!B94+'CurrentPor-All Factor Movements'!G94)/100)+103/POWER(1+('CurrentPor-All Factor Movements'!C94+'CurrentPor-All Factor Movements'!G94)/100,2))*100</f>
        <v>9690.5490792621094</v>
      </c>
      <c r="E94">
        <f>(3/(1+('CurrentPor-All Factor Movements'!B94+'CurrentPor-All Factor Movements'!H94)/100)+103/POWER(1+('CurrentPor-All Factor Movements'!C94+'CurrentPor-All Factor Movements'!H94)/100,2))*100</f>
        <v>9702.3777748349112</v>
      </c>
      <c r="F94">
        <f>Portfolio!B$5*'CurrentPor-All Factor Movements'!D94</f>
        <v>51564.888691324413</v>
      </c>
      <c r="G94">
        <f>Portfolio!B$6*'CurrentPor-All Factor Movements'!E94</f>
        <v>3662.0235715193717</v>
      </c>
      <c r="H94">
        <f t="shared" si="3"/>
        <v>94132.613609131527</v>
      </c>
      <c r="I94">
        <f t="shared" si="4"/>
        <v>1564.7242137043795</v>
      </c>
    </row>
    <row r="95" spans="1:9">
      <c r="A95" s="1">
        <v>39391</v>
      </c>
      <c r="B95">
        <f>(3/(1+('CurrentPor-All Factor Movements'!B95)/100)+103/POWER(1+('CurrentPor-All Factor Movements'!C95)/100,2))*100</f>
        <v>9750.6051343709296</v>
      </c>
      <c r="C95">
        <f>(3/(1+('CurrentPor-All Factor Movements'!B95+'CurrentPor-All Factor Movements'!F95)/100)+103/POWER(1+('CurrentPor-All Factor Movements'!C95+'CurrentPor-All Factor Movements'!F95)/100,2))*100</f>
        <v>9667.7786823540009</v>
      </c>
      <c r="D95">
        <f>(3/(1+('CurrentPor-All Factor Movements'!B95+'CurrentPor-All Factor Movements'!G95)/100)+103/POWER(1+('CurrentPor-All Factor Movements'!C95+'CurrentPor-All Factor Movements'!G95)/100,2))*100</f>
        <v>9633.5909735335699</v>
      </c>
      <c r="E95">
        <f>(3/(1+('CurrentPor-All Factor Movements'!B95+'CurrentPor-All Factor Movements'!H95)/100)+103/POWER(1+('CurrentPor-All Factor Movements'!C95+'CurrentPor-All Factor Movements'!H95)/100,2))*100</f>
        <v>9637.3149014010633</v>
      </c>
      <c r="F95">
        <f>Portfolio!B$5*'CurrentPor-All Factor Movements'!D95</f>
        <v>53610.897363457174</v>
      </c>
      <c r="G95">
        <f>Portfolio!B$6*'CurrentPor-All Factor Movements'!E95</f>
        <v>3693.753284053686</v>
      </c>
      <c r="H95">
        <f t="shared" si="3"/>
        <v>95993.940339170425</v>
      </c>
      <c r="I95">
        <f t="shared" si="4"/>
        <v>792.09910305707308</v>
      </c>
    </row>
    <row r="96" spans="1:9">
      <c r="A96" s="1">
        <v>39392</v>
      </c>
      <c r="B96">
        <f>(3/(1+('CurrentPor-All Factor Movements'!B96)/100)+103/POWER(1+('CurrentPor-All Factor Movements'!C96)/100,2))*100</f>
        <v>9623.8690938065902</v>
      </c>
      <c r="C96">
        <f>(3/(1+('CurrentPor-All Factor Movements'!B96+'CurrentPor-All Factor Movements'!F96)/100)+103/POWER(1+('CurrentPor-All Factor Movements'!C96+'CurrentPor-All Factor Movements'!F96)/100,2))*100</f>
        <v>9528.955649691241</v>
      </c>
      <c r="D96">
        <f>(3/(1+('CurrentPor-All Factor Movements'!B96+'CurrentPor-All Factor Movements'!G96)/100)+103/POWER(1+('CurrentPor-All Factor Movements'!C96+'CurrentPor-All Factor Movements'!G96)/100,2))*100</f>
        <v>9510.9635343883274</v>
      </c>
      <c r="E96">
        <f>(3/(1+('CurrentPor-All Factor Movements'!B96+'CurrentPor-All Factor Movements'!H96)/100)+103/POWER(1+('CurrentPor-All Factor Movements'!C96+'CurrentPor-All Factor Movements'!H96)/100,2))*100</f>
        <v>9506.2048025792046</v>
      </c>
      <c r="F96">
        <f>Portfolio!B$5*'CurrentPor-All Factor Movements'!D96</f>
        <v>51728.006995164222</v>
      </c>
      <c r="G96">
        <f>Portfolio!B$6*'CurrentPor-All Factor Movements'!E96</f>
        <v>3588.7458711016179</v>
      </c>
      <c r="H96">
        <f t="shared" si="3"/>
        <v>93486.745946731215</v>
      </c>
      <c r="I96">
        <f t="shared" si="4"/>
        <v>714.25942223187303</v>
      </c>
    </row>
    <row r="97" spans="1:9">
      <c r="A97" s="1">
        <v>39393</v>
      </c>
      <c r="B97">
        <f>(3/(1+('CurrentPor-All Factor Movements'!B97)/100)+103/POWER(1+('CurrentPor-All Factor Movements'!C97)/100,2))*100</f>
        <v>9619.5469560450347</v>
      </c>
      <c r="C97">
        <f>(3/(1+('CurrentPor-All Factor Movements'!B97+'CurrentPor-All Factor Movements'!F97)/100)+103/POWER(1+('CurrentPor-All Factor Movements'!C97+'CurrentPor-All Factor Movements'!F97)/100,2))*100</f>
        <v>9528.9944551755962</v>
      </c>
      <c r="D97">
        <f>(3/(1+('CurrentPor-All Factor Movements'!B97+'CurrentPor-All Factor Movements'!G97)/100)+103/POWER(1+('CurrentPor-All Factor Movements'!C97+'CurrentPor-All Factor Movements'!G97)/100,2))*100</f>
        <v>9524.0688875478299</v>
      </c>
      <c r="E97">
        <f>(3/(1+('CurrentPor-All Factor Movements'!B97+'CurrentPor-All Factor Movements'!H97)/100)+103/POWER(1+('CurrentPor-All Factor Movements'!C97+'CurrentPor-All Factor Movements'!H97)/100,2))*100</f>
        <v>9475.5830239123552</v>
      </c>
      <c r="F97">
        <f>Portfolio!B$5*'CurrentPor-All Factor Movements'!D97</f>
        <v>52899.225924456106</v>
      </c>
      <c r="G97">
        <f>Portfolio!B$6*'CurrentPor-All Factor Movements'!E97</f>
        <v>3545.69154449905</v>
      </c>
      <c r="H97">
        <f t="shared" si="3"/>
        <v>94593.110791635962</v>
      </c>
      <c r="I97">
        <f t="shared" si="4"/>
        <v>639.3313554731576</v>
      </c>
    </row>
    <row r="98" spans="1:9">
      <c r="A98" s="1">
        <v>39394</v>
      </c>
      <c r="B98">
        <f>(3/(1+('CurrentPor-All Factor Movements'!B98)/100)+103/POWER(1+('CurrentPor-All Factor Movements'!C98)/100,2))*100</f>
        <v>9744.1087678118329</v>
      </c>
      <c r="C98">
        <f>(3/(1+('CurrentPor-All Factor Movements'!B98+'CurrentPor-All Factor Movements'!F98)/100)+103/POWER(1+('CurrentPor-All Factor Movements'!C98+'CurrentPor-All Factor Movements'!F98)/100,2))*100</f>
        <v>9644.0487048903469</v>
      </c>
      <c r="D98">
        <f>(3/(1+('CurrentPor-All Factor Movements'!B98+'CurrentPor-All Factor Movements'!G98)/100)+103/POWER(1+('CurrentPor-All Factor Movements'!C98+'CurrentPor-All Factor Movements'!G98)/100,2))*100</f>
        <v>9646.1751634493903</v>
      </c>
      <c r="E98">
        <f>(3/(1+('CurrentPor-All Factor Movements'!B98+'CurrentPor-All Factor Movements'!H98)/100)+103/POWER(1+('CurrentPor-All Factor Movements'!C98+'CurrentPor-All Factor Movements'!H98)/100,2))*100</f>
        <v>9622.9124891037045</v>
      </c>
      <c r="F98">
        <f>Portfolio!B$5*'CurrentPor-All Factor Movements'!D98</f>
        <v>51742.304384379247</v>
      </c>
      <c r="G98">
        <f>Portfolio!B$6*'CurrentPor-All Factor Movements'!E98</f>
        <v>3751.8331065102507</v>
      </c>
      <c r="H98">
        <f t="shared" si="3"/>
        <v>94151.38261614478</v>
      </c>
      <c r="I98">
        <f t="shared" si="4"/>
        <v>253.48739321644825</v>
      </c>
    </row>
    <row r="99" spans="1:9">
      <c r="A99" s="1">
        <v>39395</v>
      </c>
      <c r="B99">
        <f>(3/(1+('CurrentPor-All Factor Movements'!B99)/100)+103/POWER(1+('CurrentPor-All Factor Movements'!C99)/100,2))*100</f>
        <v>9777.5009276046658</v>
      </c>
      <c r="C99">
        <f>(3/(1+('CurrentPor-All Factor Movements'!B99+'CurrentPor-All Factor Movements'!F99)/100)+103/POWER(1+('CurrentPor-All Factor Movements'!C99+'CurrentPor-All Factor Movements'!F99)/100,2))*100</f>
        <v>9684.9760807015882</v>
      </c>
      <c r="D99">
        <f>(3/(1+('CurrentPor-All Factor Movements'!B99+'CurrentPor-All Factor Movements'!G99)/100)+103/POWER(1+('CurrentPor-All Factor Movements'!C99+'CurrentPor-All Factor Movements'!G99)/100,2))*100</f>
        <v>9683.4603010368592</v>
      </c>
      <c r="E99">
        <f>(3/(1+('CurrentPor-All Factor Movements'!B99+'CurrentPor-All Factor Movements'!H99)/100)+103/POWER(1+('CurrentPor-All Factor Movements'!C99+'CurrentPor-All Factor Movements'!H99)/100,2))*100</f>
        <v>9654.0325566983211</v>
      </c>
      <c r="F99">
        <f>Portfolio!B$5*'CurrentPor-All Factor Movements'!D99</f>
        <v>52904.843127843757</v>
      </c>
      <c r="G99">
        <f>Portfolio!B$6*'CurrentPor-All Factor Movements'!E99</f>
        <v>3458.2564281722448</v>
      </c>
      <c r="H99">
        <f t="shared" ref="H99:H130" si="5">SUM(B99:G99)</f>
        <v>95163.069422057437</v>
      </c>
      <c r="I99">
        <f t="shared" si="4"/>
        <v>1342.9186702774605</v>
      </c>
    </row>
    <row r="100" spans="1:9">
      <c r="A100" s="1">
        <v>39398</v>
      </c>
      <c r="B100">
        <f>(3/(1+('CurrentPor-All Factor Movements'!B100)/100)+103/POWER(1+('CurrentPor-All Factor Movements'!C100)/100,2))*100</f>
        <v>9578.9007539889408</v>
      </c>
      <c r="C100">
        <f>(3/(1+('CurrentPor-All Factor Movements'!B100+'CurrentPor-All Factor Movements'!F100)/100)+103/POWER(1+('CurrentPor-All Factor Movements'!C100+'CurrentPor-All Factor Movements'!F100)/100,2))*100</f>
        <v>9498.429719100277</v>
      </c>
      <c r="D100">
        <f>(3/(1+('CurrentPor-All Factor Movements'!B100+'CurrentPor-All Factor Movements'!G100)/100)+103/POWER(1+('CurrentPor-All Factor Movements'!C100+'CurrentPor-All Factor Movements'!G100)/100,2))*100</f>
        <v>9477.6693727448273</v>
      </c>
      <c r="E100">
        <f>(3/(1+('CurrentPor-All Factor Movements'!B100+'CurrentPor-All Factor Movements'!H100)/100)+103/POWER(1+('CurrentPor-All Factor Movements'!C100+'CurrentPor-All Factor Movements'!H100)/100,2))*100</f>
        <v>9463.5359015407503</v>
      </c>
      <c r="F100">
        <f>Portfolio!B$5*'CurrentPor-All Factor Movements'!D100</f>
        <v>53181.967408169716</v>
      </c>
      <c r="G100">
        <f>Portfolio!B$6*'CurrentPor-All Factor Movements'!E100</f>
        <v>3578.1815410833233</v>
      </c>
      <c r="H100">
        <f t="shared" si="5"/>
        <v>94778.684696627839</v>
      </c>
      <c r="I100">
        <f t="shared" si="4"/>
        <v>33.31234255421441</v>
      </c>
    </row>
    <row r="101" spans="1:9">
      <c r="A101" s="1">
        <v>39399</v>
      </c>
      <c r="B101">
        <f>(3/(1+('CurrentPor-All Factor Movements'!B101)/100)+103/POWER(1+('CurrentPor-All Factor Movements'!C101)/100,2))*100</f>
        <v>9805.9245737090496</v>
      </c>
      <c r="C101">
        <f>(3/(1+('CurrentPor-All Factor Movements'!B101+'CurrentPor-All Factor Movements'!F101)/100)+103/POWER(1+('CurrentPor-All Factor Movements'!C101+'CurrentPor-All Factor Movements'!F101)/100,2))*100</f>
        <v>9703.4209785315197</v>
      </c>
      <c r="D101">
        <f>(3/(1+('CurrentPor-All Factor Movements'!B101+'CurrentPor-All Factor Movements'!G101)/100)+103/POWER(1+('CurrentPor-All Factor Movements'!C101+'CurrentPor-All Factor Movements'!G101)/100,2))*100</f>
        <v>9686.080532558608</v>
      </c>
      <c r="E101">
        <f>(3/(1+('CurrentPor-All Factor Movements'!B101+'CurrentPor-All Factor Movements'!H101)/100)+103/POWER(1+('CurrentPor-All Factor Movements'!C101+'CurrentPor-All Factor Movements'!H101)/100,2))*100</f>
        <v>9682.530500019051</v>
      </c>
      <c r="F101">
        <f>Portfolio!B$5*'CurrentPor-All Factor Movements'!D101</f>
        <v>53358.893149175892</v>
      </c>
      <c r="G101">
        <f>Portfolio!B$6*'CurrentPor-All Factor Movements'!E101</f>
        <v>3304.87254473148</v>
      </c>
      <c r="H101">
        <f t="shared" si="5"/>
        <v>95541.722278725603</v>
      </c>
      <c r="I101">
        <f t="shared" si="4"/>
        <v>1124.7115485681425</v>
      </c>
    </row>
    <row r="102" spans="1:9">
      <c r="A102" s="1">
        <v>39400</v>
      </c>
      <c r="B102">
        <f>(3/(1+('CurrentPor-All Factor Movements'!B102)/100)+103/POWER(1+('CurrentPor-All Factor Movements'!C102)/100,2))*100</f>
        <v>9713.0094381837389</v>
      </c>
      <c r="C102">
        <f>(3/(1+('CurrentPor-All Factor Movements'!B102+'CurrentPor-All Factor Movements'!F102)/100)+103/POWER(1+('CurrentPor-All Factor Movements'!C102+'CurrentPor-All Factor Movements'!F102)/100,2))*100</f>
        <v>9597.9172446464709</v>
      </c>
      <c r="D102">
        <f>(3/(1+('CurrentPor-All Factor Movements'!B102+'CurrentPor-All Factor Movements'!G102)/100)+103/POWER(1+('CurrentPor-All Factor Movements'!C102+'CurrentPor-All Factor Movements'!G102)/100,2))*100</f>
        <v>9591.9163392586433</v>
      </c>
      <c r="E102">
        <f>(3/(1+('CurrentPor-All Factor Movements'!B102+'CurrentPor-All Factor Movements'!H102)/100)+103/POWER(1+('CurrentPor-All Factor Movements'!C102+'CurrentPor-All Factor Movements'!H102)/100,2))*100</f>
        <v>9580.2324103357205</v>
      </c>
      <c r="F102">
        <f>Portfolio!B$5*'CurrentPor-All Factor Movements'!D102</f>
        <v>52673.029310842707</v>
      </c>
      <c r="G102">
        <f>Portfolio!B$6*'CurrentPor-All Factor Movements'!E102</f>
        <v>3243.7144607131577</v>
      </c>
      <c r="H102">
        <f t="shared" si="5"/>
        <v>94399.819203980456</v>
      </c>
      <c r="I102">
        <f t="shared" si="4"/>
        <v>234.94054555316688</v>
      </c>
    </row>
    <row r="103" spans="1:9">
      <c r="A103" s="1">
        <v>39401</v>
      </c>
      <c r="B103">
        <f>(3/(1+('CurrentPor-All Factor Movements'!B103)/100)+103/POWER(1+('CurrentPor-All Factor Movements'!C103)/100,2))*100</f>
        <v>9779.9020775906647</v>
      </c>
      <c r="C103">
        <f>(3/(1+('CurrentPor-All Factor Movements'!B103+'CurrentPor-All Factor Movements'!F103)/100)+103/POWER(1+('CurrentPor-All Factor Movements'!C103+'CurrentPor-All Factor Movements'!F103)/100,2))*100</f>
        <v>9681.5215313440713</v>
      </c>
      <c r="D103">
        <f>(3/(1+('CurrentPor-All Factor Movements'!B103+'CurrentPor-All Factor Movements'!G103)/100)+103/POWER(1+('CurrentPor-All Factor Movements'!C103+'CurrentPor-All Factor Movements'!G103)/100,2))*100</f>
        <v>9666.4282220076566</v>
      </c>
      <c r="E103">
        <f>(3/(1+('CurrentPor-All Factor Movements'!B103+'CurrentPor-All Factor Movements'!H103)/100)+103/POWER(1+('CurrentPor-All Factor Movements'!C103+'CurrentPor-All Factor Movements'!H103)/100,2))*100</f>
        <v>9660.9601997544887</v>
      </c>
      <c r="F103">
        <f>Portfolio!B$5*'CurrentPor-All Factor Movements'!D103</f>
        <v>52340.28908182319</v>
      </c>
      <c r="G103">
        <f>Portfolio!B$6*'CurrentPor-All Factor Movements'!E103</f>
        <v>3601.2803460984233</v>
      </c>
      <c r="H103">
        <f t="shared" si="5"/>
        <v>94730.381458618489</v>
      </c>
      <c r="I103">
        <f t="shared" si="4"/>
        <v>1413.7868893005361</v>
      </c>
    </row>
    <row r="104" spans="1:9">
      <c r="A104" s="1">
        <v>39402</v>
      </c>
      <c r="B104">
        <f>(3/(1+('CurrentPor-All Factor Movements'!B104)/100)+103/POWER(1+('CurrentPor-All Factor Movements'!C104)/100,2))*100</f>
        <v>9621.7863540856906</v>
      </c>
      <c r="C104">
        <f>(3/(1+('CurrentPor-All Factor Movements'!B104+'CurrentPor-All Factor Movements'!F104)/100)+103/POWER(1+('CurrentPor-All Factor Movements'!C104+'CurrentPor-All Factor Movements'!F104)/100,2))*100</f>
        <v>9540.1782312803371</v>
      </c>
      <c r="D104">
        <f>(3/(1+('CurrentPor-All Factor Movements'!B104+'CurrentPor-All Factor Movements'!G104)/100)+103/POWER(1+('CurrentPor-All Factor Movements'!C104+'CurrentPor-All Factor Movements'!G104)/100,2))*100</f>
        <v>9495.6525355960657</v>
      </c>
      <c r="E104">
        <f>(3/(1+('CurrentPor-All Factor Movements'!B104+'CurrentPor-All Factor Movements'!H104)/100)+103/POWER(1+('CurrentPor-All Factor Movements'!C104+'CurrentPor-All Factor Movements'!H104)/100,2))*100</f>
        <v>9502.8350638063439</v>
      </c>
      <c r="F104">
        <f>Portfolio!B$5*'CurrentPor-All Factor Movements'!D104</f>
        <v>51893.351635077626</v>
      </c>
      <c r="G104">
        <f>Portfolio!B$6*'CurrentPor-All Factor Movements'!E104</f>
        <v>3587.1119803578877</v>
      </c>
      <c r="H104">
        <f t="shared" si="5"/>
        <v>93640.915800203962</v>
      </c>
      <c r="I104">
        <f t="shared" si="4"/>
        <v>-491.69780892756535</v>
      </c>
    </row>
    <row r="105" spans="1:9">
      <c r="A105" s="1">
        <v>39405</v>
      </c>
      <c r="B105">
        <f>(3/(1+('CurrentPor-All Factor Movements'!B105)/100)+103/POWER(1+('CurrentPor-All Factor Movements'!C105)/100,2))*100</f>
        <v>9690.6994773841161</v>
      </c>
      <c r="C105">
        <f>(3/(1+('CurrentPor-All Factor Movements'!B105+'CurrentPor-All Factor Movements'!F105)/100)+103/POWER(1+('CurrentPor-All Factor Movements'!C105+'CurrentPor-All Factor Movements'!F105)/100,2))*100</f>
        <v>9599.3767426704362</v>
      </c>
      <c r="D105">
        <f>(3/(1+('CurrentPor-All Factor Movements'!B105+'CurrentPor-All Factor Movements'!G105)/100)+103/POWER(1+('CurrentPor-All Factor Movements'!C105+'CurrentPor-All Factor Movements'!G105)/100,2))*100</f>
        <v>9586.3150345058293</v>
      </c>
      <c r="E105">
        <f>(3/(1+('CurrentPor-All Factor Movements'!B105+'CurrentPor-All Factor Movements'!H105)/100)+103/POWER(1+('CurrentPor-All Factor Movements'!C105+'CurrentPor-All Factor Movements'!H105)/100,2))*100</f>
        <v>9566.6061804863584</v>
      </c>
      <c r="F105">
        <f>Portfolio!B$5*'CurrentPor-All Factor Movements'!D105</f>
        <v>50781.466802024064</v>
      </c>
      <c r="G105">
        <f>Portfolio!B$6*'CurrentPor-All Factor Movements'!E105</f>
        <v>3777.8793198836729</v>
      </c>
      <c r="H105">
        <f t="shared" si="5"/>
        <v>93002.343556954482</v>
      </c>
      <c r="I105">
        <f t="shared" si="4"/>
        <v>-2991.5967822159437</v>
      </c>
    </row>
    <row r="106" spans="1:9">
      <c r="A106" s="1">
        <v>39406</v>
      </c>
      <c r="B106">
        <f>(3/(1+('CurrentPor-All Factor Movements'!B106)/100)+103/POWER(1+('CurrentPor-All Factor Movements'!C106)/100,2))*100</f>
        <v>9781.4681065442383</v>
      </c>
      <c r="C106">
        <f>(3/(1+('CurrentPor-All Factor Movements'!B106+'CurrentPor-All Factor Movements'!F106)/100)+103/POWER(1+('CurrentPor-All Factor Movements'!C106+'CurrentPor-All Factor Movements'!F106)/100,2))*100</f>
        <v>9695.8516519049263</v>
      </c>
      <c r="D106">
        <f>(3/(1+('CurrentPor-All Factor Movements'!B106+'CurrentPor-All Factor Movements'!G106)/100)+103/POWER(1+('CurrentPor-All Factor Movements'!C106+'CurrentPor-All Factor Movements'!G106)/100,2))*100</f>
        <v>9689.4249133983667</v>
      </c>
      <c r="E106">
        <f>(3/(1+('CurrentPor-All Factor Movements'!B106+'CurrentPor-All Factor Movements'!H106)/100)+103/POWER(1+('CurrentPor-All Factor Movements'!C106+'CurrentPor-All Factor Movements'!H106)/100,2))*100</f>
        <v>9641.4478384771191</v>
      </c>
      <c r="F106">
        <f>Portfolio!B$5*'CurrentPor-All Factor Movements'!D106</f>
        <v>52446.018700972549</v>
      </c>
      <c r="G106">
        <f>Portfolio!B$6*'CurrentPor-All Factor Movements'!E106</f>
        <v>3211.4757632959722</v>
      </c>
      <c r="H106">
        <f t="shared" si="5"/>
        <v>94465.686974593162</v>
      </c>
      <c r="I106">
        <f t="shared" si="4"/>
        <v>978.94102786194708</v>
      </c>
    </row>
    <row r="107" spans="1:9">
      <c r="A107" s="1">
        <v>39407</v>
      </c>
      <c r="B107">
        <f>(3/(1+('CurrentPor-All Factor Movements'!B107)/100)+103/POWER(1+('CurrentPor-All Factor Movements'!C107)/100,2))*100</f>
        <v>9831.3644105812946</v>
      </c>
      <c r="C107">
        <f>(3/(1+('CurrentPor-All Factor Movements'!B107+'CurrentPor-All Factor Movements'!F107)/100)+103/POWER(1+('CurrentPor-All Factor Movements'!C107+'CurrentPor-All Factor Movements'!F107)/100,2))*100</f>
        <v>9738.8321545823492</v>
      </c>
      <c r="D107">
        <f>(3/(1+('CurrentPor-All Factor Movements'!B107+'CurrentPor-All Factor Movements'!G107)/100)+103/POWER(1+('CurrentPor-All Factor Movements'!C107+'CurrentPor-All Factor Movements'!G107)/100,2))*100</f>
        <v>9729.7025116877321</v>
      </c>
      <c r="E107">
        <f>(3/(1+('CurrentPor-All Factor Movements'!B107+'CurrentPor-All Factor Movements'!H107)/100)+103/POWER(1+('CurrentPor-All Factor Movements'!C107+'CurrentPor-All Factor Movements'!H107)/100,2))*100</f>
        <v>9698.0057439985449</v>
      </c>
      <c r="F107">
        <f>Portfolio!B$5*'CurrentPor-All Factor Movements'!D107</f>
        <v>51103.500490608152</v>
      </c>
      <c r="G107">
        <f>Portfolio!B$6*'CurrentPor-All Factor Movements'!E107</f>
        <v>3299.0193735683379</v>
      </c>
      <c r="H107">
        <f t="shared" si="5"/>
        <v>93400.424685026417</v>
      </c>
      <c r="I107">
        <f t="shared" si="4"/>
        <v>-1192.6861066095444</v>
      </c>
    </row>
    <row r="108" spans="1:9">
      <c r="A108" s="1">
        <v>39408</v>
      </c>
      <c r="B108">
        <f>(3/(1+('CurrentPor-All Factor Movements'!B108)/100)+103/POWER(1+('CurrentPor-All Factor Movements'!C108)/100,2))*100</f>
        <v>9830.3743827101825</v>
      </c>
      <c r="C108">
        <f>(3/(1+('CurrentPor-All Factor Movements'!B108+'CurrentPor-All Factor Movements'!F108)/100)+103/POWER(1+('CurrentPor-All Factor Movements'!C108+'CurrentPor-All Factor Movements'!F108)/100,2))*100</f>
        <v>9730.4678373471979</v>
      </c>
      <c r="D108">
        <f>(3/(1+('CurrentPor-All Factor Movements'!B108+'CurrentPor-All Factor Movements'!G108)/100)+103/POWER(1+('CurrentPor-All Factor Movements'!C108+'CurrentPor-All Factor Movements'!G108)/100,2))*100</f>
        <v>9697.5106740628726</v>
      </c>
      <c r="E108">
        <f>(3/(1+('CurrentPor-All Factor Movements'!B108+'CurrentPor-All Factor Movements'!H108)/100)+103/POWER(1+('CurrentPor-All Factor Movements'!C108+'CurrentPor-All Factor Movements'!H108)/100,2))*100</f>
        <v>9692.4115129143247</v>
      </c>
      <c r="F108">
        <f>Portfolio!B$5*'CurrentPor-All Factor Movements'!D108</f>
        <v>51282.183548062982</v>
      </c>
      <c r="G108">
        <f>Portfolio!B$6*'CurrentPor-All Factor Movements'!E108</f>
        <v>3891.9572057281216</v>
      </c>
      <c r="H108">
        <f t="shared" si="5"/>
        <v>94124.905160825685</v>
      </c>
      <c r="I108">
        <f t="shared" si="4"/>
        <v>-26.477455319094588</v>
      </c>
    </row>
    <row r="109" spans="1:9">
      <c r="A109" s="1">
        <v>39409</v>
      </c>
      <c r="B109">
        <f>(3/(1+('CurrentPor-All Factor Movements'!B109)/100)+103/POWER(1+('CurrentPor-All Factor Movements'!C109)/100,2))*100</f>
        <v>9879.2884853861615</v>
      </c>
      <c r="C109">
        <f>(3/(1+('CurrentPor-All Factor Movements'!B109+'CurrentPor-All Factor Movements'!F109)/100)+103/POWER(1+('CurrentPor-All Factor Movements'!C109+'CurrentPor-All Factor Movements'!F109)/100,2))*100</f>
        <v>9787.8324234698575</v>
      </c>
      <c r="D109">
        <f>(3/(1+('CurrentPor-All Factor Movements'!B109+'CurrentPor-All Factor Movements'!G109)/100)+103/POWER(1+('CurrentPor-All Factor Movements'!C109+'CurrentPor-All Factor Movements'!G109)/100,2))*100</f>
        <v>9787.0781747579858</v>
      </c>
      <c r="E109">
        <f>(3/(1+('CurrentPor-All Factor Movements'!B109+'CurrentPor-All Factor Movements'!H109)/100)+103/POWER(1+('CurrentPor-All Factor Movements'!C109+'CurrentPor-All Factor Movements'!H109)/100,2))*100</f>
        <v>9755.5146649939707</v>
      </c>
      <c r="F109">
        <f>Portfolio!B$5*'CurrentPor-All Factor Movements'!D109</f>
        <v>50817.742911314097</v>
      </c>
      <c r="G109">
        <f>Portfolio!B$6*'CurrentPor-All Factor Movements'!E109</f>
        <v>3357.0522570556591</v>
      </c>
      <c r="H109">
        <f t="shared" si="5"/>
        <v>93384.508916977735</v>
      </c>
      <c r="I109">
        <f t="shared" si="4"/>
        <v>-1778.5605050797021</v>
      </c>
    </row>
    <row r="110" spans="1:9">
      <c r="A110" s="1">
        <v>39412</v>
      </c>
      <c r="B110">
        <f>(3/(1+('CurrentPor-All Factor Movements'!B110)/100)+103/POWER(1+('CurrentPor-All Factor Movements'!C110)/100,2))*100</f>
        <v>9762.7329227233167</v>
      </c>
      <c r="C110">
        <f>(3/(1+('CurrentPor-All Factor Movements'!B110+'CurrentPor-All Factor Movements'!F110)/100)+103/POWER(1+('CurrentPor-All Factor Movements'!C110+'CurrentPor-All Factor Movements'!F110)/100,2))*100</f>
        <v>9668.9917294396273</v>
      </c>
      <c r="D110">
        <f>(3/(1+('CurrentPor-All Factor Movements'!B110+'CurrentPor-All Factor Movements'!G110)/100)+103/POWER(1+('CurrentPor-All Factor Movements'!C110+'CurrentPor-All Factor Movements'!G110)/100,2))*100</f>
        <v>9643.0458400317966</v>
      </c>
      <c r="E110">
        <f>(3/(1+('CurrentPor-All Factor Movements'!B110+'CurrentPor-All Factor Movements'!H110)/100)+103/POWER(1+('CurrentPor-All Factor Movements'!C110+'CurrentPor-All Factor Movements'!H110)/100,2))*100</f>
        <v>9652.3356449528819</v>
      </c>
      <c r="F110">
        <f>Portfolio!B$5*'CurrentPor-All Factor Movements'!D110</f>
        <v>53198.906518296084</v>
      </c>
      <c r="G110">
        <f>Portfolio!B$6*'CurrentPor-All Factor Movements'!E110</f>
        <v>3370.1149075922331</v>
      </c>
      <c r="H110">
        <f t="shared" si="5"/>
        <v>95296.127563035931</v>
      </c>
      <c r="I110">
        <f t="shared" si="4"/>
        <v>517.4428664080915</v>
      </c>
    </row>
    <row r="111" spans="1:9">
      <c r="A111" s="1">
        <v>39413</v>
      </c>
      <c r="B111">
        <f>(3/(1+('CurrentPor-All Factor Movements'!B111)/100)+103/POWER(1+('CurrentPor-All Factor Movements'!C111)/100,2))*100</f>
        <v>9530.6843456859115</v>
      </c>
      <c r="C111">
        <f>(3/(1+('CurrentPor-All Factor Movements'!B111+'CurrentPor-All Factor Movements'!F111)/100)+103/POWER(1+('CurrentPor-All Factor Movements'!C111+'CurrentPor-All Factor Movements'!F111)/100,2))*100</f>
        <v>9441.7770385645326</v>
      </c>
      <c r="D111">
        <f>(3/(1+('CurrentPor-All Factor Movements'!B111+'CurrentPor-All Factor Movements'!G111)/100)+103/POWER(1+('CurrentPor-All Factor Movements'!C111+'CurrentPor-All Factor Movements'!G111)/100,2))*100</f>
        <v>9423.9112588980715</v>
      </c>
      <c r="E111">
        <f>(3/(1+('CurrentPor-All Factor Movements'!B111+'CurrentPor-All Factor Movements'!H111)/100)+103/POWER(1+('CurrentPor-All Factor Movements'!C111+'CurrentPor-All Factor Movements'!H111)/100,2))*100</f>
        <v>9428.1906364725637</v>
      </c>
      <c r="F111">
        <f>Portfolio!B$5*'CurrentPor-All Factor Movements'!D111</f>
        <v>51593.91947152291</v>
      </c>
      <c r="G111">
        <f>Portfolio!B$6*'CurrentPor-All Factor Movements'!E111</f>
        <v>3589.3820498689188</v>
      </c>
      <c r="H111">
        <f t="shared" si="5"/>
        <v>93007.864801012896</v>
      </c>
      <c r="I111">
        <f t="shared" si="4"/>
        <v>-2533.8574777127069</v>
      </c>
    </row>
    <row r="112" spans="1:9">
      <c r="A112" s="1">
        <v>39414</v>
      </c>
      <c r="B112">
        <f>(3/(1+('CurrentPor-All Factor Movements'!B112)/100)+103/POWER(1+('CurrentPor-All Factor Movements'!C112)/100,2))*100</f>
        <v>9604.8199343083852</v>
      </c>
      <c r="C112">
        <f>(3/(1+('CurrentPor-All Factor Movements'!B112+'CurrentPor-All Factor Movements'!F112)/100)+103/POWER(1+('CurrentPor-All Factor Movements'!C112+'CurrentPor-All Factor Movements'!F112)/100,2))*100</f>
        <v>9522.0593193877739</v>
      </c>
      <c r="D112">
        <f>(3/(1+('CurrentPor-All Factor Movements'!B112+'CurrentPor-All Factor Movements'!G112)/100)+103/POWER(1+('CurrentPor-All Factor Movements'!C112+'CurrentPor-All Factor Movements'!G112)/100,2))*100</f>
        <v>9500.7869351023819</v>
      </c>
      <c r="E112">
        <f>(3/(1+('CurrentPor-All Factor Movements'!B112+'CurrentPor-All Factor Movements'!H112)/100)+103/POWER(1+('CurrentPor-All Factor Movements'!C112+'CurrentPor-All Factor Movements'!H112)/100,2))*100</f>
        <v>9491.5012843226232</v>
      </c>
      <c r="F112">
        <f>Portfolio!B$5*'CurrentPor-All Factor Movements'!D112</f>
        <v>51510.657395515635</v>
      </c>
      <c r="G112">
        <f>Portfolio!B$6*'CurrentPor-All Factor Movements'!E112</f>
        <v>3726.1775851271154</v>
      </c>
      <c r="H112">
        <f t="shared" si="5"/>
        <v>93356.002453763896</v>
      </c>
      <c r="I112">
        <f t="shared" si="4"/>
        <v>-1043.8167502165597</v>
      </c>
    </row>
    <row r="113" spans="1:9">
      <c r="A113" s="1">
        <v>39415</v>
      </c>
      <c r="B113">
        <f>(3/(1+('CurrentPor-All Factor Movements'!B113)/100)+103/POWER(1+('CurrentPor-All Factor Movements'!C113)/100,2))*100</f>
        <v>9679.3358815644388</v>
      </c>
      <c r="C113">
        <f>(3/(1+('CurrentPor-All Factor Movements'!B113+'CurrentPor-All Factor Movements'!F113)/100)+103/POWER(1+('CurrentPor-All Factor Movements'!C113+'CurrentPor-All Factor Movements'!F113)/100,2))*100</f>
        <v>9591.3461875394587</v>
      </c>
      <c r="D113">
        <f>(3/(1+('CurrentPor-All Factor Movements'!B113+'CurrentPor-All Factor Movements'!G113)/100)+103/POWER(1+('CurrentPor-All Factor Movements'!C113+'CurrentPor-All Factor Movements'!G113)/100,2))*100</f>
        <v>9586.5102929005352</v>
      </c>
      <c r="E113">
        <f>(3/(1+('CurrentPor-All Factor Movements'!B113+'CurrentPor-All Factor Movements'!H113)/100)+103/POWER(1+('CurrentPor-All Factor Movements'!C113+'CurrentPor-All Factor Movements'!H113)/100,2))*100</f>
        <v>9546.6365722991432</v>
      </c>
      <c r="F113">
        <f>Portfolio!B$5*'CurrentPor-All Factor Movements'!D113</f>
        <v>53354.353468270936</v>
      </c>
      <c r="G113">
        <f>Portfolio!B$6*'CurrentPor-All Factor Movements'!E113</f>
        <v>3341.9755958445421</v>
      </c>
      <c r="H113">
        <f t="shared" si="5"/>
        <v>95100.157998419061</v>
      </c>
      <c r="I113">
        <f t="shared" si="4"/>
        <v>369.77653980057221</v>
      </c>
    </row>
    <row r="114" spans="1:9">
      <c r="A114" s="1">
        <v>39416</v>
      </c>
      <c r="B114">
        <f>(3/(1+('CurrentPor-All Factor Movements'!B114)/100)+103/POWER(1+('CurrentPor-All Factor Movements'!C114)/100,2))*100</f>
        <v>9560.767652040895</v>
      </c>
      <c r="C114">
        <f>(3/(1+('CurrentPor-All Factor Movements'!B114+'CurrentPor-All Factor Movements'!F114)/100)+103/POWER(1+('CurrentPor-All Factor Movements'!C114+'CurrentPor-All Factor Movements'!F114)/100,2))*100</f>
        <v>9453.0868332000282</v>
      </c>
      <c r="D114">
        <f>(3/(1+('CurrentPor-All Factor Movements'!B114+'CurrentPor-All Factor Movements'!G114)/100)+103/POWER(1+('CurrentPor-All Factor Movements'!C114+'CurrentPor-All Factor Movements'!G114)/100,2))*100</f>
        <v>9465.9651470341523</v>
      </c>
      <c r="E114">
        <f>(3/(1+('CurrentPor-All Factor Movements'!B114+'CurrentPor-All Factor Movements'!H114)/100)+103/POWER(1+('CurrentPor-All Factor Movements'!C114+'CurrentPor-All Factor Movements'!H114)/100,2))*100</f>
        <v>9445.208355698298</v>
      </c>
      <c r="F114">
        <f>Portfolio!B$5*'CurrentPor-All Factor Movements'!D114</f>
        <v>53160.767013128097</v>
      </c>
      <c r="G114">
        <f>Portfolio!B$6*'CurrentPor-All Factor Movements'!E114</f>
        <v>3609.3931049142716</v>
      </c>
      <c r="H114">
        <f t="shared" si="5"/>
        <v>94695.188106015747</v>
      </c>
      <c r="I114">
        <f t="shared" si="4"/>
        <v>1054.2723058117845</v>
      </c>
    </row>
    <row r="115" spans="1:9">
      <c r="A115" s="1">
        <v>39419</v>
      </c>
      <c r="B115">
        <f>(3/(1+('CurrentPor-All Factor Movements'!B115)/100)+103/POWER(1+('CurrentPor-All Factor Movements'!C115)/100,2))*100</f>
        <v>9677.0845449902299</v>
      </c>
      <c r="C115">
        <f>(3/(1+('CurrentPor-All Factor Movements'!B115+'CurrentPor-All Factor Movements'!F115)/100)+103/POWER(1+('CurrentPor-All Factor Movements'!C115+'CurrentPor-All Factor Movements'!F115)/100,2))*100</f>
        <v>9584.9250310146999</v>
      </c>
      <c r="D115">
        <f>(3/(1+('CurrentPor-All Factor Movements'!B115+'CurrentPor-All Factor Movements'!G115)/100)+103/POWER(1+('CurrentPor-All Factor Movements'!C115+'CurrentPor-All Factor Movements'!G115)/100,2))*100</f>
        <v>9562.7946523196297</v>
      </c>
      <c r="E115">
        <f>(3/(1+('CurrentPor-All Factor Movements'!B115+'CurrentPor-All Factor Movements'!H115)/100)+103/POWER(1+('CurrentPor-All Factor Movements'!C115+'CurrentPor-All Factor Movements'!H115)/100,2))*100</f>
        <v>9557.7705067175466</v>
      </c>
      <c r="F115">
        <f>Portfolio!B$5*'CurrentPor-All Factor Movements'!D115</f>
        <v>50589.790012212696</v>
      </c>
      <c r="G115">
        <f>Portfolio!B$6*'CurrentPor-All Factor Movements'!E115</f>
        <v>3451.3344281579771</v>
      </c>
      <c r="H115">
        <f t="shared" si="5"/>
        <v>92423.699175412781</v>
      </c>
      <c r="I115">
        <f t="shared" si="4"/>
        <v>-578.64438154170057</v>
      </c>
    </row>
    <row r="116" spans="1:9">
      <c r="A116" s="1">
        <v>39420</v>
      </c>
      <c r="B116">
        <f>(3/(1+('CurrentPor-All Factor Movements'!B116)/100)+103/POWER(1+('CurrentPor-All Factor Movements'!C116)/100,2))*100</f>
        <v>9619.7265694879497</v>
      </c>
      <c r="C116">
        <f>(3/(1+('CurrentPor-All Factor Movements'!B116+'CurrentPor-All Factor Movements'!F116)/100)+103/POWER(1+('CurrentPor-All Factor Movements'!C116+'CurrentPor-All Factor Movements'!F116)/100,2))*100</f>
        <v>9532.9985030163971</v>
      </c>
      <c r="D116">
        <f>(3/(1+('CurrentPor-All Factor Movements'!B116+'CurrentPor-All Factor Movements'!G116)/100)+103/POWER(1+('CurrentPor-All Factor Movements'!C116+'CurrentPor-All Factor Movements'!G116)/100,2))*100</f>
        <v>9528.0875620741408</v>
      </c>
      <c r="E116">
        <f>(3/(1+('CurrentPor-All Factor Movements'!B116+'CurrentPor-All Factor Movements'!H116)/100)+103/POWER(1+('CurrentPor-All Factor Movements'!C116+'CurrentPor-All Factor Movements'!H116)/100,2))*100</f>
        <v>9503.4619494710478</v>
      </c>
      <c r="F116">
        <f>Portfolio!B$5*'CurrentPor-All Factor Movements'!D116</f>
        <v>52979.953538933034</v>
      </c>
      <c r="G116">
        <f>Portfolio!B$6*'CurrentPor-All Factor Movements'!E116</f>
        <v>3519.1071273609141</v>
      </c>
      <c r="H116">
        <f t="shared" si="5"/>
        <v>94683.335250343487</v>
      </c>
      <c r="I116">
        <f t="shared" si="4"/>
        <v>217.64827575032541</v>
      </c>
    </row>
    <row r="117" spans="1:9">
      <c r="A117" s="1">
        <v>39421</v>
      </c>
      <c r="B117">
        <f>(3/(1+('CurrentPor-All Factor Movements'!B117)/100)+103/POWER(1+('CurrentPor-All Factor Movements'!C117)/100,2))*100</f>
        <v>9534.1200725609815</v>
      </c>
      <c r="C117">
        <f>(3/(1+('CurrentPor-All Factor Movements'!B117+'CurrentPor-All Factor Movements'!F117)/100)+103/POWER(1+('CurrentPor-All Factor Movements'!C117+'CurrentPor-All Factor Movements'!F117)/100,2))*100</f>
        <v>9442.1143287678296</v>
      </c>
      <c r="D117">
        <f>(3/(1+('CurrentPor-All Factor Movements'!B117+'CurrentPor-All Factor Movements'!G117)/100)+103/POWER(1+('CurrentPor-All Factor Movements'!C117+'CurrentPor-All Factor Movements'!G117)/100,2))*100</f>
        <v>9421.2753948417667</v>
      </c>
      <c r="E117">
        <f>(3/(1+('CurrentPor-All Factor Movements'!B117+'CurrentPor-All Factor Movements'!H117)/100)+103/POWER(1+('CurrentPor-All Factor Movements'!C117+'CurrentPor-All Factor Movements'!H117)/100,2))*100</f>
        <v>9426.394976980193</v>
      </c>
      <c r="F117">
        <f>Portfolio!B$5*'CurrentPor-All Factor Movements'!D117</f>
        <v>52861.607532171591</v>
      </c>
      <c r="G117">
        <f>Portfolio!B$6*'CurrentPor-All Factor Movements'!E117</f>
        <v>3526.7902627929884</v>
      </c>
      <c r="H117">
        <f t="shared" si="5"/>
        <v>94212.302568115352</v>
      </c>
      <c r="I117">
        <f t="shared" si="4"/>
        <v>811.87788308893505</v>
      </c>
    </row>
    <row r="118" spans="1:9">
      <c r="A118" s="1">
        <v>39422</v>
      </c>
      <c r="B118">
        <f>(3/(1+('CurrentPor-All Factor Movements'!B118)/100)+103/POWER(1+('CurrentPor-All Factor Movements'!C118)/100,2))*100</f>
        <v>9781.4718967678182</v>
      </c>
      <c r="C118">
        <f>(3/(1+('CurrentPor-All Factor Movements'!B118+'CurrentPor-All Factor Movements'!F118)/100)+103/POWER(1+('CurrentPor-All Factor Movements'!C118+'CurrentPor-All Factor Movements'!F118)/100,2))*100</f>
        <v>9669.4452145867581</v>
      </c>
      <c r="D118">
        <f>(3/(1+('CurrentPor-All Factor Movements'!B118+'CurrentPor-All Factor Movements'!G118)/100)+103/POWER(1+('CurrentPor-All Factor Movements'!C118+'CurrentPor-All Factor Movements'!G118)/100,2))*100</f>
        <v>9674.5021961594484</v>
      </c>
      <c r="E118">
        <f>(3/(1+('CurrentPor-All Factor Movements'!B118+'CurrentPor-All Factor Movements'!H118)/100)+103/POWER(1+('CurrentPor-All Factor Movements'!C118+'CurrentPor-All Factor Movements'!H118)/100,2))*100</f>
        <v>9645.3223833707561</v>
      </c>
      <c r="F118">
        <f>Portfolio!B$5*'CurrentPor-All Factor Movements'!D118</f>
        <v>52308.31442206887</v>
      </c>
      <c r="G118">
        <f>Portfolio!B$6*'CurrentPor-All Factor Movements'!E118</f>
        <v>3517.5282474156611</v>
      </c>
      <c r="H118">
        <f t="shared" si="5"/>
        <v>94596.584360369307</v>
      </c>
      <c r="I118">
        <f t="shared" si="4"/>
        <v>471.67919954362151</v>
      </c>
    </row>
    <row r="119" spans="1:9">
      <c r="A119" s="1">
        <v>39423</v>
      </c>
      <c r="B119">
        <f>(3/(1+('CurrentPor-All Factor Movements'!B119)/100)+103/POWER(1+('CurrentPor-All Factor Movements'!C119)/100,2))*100</f>
        <v>9716.0182130359408</v>
      </c>
      <c r="C119">
        <f>(3/(1+('CurrentPor-All Factor Movements'!B119+'CurrentPor-All Factor Movements'!F119)/100)+103/POWER(1+('CurrentPor-All Factor Movements'!C119+'CurrentPor-All Factor Movements'!F119)/100,2))*100</f>
        <v>9632.1260286331872</v>
      </c>
      <c r="D119">
        <f>(3/(1+('CurrentPor-All Factor Movements'!B119+'CurrentPor-All Factor Movements'!G119)/100)+103/POWER(1+('CurrentPor-All Factor Movements'!C119+'CurrentPor-All Factor Movements'!G119)/100,2))*100</f>
        <v>9590.2342502282499</v>
      </c>
      <c r="E119">
        <f>(3/(1+('CurrentPor-All Factor Movements'!B119+'CurrentPor-All Factor Movements'!H119)/100)+103/POWER(1+('CurrentPor-All Factor Movements'!C119+'CurrentPor-All Factor Movements'!H119)/100,2))*100</f>
        <v>9590.8649796596274</v>
      </c>
      <c r="F119">
        <f>Portfolio!B$5*'CurrentPor-All Factor Movements'!D119</f>
        <v>52533.299531242417</v>
      </c>
      <c r="G119">
        <f>Portfolio!B$6*'CurrentPor-All Factor Movements'!E119</f>
        <v>3484.5973906945551</v>
      </c>
      <c r="H119">
        <f t="shared" si="5"/>
        <v>94547.140393493974</v>
      </c>
      <c r="I119">
        <f t="shared" si="4"/>
        <v>1162.6314765162388</v>
      </c>
    </row>
    <row r="120" spans="1:9">
      <c r="A120" s="1">
        <v>39426</v>
      </c>
      <c r="B120">
        <f>(3/(1+('CurrentPor-All Factor Movements'!B120)/100)+103/POWER(1+('CurrentPor-All Factor Movements'!C120)/100,2))*100</f>
        <v>9910.2354053273502</v>
      </c>
      <c r="C120">
        <f>(3/(1+('CurrentPor-All Factor Movements'!B120+'CurrentPor-All Factor Movements'!F120)/100)+103/POWER(1+('CurrentPor-All Factor Movements'!C120+'CurrentPor-All Factor Movements'!F120)/100,2))*100</f>
        <v>9804.3279960937889</v>
      </c>
      <c r="D120">
        <f>(3/(1+('CurrentPor-All Factor Movements'!B120+'CurrentPor-All Factor Movements'!G120)/100)+103/POWER(1+('CurrentPor-All Factor Movements'!C120+'CurrentPor-All Factor Movements'!G120)/100,2))*100</f>
        <v>9808.4450270896086</v>
      </c>
      <c r="E120">
        <f>(3/(1+('CurrentPor-All Factor Movements'!B120+'CurrentPor-All Factor Movements'!H120)/100)+103/POWER(1+('CurrentPor-All Factor Movements'!C120+'CurrentPor-All Factor Movements'!H120)/100,2))*100</f>
        <v>9784.196900975885</v>
      </c>
      <c r="F120">
        <f>Portfolio!B$5*'CurrentPor-All Factor Movements'!D120</f>
        <v>52052.135173370174</v>
      </c>
      <c r="G120">
        <f>Portfolio!B$6*'CurrentPor-All Factor Movements'!E120</f>
        <v>3567.521376533376</v>
      </c>
      <c r="H120">
        <f t="shared" si="5"/>
        <v>94926.861879390184</v>
      </c>
      <c r="I120">
        <f t="shared" si="4"/>
        <v>-369.26568364574632</v>
      </c>
    </row>
    <row r="121" spans="1:9">
      <c r="A121" s="1">
        <v>39427</v>
      </c>
      <c r="B121">
        <f>(3/(1+('CurrentPor-All Factor Movements'!B121)/100)+103/POWER(1+('CurrentPor-All Factor Movements'!C121)/100,2))*100</f>
        <v>9803.6858757423197</v>
      </c>
      <c r="C121">
        <f>(3/(1+('CurrentPor-All Factor Movements'!B121+'CurrentPor-All Factor Movements'!F121)/100)+103/POWER(1+('CurrentPor-All Factor Movements'!C121+'CurrentPor-All Factor Movements'!F121)/100,2))*100</f>
        <v>9695.6451038166597</v>
      </c>
      <c r="D121">
        <f>(3/(1+('CurrentPor-All Factor Movements'!B121+'CurrentPor-All Factor Movements'!G121)/100)+103/POWER(1+('CurrentPor-All Factor Movements'!C121+'CurrentPor-All Factor Movements'!G121)/100,2))*100</f>
        <v>9692.696481254352</v>
      </c>
      <c r="E121">
        <f>(3/(1+('CurrentPor-All Factor Movements'!B121+'CurrentPor-All Factor Movements'!H121)/100)+103/POWER(1+('CurrentPor-All Factor Movements'!C121+'CurrentPor-All Factor Movements'!H121)/100,2))*100</f>
        <v>9692.9733939681519</v>
      </c>
      <c r="F121">
        <f>Portfolio!B$5*'CurrentPor-All Factor Movements'!D121</f>
        <v>52818.84535705216</v>
      </c>
      <c r="G121">
        <f>Portfolio!B$6*'CurrentPor-All Factor Movements'!E121</f>
        <v>3635.0682089155712</v>
      </c>
      <c r="H121">
        <f t="shared" si="5"/>
        <v>95338.914420749221</v>
      </c>
      <c r="I121">
        <f t="shared" si="4"/>
        <v>2331.0496197363245</v>
      </c>
    </row>
    <row r="122" spans="1:9">
      <c r="A122" s="1">
        <v>39428</v>
      </c>
      <c r="B122">
        <f>(3/(1+('CurrentPor-All Factor Movements'!B122)/100)+103/POWER(1+('CurrentPor-All Factor Movements'!C122)/100,2))*100</f>
        <v>9735.0323780351737</v>
      </c>
      <c r="C122">
        <f>(3/(1+('CurrentPor-All Factor Movements'!B122+'CurrentPor-All Factor Movements'!F122)/100)+103/POWER(1+('CurrentPor-All Factor Movements'!C122+'CurrentPor-All Factor Movements'!F122)/100,2))*100</f>
        <v>9626.4743521163109</v>
      </c>
      <c r="D122">
        <f>(3/(1+('CurrentPor-All Factor Movements'!B122+'CurrentPor-All Factor Movements'!G122)/100)+103/POWER(1+('CurrentPor-All Factor Movements'!C122+'CurrentPor-All Factor Movements'!G122)/100,2))*100</f>
        <v>9626.7126681380214</v>
      </c>
      <c r="E122">
        <f>(3/(1+('CurrentPor-All Factor Movements'!B122+'CurrentPor-All Factor Movements'!H122)/100)+103/POWER(1+('CurrentPor-All Factor Movements'!C122+'CurrentPor-All Factor Movements'!H122)/100,2))*100</f>
        <v>9612.6634239454361</v>
      </c>
      <c r="F122">
        <f>Portfolio!B$5*'CurrentPor-All Factor Movements'!D122</f>
        <v>54323.21457777766</v>
      </c>
      <c r="G122">
        <f>Portfolio!B$6*'CurrentPor-All Factor Movements'!E122</f>
        <v>3294.6771757570355</v>
      </c>
      <c r="H122">
        <f t="shared" si="5"/>
        <v>96218.774575769639</v>
      </c>
      <c r="I122">
        <f t="shared" si="4"/>
        <v>2862.7721220057429</v>
      </c>
    </row>
    <row r="123" spans="1:9">
      <c r="A123" s="1">
        <v>39429</v>
      </c>
      <c r="B123">
        <f>(3/(1+('CurrentPor-All Factor Movements'!B123)/100)+103/POWER(1+('CurrentPor-All Factor Movements'!C123)/100,2))*100</f>
        <v>9810.1120492130867</v>
      </c>
      <c r="C123">
        <f>(3/(1+('CurrentPor-All Factor Movements'!B123+'CurrentPor-All Factor Movements'!F123)/100)+103/POWER(1+('CurrentPor-All Factor Movements'!C123+'CurrentPor-All Factor Movements'!F123)/100,2))*100</f>
        <v>9714.0273617856274</v>
      </c>
      <c r="D123">
        <f>(3/(1+('CurrentPor-All Factor Movements'!B123+'CurrentPor-All Factor Movements'!G123)/100)+103/POWER(1+('CurrentPor-All Factor Movements'!C123+'CurrentPor-All Factor Movements'!G123)/100,2))*100</f>
        <v>9689.4805620132993</v>
      </c>
      <c r="E123">
        <f>(3/(1+('CurrentPor-All Factor Movements'!B123+'CurrentPor-All Factor Movements'!H123)/100)+103/POWER(1+('CurrentPor-All Factor Movements'!C123+'CurrentPor-All Factor Movements'!H123)/100,2))*100</f>
        <v>9669.1121319055146</v>
      </c>
      <c r="F123">
        <f>Portfolio!B$5*'CurrentPor-All Factor Movements'!D123</f>
        <v>51382.869071503206</v>
      </c>
      <c r="G123">
        <f>Portfolio!B$6*'CurrentPor-All Factor Movements'!E123</f>
        <v>3594.0659924730176</v>
      </c>
      <c r="H123">
        <f t="shared" si="5"/>
        <v>93859.667168893749</v>
      </c>
      <c r="I123">
        <f t="shared" si="4"/>
        <v>-1240.4908295253117</v>
      </c>
    </row>
    <row r="124" spans="1:9">
      <c r="A124" s="1">
        <v>39430</v>
      </c>
      <c r="B124">
        <f>(3/(1+('CurrentPor-All Factor Movements'!B124)/100)+103/POWER(1+('CurrentPor-All Factor Movements'!C124)/100,2))*100</f>
        <v>9650.839542769223</v>
      </c>
      <c r="C124">
        <f>(3/(1+('CurrentPor-All Factor Movements'!B124+'CurrentPor-All Factor Movements'!F124)/100)+103/POWER(1+('CurrentPor-All Factor Movements'!C124+'CurrentPor-All Factor Movements'!F124)/100,2))*100</f>
        <v>9558.6307240599872</v>
      </c>
      <c r="D124">
        <f>(3/(1+('CurrentPor-All Factor Movements'!B124+'CurrentPor-All Factor Movements'!G124)/100)+103/POWER(1+('CurrentPor-All Factor Movements'!C124+'CurrentPor-All Factor Movements'!G124)/100,2))*100</f>
        <v>9536.151859887992</v>
      </c>
      <c r="E124">
        <f>(3/(1+('CurrentPor-All Factor Movements'!B124+'CurrentPor-All Factor Movements'!H124)/100)+103/POWER(1+('CurrentPor-All Factor Movements'!C124+'CurrentPor-All Factor Movements'!H124)/100,2))*100</f>
        <v>9537.7484309571992</v>
      </c>
      <c r="F124">
        <f>Portfolio!B$5*'CurrentPor-All Factor Movements'!D124</f>
        <v>52277.241819357652</v>
      </c>
      <c r="G124">
        <f>Portfolio!B$6*'CurrentPor-All Factor Movements'!E124</f>
        <v>3857.6572890703078</v>
      </c>
      <c r="H124">
        <f t="shared" si="5"/>
        <v>94418.269666102366</v>
      </c>
      <c r="I124">
        <f t="shared" si="4"/>
        <v>-276.91843991338101</v>
      </c>
    </row>
    <row r="125" spans="1:9">
      <c r="A125" s="1">
        <v>39433</v>
      </c>
      <c r="B125">
        <f>(3/(1+('CurrentPor-All Factor Movements'!B125)/100)+103/POWER(1+('CurrentPor-All Factor Movements'!C125)/100,2))*100</f>
        <v>9790.5993898246415</v>
      </c>
      <c r="C125">
        <f>(3/(1+('CurrentPor-All Factor Movements'!B125+'CurrentPor-All Factor Movements'!F125)/100)+103/POWER(1+('CurrentPor-All Factor Movements'!C125+'CurrentPor-All Factor Movements'!F125)/100,2))*100</f>
        <v>9700.8092819159974</v>
      </c>
      <c r="D125">
        <f>(3/(1+('CurrentPor-All Factor Movements'!B125+'CurrentPor-All Factor Movements'!G125)/100)+103/POWER(1+('CurrentPor-All Factor Movements'!C125+'CurrentPor-All Factor Movements'!G125)/100,2))*100</f>
        <v>9679.5847895035713</v>
      </c>
      <c r="E125">
        <f>(3/(1+('CurrentPor-All Factor Movements'!B125+'CurrentPor-All Factor Movements'!H125)/100)+103/POWER(1+('CurrentPor-All Factor Movements'!C125+'CurrentPor-All Factor Movements'!H125)/100,2))*100</f>
        <v>9651.195423569643</v>
      </c>
      <c r="F125">
        <f>Portfolio!B$5*'CurrentPor-All Factor Movements'!D125</f>
        <v>53251.643351919731</v>
      </c>
      <c r="G125">
        <f>Portfolio!B$6*'CurrentPor-All Factor Movements'!E125</f>
        <v>3357.7844065040763</v>
      </c>
      <c r="H125">
        <f t="shared" si="5"/>
        <v>95431.616643237649</v>
      </c>
      <c r="I125">
        <f t="shared" si="4"/>
        <v>3007.9174678248673</v>
      </c>
    </row>
    <row r="126" spans="1:9">
      <c r="A126" s="1">
        <v>39434</v>
      </c>
      <c r="B126">
        <f>(3/(1+('CurrentPor-All Factor Movements'!B126)/100)+103/POWER(1+('CurrentPor-All Factor Movements'!C126)/100,2))*100</f>
        <v>9785.1758715486139</v>
      </c>
      <c r="C126">
        <f>(3/(1+('CurrentPor-All Factor Movements'!B126+'CurrentPor-All Factor Movements'!F126)/100)+103/POWER(1+('CurrentPor-All Factor Movements'!C126+'CurrentPor-All Factor Movements'!F126)/100,2))*100</f>
        <v>9683.8718271039033</v>
      </c>
      <c r="D126">
        <f>(3/(1+('CurrentPor-All Factor Movements'!B126+'CurrentPor-All Factor Movements'!G126)/100)+103/POWER(1+('CurrentPor-All Factor Movements'!C126+'CurrentPor-All Factor Movements'!G126)/100,2))*100</f>
        <v>9683.9229430702635</v>
      </c>
      <c r="E126">
        <f>(3/(1+('CurrentPor-All Factor Movements'!B126+'CurrentPor-All Factor Movements'!H126)/100)+103/POWER(1+('CurrentPor-All Factor Movements'!C126+'CurrentPor-All Factor Movements'!H126)/100,2))*100</f>
        <v>9659.6347189936496</v>
      </c>
      <c r="F126">
        <f>Portfolio!B$5*'CurrentPor-All Factor Movements'!D126</f>
        <v>52062.189714518419</v>
      </c>
      <c r="G126">
        <f>Portfolio!B$6*'CurrentPor-All Factor Movements'!E126</f>
        <v>3427.3819863802273</v>
      </c>
      <c r="H126">
        <f t="shared" si="5"/>
        <v>94302.177061615075</v>
      </c>
      <c r="I126">
        <f t="shared" si="4"/>
        <v>-381.15818872841191</v>
      </c>
    </row>
    <row r="127" spans="1:9">
      <c r="A127" s="1">
        <v>39435</v>
      </c>
      <c r="B127">
        <f>(3/(1+('CurrentPor-All Factor Movements'!B127)/100)+103/POWER(1+('CurrentPor-All Factor Movements'!C127)/100,2))*100</f>
        <v>9783.8721463292823</v>
      </c>
      <c r="C127">
        <f>(3/(1+('CurrentPor-All Factor Movements'!B127+'CurrentPor-All Factor Movements'!F127)/100)+103/POWER(1+('CurrentPor-All Factor Movements'!C127+'CurrentPor-All Factor Movements'!F127)/100,2))*100</f>
        <v>9682.2094971287715</v>
      </c>
      <c r="D127">
        <f>(3/(1+('CurrentPor-All Factor Movements'!B127+'CurrentPor-All Factor Movements'!G127)/100)+103/POWER(1+('CurrentPor-All Factor Movements'!C127+'CurrentPor-All Factor Movements'!G127)/100,2))*100</f>
        <v>9672.0444239616136</v>
      </c>
      <c r="E127">
        <f>(3/(1+('CurrentPor-All Factor Movements'!B127+'CurrentPor-All Factor Movements'!H127)/100)+103/POWER(1+('CurrentPor-All Factor Movements'!C127+'CurrentPor-All Factor Movements'!H127)/100,2))*100</f>
        <v>9671.9557092518007</v>
      </c>
      <c r="F127">
        <f>Portfolio!B$5*'CurrentPor-All Factor Movements'!D127</f>
        <v>52620.599485945437</v>
      </c>
      <c r="G127">
        <f>Portfolio!B$6*'CurrentPor-All Factor Movements'!E127</f>
        <v>3504.117491915305</v>
      </c>
      <c r="H127">
        <f t="shared" si="5"/>
        <v>94934.79875453221</v>
      </c>
      <c r="I127">
        <f t="shared" si="4"/>
        <v>722.49618641685811</v>
      </c>
    </row>
    <row r="128" spans="1:9">
      <c r="A128" s="1">
        <v>39436</v>
      </c>
      <c r="B128">
        <f>(3/(1+('CurrentPor-All Factor Movements'!B128)/100)+103/POWER(1+('CurrentPor-All Factor Movements'!C128)/100,2))*100</f>
        <v>9776.6150031011384</v>
      </c>
      <c r="C128">
        <f>(3/(1+('CurrentPor-All Factor Movements'!B128+'CurrentPor-All Factor Movements'!F128)/100)+103/POWER(1+('CurrentPor-All Factor Movements'!C128+'CurrentPor-All Factor Movements'!F128)/100,2))*100</f>
        <v>9699.9198399346078</v>
      </c>
      <c r="D128">
        <f>(3/(1+('CurrentPor-All Factor Movements'!B128+'CurrentPor-All Factor Movements'!G128)/100)+103/POWER(1+('CurrentPor-All Factor Movements'!C128+'CurrentPor-All Factor Movements'!G128)/100,2))*100</f>
        <v>9660.0170985832137</v>
      </c>
      <c r="E128">
        <f>(3/(1+('CurrentPor-All Factor Movements'!B128+'CurrentPor-All Factor Movements'!H128)/100)+103/POWER(1+('CurrentPor-All Factor Movements'!C128+'CurrentPor-All Factor Movements'!H128)/100,2))*100</f>
        <v>9651.0293641474473</v>
      </c>
      <c r="F128">
        <f>Portfolio!B$5*'CurrentPor-All Factor Movements'!D128</f>
        <v>51704.493262395728</v>
      </c>
      <c r="G128">
        <f>Portfolio!B$6*'CurrentPor-All Factor Movements'!E128</f>
        <v>3878.0175946295344</v>
      </c>
      <c r="H128">
        <f t="shared" si="5"/>
        <v>94370.092162791683</v>
      </c>
      <c r="I128">
        <f t="shared" si="4"/>
        <v>-226.4921975776233</v>
      </c>
    </row>
    <row r="129" spans="1:9">
      <c r="A129" s="1">
        <v>39437</v>
      </c>
      <c r="B129">
        <f>(3/(1+('CurrentPor-All Factor Movements'!B129)/100)+103/POWER(1+('CurrentPor-All Factor Movements'!C129)/100,2))*100</f>
        <v>9899.3424180785387</v>
      </c>
      <c r="C129">
        <f>(3/(1+('CurrentPor-All Factor Movements'!B129+'CurrentPor-All Factor Movements'!F129)/100)+103/POWER(1+('CurrentPor-All Factor Movements'!C129+'CurrentPor-All Factor Movements'!F129)/100,2))*100</f>
        <v>9801.5447365326727</v>
      </c>
      <c r="D129">
        <f>(3/(1+('CurrentPor-All Factor Movements'!B129+'CurrentPor-All Factor Movements'!G129)/100)+103/POWER(1+('CurrentPor-All Factor Movements'!C129+'CurrentPor-All Factor Movements'!G129)/100,2))*100</f>
        <v>9794.8953942845001</v>
      </c>
      <c r="E129">
        <f>(3/(1+('CurrentPor-All Factor Movements'!B129+'CurrentPor-All Factor Movements'!H129)/100)+103/POWER(1+('CurrentPor-All Factor Movements'!C129+'CurrentPor-All Factor Movements'!H129)/100,2))*100</f>
        <v>9758.7546013180781</v>
      </c>
      <c r="F129">
        <f>Portfolio!B$5*'CurrentPor-All Factor Movements'!D129</f>
        <v>52564.383161138838</v>
      </c>
      <c r="G129">
        <f>Portfolio!B$6*'CurrentPor-All Factor Movements'!E129</f>
        <v>3276.8439329408229</v>
      </c>
      <c r="H129">
        <f t="shared" si="5"/>
        <v>95095.764244293459</v>
      </c>
      <c r="I129">
        <f t="shared" si="4"/>
        <v>548.62385079948581</v>
      </c>
    </row>
    <row r="130" spans="1:9">
      <c r="A130" s="1">
        <v>39440</v>
      </c>
      <c r="B130">
        <f>(3/(1+('CurrentPor-All Factor Movements'!B130)/100)+103/POWER(1+('CurrentPor-All Factor Movements'!C130)/100,2))*100</f>
        <v>9690.6676632511735</v>
      </c>
      <c r="C130">
        <f>(3/(1+('CurrentPor-All Factor Movements'!B130+'CurrentPor-All Factor Movements'!F130)/100)+103/POWER(1+('CurrentPor-All Factor Movements'!C130+'CurrentPor-All Factor Movements'!F130)/100,2))*100</f>
        <v>9595.1185052024084</v>
      </c>
      <c r="D130">
        <f>(3/(1+('CurrentPor-All Factor Movements'!B130+'CurrentPor-All Factor Movements'!G130)/100)+103/POWER(1+('CurrentPor-All Factor Movements'!C130+'CurrentPor-All Factor Movements'!G130)/100,2))*100</f>
        <v>9599.0422670719017</v>
      </c>
      <c r="E130">
        <f>(3/(1+('CurrentPor-All Factor Movements'!B130+'CurrentPor-All Factor Movements'!H130)/100)+103/POWER(1+('CurrentPor-All Factor Movements'!C130+'CurrentPor-All Factor Movements'!H130)/100,2))*100</f>
        <v>9558.6509376511985</v>
      </c>
      <c r="F130">
        <f>Portfolio!B$5*'CurrentPor-All Factor Movements'!D130</f>
        <v>52712.274850635848</v>
      </c>
      <c r="G130">
        <f>Portfolio!B$6*'CurrentPor-All Factor Movements'!E130</f>
        <v>3507.688770384028</v>
      </c>
      <c r="H130">
        <f t="shared" si="5"/>
        <v>94663.442994196565</v>
      </c>
      <c r="I130">
        <f t="shared" si="4"/>
        <v>-263.41888519361964</v>
      </c>
    </row>
    <row r="131" spans="1:9">
      <c r="A131" s="1">
        <v>39441</v>
      </c>
      <c r="B131">
        <f>(3/(1+('CurrentPor-All Factor Movements'!B131)/100)+103/POWER(1+('CurrentPor-All Factor Movements'!C131)/100,2))*100</f>
        <v>9732.6930145099632</v>
      </c>
      <c r="C131">
        <f>(3/(1+('CurrentPor-All Factor Movements'!B131+'CurrentPor-All Factor Movements'!F131)/100)+103/POWER(1+('CurrentPor-All Factor Movements'!C131+'CurrentPor-All Factor Movements'!F131)/100,2))*100</f>
        <v>9653.891133657</v>
      </c>
      <c r="D131">
        <f>(3/(1+('CurrentPor-All Factor Movements'!B131+'CurrentPor-All Factor Movements'!G131)/100)+103/POWER(1+('CurrentPor-All Factor Movements'!C131+'CurrentPor-All Factor Movements'!G131)/100,2))*100</f>
        <v>9634.7491004550538</v>
      </c>
      <c r="E131">
        <f>(3/(1+('CurrentPor-All Factor Movements'!B131+'CurrentPor-All Factor Movements'!H131)/100)+103/POWER(1+('CurrentPor-All Factor Movements'!C131+'CurrentPor-All Factor Movements'!H131)/100,2))*100</f>
        <v>9604.1551172427517</v>
      </c>
      <c r="F131">
        <f>Portfolio!B$5*'CurrentPor-All Factor Movements'!D131</f>
        <v>52467.140023830805</v>
      </c>
      <c r="G131">
        <f>Portfolio!B$6*'CurrentPor-All Factor Movements'!E131</f>
        <v>3726.9325583002301</v>
      </c>
      <c r="H131">
        <f t="shared" ref="H131:H162" si="6">SUM(B131:G131)</f>
        <v>94819.560947995808</v>
      </c>
      <c r="I131">
        <f t="shared" si="4"/>
        <v>-519.35347275341337</v>
      </c>
    </row>
    <row r="132" spans="1:9">
      <c r="A132" s="1">
        <v>39442</v>
      </c>
      <c r="B132">
        <f>(3/(1+('CurrentPor-All Factor Movements'!B132)/100)+103/POWER(1+('CurrentPor-All Factor Movements'!C132)/100,2))*100</f>
        <v>9681.2688562596759</v>
      </c>
      <c r="C132">
        <f>(3/(1+('CurrentPor-All Factor Movements'!B132+'CurrentPor-All Factor Movements'!F132)/100)+103/POWER(1+('CurrentPor-All Factor Movements'!C132+'CurrentPor-All Factor Movements'!F132)/100,2))*100</f>
        <v>9584.8551199595149</v>
      </c>
      <c r="D132">
        <f>(3/(1+('CurrentPor-All Factor Movements'!B132+'CurrentPor-All Factor Movements'!G132)/100)+103/POWER(1+('CurrentPor-All Factor Movements'!C132+'CurrentPor-All Factor Movements'!G132)/100,2))*100</f>
        <v>9591.0380206114896</v>
      </c>
      <c r="E132">
        <f>(3/(1+('CurrentPor-All Factor Movements'!B132+'CurrentPor-All Factor Movements'!H132)/100)+103/POWER(1+('CurrentPor-All Factor Movements'!C132+'CurrentPor-All Factor Movements'!H132)/100,2))*100</f>
        <v>9533.9796592623698</v>
      </c>
      <c r="F132">
        <f>Portfolio!B$5*'CurrentPor-All Factor Movements'!D132</f>
        <v>53811.054275070499</v>
      </c>
      <c r="G132">
        <f>Portfolio!B$6*'CurrentPor-All Factor Movements'!E132</f>
        <v>3755.683464850757</v>
      </c>
      <c r="H132">
        <f t="shared" si="6"/>
        <v>95957.879396014308</v>
      </c>
      <c r="I132">
        <f t="shared" si="4"/>
        <v>-260.8951797553309</v>
      </c>
    </row>
    <row r="133" spans="1:9">
      <c r="A133" s="1">
        <v>39443</v>
      </c>
      <c r="B133">
        <f>(3/(1+('CurrentPor-All Factor Movements'!B133)/100)+103/POWER(1+('CurrentPor-All Factor Movements'!C133)/100,2))*100</f>
        <v>9811.0758343815742</v>
      </c>
      <c r="C133">
        <f>(3/(1+('CurrentPor-All Factor Movements'!B133+'CurrentPor-All Factor Movements'!F133)/100)+103/POWER(1+('CurrentPor-All Factor Movements'!C133+'CurrentPor-All Factor Movements'!F133)/100,2))*100</f>
        <v>9718.7486549389378</v>
      </c>
      <c r="D133">
        <f>(3/(1+('CurrentPor-All Factor Movements'!B133+'CurrentPor-All Factor Movements'!G133)/100)+103/POWER(1+('CurrentPor-All Factor Movements'!C133+'CurrentPor-All Factor Movements'!G133)/100,2))*100</f>
        <v>9717.9855970830722</v>
      </c>
      <c r="E133">
        <f>(3/(1+('CurrentPor-All Factor Movements'!B133+'CurrentPor-All Factor Movements'!H133)/100)+103/POWER(1+('CurrentPor-All Factor Movements'!C133+'CurrentPor-All Factor Movements'!H133)/100,2))*100</f>
        <v>9676.2510919814304</v>
      </c>
      <c r="F133">
        <f>Portfolio!B$5*'CurrentPor-All Factor Movements'!D133</f>
        <v>51758.580679038554</v>
      </c>
      <c r="G133">
        <f>Portfolio!B$6*'CurrentPor-All Factor Movements'!E133</f>
        <v>3721.6915567990754</v>
      </c>
      <c r="H133">
        <f t="shared" si="6"/>
        <v>94404.333414222652</v>
      </c>
      <c r="I133">
        <f t="shared" si="4"/>
        <v>544.66624532890273</v>
      </c>
    </row>
    <row r="134" spans="1:9">
      <c r="A134" s="1">
        <v>39444</v>
      </c>
      <c r="B134">
        <f>(3/(1+('CurrentPor-All Factor Movements'!B134)/100)+103/POWER(1+('CurrentPor-All Factor Movements'!C134)/100,2))*100</f>
        <v>9599.6232990235931</v>
      </c>
      <c r="C134">
        <f>(3/(1+('CurrentPor-All Factor Movements'!B134+'CurrentPor-All Factor Movements'!F134)/100)+103/POWER(1+('CurrentPor-All Factor Movements'!C134+'CurrentPor-All Factor Movements'!F134)/100,2))*100</f>
        <v>9522.4666980924339</v>
      </c>
      <c r="D134">
        <f>(3/(1+('CurrentPor-All Factor Movements'!B134+'CurrentPor-All Factor Movements'!G134)/100)+103/POWER(1+('CurrentPor-All Factor Movements'!C134+'CurrentPor-All Factor Movements'!G134)/100,2))*100</f>
        <v>9500.7271423190286</v>
      </c>
      <c r="E134">
        <f>(3/(1+('CurrentPor-All Factor Movements'!B134+'CurrentPor-All Factor Movements'!H134)/100)+103/POWER(1+('CurrentPor-All Factor Movements'!C134+'CurrentPor-All Factor Movements'!H134)/100,2))*100</f>
        <v>9462.5644405743024</v>
      </c>
      <c r="F134">
        <f>Portfolio!B$5*'CurrentPor-All Factor Movements'!D134</f>
        <v>52126.552072319166</v>
      </c>
      <c r="G134">
        <f>Portfolio!B$6*'CurrentPor-All Factor Movements'!E134</f>
        <v>3509.5293562251563</v>
      </c>
      <c r="H134">
        <f t="shared" si="6"/>
        <v>93721.463008553692</v>
      </c>
      <c r="I134">
        <f t="shared" si="4"/>
        <v>-696.80665754867368</v>
      </c>
    </row>
    <row r="135" spans="1:9">
      <c r="A135" s="1">
        <v>39447</v>
      </c>
      <c r="B135">
        <f>(3/(1+('CurrentPor-All Factor Movements'!B135)/100)+103/POWER(1+('CurrentPor-All Factor Movements'!C135)/100,2))*100</f>
        <v>9740.572245119276</v>
      </c>
      <c r="C135">
        <f>(3/(1+('CurrentPor-All Factor Movements'!B135+'CurrentPor-All Factor Movements'!F135)/100)+103/POWER(1+('CurrentPor-All Factor Movements'!C135+'CurrentPor-All Factor Movements'!F135)/100,2))*100</f>
        <v>9638.6808551630638</v>
      </c>
      <c r="D135">
        <f>(3/(1+('CurrentPor-All Factor Movements'!B135+'CurrentPor-All Factor Movements'!G135)/100)+103/POWER(1+('CurrentPor-All Factor Movements'!C135+'CurrentPor-All Factor Movements'!G135)/100,2))*100</f>
        <v>9615.7017888515475</v>
      </c>
      <c r="E135">
        <f>(3/(1+('CurrentPor-All Factor Movements'!B135+'CurrentPor-All Factor Movements'!H135)/100)+103/POWER(1+('CurrentPor-All Factor Movements'!C135+'CurrentPor-All Factor Movements'!H135)/100,2))*100</f>
        <v>9608.7607639600501</v>
      </c>
      <c r="F135">
        <f>Portfolio!B$5*'CurrentPor-All Factor Movements'!D135</f>
        <v>51654.045636690978</v>
      </c>
      <c r="G135">
        <f>Portfolio!B$6*'CurrentPor-All Factor Movements'!E135</f>
        <v>3349.3286657754147</v>
      </c>
      <c r="H135">
        <f t="shared" si="6"/>
        <v>93607.089955560339</v>
      </c>
      <c r="I135">
        <f t="shared" si="4"/>
        <v>-1824.5266876773094</v>
      </c>
    </row>
    <row r="136" spans="1:9">
      <c r="A136" s="1">
        <v>39448</v>
      </c>
      <c r="B136">
        <f>(3/(1+('CurrentPor-All Factor Movements'!B136)/100)+103/POWER(1+('CurrentPor-All Factor Movements'!C136)/100,2))*100</f>
        <v>9786.2891557881903</v>
      </c>
      <c r="C136">
        <f>(3/(1+('CurrentPor-All Factor Movements'!B136+'CurrentPor-All Factor Movements'!F136)/100)+103/POWER(1+('CurrentPor-All Factor Movements'!C136+'CurrentPor-All Factor Movements'!F136)/100,2))*100</f>
        <v>9690.6109006829865</v>
      </c>
      <c r="D136">
        <f>(3/(1+('CurrentPor-All Factor Movements'!B136+'CurrentPor-All Factor Movements'!G136)/100)+103/POWER(1+('CurrentPor-All Factor Movements'!C136+'CurrentPor-All Factor Movements'!G136)/100,2))*100</f>
        <v>9669.2788913504464</v>
      </c>
      <c r="E136">
        <f>(3/(1+('CurrentPor-All Factor Movements'!B136+'CurrentPor-All Factor Movements'!H136)/100)+103/POWER(1+('CurrentPor-All Factor Movements'!C136+'CurrentPor-All Factor Movements'!H136)/100,2))*100</f>
        <v>9651.865815805626</v>
      </c>
      <c r="F136">
        <f>Portfolio!B$5*'CurrentPor-All Factor Movements'!D136</f>
        <v>52369.561273494823</v>
      </c>
      <c r="G136">
        <f>Portfolio!B$6*'CurrentPor-All Factor Movements'!E136</f>
        <v>3443.9675066131363</v>
      </c>
      <c r="H136">
        <f t="shared" si="6"/>
        <v>94611.573543735212</v>
      </c>
      <c r="I136">
        <f t="shared" si="4"/>
        <v>309.39648212013708</v>
      </c>
    </row>
    <row r="137" spans="1:9">
      <c r="A137" s="1">
        <v>39449</v>
      </c>
      <c r="B137">
        <f>(3/(1+('CurrentPor-All Factor Movements'!B137)/100)+103/POWER(1+('CurrentPor-All Factor Movements'!C137)/100,2))*100</f>
        <v>9851.7397415850719</v>
      </c>
      <c r="C137">
        <f>(3/(1+('CurrentPor-All Factor Movements'!B137+'CurrentPor-All Factor Movements'!F137)/100)+103/POWER(1+('CurrentPor-All Factor Movements'!C137+'CurrentPor-All Factor Movements'!F137)/100,2))*100</f>
        <v>9767.6756658241502</v>
      </c>
      <c r="D137">
        <f>(3/(1+('CurrentPor-All Factor Movements'!B137+'CurrentPor-All Factor Movements'!G137)/100)+103/POWER(1+('CurrentPor-All Factor Movements'!C137+'CurrentPor-All Factor Movements'!G137)/100,2))*100</f>
        <v>9741.2215301011202</v>
      </c>
      <c r="E137">
        <f>(3/(1+('CurrentPor-All Factor Movements'!B137+'CurrentPor-All Factor Movements'!H137)/100)+103/POWER(1+('CurrentPor-All Factor Movements'!C137+'CurrentPor-All Factor Movements'!H137)/100,2))*100</f>
        <v>9723.3203965463326</v>
      </c>
      <c r="F137">
        <f>Portfolio!B$5*'CurrentPor-All Factor Movements'!D137</f>
        <v>51944.142404343111</v>
      </c>
      <c r="G137">
        <f>Portfolio!B$6*'CurrentPor-All Factor Movements'!E137</f>
        <v>3795.7151253170559</v>
      </c>
      <c r="H137">
        <f t="shared" si="6"/>
        <v>94823.814863716849</v>
      </c>
      <c r="I137">
        <f t="shared" si="4"/>
        <v>-110.98389081536152</v>
      </c>
    </row>
    <row r="138" spans="1:9">
      <c r="A138" s="1">
        <v>39450</v>
      </c>
      <c r="B138">
        <f>(3/(1+('CurrentPor-All Factor Movements'!B138)/100)+103/POWER(1+('CurrentPor-All Factor Movements'!C138)/100,2))*100</f>
        <v>9741.8410703255704</v>
      </c>
      <c r="C138">
        <f>(3/(1+('CurrentPor-All Factor Movements'!B138+'CurrentPor-All Factor Movements'!F138)/100)+103/POWER(1+('CurrentPor-All Factor Movements'!C138+'CurrentPor-All Factor Movements'!F138)/100,2))*100</f>
        <v>9649.6636093093202</v>
      </c>
      <c r="D138">
        <f>(3/(1+('CurrentPor-All Factor Movements'!B138+'CurrentPor-All Factor Movements'!G138)/100)+103/POWER(1+('CurrentPor-All Factor Movements'!C138+'CurrentPor-All Factor Movements'!G138)/100,2))*100</f>
        <v>9633.736474098223</v>
      </c>
      <c r="E138">
        <f>(3/(1+('CurrentPor-All Factor Movements'!B138+'CurrentPor-All Factor Movements'!H138)/100)+103/POWER(1+('CurrentPor-All Factor Movements'!C138+'CurrentPor-All Factor Movements'!H138)/100,2))*100</f>
        <v>9617.630801883266</v>
      </c>
      <c r="F138">
        <f>Portfolio!B$5*'CurrentPor-All Factor Movements'!D138</f>
        <v>51028.619561554071</v>
      </c>
      <c r="G138">
        <f>Portfolio!B$6*'CurrentPor-All Factor Movements'!E138</f>
        <v>3489.7902281938982</v>
      </c>
      <c r="H138">
        <f t="shared" si="6"/>
        <v>93161.281745364351</v>
      </c>
      <c r="I138">
        <f t="shared" si="4"/>
        <v>-1208.8104174273321</v>
      </c>
    </row>
    <row r="139" spans="1:9">
      <c r="A139" s="1">
        <v>39451</v>
      </c>
      <c r="B139">
        <f>(3/(1+('CurrentPor-All Factor Movements'!B139)/100)+103/POWER(1+('CurrentPor-All Factor Movements'!C139)/100,2))*100</f>
        <v>9760.8071128850952</v>
      </c>
      <c r="C139">
        <f>(3/(1+('CurrentPor-All Factor Movements'!B139+'CurrentPor-All Factor Movements'!F139)/100)+103/POWER(1+('CurrentPor-All Factor Movements'!C139+'CurrentPor-All Factor Movements'!F139)/100,2))*100</f>
        <v>9685.225207648542</v>
      </c>
      <c r="D139">
        <f>(3/(1+('CurrentPor-All Factor Movements'!B139+'CurrentPor-All Factor Movements'!G139)/100)+103/POWER(1+('CurrentPor-All Factor Movements'!C139+'CurrentPor-All Factor Movements'!G139)/100,2))*100</f>
        <v>9647.2947555963619</v>
      </c>
      <c r="E139">
        <f>(3/(1+('CurrentPor-All Factor Movements'!B139+'CurrentPor-All Factor Movements'!H139)/100)+103/POWER(1+('CurrentPor-All Factor Movements'!C139+'CurrentPor-All Factor Movements'!H139)/100,2))*100</f>
        <v>9647.0912118406159</v>
      </c>
      <c r="F139">
        <f>Portfolio!B$5*'CurrentPor-All Factor Movements'!D139</f>
        <v>51845.403149935511</v>
      </c>
      <c r="G139">
        <f>Portfolio!B$6*'CurrentPor-All Factor Movements'!E139</f>
        <v>3286.1107183401787</v>
      </c>
      <c r="H139">
        <f t="shared" si="6"/>
        <v>93871.932156246301</v>
      </c>
      <c r="I139">
        <f t="shared" si="4"/>
        <v>-1223.8320880471583</v>
      </c>
    </row>
    <row r="140" spans="1:9">
      <c r="A140" s="1">
        <v>39454</v>
      </c>
      <c r="B140">
        <f>(3/(1+('CurrentPor-All Factor Movements'!B140)/100)+103/POWER(1+('CurrentPor-All Factor Movements'!C140)/100,2))*100</f>
        <v>9817.801839712316</v>
      </c>
      <c r="C140">
        <f>(3/(1+('CurrentPor-All Factor Movements'!B140+'CurrentPor-All Factor Movements'!F140)/100)+103/POWER(1+('CurrentPor-All Factor Movements'!C140+'CurrentPor-All Factor Movements'!F140)/100,2))*100</f>
        <v>9706.1497086889121</v>
      </c>
      <c r="D140">
        <f>(3/(1+('CurrentPor-All Factor Movements'!B140+'CurrentPor-All Factor Movements'!G140)/100)+103/POWER(1+('CurrentPor-All Factor Movements'!C140+'CurrentPor-All Factor Movements'!G140)/100,2))*100</f>
        <v>9718.7942931310408</v>
      </c>
      <c r="E140">
        <f>(3/(1+('CurrentPor-All Factor Movements'!B140+'CurrentPor-All Factor Movements'!H140)/100)+103/POWER(1+('CurrentPor-All Factor Movements'!C140+'CurrentPor-All Factor Movements'!H140)/100,2))*100</f>
        <v>9703.2968324239646</v>
      </c>
      <c r="F140">
        <f>Portfolio!B$5*'CurrentPor-All Factor Movements'!D140</f>
        <v>52334.793657173643</v>
      </c>
      <c r="G140">
        <f>Portfolio!B$6*'CurrentPor-All Factor Movements'!E140</f>
        <v>3620.2205933651639</v>
      </c>
      <c r="H140">
        <f t="shared" si="6"/>
        <v>94901.056924495031</v>
      </c>
      <c r="I140">
        <f t="shared" si="4"/>
        <v>237.61393029846658</v>
      </c>
    </row>
    <row r="141" spans="1:9">
      <c r="A141" s="1">
        <v>39455</v>
      </c>
      <c r="B141">
        <f>(3/(1+('CurrentPor-All Factor Movements'!B141)/100)+103/POWER(1+('CurrentPor-All Factor Movements'!C141)/100,2))*100</f>
        <v>9530.4349081712026</v>
      </c>
      <c r="C141">
        <f>(3/(1+('CurrentPor-All Factor Movements'!B141+'CurrentPor-All Factor Movements'!F141)/100)+103/POWER(1+('CurrentPor-All Factor Movements'!C141+'CurrentPor-All Factor Movements'!F141)/100,2))*100</f>
        <v>9435.1752595734142</v>
      </c>
      <c r="D141">
        <f>(3/(1+('CurrentPor-All Factor Movements'!B141+'CurrentPor-All Factor Movements'!G141)/100)+103/POWER(1+('CurrentPor-All Factor Movements'!C141+'CurrentPor-All Factor Movements'!G141)/100,2))*100</f>
        <v>9426.7509116460897</v>
      </c>
      <c r="E141">
        <f>(3/(1+('CurrentPor-All Factor Movements'!B141+'CurrentPor-All Factor Movements'!H141)/100)+103/POWER(1+('CurrentPor-All Factor Movements'!C141+'CurrentPor-All Factor Movements'!H141)/100,2))*100</f>
        <v>9408.5561370852083</v>
      </c>
      <c r="F141">
        <f>Portfolio!B$5*'CurrentPor-All Factor Movements'!D141</f>
        <v>51424.723628728338</v>
      </c>
      <c r="G141">
        <f>Portfolio!B$6*'CurrentPor-All Factor Movements'!E141</f>
        <v>3634.7420132057855</v>
      </c>
      <c r="H141">
        <f t="shared" si="6"/>
        <v>92860.382858410041</v>
      </c>
      <c r="I141">
        <f t="shared" si="4"/>
        <v>-1959.1780895857664</v>
      </c>
    </row>
    <row r="142" spans="1:9">
      <c r="A142" s="1">
        <v>39456</v>
      </c>
      <c r="B142">
        <f>(3/(1+('CurrentPor-All Factor Movements'!B142)/100)+103/POWER(1+('CurrentPor-All Factor Movements'!C142)/100,2))*100</f>
        <v>9798.1610340000607</v>
      </c>
      <c r="C142">
        <f>(3/(1+('CurrentPor-All Factor Movements'!B142+'CurrentPor-All Factor Movements'!F142)/100)+103/POWER(1+('CurrentPor-All Factor Movements'!C142+'CurrentPor-All Factor Movements'!F142)/100,2))*100</f>
        <v>9709.7638997936592</v>
      </c>
      <c r="D142">
        <f>(3/(1+('CurrentPor-All Factor Movements'!B142+'CurrentPor-All Factor Movements'!G142)/100)+103/POWER(1+('CurrentPor-All Factor Movements'!C142+'CurrentPor-All Factor Movements'!G142)/100,2))*100</f>
        <v>9669.5557155453025</v>
      </c>
      <c r="E142">
        <f>(3/(1+('CurrentPor-All Factor Movements'!B142+'CurrentPor-All Factor Movements'!H142)/100)+103/POWER(1+('CurrentPor-All Factor Movements'!C142+'CurrentPor-All Factor Movements'!H142)/100,2))*100</f>
        <v>9666.3113847859568</v>
      </c>
      <c r="F142">
        <f>Portfolio!B$5*'CurrentPor-All Factor Movements'!D142</f>
        <v>52886.146886242481</v>
      </c>
      <c r="G142">
        <f>Portfolio!B$6*'CurrentPor-All Factor Movements'!E142</f>
        <v>3989.0964537386167</v>
      </c>
      <c r="H142">
        <f t="shared" si="6"/>
        <v>95719.035374106083</v>
      </c>
      <c r="I142">
        <f t="shared" ref="I142:I187" si="7">H142-H132</f>
        <v>-238.84402190822584</v>
      </c>
    </row>
    <row r="143" spans="1:9">
      <c r="A143" s="1">
        <v>39457</v>
      </c>
      <c r="B143">
        <f>(3/(1+('CurrentPor-All Factor Movements'!B143)/100)+103/POWER(1+('CurrentPor-All Factor Movements'!C143)/100,2))*100</f>
        <v>9539.9771614264573</v>
      </c>
      <c r="C143">
        <f>(3/(1+('CurrentPor-All Factor Movements'!B143+'CurrentPor-All Factor Movements'!F143)/100)+103/POWER(1+('CurrentPor-All Factor Movements'!C143+'CurrentPor-All Factor Movements'!F143)/100,2))*100</f>
        <v>9450.8669794611305</v>
      </c>
      <c r="D143">
        <f>(3/(1+('CurrentPor-All Factor Movements'!B143+'CurrentPor-All Factor Movements'!G143)/100)+103/POWER(1+('CurrentPor-All Factor Movements'!C143+'CurrentPor-All Factor Movements'!G143)/100,2))*100</f>
        <v>9428.5006526525758</v>
      </c>
      <c r="E143">
        <f>(3/(1+('CurrentPor-All Factor Movements'!B143+'CurrentPor-All Factor Movements'!H143)/100)+103/POWER(1+('CurrentPor-All Factor Movements'!C143+'CurrentPor-All Factor Movements'!H143)/100,2))*100</f>
        <v>9433.7631906287788</v>
      </c>
      <c r="F143">
        <f>Portfolio!B$5*'CurrentPor-All Factor Movements'!D143</f>
        <v>53039.885736250224</v>
      </c>
      <c r="G143">
        <f>Portfolio!B$6*'CurrentPor-All Factor Movements'!E143</f>
        <v>3271.855116929421</v>
      </c>
      <c r="H143">
        <f t="shared" si="6"/>
        <v>94164.848837348589</v>
      </c>
      <c r="I143">
        <f t="shared" si="7"/>
        <v>-239.48457687406335</v>
      </c>
    </row>
    <row r="144" spans="1:9">
      <c r="A144" s="1">
        <v>39458</v>
      </c>
      <c r="B144">
        <f>(3/(1+('CurrentPor-All Factor Movements'!B144)/100)+103/POWER(1+('CurrentPor-All Factor Movements'!C144)/100,2))*100</f>
        <v>9783.8031668459826</v>
      </c>
      <c r="C144">
        <f>(3/(1+('CurrentPor-All Factor Movements'!B144+'CurrentPor-All Factor Movements'!F144)/100)+103/POWER(1+('CurrentPor-All Factor Movements'!C144+'CurrentPor-All Factor Movements'!F144)/100,2))*100</f>
        <v>9680.6934036068833</v>
      </c>
      <c r="D144">
        <f>(3/(1+('CurrentPor-All Factor Movements'!B144+'CurrentPor-All Factor Movements'!G144)/100)+103/POWER(1+('CurrentPor-All Factor Movements'!C144+'CurrentPor-All Factor Movements'!G144)/100,2))*100</f>
        <v>9674.17040532383</v>
      </c>
      <c r="E144">
        <f>(3/(1+('CurrentPor-All Factor Movements'!B144+'CurrentPor-All Factor Movements'!H144)/100)+103/POWER(1+('CurrentPor-All Factor Movements'!C144+'CurrentPor-All Factor Movements'!H144)/100,2))*100</f>
        <v>9673.1799671351037</v>
      </c>
      <c r="F144">
        <f>Portfolio!B$5*'CurrentPor-All Factor Movements'!D144</f>
        <v>52281.32549493113</v>
      </c>
      <c r="G144">
        <f>Portfolio!B$6*'CurrentPor-All Factor Movements'!E144</f>
        <v>3472.1626413004542</v>
      </c>
      <c r="H144">
        <f t="shared" si="6"/>
        <v>94565.335079143391</v>
      </c>
      <c r="I144">
        <f t="shared" si="7"/>
        <v>843.87207058969943</v>
      </c>
    </row>
    <row r="145" spans="1:9">
      <c r="A145" s="1">
        <v>39461</v>
      </c>
      <c r="B145">
        <f>(3/(1+('CurrentPor-All Factor Movements'!B145)/100)+103/POWER(1+('CurrentPor-All Factor Movements'!C145)/100,2))*100</f>
        <v>9606.879875307206</v>
      </c>
      <c r="C145">
        <f>(3/(1+('CurrentPor-All Factor Movements'!B145+'CurrentPor-All Factor Movements'!F145)/100)+103/POWER(1+('CurrentPor-All Factor Movements'!C145+'CurrentPor-All Factor Movements'!F145)/100,2))*100</f>
        <v>9493.0867647464329</v>
      </c>
      <c r="D145">
        <f>(3/(1+('CurrentPor-All Factor Movements'!B145+'CurrentPor-All Factor Movements'!G145)/100)+103/POWER(1+('CurrentPor-All Factor Movements'!C145+'CurrentPor-All Factor Movements'!G145)/100,2))*100</f>
        <v>9479.1742771004519</v>
      </c>
      <c r="E145">
        <f>(3/(1+('CurrentPor-All Factor Movements'!B145+'CurrentPor-All Factor Movements'!H145)/100)+103/POWER(1+('CurrentPor-All Factor Movements'!C145+'CurrentPor-All Factor Movements'!H145)/100,2))*100</f>
        <v>9499.270608028417</v>
      </c>
      <c r="F145">
        <f>Portfolio!B$5*'CurrentPor-All Factor Movements'!D145</f>
        <v>50620.241306032913</v>
      </c>
      <c r="G145">
        <f>Portfolio!B$6*'CurrentPor-All Factor Movements'!E145</f>
        <v>3471.6461772188241</v>
      </c>
      <c r="H145">
        <f t="shared" si="6"/>
        <v>92170.299008434231</v>
      </c>
      <c r="I145">
        <f t="shared" si="7"/>
        <v>-1436.7909471261082</v>
      </c>
    </row>
    <row r="146" spans="1:9">
      <c r="A146" s="1">
        <v>39462</v>
      </c>
      <c r="B146">
        <f>(3/(1+('CurrentPor-All Factor Movements'!B146)/100)+103/POWER(1+('CurrentPor-All Factor Movements'!C146)/100,2))*100</f>
        <v>9584.757523744498</v>
      </c>
      <c r="C146">
        <f>(3/(1+('CurrentPor-All Factor Movements'!B146+'CurrentPor-All Factor Movements'!F146)/100)+103/POWER(1+('CurrentPor-All Factor Movements'!C146+'CurrentPor-All Factor Movements'!F146)/100,2))*100</f>
        <v>9482.808653963617</v>
      </c>
      <c r="D146">
        <f>(3/(1+('CurrentPor-All Factor Movements'!B146+'CurrentPor-All Factor Movements'!G146)/100)+103/POWER(1+('CurrentPor-All Factor Movements'!C146+'CurrentPor-All Factor Movements'!G146)/100,2))*100</f>
        <v>9477.3356915548356</v>
      </c>
      <c r="E146">
        <f>(3/(1+('CurrentPor-All Factor Movements'!B146+'CurrentPor-All Factor Movements'!H146)/100)+103/POWER(1+('CurrentPor-All Factor Movements'!C146+'CurrentPor-All Factor Movements'!H146)/100,2))*100</f>
        <v>9461.84632430085</v>
      </c>
      <c r="F146">
        <f>Portfolio!B$5*'CurrentPor-All Factor Movements'!D146</f>
        <v>51836.473836978177</v>
      </c>
      <c r="G146">
        <f>Portfolio!B$6*'CurrentPor-All Factor Movements'!E146</f>
        <v>3421.4297788486783</v>
      </c>
      <c r="H146">
        <f t="shared" si="6"/>
        <v>93264.651809390649</v>
      </c>
      <c r="I146">
        <f t="shared" si="7"/>
        <v>-1346.9217343445634</v>
      </c>
    </row>
    <row r="147" spans="1:9">
      <c r="A147" s="1">
        <v>39463</v>
      </c>
      <c r="B147">
        <f>(3/(1+('CurrentPor-All Factor Movements'!B147)/100)+103/POWER(1+('CurrentPor-All Factor Movements'!C147)/100,2))*100</f>
        <v>9750.5421636518804</v>
      </c>
      <c r="C147">
        <f>(3/(1+('CurrentPor-All Factor Movements'!B147+'CurrentPor-All Factor Movements'!F147)/100)+103/POWER(1+('CurrentPor-All Factor Movements'!C147+'CurrentPor-All Factor Movements'!F147)/100,2))*100</f>
        <v>9675.2581374973524</v>
      </c>
      <c r="D147">
        <f>(3/(1+('CurrentPor-All Factor Movements'!B147+'CurrentPor-All Factor Movements'!G147)/100)+103/POWER(1+('CurrentPor-All Factor Movements'!C147+'CurrentPor-All Factor Movements'!G147)/100,2))*100</f>
        <v>9656.4982023035282</v>
      </c>
      <c r="E147">
        <f>(3/(1+('CurrentPor-All Factor Movements'!B147+'CurrentPor-All Factor Movements'!H147)/100)+103/POWER(1+('CurrentPor-All Factor Movements'!C147+'CurrentPor-All Factor Movements'!H147)/100,2))*100</f>
        <v>9615.8271013751964</v>
      </c>
      <c r="F147">
        <f>Portfolio!B$5*'CurrentPor-All Factor Movements'!D147</f>
        <v>53111.95988278454</v>
      </c>
      <c r="G147">
        <f>Portfolio!B$6*'CurrentPor-All Factor Movements'!E147</f>
        <v>3522.5444999570527</v>
      </c>
      <c r="H147">
        <f t="shared" si="6"/>
        <v>95332.62998756954</v>
      </c>
      <c r="I147">
        <f t="shared" si="7"/>
        <v>508.81512385269161</v>
      </c>
    </row>
    <row r="148" spans="1:9">
      <c r="A148" s="1">
        <v>39464</v>
      </c>
      <c r="B148">
        <f>(3/(1+('CurrentPor-All Factor Movements'!B148)/100)+103/POWER(1+('CurrentPor-All Factor Movements'!C148)/100,2))*100</f>
        <v>9686.4026157229782</v>
      </c>
      <c r="C148">
        <f>(3/(1+('CurrentPor-All Factor Movements'!B148+'CurrentPor-All Factor Movements'!F148)/100)+103/POWER(1+('CurrentPor-All Factor Movements'!C148+'CurrentPor-All Factor Movements'!F148)/100,2))*100</f>
        <v>9603.2577093039745</v>
      </c>
      <c r="D148">
        <f>(3/(1+('CurrentPor-All Factor Movements'!B148+'CurrentPor-All Factor Movements'!G148)/100)+103/POWER(1+('CurrentPor-All Factor Movements'!C148+'CurrentPor-All Factor Movements'!G148)/100,2))*100</f>
        <v>9590.1719337866489</v>
      </c>
      <c r="E148">
        <f>(3/(1+('CurrentPor-All Factor Movements'!B148+'CurrentPor-All Factor Movements'!H148)/100)+103/POWER(1+('CurrentPor-All Factor Movements'!C148+'CurrentPor-All Factor Movements'!H148)/100,2))*100</f>
        <v>9562.4815726502839</v>
      </c>
      <c r="F148">
        <f>Portfolio!B$5*'CurrentPor-All Factor Movements'!D148</f>
        <v>50790.459843945129</v>
      </c>
      <c r="G148">
        <f>Portfolio!B$6*'CurrentPor-All Factor Movements'!E148</f>
        <v>3652.1021968672294</v>
      </c>
      <c r="H148">
        <f t="shared" si="6"/>
        <v>92884.875872276243</v>
      </c>
      <c r="I148">
        <f t="shared" si="7"/>
        <v>-276.40587308810791</v>
      </c>
    </row>
    <row r="149" spans="1:9">
      <c r="A149" s="1">
        <v>39465</v>
      </c>
      <c r="B149">
        <f>(3/(1+('CurrentPor-All Factor Movements'!B149)/100)+103/POWER(1+('CurrentPor-All Factor Movements'!C149)/100,2))*100</f>
        <v>9719.3432109465612</v>
      </c>
      <c r="C149">
        <f>(3/(1+('CurrentPor-All Factor Movements'!B149+'CurrentPor-All Factor Movements'!F149)/100)+103/POWER(1+('CurrentPor-All Factor Movements'!C149+'CurrentPor-All Factor Movements'!F149)/100,2))*100</f>
        <v>9611.3491226044625</v>
      </c>
      <c r="D149">
        <f>(3/(1+('CurrentPor-All Factor Movements'!B149+'CurrentPor-All Factor Movements'!G149)/100)+103/POWER(1+('CurrentPor-All Factor Movements'!C149+'CurrentPor-All Factor Movements'!G149)/100,2))*100</f>
        <v>9618.709476893102</v>
      </c>
      <c r="E149">
        <f>(3/(1+('CurrentPor-All Factor Movements'!B149+'CurrentPor-All Factor Movements'!H149)/100)+103/POWER(1+('CurrentPor-All Factor Movements'!C149+'CurrentPor-All Factor Movements'!H149)/100,2))*100</f>
        <v>9573.3634699841296</v>
      </c>
      <c r="F149">
        <f>Portfolio!B$5*'CurrentPor-All Factor Movements'!D149</f>
        <v>53413.986765334812</v>
      </c>
      <c r="G149">
        <f>Portfolio!B$6*'CurrentPor-All Factor Movements'!E149</f>
        <v>3434.0170015008057</v>
      </c>
      <c r="H149">
        <f t="shared" si="6"/>
        <v>95370.769047263879</v>
      </c>
      <c r="I149">
        <f t="shared" si="7"/>
        <v>1498.8368910175777</v>
      </c>
    </row>
    <row r="150" spans="1:9">
      <c r="A150" s="1">
        <v>39468</v>
      </c>
      <c r="B150">
        <f>(3/(1+('CurrentPor-All Factor Movements'!B150)/100)+103/POWER(1+('CurrentPor-All Factor Movements'!C150)/100,2))*100</f>
        <v>9741.9365345716233</v>
      </c>
      <c r="C150">
        <f>(3/(1+('CurrentPor-All Factor Movements'!B150+'CurrentPor-All Factor Movements'!F150)/100)+103/POWER(1+('CurrentPor-All Factor Movements'!C150+'CurrentPor-All Factor Movements'!F150)/100,2))*100</f>
        <v>9630.5752036267768</v>
      </c>
      <c r="D150">
        <f>(3/(1+('CurrentPor-All Factor Movements'!B150+'CurrentPor-All Factor Movements'!G150)/100)+103/POWER(1+('CurrentPor-All Factor Movements'!C150+'CurrentPor-All Factor Movements'!G150)/100,2))*100</f>
        <v>9629.0746160523286</v>
      </c>
      <c r="E150">
        <f>(3/(1+('CurrentPor-All Factor Movements'!B150+'CurrentPor-All Factor Movements'!H150)/100)+103/POWER(1+('CurrentPor-All Factor Movements'!C150+'CurrentPor-All Factor Movements'!H150)/100,2))*100</f>
        <v>9638.587779581605</v>
      </c>
      <c r="F150">
        <f>Portfolio!B$5*'CurrentPor-All Factor Movements'!D150</f>
        <v>54099.092632343105</v>
      </c>
      <c r="G150">
        <f>Portfolio!B$6*'CurrentPor-All Factor Movements'!E150</f>
        <v>3976.2808167664061</v>
      </c>
      <c r="H150">
        <f t="shared" si="6"/>
        <v>96715.547582941843</v>
      </c>
      <c r="I150">
        <f t="shared" si="7"/>
        <v>1814.4906584468117</v>
      </c>
    </row>
    <row r="151" spans="1:9">
      <c r="A151" s="1">
        <v>39469</v>
      </c>
      <c r="B151">
        <f>(3/(1+('CurrentPor-All Factor Movements'!B151)/100)+103/POWER(1+('CurrentPor-All Factor Movements'!C151)/100,2))*100</f>
        <v>9773.3007015465228</v>
      </c>
      <c r="C151">
        <f>(3/(1+('CurrentPor-All Factor Movements'!B151+'CurrentPor-All Factor Movements'!F151)/100)+103/POWER(1+('CurrentPor-All Factor Movements'!C151+'CurrentPor-All Factor Movements'!F151)/100,2))*100</f>
        <v>9689.6579505071368</v>
      </c>
      <c r="D151">
        <f>(3/(1+('CurrentPor-All Factor Movements'!B151+'CurrentPor-All Factor Movements'!G151)/100)+103/POWER(1+('CurrentPor-All Factor Movements'!C151+'CurrentPor-All Factor Movements'!G151)/100,2))*100</f>
        <v>9654.7151277033445</v>
      </c>
      <c r="E151">
        <f>(3/(1+('CurrentPor-All Factor Movements'!B151+'CurrentPor-All Factor Movements'!H151)/100)+103/POWER(1+('CurrentPor-All Factor Movements'!C151+'CurrentPor-All Factor Movements'!H151)/100,2))*100</f>
        <v>9658.2085066422915</v>
      </c>
      <c r="F151">
        <f>Portfolio!B$5*'CurrentPor-All Factor Movements'!D151</f>
        <v>51630.147517450678</v>
      </c>
      <c r="G151">
        <f>Portfolio!B$6*'CurrentPor-All Factor Movements'!E151</f>
        <v>3395.948442797082</v>
      </c>
      <c r="H151">
        <f t="shared" si="6"/>
        <v>93801.97824664705</v>
      </c>
      <c r="I151">
        <f t="shared" si="7"/>
        <v>941.59538823700859</v>
      </c>
    </row>
    <row r="152" spans="1:9">
      <c r="A152" s="1">
        <v>39470</v>
      </c>
      <c r="B152">
        <f>(3/(1+('CurrentPor-All Factor Movements'!B152)/100)+103/POWER(1+('CurrentPor-All Factor Movements'!C152)/100,2))*100</f>
        <v>9769.436266223136</v>
      </c>
      <c r="C152">
        <f>(3/(1+('CurrentPor-All Factor Movements'!B152+'CurrentPor-All Factor Movements'!F152)/100)+103/POWER(1+('CurrentPor-All Factor Movements'!C152+'CurrentPor-All Factor Movements'!F152)/100,2))*100</f>
        <v>9668.4285183828069</v>
      </c>
      <c r="D152">
        <f>(3/(1+('CurrentPor-All Factor Movements'!B152+'CurrentPor-All Factor Movements'!G152)/100)+103/POWER(1+('CurrentPor-All Factor Movements'!C152+'CurrentPor-All Factor Movements'!G152)/100,2))*100</f>
        <v>9654.1504982467504</v>
      </c>
      <c r="E152">
        <f>(3/(1+('CurrentPor-All Factor Movements'!B152+'CurrentPor-All Factor Movements'!H152)/100)+103/POWER(1+('CurrentPor-All Factor Movements'!C152+'CurrentPor-All Factor Movements'!H152)/100,2))*100</f>
        <v>9645.6686318124503</v>
      </c>
      <c r="F152">
        <f>Portfolio!B$5*'CurrentPor-All Factor Movements'!D152</f>
        <v>51673.900148400695</v>
      </c>
      <c r="G152">
        <f>Portfolio!B$6*'CurrentPor-All Factor Movements'!E152</f>
        <v>3202.3620274019199</v>
      </c>
      <c r="H152">
        <f t="shared" si="6"/>
        <v>93613.946090467754</v>
      </c>
      <c r="I152">
        <f t="shared" si="7"/>
        <v>-2105.0892836383282</v>
      </c>
    </row>
    <row r="153" spans="1:9">
      <c r="A153" s="1">
        <v>39471</v>
      </c>
      <c r="B153">
        <f>(3/(1+('CurrentPor-All Factor Movements'!B153)/100)+103/POWER(1+('CurrentPor-All Factor Movements'!C153)/100,2))*100</f>
        <v>9580.5300117486586</v>
      </c>
      <c r="C153">
        <f>(3/(1+('CurrentPor-All Factor Movements'!B153+'CurrentPor-All Factor Movements'!F153)/100)+103/POWER(1+('CurrentPor-All Factor Movements'!C153+'CurrentPor-All Factor Movements'!F153)/100,2))*100</f>
        <v>9495.2733064460881</v>
      </c>
      <c r="D153">
        <f>(3/(1+('CurrentPor-All Factor Movements'!B153+'CurrentPor-All Factor Movements'!G153)/100)+103/POWER(1+('CurrentPor-All Factor Movements'!C153+'CurrentPor-All Factor Movements'!G153)/100,2))*100</f>
        <v>9473.5991344755894</v>
      </c>
      <c r="E153">
        <f>(3/(1+('CurrentPor-All Factor Movements'!B153+'CurrentPor-All Factor Movements'!H153)/100)+103/POWER(1+('CurrentPor-All Factor Movements'!C153+'CurrentPor-All Factor Movements'!H153)/100,2))*100</f>
        <v>9476.9180330553791</v>
      </c>
      <c r="F153">
        <f>Portfolio!B$5*'CurrentPor-All Factor Movements'!D153</f>
        <v>50390.881094879725</v>
      </c>
      <c r="G153">
        <f>Portfolio!B$6*'CurrentPor-All Factor Movements'!E153</f>
        <v>3744.8310000730557</v>
      </c>
      <c r="H153">
        <f t="shared" si="6"/>
        <v>92162.032580678497</v>
      </c>
      <c r="I153">
        <f t="shared" si="7"/>
        <v>-2002.8162566700921</v>
      </c>
    </row>
    <row r="154" spans="1:9">
      <c r="A154" s="1">
        <v>39472</v>
      </c>
      <c r="B154">
        <f>(3/(1+('CurrentPor-All Factor Movements'!B154)/100)+103/POWER(1+('CurrentPor-All Factor Movements'!C154)/100,2))*100</f>
        <v>9823.1130936145109</v>
      </c>
      <c r="C154">
        <f>(3/(1+('CurrentPor-All Factor Movements'!B154+'CurrentPor-All Factor Movements'!F154)/100)+103/POWER(1+('CurrentPor-All Factor Movements'!C154+'CurrentPor-All Factor Movements'!F154)/100,2))*100</f>
        <v>9741.4523389795249</v>
      </c>
      <c r="D154">
        <f>(3/(1+('CurrentPor-All Factor Movements'!B154+'CurrentPor-All Factor Movements'!G154)/100)+103/POWER(1+('CurrentPor-All Factor Movements'!C154+'CurrentPor-All Factor Movements'!G154)/100,2))*100</f>
        <v>9699.5778792113924</v>
      </c>
      <c r="E154">
        <f>(3/(1+('CurrentPor-All Factor Movements'!B154+'CurrentPor-All Factor Movements'!H154)/100)+103/POWER(1+('CurrentPor-All Factor Movements'!C154+'CurrentPor-All Factor Movements'!H154)/100,2))*100</f>
        <v>9688.2098687686248</v>
      </c>
      <c r="F154">
        <f>Portfolio!B$5*'CurrentPor-All Factor Movements'!D154</f>
        <v>54530.580764472747</v>
      </c>
      <c r="G154">
        <f>Portfolio!B$6*'CurrentPor-All Factor Movements'!E154</f>
        <v>3416.4433245785149</v>
      </c>
      <c r="H154">
        <f t="shared" si="6"/>
        <v>96899.377269625315</v>
      </c>
      <c r="I154">
        <f t="shared" si="7"/>
        <v>2334.0421904819232</v>
      </c>
    </row>
    <row r="155" spans="1:9">
      <c r="A155" s="1">
        <v>39475</v>
      </c>
      <c r="B155">
        <f>(3/(1+('CurrentPor-All Factor Movements'!B155)/100)+103/POWER(1+('CurrentPor-All Factor Movements'!C155)/100,2))*100</f>
        <v>9567.1109278717249</v>
      </c>
      <c r="C155">
        <f>(3/(1+('CurrentPor-All Factor Movements'!B155+'CurrentPor-All Factor Movements'!F155)/100)+103/POWER(1+('CurrentPor-All Factor Movements'!C155+'CurrentPor-All Factor Movements'!F155)/100,2))*100</f>
        <v>9460.9140698706924</v>
      </c>
      <c r="D155">
        <f>(3/(1+('CurrentPor-All Factor Movements'!B155+'CurrentPor-All Factor Movements'!G155)/100)+103/POWER(1+('CurrentPor-All Factor Movements'!C155+'CurrentPor-All Factor Movements'!G155)/100,2))*100</f>
        <v>9470.5791390238337</v>
      </c>
      <c r="E155">
        <f>(3/(1+('CurrentPor-All Factor Movements'!B155+'CurrentPor-All Factor Movements'!H155)/100)+103/POWER(1+('CurrentPor-All Factor Movements'!C155+'CurrentPor-All Factor Movements'!H155)/100,2))*100</f>
        <v>9441.5612634731224</v>
      </c>
      <c r="F155">
        <f>Portfolio!B$5*'CurrentPor-All Factor Movements'!D155</f>
        <v>53611.572233325525</v>
      </c>
      <c r="G155">
        <f>Portfolio!B$6*'CurrentPor-All Factor Movements'!E155</f>
        <v>3518.147168036166</v>
      </c>
      <c r="H155">
        <f t="shared" si="6"/>
        <v>95069.884801601074</v>
      </c>
      <c r="I155">
        <f t="shared" si="7"/>
        <v>2899.5857931668434</v>
      </c>
    </row>
    <row r="156" spans="1:9">
      <c r="A156" s="1">
        <v>39476</v>
      </c>
      <c r="B156">
        <f>(3/(1+('CurrentPor-All Factor Movements'!B156)/100)+103/POWER(1+('CurrentPor-All Factor Movements'!C156)/100,2))*100</f>
        <v>9562.0305218773556</v>
      </c>
      <c r="C156">
        <f>(3/(1+('CurrentPor-All Factor Movements'!B156+'CurrentPor-All Factor Movements'!F156)/100)+103/POWER(1+('CurrentPor-All Factor Movements'!C156+'CurrentPor-All Factor Movements'!F156)/100,2))*100</f>
        <v>9476.9572949993435</v>
      </c>
      <c r="D156">
        <f>(3/(1+('CurrentPor-All Factor Movements'!B156+'CurrentPor-All Factor Movements'!G156)/100)+103/POWER(1+('CurrentPor-All Factor Movements'!C156+'CurrentPor-All Factor Movements'!G156)/100,2))*100</f>
        <v>9463.6132700527487</v>
      </c>
      <c r="E156">
        <f>(3/(1+('CurrentPor-All Factor Movements'!B156+'CurrentPor-All Factor Movements'!H156)/100)+103/POWER(1+('CurrentPor-All Factor Movements'!C156+'CurrentPor-All Factor Movements'!H156)/100,2))*100</f>
        <v>9445.4317719956998</v>
      </c>
      <c r="F156">
        <f>Portfolio!B$5*'CurrentPor-All Factor Movements'!D156</f>
        <v>52475.61827032367</v>
      </c>
      <c r="G156">
        <f>Portfolio!B$6*'CurrentPor-All Factor Movements'!E156</f>
        <v>3336.7796601167861</v>
      </c>
      <c r="H156">
        <f t="shared" si="6"/>
        <v>93760.430789365593</v>
      </c>
      <c r="I156">
        <f t="shared" si="7"/>
        <v>495.77897997494438</v>
      </c>
    </row>
    <row r="157" spans="1:9">
      <c r="A157" s="1">
        <v>39477</v>
      </c>
      <c r="B157">
        <f>(3/(1+('CurrentPor-All Factor Movements'!B157)/100)+103/POWER(1+('CurrentPor-All Factor Movements'!C157)/100,2))*100</f>
        <v>9822.6356089839392</v>
      </c>
      <c r="C157">
        <f>(3/(1+('CurrentPor-All Factor Movements'!B157+'CurrentPor-All Factor Movements'!F157)/100)+103/POWER(1+('CurrentPor-All Factor Movements'!C157+'CurrentPor-All Factor Movements'!F157)/100,2))*100</f>
        <v>9711.9147159772656</v>
      </c>
      <c r="D157">
        <f>(3/(1+('CurrentPor-All Factor Movements'!B157+'CurrentPor-All Factor Movements'!G157)/100)+103/POWER(1+('CurrentPor-All Factor Movements'!C157+'CurrentPor-All Factor Movements'!G157)/100,2))*100</f>
        <v>9717.3688107307298</v>
      </c>
      <c r="E157">
        <f>(3/(1+('CurrentPor-All Factor Movements'!B157+'CurrentPor-All Factor Movements'!H157)/100)+103/POWER(1+('CurrentPor-All Factor Movements'!C157+'CurrentPor-All Factor Movements'!H157)/100,2))*100</f>
        <v>9687.4980665069888</v>
      </c>
      <c r="F157">
        <f>Portfolio!B$5*'CurrentPor-All Factor Movements'!D157</f>
        <v>53673.084361203793</v>
      </c>
      <c r="G157">
        <f>Portfolio!B$6*'CurrentPor-All Factor Movements'!E157</f>
        <v>3501.2359482275606</v>
      </c>
      <c r="H157">
        <f t="shared" si="6"/>
        <v>96113.737511630272</v>
      </c>
      <c r="I157">
        <f t="shared" si="7"/>
        <v>781.10752406073152</v>
      </c>
    </row>
    <row r="158" spans="1:9">
      <c r="A158" s="1">
        <v>39478</v>
      </c>
      <c r="B158">
        <f>(3/(1+('CurrentPor-All Factor Movements'!B158)/100)+103/POWER(1+('CurrentPor-All Factor Movements'!C158)/100,2))*100</f>
        <v>9666.972505455813</v>
      </c>
      <c r="C158">
        <f>(3/(1+('CurrentPor-All Factor Movements'!B158+'CurrentPor-All Factor Movements'!F158)/100)+103/POWER(1+('CurrentPor-All Factor Movements'!C158+'CurrentPor-All Factor Movements'!F158)/100,2))*100</f>
        <v>9567.4997668981086</v>
      </c>
      <c r="D158">
        <f>(3/(1+('CurrentPor-All Factor Movements'!B158+'CurrentPor-All Factor Movements'!G158)/100)+103/POWER(1+('CurrentPor-All Factor Movements'!C158+'CurrentPor-All Factor Movements'!G158)/100,2))*100</f>
        <v>9535.2035356744545</v>
      </c>
      <c r="E158">
        <f>(3/(1+('CurrentPor-All Factor Movements'!B158+'CurrentPor-All Factor Movements'!H158)/100)+103/POWER(1+('CurrentPor-All Factor Movements'!C158+'CurrentPor-All Factor Movements'!H158)/100,2))*100</f>
        <v>9538.9072434974696</v>
      </c>
      <c r="F158">
        <f>Portfolio!B$5*'CurrentPor-All Factor Movements'!D158</f>
        <v>51587.793338591269</v>
      </c>
      <c r="G158">
        <f>Portfolio!B$6*'CurrentPor-All Factor Movements'!E158</f>
        <v>3296.9702165665963</v>
      </c>
      <c r="H158">
        <f t="shared" si="6"/>
        <v>93193.346606683699</v>
      </c>
      <c r="I158">
        <f t="shared" si="7"/>
        <v>308.47073440745589</v>
      </c>
    </row>
    <row r="159" spans="1:9">
      <c r="A159" s="1">
        <v>39479</v>
      </c>
      <c r="B159">
        <f>(3/(1+('CurrentPor-All Factor Movements'!B159)/100)+103/POWER(1+('CurrentPor-All Factor Movements'!C159)/100,2))*100</f>
        <v>9837.6556723709946</v>
      </c>
      <c r="C159">
        <f>(3/(1+('CurrentPor-All Factor Movements'!B159+'CurrentPor-All Factor Movements'!F159)/100)+103/POWER(1+('CurrentPor-All Factor Movements'!C159+'CurrentPor-All Factor Movements'!F159)/100,2))*100</f>
        <v>9730.5706317116601</v>
      </c>
      <c r="D159">
        <f>(3/(1+('CurrentPor-All Factor Movements'!B159+'CurrentPor-All Factor Movements'!G159)/100)+103/POWER(1+('CurrentPor-All Factor Movements'!C159+'CurrentPor-All Factor Movements'!G159)/100,2))*100</f>
        <v>9739.0724587614513</v>
      </c>
      <c r="E159">
        <f>(3/(1+('CurrentPor-All Factor Movements'!B159+'CurrentPor-All Factor Movements'!H159)/100)+103/POWER(1+('CurrentPor-All Factor Movements'!C159+'CurrentPor-All Factor Movements'!H159)/100,2))*100</f>
        <v>9705.8072573428344</v>
      </c>
      <c r="F159">
        <f>Portfolio!B$5*'CurrentPor-All Factor Movements'!D159</f>
        <v>49579.332388271971</v>
      </c>
      <c r="G159">
        <f>Portfolio!B$6*'CurrentPor-All Factor Movements'!E159</f>
        <v>3313.1017476716002</v>
      </c>
      <c r="H159">
        <f t="shared" si="6"/>
        <v>91905.540156130504</v>
      </c>
      <c r="I159">
        <f t="shared" si="7"/>
        <v>-3465.2288911333744</v>
      </c>
    </row>
    <row r="160" spans="1:9">
      <c r="A160" s="1">
        <v>39482</v>
      </c>
      <c r="B160">
        <f>(3/(1+('CurrentPor-All Factor Movements'!B160)/100)+103/POWER(1+('CurrentPor-All Factor Movements'!C160)/100,2))*100</f>
        <v>9778.0187864617074</v>
      </c>
      <c r="C160">
        <f>(3/(1+('CurrentPor-All Factor Movements'!B160+'CurrentPor-All Factor Movements'!F160)/100)+103/POWER(1+('CurrentPor-All Factor Movements'!C160+'CurrentPor-All Factor Movements'!F160)/100,2))*100</f>
        <v>9681.4087059553058</v>
      </c>
      <c r="D160">
        <f>(3/(1+('CurrentPor-All Factor Movements'!B160+'CurrentPor-All Factor Movements'!G160)/100)+103/POWER(1+('CurrentPor-All Factor Movements'!C160+'CurrentPor-All Factor Movements'!G160)/100,2))*100</f>
        <v>9657.4706200931141</v>
      </c>
      <c r="E160">
        <f>(3/(1+('CurrentPor-All Factor Movements'!B160+'CurrentPor-All Factor Movements'!H160)/100)+103/POWER(1+('CurrentPor-All Factor Movements'!C160+'CurrentPor-All Factor Movements'!H160)/100,2))*100</f>
        <v>9645.8843233427324</v>
      </c>
      <c r="F160">
        <f>Portfolio!B$5*'CurrentPor-All Factor Movements'!D160</f>
        <v>51734.818760542024</v>
      </c>
      <c r="G160">
        <f>Portfolio!B$6*'CurrentPor-All Factor Movements'!E160</f>
        <v>3834.8591309619919</v>
      </c>
      <c r="H160">
        <f t="shared" si="6"/>
        <v>94332.460327356879</v>
      </c>
      <c r="I160">
        <f t="shared" si="7"/>
        <v>-2383.0872555849637</v>
      </c>
    </row>
    <row r="161" spans="1:9">
      <c r="A161" s="1">
        <v>39483</v>
      </c>
      <c r="B161">
        <f>(3/(1+('CurrentPor-All Factor Movements'!B161)/100)+103/POWER(1+('CurrentPor-All Factor Movements'!C161)/100,2))*100</f>
        <v>9781.0231241835772</v>
      </c>
      <c r="C161">
        <f>(3/(1+('CurrentPor-All Factor Movements'!B161+'CurrentPor-All Factor Movements'!F161)/100)+103/POWER(1+('CurrentPor-All Factor Movements'!C161+'CurrentPor-All Factor Movements'!F161)/100,2))*100</f>
        <v>9692.9907928131342</v>
      </c>
      <c r="D161">
        <f>(3/(1+('CurrentPor-All Factor Movements'!B161+'CurrentPor-All Factor Movements'!G161)/100)+103/POWER(1+('CurrentPor-All Factor Movements'!C161+'CurrentPor-All Factor Movements'!G161)/100,2))*100</f>
        <v>9668.9466979644149</v>
      </c>
      <c r="E161">
        <f>(3/(1+('CurrentPor-All Factor Movements'!B161+'CurrentPor-All Factor Movements'!H161)/100)+103/POWER(1+('CurrentPor-All Factor Movements'!C161+'CurrentPor-All Factor Movements'!H161)/100,2))*100</f>
        <v>9650.1985385526532</v>
      </c>
      <c r="F161">
        <f>Portfolio!B$5*'CurrentPor-All Factor Movements'!D161</f>
        <v>51982.832683678258</v>
      </c>
      <c r="G161">
        <f>Portfolio!B$6*'CurrentPor-All Factor Movements'!E161</f>
        <v>3784.8519451827087</v>
      </c>
      <c r="H161">
        <f t="shared" si="6"/>
        <v>94560.843782374752</v>
      </c>
      <c r="I161">
        <f t="shared" si="7"/>
        <v>758.86553572770208</v>
      </c>
    </row>
    <row r="162" spans="1:9">
      <c r="A162" s="1">
        <v>39484</v>
      </c>
      <c r="B162">
        <f>(3/(1+('CurrentPor-All Factor Movements'!B162)/100)+103/POWER(1+('CurrentPor-All Factor Movements'!C162)/100,2))*100</f>
        <v>9674.9682195391797</v>
      </c>
      <c r="C162">
        <f>(3/(1+('CurrentPor-All Factor Movements'!B162+'CurrentPor-All Factor Movements'!F162)/100)+103/POWER(1+('CurrentPor-All Factor Movements'!C162+'CurrentPor-All Factor Movements'!F162)/100,2))*100</f>
        <v>9593.5819966536164</v>
      </c>
      <c r="D162">
        <f>(3/(1+('CurrentPor-All Factor Movements'!B162+'CurrentPor-All Factor Movements'!G162)/100)+103/POWER(1+('CurrentPor-All Factor Movements'!C162+'CurrentPor-All Factor Movements'!G162)/100,2))*100</f>
        <v>9561.9461498283963</v>
      </c>
      <c r="E162">
        <f>(3/(1+('CurrentPor-All Factor Movements'!B162+'CurrentPor-All Factor Movements'!H162)/100)+103/POWER(1+('CurrentPor-All Factor Movements'!C162+'CurrentPor-All Factor Movements'!H162)/100,2))*100</f>
        <v>9565.667183251795</v>
      </c>
      <c r="F162">
        <f>Portfolio!B$5*'CurrentPor-All Factor Movements'!D162</f>
        <v>52793.234418997476</v>
      </c>
      <c r="G162">
        <f>Portfolio!B$6*'CurrentPor-All Factor Movements'!E162</f>
        <v>3593.5767657503179</v>
      </c>
      <c r="H162">
        <f t="shared" si="6"/>
        <v>94782.974734020783</v>
      </c>
      <c r="I162">
        <f t="shared" si="7"/>
        <v>1169.0286435530288</v>
      </c>
    </row>
    <row r="163" spans="1:9">
      <c r="A163" s="1">
        <v>39485</v>
      </c>
      <c r="B163">
        <f>(3/(1+('CurrentPor-All Factor Movements'!B163)/100)+103/POWER(1+('CurrentPor-All Factor Movements'!C163)/100,2))*100</f>
        <v>9686.88908998435</v>
      </c>
      <c r="C163">
        <f>(3/(1+('CurrentPor-All Factor Movements'!B163+'CurrentPor-All Factor Movements'!F163)/100)+103/POWER(1+('CurrentPor-All Factor Movements'!C163+'CurrentPor-All Factor Movements'!F163)/100,2))*100</f>
        <v>9600.4861691374626</v>
      </c>
      <c r="D163">
        <f>(3/(1+('CurrentPor-All Factor Movements'!B163+'CurrentPor-All Factor Movements'!G163)/100)+103/POWER(1+('CurrentPor-All Factor Movements'!C163+'CurrentPor-All Factor Movements'!G163)/100,2))*100</f>
        <v>9593.9320182840002</v>
      </c>
      <c r="E163">
        <f>(3/(1+('CurrentPor-All Factor Movements'!B163+'CurrentPor-All Factor Movements'!H163)/100)+103/POWER(1+('CurrentPor-All Factor Movements'!C163+'CurrentPor-All Factor Movements'!H163)/100,2))*100</f>
        <v>9586.7158298606082</v>
      </c>
      <c r="F163">
        <f>Portfolio!B$5*'CurrentPor-All Factor Movements'!D163</f>
        <v>53198.258323259608</v>
      </c>
      <c r="G163">
        <f>Portfolio!B$6*'CurrentPor-All Factor Movements'!E163</f>
        <v>3823.0993581670295</v>
      </c>
      <c r="H163">
        <f t="shared" ref="H163:H187" si="8">SUM(B163:G163)</f>
        <v>95489.380788693059</v>
      </c>
      <c r="I163">
        <f t="shared" si="7"/>
        <v>3327.3482080145623</v>
      </c>
    </row>
    <row r="164" spans="1:9">
      <c r="A164" s="1">
        <v>39486</v>
      </c>
      <c r="B164">
        <f>(3/(1+('CurrentPor-All Factor Movements'!B164)/100)+103/POWER(1+('CurrentPor-All Factor Movements'!C164)/100,2))*100</f>
        <v>9604.8214891565804</v>
      </c>
      <c r="C164">
        <f>(3/(1+('CurrentPor-All Factor Movements'!B164+'CurrentPor-All Factor Movements'!F164)/100)+103/POWER(1+('CurrentPor-All Factor Movements'!C164+'CurrentPor-All Factor Movements'!F164)/100,2))*100</f>
        <v>9514.9847495792656</v>
      </c>
      <c r="D164">
        <f>(3/(1+('CurrentPor-All Factor Movements'!B164+'CurrentPor-All Factor Movements'!G164)/100)+103/POWER(1+('CurrentPor-All Factor Movements'!C164+'CurrentPor-All Factor Movements'!G164)/100,2))*100</f>
        <v>9497.2645082295876</v>
      </c>
      <c r="E164">
        <f>(3/(1+('CurrentPor-All Factor Movements'!B164+'CurrentPor-All Factor Movements'!H164)/100)+103/POWER(1+('CurrentPor-All Factor Movements'!C164+'CurrentPor-All Factor Movements'!H164)/100,2))*100</f>
        <v>9490.0972854755673</v>
      </c>
      <c r="F164">
        <f>Portfolio!B$5*'CurrentPor-All Factor Movements'!D164</f>
        <v>51965.862296457271</v>
      </c>
      <c r="G164">
        <f>Portfolio!B$6*'CurrentPor-All Factor Movements'!E164</f>
        <v>3451.1958784987505</v>
      </c>
      <c r="H164">
        <f t="shared" si="8"/>
        <v>93524.22620739702</v>
      </c>
      <c r="I164">
        <f t="shared" si="7"/>
        <v>-3375.1510622282949</v>
      </c>
    </row>
    <row r="165" spans="1:9">
      <c r="A165" s="1">
        <v>39489</v>
      </c>
      <c r="B165">
        <f>(3/(1+('CurrentPor-All Factor Movements'!B165)/100)+103/POWER(1+('CurrentPor-All Factor Movements'!C165)/100,2))*100</f>
        <v>9982.4879861810932</v>
      </c>
      <c r="C165">
        <f>(3/(1+('CurrentPor-All Factor Movements'!B165+'CurrentPor-All Factor Movements'!F165)/100)+103/POWER(1+('CurrentPor-All Factor Movements'!C165+'CurrentPor-All Factor Movements'!F165)/100,2))*100</f>
        <v>9881.2485458997853</v>
      </c>
      <c r="D165">
        <f>(3/(1+('CurrentPor-All Factor Movements'!B165+'CurrentPor-All Factor Movements'!G165)/100)+103/POWER(1+('CurrentPor-All Factor Movements'!C165+'CurrentPor-All Factor Movements'!G165)/100,2))*100</f>
        <v>9862.5715300794491</v>
      </c>
      <c r="E165">
        <f>(3/(1+('CurrentPor-All Factor Movements'!B165+'CurrentPor-All Factor Movements'!H165)/100)+103/POWER(1+('CurrentPor-All Factor Movements'!C165+'CurrentPor-All Factor Movements'!H165)/100,2))*100</f>
        <v>9858.0678025782872</v>
      </c>
      <c r="F165">
        <f>Portfolio!B$5*'CurrentPor-All Factor Movements'!D165</f>
        <v>50972.602800413631</v>
      </c>
      <c r="G165">
        <f>Portfolio!B$6*'CurrentPor-All Factor Movements'!E165</f>
        <v>3395.2324380533441</v>
      </c>
      <c r="H165">
        <f t="shared" si="8"/>
        <v>93952.211103205584</v>
      </c>
      <c r="I165">
        <f t="shared" si="7"/>
        <v>-1117.6736983954906</v>
      </c>
    </row>
    <row r="166" spans="1:9">
      <c r="A166" s="1">
        <v>39490</v>
      </c>
      <c r="B166">
        <f>(3/(1+('CurrentPor-All Factor Movements'!B166)/100)+103/POWER(1+('CurrentPor-All Factor Movements'!C166)/100,2))*100</f>
        <v>9622.6238257540717</v>
      </c>
      <c r="C166">
        <f>(3/(1+('CurrentPor-All Factor Movements'!B166+'CurrentPor-All Factor Movements'!F166)/100)+103/POWER(1+('CurrentPor-All Factor Movements'!C166+'CurrentPor-All Factor Movements'!F166)/100,2))*100</f>
        <v>9532.5558405977918</v>
      </c>
      <c r="D166">
        <f>(3/(1+('CurrentPor-All Factor Movements'!B166+'CurrentPor-All Factor Movements'!G166)/100)+103/POWER(1+('CurrentPor-All Factor Movements'!C166+'CurrentPor-All Factor Movements'!G166)/100,2))*100</f>
        <v>9528.5967642604865</v>
      </c>
      <c r="E166">
        <f>(3/(1+('CurrentPor-All Factor Movements'!B166+'CurrentPor-All Factor Movements'!H166)/100)+103/POWER(1+('CurrentPor-All Factor Movements'!C166+'CurrentPor-All Factor Movements'!H166)/100,2))*100</f>
        <v>9499.2795999483551</v>
      </c>
      <c r="F166">
        <f>Portfolio!B$5*'CurrentPor-All Factor Movements'!D166</f>
        <v>53758.144975026538</v>
      </c>
      <c r="G166">
        <f>Portfolio!B$6*'CurrentPor-All Factor Movements'!E166</f>
        <v>3428.8839239571589</v>
      </c>
      <c r="H166">
        <f t="shared" si="8"/>
        <v>95370.084929544391</v>
      </c>
      <c r="I166">
        <f t="shared" si="7"/>
        <v>1609.6541401787981</v>
      </c>
    </row>
    <row r="167" spans="1:9">
      <c r="A167" s="1">
        <v>39491</v>
      </c>
      <c r="B167">
        <f>(3/(1+('CurrentPor-All Factor Movements'!B167)/100)+103/POWER(1+('CurrentPor-All Factor Movements'!C167)/100,2))*100</f>
        <v>9698.3240101978536</v>
      </c>
      <c r="C167">
        <f>(3/(1+('CurrentPor-All Factor Movements'!B167+'CurrentPor-All Factor Movements'!F167)/100)+103/POWER(1+('CurrentPor-All Factor Movements'!C167+'CurrentPor-All Factor Movements'!F167)/100,2))*100</f>
        <v>9601.936229900999</v>
      </c>
      <c r="D167">
        <f>(3/(1+('CurrentPor-All Factor Movements'!B167+'CurrentPor-All Factor Movements'!G167)/100)+103/POWER(1+('CurrentPor-All Factor Movements'!C167+'CurrentPor-All Factor Movements'!G167)/100,2))*100</f>
        <v>9586.1917021625286</v>
      </c>
      <c r="E167">
        <f>(3/(1+('CurrentPor-All Factor Movements'!B167+'CurrentPor-All Factor Movements'!H167)/100)+103/POWER(1+('CurrentPor-All Factor Movements'!C167+'CurrentPor-All Factor Movements'!H167)/100,2))*100</f>
        <v>9585.9970725010662</v>
      </c>
      <c r="F167">
        <f>Portfolio!B$5*'CurrentPor-All Factor Movements'!D167</f>
        <v>51831.343141273399</v>
      </c>
      <c r="G167">
        <f>Portfolio!B$6*'CurrentPor-All Factor Movements'!E167</f>
        <v>3405.9250618439187</v>
      </c>
      <c r="H167">
        <f t="shared" si="8"/>
        <v>93709.717217879763</v>
      </c>
      <c r="I167">
        <f t="shared" si="7"/>
        <v>-2404.0202937505092</v>
      </c>
    </row>
    <row r="168" spans="1:9">
      <c r="A168" s="1">
        <v>39492</v>
      </c>
      <c r="B168">
        <f>(3/(1+('CurrentPor-All Factor Movements'!B168)/100)+103/POWER(1+('CurrentPor-All Factor Movements'!C168)/100,2))*100</f>
        <v>9638.5148287316151</v>
      </c>
      <c r="C168">
        <f>(3/(1+('CurrentPor-All Factor Movements'!B168+'CurrentPor-All Factor Movements'!F168)/100)+103/POWER(1+('CurrentPor-All Factor Movements'!C168+'CurrentPor-All Factor Movements'!F168)/100,2))*100</f>
        <v>9541.8502173945344</v>
      </c>
      <c r="D168">
        <f>(3/(1+('CurrentPor-All Factor Movements'!B168+'CurrentPor-All Factor Movements'!G168)/100)+103/POWER(1+('CurrentPor-All Factor Movements'!C168+'CurrentPor-All Factor Movements'!G168)/100,2))*100</f>
        <v>9552.3729100437085</v>
      </c>
      <c r="E168">
        <f>(3/(1+('CurrentPor-All Factor Movements'!B168+'CurrentPor-All Factor Movements'!H168)/100)+103/POWER(1+('CurrentPor-All Factor Movements'!C168+'CurrentPor-All Factor Movements'!H168)/100,2))*100</f>
        <v>9499.2949710743287</v>
      </c>
      <c r="F168">
        <f>Portfolio!B$5*'CurrentPor-All Factor Movements'!D168</f>
        <v>52736.39674459138</v>
      </c>
      <c r="G168">
        <f>Portfolio!B$6*'CurrentPor-All Factor Movements'!E168</f>
        <v>3906.5581478786066</v>
      </c>
      <c r="H168">
        <f t="shared" si="8"/>
        <v>94874.987819714166</v>
      </c>
      <c r="I168">
        <f t="shared" si="7"/>
        <v>1681.641213030467</v>
      </c>
    </row>
    <row r="169" spans="1:9">
      <c r="A169" s="1">
        <v>39493</v>
      </c>
      <c r="B169">
        <f>(3/(1+('CurrentPor-All Factor Movements'!B169)/100)+103/POWER(1+('CurrentPor-All Factor Movements'!C169)/100,2))*100</f>
        <v>9710.1356425860849</v>
      </c>
      <c r="C169">
        <f>(3/(1+('CurrentPor-All Factor Movements'!B169+'CurrentPor-All Factor Movements'!F169)/100)+103/POWER(1+('CurrentPor-All Factor Movements'!C169+'CurrentPor-All Factor Movements'!F169)/100,2))*100</f>
        <v>9602.6047119112554</v>
      </c>
      <c r="D169">
        <f>(3/(1+('CurrentPor-All Factor Movements'!B169+'CurrentPor-All Factor Movements'!G169)/100)+103/POWER(1+('CurrentPor-All Factor Movements'!C169+'CurrentPor-All Factor Movements'!G169)/100,2))*100</f>
        <v>9602.2517913315405</v>
      </c>
      <c r="E169">
        <f>(3/(1+('CurrentPor-All Factor Movements'!B169+'CurrentPor-All Factor Movements'!H169)/100)+103/POWER(1+('CurrentPor-All Factor Movements'!C169+'CurrentPor-All Factor Movements'!H169)/100,2))*100</f>
        <v>9579.3069212489754</v>
      </c>
      <c r="F169">
        <f>Portfolio!B$5*'CurrentPor-All Factor Movements'!D169</f>
        <v>51432.207931413701</v>
      </c>
      <c r="G169">
        <f>Portfolio!B$6*'CurrentPor-All Factor Movements'!E169</f>
        <v>3513.0006480099801</v>
      </c>
      <c r="H169">
        <f t="shared" si="8"/>
        <v>93439.507646501545</v>
      </c>
      <c r="I169">
        <f t="shared" si="7"/>
        <v>1533.9674903710402</v>
      </c>
    </row>
    <row r="170" spans="1:9">
      <c r="A170" s="1">
        <v>39496</v>
      </c>
      <c r="B170">
        <f>(3/(1+('CurrentPor-All Factor Movements'!B170)/100)+103/POWER(1+('CurrentPor-All Factor Movements'!C170)/100,2))*100</f>
        <v>9678.8263043520146</v>
      </c>
      <c r="C170">
        <f>(3/(1+('CurrentPor-All Factor Movements'!B170+'CurrentPor-All Factor Movements'!F170)/100)+103/POWER(1+('CurrentPor-All Factor Movements'!C170+'CurrentPor-All Factor Movements'!F170)/100,2))*100</f>
        <v>9574.2243576642759</v>
      </c>
      <c r="D170">
        <f>(3/(1+('CurrentPor-All Factor Movements'!B170+'CurrentPor-All Factor Movements'!G170)/100)+103/POWER(1+('CurrentPor-All Factor Movements'!C170+'CurrentPor-All Factor Movements'!G170)/100,2))*100</f>
        <v>9569.7447444786467</v>
      </c>
      <c r="E170">
        <f>(3/(1+('CurrentPor-All Factor Movements'!B170+'CurrentPor-All Factor Movements'!H170)/100)+103/POWER(1+('CurrentPor-All Factor Movements'!C170+'CurrentPor-All Factor Movements'!H170)/100,2))*100</f>
        <v>9543.5300315913319</v>
      </c>
      <c r="F170">
        <f>Portfolio!B$5*'CurrentPor-All Factor Movements'!D170</f>
        <v>52406.262222914811</v>
      </c>
      <c r="G170">
        <f>Portfolio!B$6*'CurrentPor-All Factor Movements'!E170</f>
        <v>3597.9927854888283</v>
      </c>
      <c r="H170">
        <f t="shared" si="8"/>
        <v>94370.580446489897</v>
      </c>
      <c r="I170">
        <f t="shared" si="7"/>
        <v>38.120119133018306</v>
      </c>
    </row>
    <row r="171" spans="1:9">
      <c r="A171" s="1">
        <v>39497</v>
      </c>
      <c r="B171">
        <f>(3/(1+('CurrentPor-All Factor Movements'!B171)/100)+103/POWER(1+('CurrentPor-All Factor Movements'!C171)/100,2))*100</f>
        <v>9614.0748119106865</v>
      </c>
      <c r="C171">
        <f>(3/(1+('CurrentPor-All Factor Movements'!B171+'CurrentPor-All Factor Movements'!F171)/100)+103/POWER(1+('CurrentPor-All Factor Movements'!C171+'CurrentPor-All Factor Movements'!F171)/100,2))*100</f>
        <v>9526.0668005387524</v>
      </c>
      <c r="D171">
        <f>(3/(1+('CurrentPor-All Factor Movements'!B171+'CurrentPor-All Factor Movements'!G171)/100)+103/POWER(1+('CurrentPor-All Factor Movements'!C171+'CurrentPor-All Factor Movements'!G171)/100,2))*100</f>
        <v>9493.4769488954626</v>
      </c>
      <c r="E171">
        <f>(3/(1+('CurrentPor-All Factor Movements'!B171+'CurrentPor-All Factor Movements'!H171)/100)+103/POWER(1+('CurrentPor-All Factor Movements'!C171+'CurrentPor-All Factor Movements'!H171)/100,2))*100</f>
        <v>9486.6923335866468</v>
      </c>
      <c r="F171">
        <f>Portfolio!B$5*'CurrentPor-All Factor Movements'!D171</f>
        <v>51683.112392060626</v>
      </c>
      <c r="G171">
        <f>Portfolio!B$6*'CurrentPor-All Factor Movements'!E171</f>
        <v>3517.6130020773558</v>
      </c>
      <c r="H171">
        <f t="shared" si="8"/>
        <v>93321.03628906954</v>
      </c>
      <c r="I171">
        <f t="shared" si="7"/>
        <v>-1239.8074933052121</v>
      </c>
    </row>
    <row r="172" spans="1:9">
      <c r="A172" s="1">
        <v>39498</v>
      </c>
      <c r="B172">
        <f>(3/(1+('CurrentPor-All Factor Movements'!B172)/100)+103/POWER(1+('CurrentPor-All Factor Movements'!C172)/100,2))*100</f>
        <v>9730.0168412492876</v>
      </c>
      <c r="C172">
        <f>(3/(1+('CurrentPor-All Factor Movements'!B172+'CurrentPor-All Factor Movements'!F172)/100)+103/POWER(1+('CurrentPor-All Factor Movements'!C172+'CurrentPor-All Factor Movements'!F172)/100,2))*100</f>
        <v>9649.2804353583288</v>
      </c>
      <c r="D172">
        <f>(3/(1+('CurrentPor-All Factor Movements'!B172+'CurrentPor-All Factor Movements'!G172)/100)+103/POWER(1+('CurrentPor-All Factor Movements'!C172+'CurrentPor-All Factor Movements'!G172)/100,2))*100</f>
        <v>9638.9732242717182</v>
      </c>
      <c r="E172">
        <f>(3/(1+('CurrentPor-All Factor Movements'!B172+'CurrentPor-All Factor Movements'!H172)/100)+103/POWER(1+('CurrentPor-All Factor Movements'!C172+'CurrentPor-All Factor Movements'!H172)/100,2))*100</f>
        <v>9597.9382513003293</v>
      </c>
      <c r="F172">
        <f>Portfolio!B$5*'CurrentPor-All Factor Movements'!D172</f>
        <v>51406.05146823822</v>
      </c>
      <c r="G172">
        <f>Portfolio!B$6*'CurrentPor-All Factor Movements'!E172</f>
        <v>3619.4072590527903</v>
      </c>
      <c r="H172">
        <f t="shared" si="8"/>
        <v>93641.667479470678</v>
      </c>
      <c r="I172">
        <f t="shared" si="7"/>
        <v>-1141.3072545501054</v>
      </c>
    </row>
    <row r="173" spans="1:9">
      <c r="A173" s="1">
        <v>39499</v>
      </c>
      <c r="B173">
        <f>(3/(1+('CurrentPor-All Factor Movements'!B173)/100)+103/POWER(1+('CurrentPor-All Factor Movements'!C173)/100,2))*100</f>
        <v>9738.6141947659235</v>
      </c>
      <c r="C173">
        <f>(3/(1+('CurrentPor-All Factor Movements'!B173+'CurrentPor-All Factor Movements'!F173)/100)+103/POWER(1+('CurrentPor-All Factor Movements'!C173+'CurrentPor-All Factor Movements'!F173)/100,2))*100</f>
        <v>9647.7336639170117</v>
      </c>
      <c r="D173">
        <f>(3/(1+('CurrentPor-All Factor Movements'!B173+'CurrentPor-All Factor Movements'!G173)/100)+103/POWER(1+('CurrentPor-All Factor Movements'!C173+'CurrentPor-All Factor Movements'!G173)/100,2))*100</f>
        <v>9627.1050360331974</v>
      </c>
      <c r="E173">
        <f>(3/(1+('CurrentPor-All Factor Movements'!B173+'CurrentPor-All Factor Movements'!H173)/100)+103/POWER(1+('CurrentPor-All Factor Movements'!C173+'CurrentPor-All Factor Movements'!H173)/100,2))*100</f>
        <v>9624.7160224852651</v>
      </c>
      <c r="F173">
        <f>Portfolio!B$5*'CurrentPor-All Factor Movements'!D173</f>
        <v>51046.309785474696</v>
      </c>
      <c r="G173">
        <f>Portfolio!B$6*'CurrentPor-All Factor Movements'!E173</f>
        <v>3986.0044459219216</v>
      </c>
      <c r="H173">
        <f t="shared" si="8"/>
        <v>93670.483148598025</v>
      </c>
      <c r="I173">
        <f t="shared" si="7"/>
        <v>-1818.8976400950341</v>
      </c>
    </row>
    <row r="174" spans="1:9">
      <c r="A174" s="1">
        <v>39500</v>
      </c>
      <c r="B174">
        <f>(3/(1+('CurrentPor-All Factor Movements'!B174)/100)+103/POWER(1+('CurrentPor-All Factor Movements'!C174)/100,2))*100</f>
        <v>9691.6172102460569</v>
      </c>
      <c r="C174">
        <f>(3/(1+('CurrentPor-All Factor Movements'!B174+'CurrentPor-All Factor Movements'!F174)/100)+103/POWER(1+('CurrentPor-All Factor Movements'!C174+'CurrentPor-All Factor Movements'!F174)/100,2))*100</f>
        <v>9588.8204306301559</v>
      </c>
      <c r="D174">
        <f>(3/(1+('CurrentPor-All Factor Movements'!B174+'CurrentPor-All Factor Movements'!G174)/100)+103/POWER(1+('CurrentPor-All Factor Movements'!C174+'CurrentPor-All Factor Movements'!G174)/100,2))*100</f>
        <v>9579.9459366696519</v>
      </c>
      <c r="E174">
        <f>(3/(1+('CurrentPor-All Factor Movements'!B174+'CurrentPor-All Factor Movements'!H174)/100)+103/POWER(1+('CurrentPor-All Factor Movements'!C174+'CurrentPor-All Factor Movements'!H174)/100,2))*100</f>
        <v>9577.3309532968633</v>
      </c>
      <c r="F174">
        <f>Portfolio!B$5*'CurrentPor-All Factor Movements'!D174</f>
        <v>51154.436985009976</v>
      </c>
      <c r="G174">
        <f>Portfolio!B$6*'CurrentPor-All Factor Movements'!E174</f>
        <v>3816.1019388973818</v>
      </c>
      <c r="H174">
        <f t="shared" si="8"/>
        <v>93408.253454750084</v>
      </c>
      <c r="I174">
        <f t="shared" si="7"/>
        <v>-115.97275264693599</v>
      </c>
    </row>
    <row r="175" spans="1:9">
      <c r="A175" s="1">
        <v>39503</v>
      </c>
      <c r="B175">
        <f>(3/(1+('CurrentPor-All Factor Movements'!B175)/100)+103/POWER(1+('CurrentPor-All Factor Movements'!C175)/100,2))*100</f>
        <v>9668.8195866045298</v>
      </c>
      <c r="C175">
        <f>(3/(1+('CurrentPor-All Factor Movements'!B175+'CurrentPor-All Factor Movements'!F175)/100)+103/POWER(1+('CurrentPor-All Factor Movements'!C175+'CurrentPor-All Factor Movements'!F175)/100,2))*100</f>
        <v>9576.4183043742905</v>
      </c>
      <c r="D175">
        <f>(3/(1+('CurrentPor-All Factor Movements'!B175+'CurrentPor-All Factor Movements'!G175)/100)+103/POWER(1+('CurrentPor-All Factor Movements'!C175+'CurrentPor-All Factor Movements'!G175)/100,2))*100</f>
        <v>9566.4665850300808</v>
      </c>
      <c r="E175">
        <f>(3/(1+('CurrentPor-All Factor Movements'!B175+'CurrentPor-All Factor Movements'!H175)/100)+103/POWER(1+('CurrentPor-All Factor Movements'!C175+'CurrentPor-All Factor Movements'!H175)/100,2))*100</f>
        <v>9547.3875511125843</v>
      </c>
      <c r="F175">
        <f>Portfolio!B$5*'CurrentPor-All Factor Movements'!D175</f>
        <v>51170.652813227287</v>
      </c>
      <c r="G175">
        <f>Portfolio!B$6*'CurrentPor-All Factor Movements'!E175</f>
        <v>3737.9015368071377</v>
      </c>
      <c r="H175">
        <f t="shared" si="8"/>
        <v>93267.646377155921</v>
      </c>
      <c r="I175">
        <f t="shared" si="7"/>
        <v>-684.56472604966257</v>
      </c>
    </row>
    <row r="176" spans="1:9">
      <c r="A176" s="1">
        <v>39504</v>
      </c>
      <c r="B176">
        <f>(3/(1+('CurrentPor-All Factor Movements'!B176)/100)+103/POWER(1+('CurrentPor-All Factor Movements'!C176)/100,2))*100</f>
        <v>9694.510974241126</v>
      </c>
      <c r="C176">
        <f>(3/(1+('CurrentPor-All Factor Movements'!B176+'CurrentPor-All Factor Movements'!F176)/100)+103/POWER(1+('CurrentPor-All Factor Movements'!C176+'CurrentPor-All Factor Movements'!F176)/100,2))*100</f>
        <v>9611.5581332693928</v>
      </c>
      <c r="D176">
        <f>(3/(1+('CurrentPor-All Factor Movements'!B176+'CurrentPor-All Factor Movements'!G176)/100)+103/POWER(1+('CurrentPor-All Factor Movements'!C176+'CurrentPor-All Factor Movements'!G176)/100,2))*100</f>
        <v>9587.3608448049745</v>
      </c>
      <c r="E176">
        <f>(3/(1+('CurrentPor-All Factor Movements'!B176+'CurrentPor-All Factor Movements'!H176)/100)+103/POWER(1+('CurrentPor-All Factor Movements'!C176+'CurrentPor-All Factor Movements'!H176)/100,2))*100</f>
        <v>9562.5496243599046</v>
      </c>
      <c r="F176">
        <f>Portfolio!B$5*'CurrentPor-All Factor Movements'!D176</f>
        <v>50724.544366406677</v>
      </c>
      <c r="G176">
        <f>Portfolio!B$6*'CurrentPor-All Factor Movements'!E176</f>
        <v>3359.0319764945698</v>
      </c>
      <c r="H176">
        <f t="shared" si="8"/>
        <v>92539.555919576655</v>
      </c>
      <c r="I176">
        <f t="shared" si="7"/>
        <v>-2830.5290099677368</v>
      </c>
    </row>
    <row r="177" spans="1:9">
      <c r="A177" s="1">
        <v>39505</v>
      </c>
      <c r="B177">
        <f>(3/(1+('CurrentPor-All Factor Movements'!B177)/100)+103/POWER(1+('CurrentPor-All Factor Movements'!C177)/100,2))*100</f>
        <v>10029.156419484374</v>
      </c>
      <c r="C177">
        <f>(3/(1+('CurrentPor-All Factor Movements'!B177+'CurrentPor-All Factor Movements'!F177)/100)+103/POWER(1+('CurrentPor-All Factor Movements'!C177+'CurrentPor-All Factor Movements'!F177)/100,2))*100</f>
        <v>9932.2433496416543</v>
      </c>
      <c r="D177">
        <f>(3/(1+('CurrentPor-All Factor Movements'!B177+'CurrentPor-All Factor Movements'!G177)/100)+103/POWER(1+('CurrentPor-All Factor Movements'!C177+'CurrentPor-All Factor Movements'!G177)/100,2))*100</f>
        <v>9917.5430526811306</v>
      </c>
      <c r="E177">
        <f>(3/(1+('CurrentPor-All Factor Movements'!B177+'CurrentPor-All Factor Movements'!H177)/100)+103/POWER(1+('CurrentPor-All Factor Movements'!C177+'CurrentPor-All Factor Movements'!H177)/100,2))*100</f>
        <v>9910.234139462671</v>
      </c>
      <c r="F177">
        <f>Portfolio!B$5*'CurrentPor-All Factor Movements'!D177</f>
        <v>51312.695548508404</v>
      </c>
      <c r="G177">
        <f>Portfolio!B$6*'CurrentPor-All Factor Movements'!E177</f>
        <v>3449.8015697821088</v>
      </c>
      <c r="H177">
        <f t="shared" si="8"/>
        <v>94551.674079560355</v>
      </c>
      <c r="I177">
        <f t="shared" si="7"/>
        <v>841.95686168059183</v>
      </c>
    </row>
    <row r="178" spans="1:9">
      <c r="A178" s="1">
        <v>39506</v>
      </c>
      <c r="B178">
        <f>(3/(1+('CurrentPor-All Factor Movements'!B178)/100)+103/POWER(1+('CurrentPor-All Factor Movements'!C178)/100,2))*100</f>
        <v>9646.2216588090414</v>
      </c>
      <c r="C178">
        <f>(3/(1+('CurrentPor-All Factor Movements'!B178+'CurrentPor-All Factor Movements'!F178)/100)+103/POWER(1+('CurrentPor-All Factor Movements'!C178+'CurrentPor-All Factor Movements'!F178)/100,2))*100</f>
        <v>9536.0689018190333</v>
      </c>
      <c r="D178">
        <f>(3/(1+('CurrentPor-All Factor Movements'!B178+'CurrentPor-All Factor Movements'!G178)/100)+103/POWER(1+('CurrentPor-All Factor Movements'!C178+'CurrentPor-All Factor Movements'!G178)/100,2))*100</f>
        <v>9516.2490054292812</v>
      </c>
      <c r="E178">
        <f>(3/(1+('CurrentPor-All Factor Movements'!B178+'CurrentPor-All Factor Movements'!H178)/100)+103/POWER(1+('CurrentPor-All Factor Movements'!C178+'CurrentPor-All Factor Movements'!H178)/100,2))*100</f>
        <v>9525.1679909219201</v>
      </c>
      <c r="F178">
        <f>Portfolio!B$5*'CurrentPor-All Factor Movements'!D178</f>
        <v>52365.18171238897</v>
      </c>
      <c r="G178">
        <f>Portfolio!B$6*'CurrentPor-All Factor Movements'!E178</f>
        <v>3620.8160854171147</v>
      </c>
      <c r="H178">
        <f t="shared" si="8"/>
        <v>94209.705354785372</v>
      </c>
      <c r="I178">
        <f t="shared" si="7"/>
        <v>-665.28246492879407</v>
      </c>
    </row>
    <row r="179" spans="1:9">
      <c r="A179" s="1">
        <v>39507</v>
      </c>
      <c r="B179">
        <f>(3/(1+('CurrentPor-All Factor Movements'!B179)/100)+103/POWER(1+('CurrentPor-All Factor Movements'!C179)/100,2))*100</f>
        <v>9719.9595065680696</v>
      </c>
      <c r="C179">
        <f>(3/(1+('CurrentPor-All Factor Movements'!B179+'CurrentPor-All Factor Movements'!F179)/100)+103/POWER(1+('CurrentPor-All Factor Movements'!C179+'CurrentPor-All Factor Movements'!F179)/100,2))*100</f>
        <v>9626.2080299126628</v>
      </c>
      <c r="D179">
        <f>(3/(1+('CurrentPor-All Factor Movements'!B179+'CurrentPor-All Factor Movements'!G179)/100)+103/POWER(1+('CurrentPor-All Factor Movements'!C179+'CurrentPor-All Factor Movements'!G179)/100,2))*100</f>
        <v>9611.8957070523447</v>
      </c>
      <c r="E179">
        <f>(3/(1+('CurrentPor-All Factor Movements'!B179+'CurrentPor-All Factor Movements'!H179)/100)+103/POWER(1+('CurrentPor-All Factor Movements'!C179+'CurrentPor-All Factor Movements'!H179)/100,2))*100</f>
        <v>9592.4836000732321</v>
      </c>
      <c r="F179">
        <f>Portfolio!B$5*'CurrentPor-All Factor Movements'!D179</f>
        <v>51917.519321352542</v>
      </c>
      <c r="G179">
        <f>Portfolio!B$6*'CurrentPor-All Factor Movements'!E179</f>
        <v>3697.8421649939542</v>
      </c>
      <c r="H179">
        <f t="shared" si="8"/>
        <v>94165.908329952799</v>
      </c>
      <c r="I179">
        <f t="shared" si="7"/>
        <v>726.40068345125474</v>
      </c>
    </row>
    <row r="180" spans="1:9">
      <c r="A180" s="1">
        <v>39510</v>
      </c>
      <c r="B180">
        <f>(3/(1+('CurrentPor-All Factor Movements'!B180)/100)+103/POWER(1+('CurrentPor-All Factor Movements'!C180)/100,2))*100</f>
        <v>9791.6800518887121</v>
      </c>
      <c r="C180">
        <f>(3/(1+('CurrentPor-All Factor Movements'!B180+'CurrentPor-All Factor Movements'!F180)/100)+103/POWER(1+('CurrentPor-All Factor Movements'!C180+'CurrentPor-All Factor Movements'!F180)/100,2))*100</f>
        <v>9697.5198632903921</v>
      </c>
      <c r="D180">
        <f>(3/(1+('CurrentPor-All Factor Movements'!B180+'CurrentPor-All Factor Movements'!G180)/100)+103/POWER(1+('CurrentPor-All Factor Movements'!C180+'CurrentPor-All Factor Movements'!G180)/100,2))*100</f>
        <v>9682.6118337521857</v>
      </c>
      <c r="E180">
        <f>(3/(1+('CurrentPor-All Factor Movements'!B180+'CurrentPor-All Factor Movements'!H180)/100)+103/POWER(1+('CurrentPor-All Factor Movements'!C180+'CurrentPor-All Factor Movements'!H180)/100,2))*100</f>
        <v>9671.8176122524328</v>
      </c>
      <c r="F180">
        <f>Portfolio!B$5*'CurrentPor-All Factor Movements'!D180</f>
        <v>51449.295302121856</v>
      </c>
      <c r="G180">
        <f>Portfolio!B$6*'CurrentPor-All Factor Movements'!E180</f>
        <v>3669.3047915786351</v>
      </c>
      <c r="H180">
        <f t="shared" si="8"/>
        <v>93962.229454884204</v>
      </c>
      <c r="I180">
        <f t="shared" si="7"/>
        <v>-408.35099160569371</v>
      </c>
    </row>
    <row r="181" spans="1:9">
      <c r="A181" s="1">
        <v>39511</v>
      </c>
      <c r="B181">
        <f>(3/(1+('CurrentPor-All Factor Movements'!B181)/100)+103/POWER(1+('CurrentPor-All Factor Movements'!C181)/100,2))*100</f>
        <v>9617.4207193437924</v>
      </c>
      <c r="C181">
        <f>(3/(1+('CurrentPor-All Factor Movements'!B181+'CurrentPor-All Factor Movements'!F181)/100)+103/POWER(1+('CurrentPor-All Factor Movements'!C181+'CurrentPor-All Factor Movements'!F181)/100,2))*100</f>
        <v>9508.3786851459317</v>
      </c>
      <c r="D181">
        <f>(3/(1+('CurrentPor-All Factor Movements'!B181+'CurrentPor-All Factor Movements'!G181)/100)+103/POWER(1+('CurrentPor-All Factor Movements'!C181+'CurrentPor-All Factor Movements'!G181)/100,2))*100</f>
        <v>9507.0131460482862</v>
      </c>
      <c r="E181">
        <f>(3/(1+('CurrentPor-All Factor Movements'!B181+'CurrentPor-All Factor Movements'!H181)/100)+103/POWER(1+('CurrentPor-All Factor Movements'!C181+'CurrentPor-All Factor Movements'!H181)/100,2))*100</f>
        <v>9488.6970219351424</v>
      </c>
      <c r="F181">
        <f>Portfolio!B$5*'CurrentPor-All Factor Movements'!D181</f>
        <v>50912.466387679146</v>
      </c>
      <c r="G181">
        <f>Portfolio!B$6*'CurrentPor-All Factor Movements'!E181</f>
        <v>3215.5593126723538</v>
      </c>
      <c r="H181">
        <f t="shared" si="8"/>
        <v>92249.535272824651</v>
      </c>
      <c r="I181">
        <f t="shared" si="7"/>
        <v>-1071.5010162448889</v>
      </c>
    </row>
    <row r="182" spans="1:9">
      <c r="A182" s="1">
        <v>39512</v>
      </c>
      <c r="B182">
        <f>(3/(1+('CurrentPor-All Factor Movements'!B182)/100)+103/POWER(1+('CurrentPor-All Factor Movements'!C182)/100,2))*100</f>
        <v>9568.3244855349712</v>
      </c>
      <c r="C182">
        <f>(3/(1+('CurrentPor-All Factor Movements'!B182+'CurrentPor-All Factor Movements'!F182)/100)+103/POWER(1+('CurrentPor-All Factor Movements'!C182+'CurrentPor-All Factor Movements'!F182)/100,2))*100</f>
        <v>9486.3430562798767</v>
      </c>
      <c r="D182">
        <f>(3/(1+('CurrentPor-All Factor Movements'!B182+'CurrentPor-All Factor Movements'!G182)/100)+103/POWER(1+('CurrentPor-All Factor Movements'!C182+'CurrentPor-All Factor Movements'!G182)/100,2))*100</f>
        <v>9471.1610878530882</v>
      </c>
      <c r="E182">
        <f>(3/(1+('CurrentPor-All Factor Movements'!B182+'CurrentPor-All Factor Movements'!H182)/100)+103/POWER(1+('CurrentPor-All Factor Movements'!C182+'CurrentPor-All Factor Movements'!H182)/100,2))*100</f>
        <v>9452.1514826801867</v>
      </c>
      <c r="F182">
        <f>Portfolio!B$5*'CurrentPor-All Factor Movements'!D182</f>
        <v>50299.200264726016</v>
      </c>
      <c r="G182">
        <f>Portfolio!B$6*'CurrentPor-All Factor Movements'!E182</f>
        <v>3971.4528456380299</v>
      </c>
      <c r="H182">
        <f t="shared" si="8"/>
        <v>92248.633222712175</v>
      </c>
      <c r="I182">
        <f t="shared" si="7"/>
        <v>-1393.034256758503</v>
      </c>
    </row>
    <row r="183" spans="1:9">
      <c r="A183" s="1">
        <v>39513</v>
      </c>
      <c r="B183">
        <f>(3/(1+('CurrentPor-All Factor Movements'!B183)/100)+103/POWER(1+('CurrentPor-All Factor Movements'!C183)/100,2))*100</f>
        <v>9675.5281442716514</v>
      </c>
      <c r="C183">
        <f>(3/(1+('CurrentPor-All Factor Movements'!B183+'CurrentPor-All Factor Movements'!F183)/100)+103/POWER(1+('CurrentPor-All Factor Movements'!C183+'CurrentPor-All Factor Movements'!F183)/100,2))*100</f>
        <v>9574.636106934222</v>
      </c>
      <c r="D183">
        <f>(3/(1+('CurrentPor-All Factor Movements'!B183+'CurrentPor-All Factor Movements'!G183)/100)+103/POWER(1+('CurrentPor-All Factor Movements'!C183+'CurrentPor-All Factor Movements'!G183)/100,2))*100</f>
        <v>9565.7342984478255</v>
      </c>
      <c r="E183">
        <f>(3/(1+('CurrentPor-All Factor Movements'!B183+'CurrentPor-All Factor Movements'!H183)/100)+103/POWER(1+('CurrentPor-All Factor Movements'!C183+'CurrentPor-All Factor Movements'!H183)/100,2))*100</f>
        <v>9571.7414198978367</v>
      </c>
      <c r="F183">
        <f>Portfolio!B$5*'CurrentPor-All Factor Movements'!D183</f>
        <v>50913.316886314315</v>
      </c>
      <c r="G183">
        <f>Portfolio!B$6*'CurrentPor-All Factor Movements'!E183</f>
        <v>3531.4146706171236</v>
      </c>
      <c r="H183">
        <f t="shared" si="8"/>
        <v>92832.371526482981</v>
      </c>
      <c r="I183">
        <f t="shared" si="7"/>
        <v>-838.11162211504416</v>
      </c>
    </row>
    <row r="184" spans="1:9">
      <c r="A184" s="1">
        <v>39514</v>
      </c>
      <c r="B184">
        <f>(3/(1+('CurrentPor-All Factor Movements'!B184)/100)+103/POWER(1+('CurrentPor-All Factor Movements'!C184)/100,2))*100</f>
        <v>9696.4082583911204</v>
      </c>
      <c r="C184">
        <f>(3/(1+('CurrentPor-All Factor Movements'!B184+'CurrentPor-All Factor Movements'!F184)/100)+103/POWER(1+('CurrentPor-All Factor Movements'!C184+'CurrentPor-All Factor Movements'!F184)/100,2))*100</f>
        <v>9601.1373269501782</v>
      </c>
      <c r="D184">
        <f>(3/(1+('CurrentPor-All Factor Movements'!B184+'CurrentPor-All Factor Movements'!G184)/100)+103/POWER(1+('CurrentPor-All Factor Movements'!C184+'CurrentPor-All Factor Movements'!G184)/100,2))*100</f>
        <v>9601.7953941924825</v>
      </c>
      <c r="E184">
        <f>(3/(1+('CurrentPor-All Factor Movements'!B184+'CurrentPor-All Factor Movements'!H184)/100)+103/POWER(1+('CurrentPor-All Factor Movements'!C184+'CurrentPor-All Factor Movements'!H184)/100,2))*100</f>
        <v>9589.3036475621993</v>
      </c>
      <c r="F184">
        <f>Portfolio!B$5*'CurrentPor-All Factor Movements'!D184</f>
        <v>53046.207768668464</v>
      </c>
      <c r="G184">
        <f>Portfolio!B$6*'CurrentPor-All Factor Movements'!E184</f>
        <v>3796.3829903163005</v>
      </c>
      <c r="H184">
        <f t="shared" si="8"/>
        <v>95331.235386080749</v>
      </c>
      <c r="I184">
        <f t="shared" si="7"/>
        <v>1922.9819313306652</v>
      </c>
    </row>
    <row r="185" spans="1:9">
      <c r="A185" s="1">
        <v>39517</v>
      </c>
      <c r="B185">
        <f>(3/(1+('CurrentPor-All Factor Movements'!B185)/100)+103/POWER(1+('CurrentPor-All Factor Movements'!C185)/100,2))*100</f>
        <v>9798.1885830310421</v>
      </c>
      <c r="C185">
        <f>(3/(1+('CurrentPor-All Factor Movements'!B185+'CurrentPor-All Factor Movements'!F185)/100)+103/POWER(1+('CurrentPor-All Factor Movements'!C185+'CurrentPor-All Factor Movements'!F185)/100,2))*100</f>
        <v>9699.9196017908253</v>
      </c>
      <c r="D185">
        <f>(3/(1+('CurrentPor-All Factor Movements'!B185+'CurrentPor-All Factor Movements'!G185)/100)+103/POWER(1+('CurrentPor-All Factor Movements'!C185+'CurrentPor-All Factor Movements'!G185)/100,2))*100</f>
        <v>9686.1864736746447</v>
      </c>
      <c r="E185">
        <f>(3/(1+('CurrentPor-All Factor Movements'!B185+'CurrentPor-All Factor Movements'!H185)/100)+103/POWER(1+('CurrentPor-All Factor Movements'!C185+'CurrentPor-All Factor Movements'!H185)/100,2))*100</f>
        <v>9656.5107687635082</v>
      </c>
      <c r="F185">
        <f>Portfolio!B$5*'CurrentPor-All Factor Movements'!D185</f>
        <v>51840.788233569823</v>
      </c>
      <c r="G185">
        <f>Portfolio!B$6*'CurrentPor-All Factor Movements'!E185</f>
        <v>3237.9407561083885</v>
      </c>
      <c r="H185">
        <f t="shared" si="8"/>
        <v>93919.534416938244</v>
      </c>
      <c r="I185">
        <f t="shared" si="7"/>
        <v>651.88803978232318</v>
      </c>
    </row>
    <row r="186" spans="1:9">
      <c r="A186" s="1">
        <v>39518</v>
      </c>
      <c r="B186">
        <f>(3/(1+('CurrentPor-All Factor Movements'!B186)/100)+103/POWER(1+('CurrentPor-All Factor Movements'!C186)/100,2))*100</f>
        <v>10068.182971385562</v>
      </c>
      <c r="C186">
        <f>(3/(1+('CurrentPor-All Factor Movements'!B186+'CurrentPor-All Factor Movements'!F186)/100)+103/POWER(1+('CurrentPor-All Factor Movements'!C186+'CurrentPor-All Factor Movements'!F186)/100,2))*100</f>
        <v>9970.7128215784523</v>
      </c>
      <c r="D186">
        <f>(3/(1+('CurrentPor-All Factor Movements'!B186+'CurrentPor-All Factor Movements'!G186)/100)+103/POWER(1+('CurrentPor-All Factor Movements'!C186+'CurrentPor-All Factor Movements'!G186)/100,2))*100</f>
        <v>9956.4561502451343</v>
      </c>
      <c r="E186">
        <f>(3/(1+('CurrentPor-All Factor Movements'!B186+'CurrentPor-All Factor Movements'!H186)/100)+103/POWER(1+('CurrentPor-All Factor Movements'!C186+'CurrentPor-All Factor Movements'!H186)/100,2))*100</f>
        <v>9946.3707211046785</v>
      </c>
      <c r="F186">
        <f>Portfolio!B$5*'CurrentPor-All Factor Movements'!D186</f>
        <v>52236.266567983759</v>
      </c>
      <c r="G186">
        <f>Portfolio!B$6*'CurrentPor-All Factor Movements'!E186</f>
        <v>3454.0685292992571</v>
      </c>
      <c r="H186">
        <f t="shared" si="8"/>
        <v>95632.057761596836</v>
      </c>
      <c r="I186">
        <f t="shared" si="7"/>
        <v>3092.5018420201814</v>
      </c>
    </row>
    <row r="187" spans="1:9">
      <c r="A187" s="1">
        <v>39519</v>
      </c>
      <c r="B187">
        <f>(3/(1+('CurrentPor-All Factor Movements'!B187)/100)+103/POWER(1+('CurrentPor-All Factor Movements'!C187)/100,2))*100</f>
        <v>9680.230519800356</v>
      </c>
      <c r="C187">
        <f>(3/(1+('CurrentPor-All Factor Movements'!B187+'CurrentPor-All Factor Movements'!F187)/100)+103/POWER(1+('CurrentPor-All Factor Movements'!C187+'CurrentPor-All Factor Movements'!F187)/100,2))*100</f>
        <v>9583.5516648317789</v>
      </c>
      <c r="D187">
        <f>(3/(1+('CurrentPor-All Factor Movements'!B187+'CurrentPor-All Factor Movements'!G187)/100)+103/POWER(1+('CurrentPor-All Factor Movements'!C187+'CurrentPor-All Factor Movements'!G187)/100,2))*100</f>
        <v>9570.7495762589842</v>
      </c>
      <c r="E187">
        <f>(3/(1+('CurrentPor-All Factor Movements'!B187+'CurrentPor-All Factor Movements'!H187)/100)+103/POWER(1+('CurrentPor-All Factor Movements'!C187+'CurrentPor-All Factor Movements'!H187)/100,2))*100</f>
        <v>9529.9060224732984</v>
      </c>
      <c r="F187">
        <f>Portfolio!B$5*'CurrentPor-All Factor Movements'!D187</f>
        <v>52926.826278901317</v>
      </c>
      <c r="G187">
        <f>Portfolio!B$6*'CurrentPor-All Factor Movements'!E187</f>
        <v>3472.4494963552088</v>
      </c>
      <c r="H187">
        <f t="shared" si="8"/>
        <v>94763.713558620948</v>
      </c>
      <c r="I187">
        <f t="shared" si="7"/>
        <v>212.03947906059329</v>
      </c>
    </row>
    <row r="188" spans="1:9">
      <c r="A188" s="1">
        <v>39520</v>
      </c>
      <c r="B188">
        <f>(3/(1+('CurrentPor-All Factor Movements'!B188)/100)+103/POWER(1+('CurrentPor-All Factor Movements'!C188)/100,2))*100</f>
        <v>9610.4800324393091</v>
      </c>
      <c r="C188">
        <f>(3/(1+('CurrentPor-All Factor Movements'!B188+'CurrentPor-All Factor Movements'!F188)/100)+103/POWER(1+('CurrentPor-All Factor Movements'!C188+'CurrentPor-All Factor Movements'!F188)/100,2))*100</f>
        <v>9520.0680978322307</v>
      </c>
      <c r="D188">
        <f>(3/(1+('CurrentPor-All Factor Movements'!B188+'CurrentPor-All Factor Movements'!G188)/100)+103/POWER(1+('CurrentPor-All Factor Movements'!C188+'CurrentPor-All Factor Movements'!G188)/100,2))*100</f>
        <v>9494.8565740777249</v>
      </c>
      <c r="E188">
        <f>(3/(1+('CurrentPor-All Factor Movements'!B188+'CurrentPor-All Factor Movements'!H188)/100)+103/POWER(1+('CurrentPor-All Factor Movements'!C188+'CurrentPor-All Factor Movements'!H188)/100,2))*100</f>
        <v>9493.9468968578731</v>
      </c>
      <c r="F188">
        <f>Portfolio!B$5*'CurrentPor-All Factor Movements'!D188</f>
        <v>51239.261297240228</v>
      </c>
      <c r="G188">
        <f>Portfolio!B$6*'CurrentPor-All Factor Movements'!E188</f>
        <v>3349.2036556155208</v>
      </c>
      <c r="H188">
        <f t="shared" ref="H188:H251" si="9">SUM(B188:G188)</f>
        <v>92707.816554062898</v>
      </c>
      <c r="I188">
        <f t="shared" ref="I188:I251" si="10">H188-H178</f>
        <v>-1501.8888007224741</v>
      </c>
    </row>
    <row r="189" spans="1:9">
      <c r="A189" s="1">
        <v>39521</v>
      </c>
      <c r="B189">
        <f>(3/(1+('CurrentPor-All Factor Movements'!B189)/100)+103/POWER(1+('CurrentPor-All Factor Movements'!C189)/100,2))*100</f>
        <v>9978.329930468808</v>
      </c>
      <c r="C189">
        <f>(3/(1+('CurrentPor-All Factor Movements'!B189+'CurrentPor-All Factor Movements'!F189)/100)+103/POWER(1+('CurrentPor-All Factor Movements'!C189+'CurrentPor-All Factor Movements'!F189)/100,2))*100</f>
        <v>9887.9611172956029</v>
      </c>
      <c r="D189">
        <f>(3/(1+('CurrentPor-All Factor Movements'!B189+'CurrentPor-All Factor Movements'!G189)/100)+103/POWER(1+('CurrentPor-All Factor Movements'!C189+'CurrentPor-All Factor Movements'!G189)/100,2))*100</f>
        <v>9874.5009593091218</v>
      </c>
      <c r="E189">
        <f>(3/(1+('CurrentPor-All Factor Movements'!B189+'CurrentPor-All Factor Movements'!H189)/100)+103/POWER(1+('CurrentPor-All Factor Movements'!C189+'CurrentPor-All Factor Movements'!H189)/100,2))*100</f>
        <v>9863.6700013470636</v>
      </c>
      <c r="F189">
        <f>Portfolio!B$5*'CurrentPor-All Factor Movements'!D189</f>
        <v>52225.865191007106</v>
      </c>
      <c r="G189">
        <f>Portfolio!B$6*'CurrentPor-All Factor Movements'!E189</f>
        <v>3539.3466391393345</v>
      </c>
      <c r="H189">
        <f t="shared" si="9"/>
        <v>95369.673838567032</v>
      </c>
      <c r="I189">
        <f t="shared" si="10"/>
        <v>1203.7655086142331</v>
      </c>
    </row>
    <row r="190" spans="1:9">
      <c r="A190" s="1">
        <v>39524</v>
      </c>
      <c r="B190">
        <f>(3/(1+('CurrentPor-All Factor Movements'!B190)/100)+103/POWER(1+('CurrentPor-All Factor Movements'!C190)/100,2))*100</f>
        <v>9831.1819697277988</v>
      </c>
      <c r="C190">
        <f>(3/(1+('CurrentPor-All Factor Movements'!B190+'CurrentPor-All Factor Movements'!F190)/100)+103/POWER(1+('CurrentPor-All Factor Movements'!C190+'CurrentPor-All Factor Movements'!F190)/100,2))*100</f>
        <v>9752.3580468396594</v>
      </c>
      <c r="D190">
        <f>(3/(1+('CurrentPor-All Factor Movements'!B190+'CurrentPor-All Factor Movements'!G190)/100)+103/POWER(1+('CurrentPor-All Factor Movements'!C190+'CurrentPor-All Factor Movements'!G190)/100,2))*100</f>
        <v>9743.6131140638681</v>
      </c>
      <c r="E190">
        <f>(3/(1+('CurrentPor-All Factor Movements'!B190+'CurrentPor-All Factor Movements'!H190)/100)+103/POWER(1+('CurrentPor-All Factor Movements'!C190+'CurrentPor-All Factor Movements'!H190)/100,2))*100</f>
        <v>9719.321825444491</v>
      </c>
      <c r="F190">
        <f>Portfolio!B$5*'CurrentPor-All Factor Movements'!D190</f>
        <v>50704.775611306846</v>
      </c>
      <c r="G190">
        <f>Portfolio!B$6*'CurrentPor-All Factor Movements'!E190</f>
        <v>3847.8770007794446</v>
      </c>
      <c r="H190">
        <f t="shared" si="9"/>
        <v>93599.127568162105</v>
      </c>
      <c r="I190">
        <f t="shared" si="10"/>
        <v>-363.10188672209915</v>
      </c>
    </row>
    <row r="191" spans="1:9">
      <c r="A191" s="1">
        <v>39525</v>
      </c>
      <c r="B191">
        <f>(3/(1+('CurrentPor-All Factor Movements'!B191)/100)+103/POWER(1+('CurrentPor-All Factor Movements'!C191)/100,2))*100</f>
        <v>9726.6733540799614</v>
      </c>
      <c r="C191">
        <f>(3/(1+('CurrentPor-All Factor Movements'!B191+'CurrentPor-All Factor Movements'!F191)/100)+103/POWER(1+('CurrentPor-All Factor Movements'!C191+'CurrentPor-All Factor Movements'!F191)/100,2))*100</f>
        <v>9640.922333291388</v>
      </c>
      <c r="D191">
        <f>(3/(1+('CurrentPor-All Factor Movements'!B191+'CurrentPor-All Factor Movements'!G191)/100)+103/POWER(1+('CurrentPor-All Factor Movements'!C191+'CurrentPor-All Factor Movements'!G191)/100,2))*100</f>
        <v>9605.6737054676396</v>
      </c>
      <c r="E191">
        <f>(3/(1+('CurrentPor-All Factor Movements'!B191+'CurrentPor-All Factor Movements'!H191)/100)+103/POWER(1+('CurrentPor-All Factor Movements'!C191+'CurrentPor-All Factor Movements'!H191)/100,2))*100</f>
        <v>9598.2754215447621</v>
      </c>
      <c r="F191">
        <f>Portfolio!B$5*'CurrentPor-All Factor Movements'!D191</f>
        <v>52189.776593263159</v>
      </c>
      <c r="G191">
        <f>Portfolio!B$6*'CurrentPor-All Factor Movements'!E191</f>
        <v>3639.8303372185624</v>
      </c>
      <c r="H191">
        <f t="shared" si="9"/>
        <v>94401.151744865478</v>
      </c>
      <c r="I191">
        <f t="shared" si="10"/>
        <v>2151.6164720408269</v>
      </c>
    </row>
    <row r="192" spans="1:9">
      <c r="A192" s="1">
        <v>39526</v>
      </c>
      <c r="B192">
        <f>(3/(1+('CurrentPor-All Factor Movements'!B192)/100)+103/POWER(1+('CurrentPor-All Factor Movements'!C192)/100,2))*100</f>
        <v>9664.9550263738511</v>
      </c>
      <c r="C192">
        <f>(3/(1+('CurrentPor-All Factor Movements'!B192+'CurrentPor-All Factor Movements'!F192)/100)+103/POWER(1+('CurrentPor-All Factor Movements'!C192+'CurrentPor-All Factor Movements'!F192)/100,2))*100</f>
        <v>9562.933321120714</v>
      </c>
      <c r="D192">
        <f>(3/(1+('CurrentPor-All Factor Movements'!B192+'CurrentPor-All Factor Movements'!G192)/100)+103/POWER(1+('CurrentPor-All Factor Movements'!C192+'CurrentPor-All Factor Movements'!G192)/100,2))*100</f>
        <v>9552.85648883461</v>
      </c>
      <c r="E192">
        <f>(3/(1+('CurrentPor-All Factor Movements'!B192+'CurrentPor-All Factor Movements'!H192)/100)+103/POWER(1+('CurrentPor-All Factor Movements'!C192+'CurrentPor-All Factor Movements'!H192)/100,2))*100</f>
        <v>9539.1560994533738</v>
      </c>
      <c r="F192">
        <f>Portfolio!B$5*'CurrentPor-All Factor Movements'!D192</f>
        <v>52651.824011130862</v>
      </c>
      <c r="G192">
        <f>Portfolio!B$6*'CurrentPor-All Factor Movements'!E192</f>
        <v>3473.8574332202224</v>
      </c>
      <c r="H192">
        <f t="shared" si="9"/>
        <v>94445.582380133637</v>
      </c>
      <c r="I192">
        <f t="shared" si="10"/>
        <v>2196.9491574214626</v>
      </c>
    </row>
    <row r="193" spans="1:9">
      <c r="A193" s="1">
        <v>39527</v>
      </c>
      <c r="B193">
        <f>(3/(1+('CurrentPor-All Factor Movements'!B193)/100)+103/POWER(1+('CurrentPor-All Factor Movements'!C193)/100,2))*100</f>
        <v>9672.8286868137748</v>
      </c>
      <c r="C193">
        <f>(3/(1+('CurrentPor-All Factor Movements'!B193+'CurrentPor-All Factor Movements'!F193)/100)+103/POWER(1+('CurrentPor-All Factor Movements'!C193+'CurrentPor-All Factor Movements'!F193)/100,2))*100</f>
        <v>9584.2336411689339</v>
      </c>
      <c r="D193">
        <f>(3/(1+('CurrentPor-All Factor Movements'!B193+'CurrentPor-All Factor Movements'!G193)/100)+103/POWER(1+('CurrentPor-All Factor Movements'!C193+'CurrentPor-All Factor Movements'!G193)/100,2))*100</f>
        <v>9564.9073806454762</v>
      </c>
      <c r="E193">
        <f>(3/(1+('CurrentPor-All Factor Movements'!B193+'CurrentPor-All Factor Movements'!H193)/100)+103/POWER(1+('CurrentPor-All Factor Movements'!C193+'CurrentPor-All Factor Movements'!H193)/100,2))*100</f>
        <v>9533.0039359671591</v>
      </c>
      <c r="F193">
        <f>Portfolio!B$5*'CurrentPor-All Factor Movements'!D193</f>
        <v>52071.016051074948</v>
      </c>
      <c r="G193">
        <f>Portfolio!B$6*'CurrentPor-All Factor Movements'!E193</f>
        <v>3917.1788248001599</v>
      </c>
      <c r="H193">
        <f t="shared" si="9"/>
        <v>94343.168520470441</v>
      </c>
      <c r="I193">
        <f t="shared" si="10"/>
        <v>1510.7969939874602</v>
      </c>
    </row>
    <row r="194" spans="1:9">
      <c r="A194" s="1">
        <v>39528</v>
      </c>
      <c r="B194">
        <f>(3/(1+('CurrentPor-All Factor Movements'!B194)/100)+103/POWER(1+('CurrentPor-All Factor Movements'!C194)/100,2))*100</f>
        <v>9723.3483292383698</v>
      </c>
      <c r="C194">
        <f>(3/(1+('CurrentPor-All Factor Movements'!B194+'CurrentPor-All Factor Movements'!F194)/100)+103/POWER(1+('CurrentPor-All Factor Movements'!C194+'CurrentPor-All Factor Movements'!F194)/100,2))*100</f>
        <v>9634.2080293423078</v>
      </c>
      <c r="D194">
        <f>(3/(1+('CurrentPor-All Factor Movements'!B194+'CurrentPor-All Factor Movements'!G194)/100)+103/POWER(1+('CurrentPor-All Factor Movements'!C194+'CurrentPor-All Factor Movements'!G194)/100,2))*100</f>
        <v>9605.8947768670823</v>
      </c>
      <c r="E194">
        <f>(3/(1+('CurrentPor-All Factor Movements'!B194+'CurrentPor-All Factor Movements'!H194)/100)+103/POWER(1+('CurrentPor-All Factor Movements'!C194+'CurrentPor-All Factor Movements'!H194)/100,2))*100</f>
        <v>9610.606853605279</v>
      </c>
      <c r="F194">
        <f>Portfolio!B$5*'CurrentPor-All Factor Movements'!D194</f>
        <v>50880.832041082293</v>
      </c>
      <c r="G194">
        <f>Portfolio!B$6*'CurrentPor-All Factor Movements'!E194</f>
        <v>3530.7745844169986</v>
      </c>
      <c r="H194">
        <f t="shared" si="9"/>
        <v>92985.664614552326</v>
      </c>
      <c r="I194">
        <f t="shared" si="10"/>
        <v>-2345.5707715284225</v>
      </c>
    </row>
    <row r="195" spans="1:9">
      <c r="A195" s="1">
        <v>39531</v>
      </c>
      <c r="B195">
        <f>(3/(1+('CurrentPor-All Factor Movements'!B195)/100)+103/POWER(1+('CurrentPor-All Factor Movements'!C195)/100,2))*100</f>
        <v>9635.9689859646605</v>
      </c>
      <c r="C195">
        <f>(3/(1+('CurrentPor-All Factor Movements'!B195+'CurrentPor-All Factor Movements'!F195)/100)+103/POWER(1+('CurrentPor-All Factor Movements'!C195+'CurrentPor-All Factor Movements'!F195)/100,2))*100</f>
        <v>9546.0632799863579</v>
      </c>
      <c r="D195">
        <f>(3/(1+('CurrentPor-All Factor Movements'!B195+'CurrentPor-All Factor Movements'!G195)/100)+103/POWER(1+('CurrentPor-All Factor Movements'!C195+'CurrentPor-All Factor Movements'!G195)/100,2))*100</f>
        <v>9523.187051460096</v>
      </c>
      <c r="E195">
        <f>(3/(1+('CurrentPor-All Factor Movements'!B195+'CurrentPor-All Factor Movements'!H195)/100)+103/POWER(1+('CurrentPor-All Factor Movements'!C195+'CurrentPor-All Factor Movements'!H195)/100,2))*100</f>
        <v>9527.4949124613759</v>
      </c>
      <c r="F195">
        <f>Portfolio!B$5*'CurrentPor-All Factor Movements'!D195</f>
        <v>53338.335931249989</v>
      </c>
      <c r="G195">
        <f>Portfolio!B$6*'CurrentPor-All Factor Movements'!E195</f>
        <v>3633.7836490290356</v>
      </c>
      <c r="H195">
        <f t="shared" si="9"/>
        <v>95204.833810151526</v>
      </c>
      <c r="I195">
        <f t="shared" si="10"/>
        <v>1285.2993932132813</v>
      </c>
    </row>
    <row r="196" spans="1:9">
      <c r="A196" s="1">
        <v>39532</v>
      </c>
      <c r="B196">
        <f>(3/(1+('CurrentPor-All Factor Movements'!B196)/100)+103/POWER(1+('CurrentPor-All Factor Movements'!C196)/100,2))*100</f>
        <v>9819.2293006958698</v>
      </c>
      <c r="C196">
        <f>(3/(1+('CurrentPor-All Factor Movements'!B196+'CurrentPor-All Factor Movements'!F196)/100)+103/POWER(1+('CurrentPor-All Factor Movements'!C196+'CurrentPor-All Factor Movements'!F196)/100,2))*100</f>
        <v>9728.3505569212048</v>
      </c>
      <c r="D196">
        <f>(3/(1+('CurrentPor-All Factor Movements'!B196+'CurrentPor-All Factor Movements'!G196)/100)+103/POWER(1+('CurrentPor-All Factor Movements'!C196+'CurrentPor-All Factor Movements'!G196)/100,2))*100</f>
        <v>9717.2773283155911</v>
      </c>
      <c r="E196">
        <f>(3/(1+('CurrentPor-All Factor Movements'!B196+'CurrentPor-All Factor Movements'!H196)/100)+103/POWER(1+('CurrentPor-All Factor Movements'!C196+'CurrentPor-All Factor Movements'!H196)/100,2))*100</f>
        <v>9703.1637598656962</v>
      </c>
      <c r="F196">
        <f>Portfolio!B$5*'CurrentPor-All Factor Movements'!D196</f>
        <v>54914.499976988314</v>
      </c>
      <c r="G196">
        <f>Portfolio!B$6*'CurrentPor-All Factor Movements'!E196</f>
        <v>3612.4268940419747</v>
      </c>
      <c r="H196">
        <f t="shared" si="9"/>
        <v>97494.947816828644</v>
      </c>
      <c r="I196">
        <f t="shared" si="10"/>
        <v>1862.8900552318082</v>
      </c>
    </row>
    <row r="197" spans="1:9">
      <c r="A197" s="1">
        <v>39533</v>
      </c>
      <c r="B197">
        <f>(3/(1+('CurrentPor-All Factor Movements'!B197)/100)+103/POWER(1+('CurrentPor-All Factor Movements'!C197)/100,2))*100</f>
        <v>9786.4968619971987</v>
      </c>
      <c r="C197">
        <f>(3/(1+('CurrentPor-All Factor Movements'!B197+'CurrentPor-All Factor Movements'!F197)/100)+103/POWER(1+('CurrentPor-All Factor Movements'!C197+'CurrentPor-All Factor Movements'!F197)/100,2))*100</f>
        <v>9683.1742844111923</v>
      </c>
      <c r="D197">
        <f>(3/(1+('CurrentPor-All Factor Movements'!B197+'CurrentPor-All Factor Movements'!G197)/100)+103/POWER(1+('CurrentPor-All Factor Movements'!C197+'CurrentPor-All Factor Movements'!G197)/100,2))*100</f>
        <v>9671.7808227344158</v>
      </c>
      <c r="E197">
        <f>(3/(1+('CurrentPor-All Factor Movements'!B197+'CurrentPor-All Factor Movements'!H197)/100)+103/POWER(1+('CurrentPor-All Factor Movements'!C197+'CurrentPor-All Factor Movements'!H197)/100,2))*100</f>
        <v>9683.4656820308373</v>
      </c>
      <c r="F197">
        <f>Portfolio!B$5*'CurrentPor-All Factor Movements'!D197</f>
        <v>52599.490869016277</v>
      </c>
      <c r="G197">
        <f>Portfolio!B$6*'CurrentPor-All Factor Movements'!E197</f>
        <v>3660.9786497268801</v>
      </c>
      <c r="H197">
        <f t="shared" si="9"/>
        <v>95085.387169916808</v>
      </c>
      <c r="I197">
        <f t="shared" si="10"/>
        <v>321.67361129586061</v>
      </c>
    </row>
    <row r="198" spans="1:9">
      <c r="A198" s="1">
        <v>39534</v>
      </c>
      <c r="B198">
        <f>(3/(1+('CurrentPor-All Factor Movements'!B198)/100)+103/POWER(1+('CurrentPor-All Factor Movements'!C198)/100,2))*100</f>
        <v>9603.302510614747</v>
      </c>
      <c r="C198">
        <f>(3/(1+('CurrentPor-All Factor Movements'!B198+'CurrentPor-All Factor Movements'!F198)/100)+103/POWER(1+('CurrentPor-All Factor Movements'!C198+'CurrentPor-All Factor Movements'!F198)/100,2))*100</f>
        <v>9500.3365975787565</v>
      </c>
      <c r="D198">
        <f>(3/(1+('CurrentPor-All Factor Movements'!B198+'CurrentPor-All Factor Movements'!G198)/100)+103/POWER(1+('CurrentPor-All Factor Movements'!C198+'CurrentPor-All Factor Movements'!G198)/100,2))*100</f>
        <v>9502.8020014009871</v>
      </c>
      <c r="E198">
        <f>(3/(1+('CurrentPor-All Factor Movements'!B198+'CurrentPor-All Factor Movements'!H198)/100)+103/POWER(1+('CurrentPor-All Factor Movements'!C198+'CurrentPor-All Factor Movements'!H198)/100,2))*100</f>
        <v>9472.1239050298245</v>
      </c>
      <c r="F198">
        <f>Portfolio!B$5*'CurrentPor-All Factor Movements'!D198</f>
        <v>52115.353877402958</v>
      </c>
      <c r="G198">
        <f>Portfolio!B$6*'CurrentPor-All Factor Movements'!E198</f>
        <v>3497.7685292253673</v>
      </c>
      <c r="H198">
        <f t="shared" si="9"/>
        <v>93691.687421252645</v>
      </c>
      <c r="I198">
        <f t="shared" si="10"/>
        <v>983.87086718974751</v>
      </c>
    </row>
    <row r="199" spans="1:9">
      <c r="A199" s="1">
        <v>39535</v>
      </c>
      <c r="B199">
        <f>(3/(1+('CurrentPor-All Factor Movements'!B199)/100)+103/POWER(1+('CurrentPor-All Factor Movements'!C199)/100,2))*100</f>
        <v>9502.9987020603803</v>
      </c>
      <c r="C199">
        <f>(3/(1+('CurrentPor-All Factor Movements'!B199+'CurrentPor-All Factor Movements'!F199)/100)+103/POWER(1+('CurrentPor-All Factor Movements'!C199+'CurrentPor-All Factor Movements'!F199)/100,2))*100</f>
        <v>9416.6895923174088</v>
      </c>
      <c r="D199">
        <f>(3/(1+('CurrentPor-All Factor Movements'!B199+'CurrentPor-All Factor Movements'!G199)/100)+103/POWER(1+('CurrentPor-All Factor Movements'!C199+'CurrentPor-All Factor Movements'!G199)/100,2))*100</f>
        <v>9399.2787292691009</v>
      </c>
      <c r="E199">
        <f>(3/(1+('CurrentPor-All Factor Movements'!B199+'CurrentPor-All Factor Movements'!H199)/100)+103/POWER(1+('CurrentPor-All Factor Movements'!C199+'CurrentPor-All Factor Movements'!H199)/100,2))*100</f>
        <v>9403.0406376976534</v>
      </c>
      <c r="F199">
        <f>Portfolio!B$5*'CurrentPor-All Factor Movements'!D199</f>
        <v>52571.865080765077</v>
      </c>
      <c r="G199">
        <f>Portfolio!B$6*'CurrentPor-All Factor Movements'!E199</f>
        <v>3698.0382955224486</v>
      </c>
      <c r="H199">
        <f t="shared" si="9"/>
        <v>93991.91103763206</v>
      </c>
      <c r="I199">
        <f t="shared" si="10"/>
        <v>-1377.7628009349719</v>
      </c>
    </row>
    <row r="200" spans="1:9">
      <c r="A200" s="1">
        <v>39538</v>
      </c>
      <c r="B200">
        <f>(3/(1+('CurrentPor-All Factor Movements'!B200)/100)+103/POWER(1+('CurrentPor-All Factor Movements'!C200)/100,2))*100</f>
        <v>9671.6050492450722</v>
      </c>
      <c r="C200">
        <f>(3/(1+('CurrentPor-All Factor Movements'!B200+'CurrentPor-All Factor Movements'!F200)/100)+103/POWER(1+('CurrentPor-All Factor Movements'!C200+'CurrentPor-All Factor Movements'!F200)/100,2))*100</f>
        <v>9571.8857219279162</v>
      </c>
      <c r="D200">
        <f>(3/(1+('CurrentPor-All Factor Movements'!B200+'CurrentPor-All Factor Movements'!G200)/100)+103/POWER(1+('CurrentPor-All Factor Movements'!C200+'CurrentPor-All Factor Movements'!G200)/100,2))*100</f>
        <v>9555.9926765057662</v>
      </c>
      <c r="E200">
        <f>(3/(1+('CurrentPor-All Factor Movements'!B200+'CurrentPor-All Factor Movements'!H200)/100)+103/POWER(1+('CurrentPor-All Factor Movements'!C200+'CurrentPor-All Factor Movements'!H200)/100,2))*100</f>
        <v>9548.7408388985059</v>
      </c>
      <c r="F200">
        <f>Portfolio!B$5*'CurrentPor-All Factor Movements'!D200</f>
        <v>53283.797525902992</v>
      </c>
      <c r="G200">
        <f>Portfolio!B$6*'CurrentPor-All Factor Movements'!E200</f>
        <v>3461.8517726441469</v>
      </c>
      <c r="H200">
        <f t="shared" si="9"/>
        <v>95093.873585124413</v>
      </c>
      <c r="I200">
        <f t="shared" si="10"/>
        <v>1494.7460169623082</v>
      </c>
    </row>
    <row r="201" spans="1:9">
      <c r="A201" s="1">
        <v>39539</v>
      </c>
      <c r="B201">
        <f>(3/(1+('CurrentPor-All Factor Movements'!B201)/100)+103/POWER(1+('CurrentPor-All Factor Movements'!C201)/100,2))*100</f>
        <v>9929.9307645146946</v>
      </c>
      <c r="C201">
        <f>(3/(1+('CurrentPor-All Factor Movements'!B201+'CurrentPor-All Factor Movements'!F201)/100)+103/POWER(1+('CurrentPor-All Factor Movements'!C201+'CurrentPor-All Factor Movements'!F201)/100,2))*100</f>
        <v>9830.9616649808795</v>
      </c>
      <c r="D201">
        <f>(3/(1+('CurrentPor-All Factor Movements'!B201+'CurrentPor-All Factor Movements'!G201)/100)+103/POWER(1+('CurrentPor-All Factor Movements'!C201+'CurrentPor-All Factor Movements'!G201)/100,2))*100</f>
        <v>9820.5743043591337</v>
      </c>
      <c r="E201">
        <f>(3/(1+('CurrentPor-All Factor Movements'!B201+'CurrentPor-All Factor Movements'!H201)/100)+103/POWER(1+('CurrentPor-All Factor Movements'!C201+'CurrentPor-All Factor Movements'!H201)/100,2))*100</f>
        <v>9814.7316012669198</v>
      </c>
      <c r="F201">
        <f>Portfolio!B$5*'CurrentPor-All Factor Movements'!D201</f>
        <v>51519.32491456678</v>
      </c>
      <c r="G201">
        <f>Portfolio!B$6*'CurrentPor-All Factor Movements'!E201</f>
        <v>3804.1490444841593</v>
      </c>
      <c r="H201">
        <f t="shared" si="9"/>
        <v>94719.672294172575</v>
      </c>
      <c r="I201">
        <f t="shared" si="10"/>
        <v>318.5205493070971</v>
      </c>
    </row>
    <row r="202" spans="1:9">
      <c r="A202" s="1">
        <v>39540</v>
      </c>
      <c r="B202">
        <f>(3/(1+('CurrentPor-All Factor Movements'!B202)/100)+103/POWER(1+('CurrentPor-All Factor Movements'!C202)/100,2))*100</f>
        <v>9695.7383340087454</v>
      </c>
      <c r="C202">
        <f>(3/(1+('CurrentPor-All Factor Movements'!B202+'CurrentPor-All Factor Movements'!F202)/100)+103/POWER(1+('CurrentPor-All Factor Movements'!C202+'CurrentPor-All Factor Movements'!F202)/100,2))*100</f>
        <v>9600.818264184054</v>
      </c>
      <c r="D202">
        <f>(3/(1+('CurrentPor-All Factor Movements'!B202+'CurrentPor-All Factor Movements'!G202)/100)+103/POWER(1+('CurrentPor-All Factor Movements'!C202+'CurrentPor-All Factor Movements'!G202)/100,2))*100</f>
        <v>9582.6207629774635</v>
      </c>
      <c r="E202">
        <f>(3/(1+('CurrentPor-All Factor Movements'!B202+'CurrentPor-All Factor Movements'!H202)/100)+103/POWER(1+('CurrentPor-All Factor Movements'!C202+'CurrentPor-All Factor Movements'!H202)/100,2))*100</f>
        <v>9554.7106461312742</v>
      </c>
      <c r="F202">
        <f>Portfolio!B$5*'CurrentPor-All Factor Movements'!D202</f>
        <v>52409.748755055225</v>
      </c>
      <c r="G202">
        <f>Portfolio!B$6*'CurrentPor-All Factor Movements'!E202</f>
        <v>3540.0880392310896</v>
      </c>
      <c r="H202">
        <f t="shared" si="9"/>
        <v>94383.724801587858</v>
      </c>
      <c r="I202">
        <f t="shared" si="10"/>
        <v>-61.857578545779688</v>
      </c>
    </row>
    <row r="203" spans="1:9">
      <c r="A203" s="1">
        <v>39541</v>
      </c>
      <c r="B203">
        <f>(3/(1+('CurrentPor-All Factor Movements'!B203)/100)+103/POWER(1+('CurrentPor-All Factor Movements'!C203)/100,2))*100</f>
        <v>9719.9233052917662</v>
      </c>
      <c r="C203">
        <f>(3/(1+('CurrentPor-All Factor Movements'!B203+'CurrentPor-All Factor Movements'!F203)/100)+103/POWER(1+('CurrentPor-All Factor Movements'!C203+'CurrentPor-All Factor Movements'!F203)/100,2))*100</f>
        <v>9647.1575766798214</v>
      </c>
      <c r="D203">
        <f>(3/(1+('CurrentPor-All Factor Movements'!B203+'CurrentPor-All Factor Movements'!G203)/100)+103/POWER(1+('CurrentPor-All Factor Movements'!C203+'CurrentPor-All Factor Movements'!G203)/100,2))*100</f>
        <v>9629.5204124946631</v>
      </c>
      <c r="E203">
        <f>(3/(1+('CurrentPor-All Factor Movements'!B203+'CurrentPor-All Factor Movements'!H203)/100)+103/POWER(1+('CurrentPor-All Factor Movements'!C203+'CurrentPor-All Factor Movements'!H203)/100,2))*100</f>
        <v>9595.3981366859261</v>
      </c>
      <c r="F203">
        <f>Portfolio!B$5*'CurrentPor-All Factor Movements'!D203</f>
        <v>52809.191676322574</v>
      </c>
      <c r="G203">
        <f>Portfolio!B$6*'CurrentPor-All Factor Movements'!E203</f>
        <v>3351.168959620908</v>
      </c>
      <c r="H203">
        <f t="shared" si="9"/>
        <v>94752.360067095651</v>
      </c>
      <c r="I203">
        <f t="shared" si="10"/>
        <v>409.19154662521032</v>
      </c>
    </row>
    <row r="204" spans="1:9">
      <c r="A204" s="1">
        <v>39542</v>
      </c>
      <c r="B204">
        <f>(3/(1+('CurrentPor-All Factor Movements'!B204)/100)+103/POWER(1+('CurrentPor-All Factor Movements'!C204)/100,2))*100</f>
        <v>9839.9397276409509</v>
      </c>
      <c r="C204">
        <f>(3/(1+('CurrentPor-All Factor Movements'!B204+'CurrentPor-All Factor Movements'!F204)/100)+103/POWER(1+('CurrentPor-All Factor Movements'!C204+'CurrentPor-All Factor Movements'!F204)/100,2))*100</f>
        <v>9737.5327023103127</v>
      </c>
      <c r="D204">
        <f>(3/(1+('CurrentPor-All Factor Movements'!B204+'CurrentPor-All Factor Movements'!G204)/100)+103/POWER(1+('CurrentPor-All Factor Movements'!C204+'CurrentPor-All Factor Movements'!G204)/100,2))*100</f>
        <v>9715.1325408934736</v>
      </c>
      <c r="E204">
        <f>(3/(1+('CurrentPor-All Factor Movements'!B204+'CurrentPor-All Factor Movements'!H204)/100)+103/POWER(1+('CurrentPor-All Factor Movements'!C204+'CurrentPor-All Factor Movements'!H204)/100,2))*100</f>
        <v>9719.2830642049848</v>
      </c>
      <c r="F204">
        <f>Portfolio!B$5*'CurrentPor-All Factor Movements'!D204</f>
        <v>52052.5429774363</v>
      </c>
      <c r="G204">
        <f>Portfolio!B$6*'CurrentPor-All Factor Movements'!E204</f>
        <v>3262.0985990084414</v>
      </c>
      <c r="H204">
        <f t="shared" si="9"/>
        <v>94326.529611494465</v>
      </c>
      <c r="I204">
        <f t="shared" si="10"/>
        <v>1340.8649969421385</v>
      </c>
    </row>
    <row r="205" spans="1:9">
      <c r="A205" s="1">
        <v>39545</v>
      </c>
      <c r="B205">
        <f>(3/(1+('CurrentPor-All Factor Movements'!B205)/100)+103/POWER(1+('CurrentPor-All Factor Movements'!C205)/100,2))*100</f>
        <v>9662.9396462392469</v>
      </c>
      <c r="C205">
        <f>(3/(1+('CurrentPor-All Factor Movements'!B205+'CurrentPor-All Factor Movements'!F205)/100)+103/POWER(1+('CurrentPor-All Factor Movements'!C205+'CurrentPor-All Factor Movements'!F205)/100,2))*100</f>
        <v>9576.8425272433851</v>
      </c>
      <c r="D205">
        <f>(3/(1+('CurrentPor-All Factor Movements'!B205+'CurrentPor-All Factor Movements'!G205)/100)+103/POWER(1+('CurrentPor-All Factor Movements'!C205+'CurrentPor-All Factor Movements'!G205)/100,2))*100</f>
        <v>9555.7978497179665</v>
      </c>
      <c r="E205">
        <f>(3/(1+('CurrentPor-All Factor Movements'!B205+'CurrentPor-All Factor Movements'!H205)/100)+103/POWER(1+('CurrentPor-All Factor Movements'!C205+'CurrentPor-All Factor Movements'!H205)/100,2))*100</f>
        <v>9550.6833642774272</v>
      </c>
      <c r="F205">
        <f>Portfolio!B$5*'CurrentPor-All Factor Movements'!D205</f>
        <v>51917.575879539501</v>
      </c>
      <c r="G205">
        <f>Portfolio!B$6*'CurrentPor-All Factor Movements'!E205</f>
        <v>3704.8073624756967</v>
      </c>
      <c r="H205">
        <f t="shared" si="9"/>
        <v>93968.646629493218</v>
      </c>
      <c r="I205">
        <f t="shared" si="10"/>
        <v>-1236.1871806583076</v>
      </c>
    </row>
    <row r="206" spans="1:9">
      <c r="A206" s="1">
        <v>39546</v>
      </c>
      <c r="B206">
        <f>(3/(1+('CurrentPor-All Factor Movements'!B206)/100)+103/POWER(1+('CurrentPor-All Factor Movements'!C206)/100,2))*100</f>
        <v>9758.4691899058234</v>
      </c>
      <c r="C206">
        <f>(3/(1+('CurrentPor-All Factor Movements'!B206+'CurrentPor-All Factor Movements'!F206)/100)+103/POWER(1+('CurrentPor-All Factor Movements'!C206+'CurrentPor-All Factor Movements'!F206)/100,2))*100</f>
        <v>9658.7053222256873</v>
      </c>
      <c r="D206">
        <f>(3/(1+('CurrentPor-All Factor Movements'!B206+'CurrentPor-All Factor Movements'!G206)/100)+103/POWER(1+('CurrentPor-All Factor Movements'!C206+'CurrentPor-All Factor Movements'!G206)/100,2))*100</f>
        <v>9653.3351826672879</v>
      </c>
      <c r="E206">
        <f>(3/(1+('CurrentPor-All Factor Movements'!B206+'CurrentPor-All Factor Movements'!H206)/100)+103/POWER(1+('CurrentPor-All Factor Movements'!C206+'CurrentPor-All Factor Movements'!H206)/100,2))*100</f>
        <v>9624.2068393676782</v>
      </c>
      <c r="F206">
        <f>Portfolio!B$5*'CurrentPor-All Factor Movements'!D206</f>
        <v>52157.928831292971</v>
      </c>
      <c r="G206">
        <f>Portfolio!B$6*'CurrentPor-All Factor Movements'!E206</f>
        <v>3484.7038880047739</v>
      </c>
      <c r="H206">
        <f t="shared" si="9"/>
        <v>94337.349253464228</v>
      </c>
      <c r="I206">
        <f t="shared" si="10"/>
        <v>-3157.5985633644159</v>
      </c>
    </row>
    <row r="207" spans="1:9">
      <c r="A207" s="1">
        <v>39547</v>
      </c>
      <c r="B207">
        <f>(3/(1+('CurrentPor-All Factor Movements'!B207)/100)+103/POWER(1+('CurrentPor-All Factor Movements'!C207)/100,2))*100</f>
        <v>9649.1491953692257</v>
      </c>
      <c r="C207">
        <f>(3/(1+('CurrentPor-All Factor Movements'!B207+'CurrentPor-All Factor Movements'!F207)/100)+103/POWER(1+('CurrentPor-All Factor Movements'!C207+'CurrentPor-All Factor Movements'!F207)/100,2))*100</f>
        <v>9542.4267987039948</v>
      </c>
      <c r="D207">
        <f>(3/(1+('CurrentPor-All Factor Movements'!B207+'CurrentPor-All Factor Movements'!G207)/100)+103/POWER(1+('CurrentPor-All Factor Movements'!C207+'CurrentPor-All Factor Movements'!G207)/100,2))*100</f>
        <v>9545.4215896013939</v>
      </c>
      <c r="E207">
        <f>(3/(1+('CurrentPor-All Factor Movements'!B207+'CurrentPor-All Factor Movements'!H207)/100)+103/POWER(1+('CurrentPor-All Factor Movements'!C207+'CurrentPor-All Factor Movements'!H207)/100,2))*100</f>
        <v>9523.585011873869</v>
      </c>
      <c r="F207">
        <f>Portfolio!B$5*'CurrentPor-All Factor Movements'!D207</f>
        <v>52211.860567682779</v>
      </c>
      <c r="G207">
        <f>Portfolio!B$6*'CurrentPor-All Factor Movements'!E207</f>
        <v>3471.8488659418122</v>
      </c>
      <c r="H207">
        <f t="shared" si="9"/>
        <v>93944.29202917307</v>
      </c>
      <c r="I207">
        <f t="shared" si="10"/>
        <v>-1141.0951407437387</v>
      </c>
    </row>
    <row r="208" spans="1:9">
      <c r="A208" s="1">
        <v>39548</v>
      </c>
      <c r="B208">
        <f>(3/(1+('CurrentPor-All Factor Movements'!B208)/100)+103/POWER(1+('CurrentPor-All Factor Movements'!C208)/100,2))*100</f>
        <v>9733.9394489334009</v>
      </c>
      <c r="C208">
        <f>(3/(1+('CurrentPor-All Factor Movements'!B208+'CurrentPor-All Factor Movements'!F208)/100)+103/POWER(1+('CurrentPor-All Factor Movements'!C208+'CurrentPor-All Factor Movements'!F208)/100,2))*100</f>
        <v>9656.8970073972596</v>
      </c>
      <c r="D208">
        <f>(3/(1+('CurrentPor-All Factor Movements'!B208+'CurrentPor-All Factor Movements'!G208)/100)+103/POWER(1+('CurrentPor-All Factor Movements'!C208+'CurrentPor-All Factor Movements'!G208)/100,2))*100</f>
        <v>9624.2074869634271</v>
      </c>
      <c r="E208">
        <f>(3/(1+('CurrentPor-All Factor Movements'!B208+'CurrentPor-All Factor Movements'!H208)/100)+103/POWER(1+('CurrentPor-All Factor Movements'!C208+'CurrentPor-All Factor Movements'!H208)/100,2))*100</f>
        <v>9585.8196426775412</v>
      </c>
      <c r="F208">
        <f>Portfolio!B$5*'CurrentPor-All Factor Movements'!D208</f>
        <v>52356.618797104667</v>
      </c>
      <c r="G208">
        <f>Portfolio!B$6*'CurrentPor-All Factor Movements'!E208</f>
        <v>3532.1669939894159</v>
      </c>
      <c r="H208">
        <f t="shared" si="9"/>
        <v>94489.649377065725</v>
      </c>
      <c r="I208">
        <f t="shared" si="10"/>
        <v>797.96195581307984</v>
      </c>
    </row>
    <row r="209" spans="1:9">
      <c r="A209" s="1">
        <v>39549</v>
      </c>
      <c r="B209">
        <f>(3/(1+('CurrentPor-All Factor Movements'!B209)/100)+103/POWER(1+('CurrentPor-All Factor Movements'!C209)/100,2))*100</f>
        <v>9922.6409834137212</v>
      </c>
      <c r="C209">
        <f>(3/(1+('CurrentPor-All Factor Movements'!B209+'CurrentPor-All Factor Movements'!F209)/100)+103/POWER(1+('CurrentPor-All Factor Movements'!C209+'CurrentPor-All Factor Movements'!F209)/100,2))*100</f>
        <v>9824.4308306625207</v>
      </c>
      <c r="D209">
        <f>(3/(1+('CurrentPor-All Factor Movements'!B209+'CurrentPor-All Factor Movements'!G209)/100)+103/POWER(1+('CurrentPor-All Factor Movements'!C209+'CurrentPor-All Factor Movements'!G209)/100,2))*100</f>
        <v>9812.9314817451068</v>
      </c>
      <c r="E209">
        <f>(3/(1+('CurrentPor-All Factor Movements'!B209+'CurrentPor-All Factor Movements'!H209)/100)+103/POWER(1+('CurrentPor-All Factor Movements'!C209+'CurrentPor-All Factor Movements'!H209)/100,2))*100</f>
        <v>9790.9789889304393</v>
      </c>
      <c r="F209">
        <f>Portfolio!B$5*'CurrentPor-All Factor Movements'!D209</f>
        <v>53766.691117541566</v>
      </c>
      <c r="G209">
        <f>Portfolio!B$6*'CurrentPor-All Factor Movements'!E209</f>
        <v>3772.1248149849052</v>
      </c>
      <c r="H209">
        <f t="shared" si="9"/>
        <v>96889.798217278265</v>
      </c>
      <c r="I209">
        <f t="shared" si="10"/>
        <v>2897.8871796462045</v>
      </c>
    </row>
    <row r="210" spans="1:9">
      <c r="A210" s="1">
        <v>39552</v>
      </c>
      <c r="B210">
        <f>(3/(1+('CurrentPor-All Factor Movements'!B210)/100)+103/POWER(1+('CurrentPor-All Factor Movements'!C210)/100,2))*100</f>
        <v>9772.6094099047168</v>
      </c>
      <c r="C210">
        <f>(3/(1+('CurrentPor-All Factor Movements'!B210+'CurrentPor-All Factor Movements'!F210)/100)+103/POWER(1+('CurrentPor-All Factor Movements'!C210+'CurrentPor-All Factor Movements'!F210)/100,2))*100</f>
        <v>9681.2616534769732</v>
      </c>
      <c r="D210">
        <f>(3/(1+('CurrentPor-All Factor Movements'!B210+'CurrentPor-All Factor Movements'!G210)/100)+103/POWER(1+('CurrentPor-All Factor Movements'!C210+'CurrentPor-All Factor Movements'!G210)/100,2))*100</f>
        <v>9658.3581686411781</v>
      </c>
      <c r="E210">
        <f>(3/(1+('CurrentPor-All Factor Movements'!B210+'CurrentPor-All Factor Movements'!H210)/100)+103/POWER(1+('CurrentPor-All Factor Movements'!C210+'CurrentPor-All Factor Movements'!H210)/100,2))*100</f>
        <v>9646.3218468559207</v>
      </c>
      <c r="F210">
        <f>Portfolio!B$5*'CurrentPor-All Factor Movements'!D210</f>
        <v>53106.036017623956</v>
      </c>
      <c r="G210">
        <f>Portfolio!B$6*'CurrentPor-All Factor Movements'!E210</f>
        <v>3487.6494742465702</v>
      </c>
      <c r="H210">
        <f t="shared" si="9"/>
        <v>95352.236570749315</v>
      </c>
      <c r="I210">
        <f t="shared" si="10"/>
        <v>258.36298562490265</v>
      </c>
    </row>
    <row r="211" spans="1:9">
      <c r="A211" s="1">
        <v>39553</v>
      </c>
      <c r="B211">
        <f>(3/(1+('CurrentPor-All Factor Movements'!B211)/100)+103/POWER(1+('CurrentPor-All Factor Movements'!C211)/100,2))*100</f>
        <v>9679.4974239421372</v>
      </c>
      <c r="C211">
        <f>(3/(1+('CurrentPor-All Factor Movements'!B211+'CurrentPor-All Factor Movements'!F211)/100)+103/POWER(1+('CurrentPor-All Factor Movements'!C211+'CurrentPor-All Factor Movements'!F211)/100,2))*100</f>
        <v>9574.9953413405256</v>
      </c>
      <c r="D211">
        <f>(3/(1+('CurrentPor-All Factor Movements'!B211+'CurrentPor-All Factor Movements'!G211)/100)+103/POWER(1+('CurrentPor-All Factor Movements'!C211+'CurrentPor-All Factor Movements'!G211)/100,2))*100</f>
        <v>9580.1077122971255</v>
      </c>
      <c r="E211">
        <f>(3/(1+('CurrentPor-All Factor Movements'!B211+'CurrentPor-All Factor Movements'!H211)/100)+103/POWER(1+('CurrentPor-All Factor Movements'!C211+'CurrentPor-All Factor Movements'!H211)/100,2))*100</f>
        <v>9560.6922643056514</v>
      </c>
      <c r="F211">
        <f>Portfolio!B$5*'CurrentPor-All Factor Movements'!D211</f>
        <v>52131.260603348426</v>
      </c>
      <c r="G211">
        <f>Portfolio!B$6*'CurrentPor-All Factor Movements'!E211</f>
        <v>3609.7243010481961</v>
      </c>
      <c r="H211">
        <f t="shared" si="9"/>
        <v>94136.277646282062</v>
      </c>
      <c r="I211">
        <f t="shared" si="10"/>
        <v>-583.39464789051272</v>
      </c>
    </row>
    <row r="212" spans="1:9">
      <c r="A212" s="1">
        <v>39554</v>
      </c>
      <c r="B212">
        <f>(3/(1+('CurrentPor-All Factor Movements'!B212)/100)+103/POWER(1+('CurrentPor-All Factor Movements'!C212)/100,2))*100</f>
        <v>9897.7437038846765</v>
      </c>
      <c r="C212">
        <f>(3/(1+('CurrentPor-All Factor Movements'!B212+'CurrentPor-All Factor Movements'!F212)/100)+103/POWER(1+('CurrentPor-All Factor Movements'!C212+'CurrentPor-All Factor Movements'!F212)/100,2))*100</f>
        <v>9790.9740099850897</v>
      </c>
      <c r="D212">
        <f>(3/(1+('CurrentPor-All Factor Movements'!B212+'CurrentPor-All Factor Movements'!G212)/100)+103/POWER(1+('CurrentPor-All Factor Movements'!C212+'CurrentPor-All Factor Movements'!G212)/100,2))*100</f>
        <v>9786.8078379951239</v>
      </c>
      <c r="E212">
        <f>(3/(1+('CurrentPor-All Factor Movements'!B212+'CurrentPor-All Factor Movements'!H212)/100)+103/POWER(1+('CurrentPor-All Factor Movements'!C212+'CurrentPor-All Factor Movements'!H212)/100,2))*100</f>
        <v>9775.5673730147137</v>
      </c>
      <c r="F212">
        <f>Portfolio!B$5*'CurrentPor-All Factor Movements'!D212</f>
        <v>52364.13673179593</v>
      </c>
      <c r="G212">
        <f>Portfolio!B$6*'CurrentPor-All Factor Movements'!E212</f>
        <v>3580.5545440006917</v>
      </c>
      <c r="H212">
        <f t="shared" si="9"/>
        <v>95195.784200676237</v>
      </c>
      <c r="I212">
        <f t="shared" si="10"/>
        <v>812.059399088379</v>
      </c>
    </row>
    <row r="213" spans="1:9">
      <c r="A213" s="1">
        <v>39555</v>
      </c>
      <c r="B213">
        <f>(3/(1+('CurrentPor-All Factor Movements'!B213)/100)+103/POWER(1+('CurrentPor-All Factor Movements'!C213)/100,2))*100</f>
        <v>9866.0819697441839</v>
      </c>
      <c r="C213">
        <f>(3/(1+('CurrentPor-All Factor Movements'!B213+'CurrentPor-All Factor Movements'!F213)/100)+103/POWER(1+('CurrentPor-All Factor Movements'!C213+'CurrentPor-All Factor Movements'!F213)/100,2))*100</f>
        <v>9768.7984127426589</v>
      </c>
      <c r="D213">
        <f>(3/(1+('CurrentPor-All Factor Movements'!B213+'CurrentPor-All Factor Movements'!G213)/100)+103/POWER(1+('CurrentPor-All Factor Movements'!C213+'CurrentPor-All Factor Movements'!G213)/100,2))*100</f>
        <v>9747.9949174648391</v>
      </c>
      <c r="E213">
        <f>(3/(1+('CurrentPor-All Factor Movements'!B213+'CurrentPor-All Factor Movements'!H213)/100)+103/POWER(1+('CurrentPor-All Factor Movements'!C213+'CurrentPor-All Factor Movements'!H213)/100,2))*100</f>
        <v>9754.1982177817445</v>
      </c>
      <c r="F213">
        <f>Portfolio!B$5*'CurrentPor-All Factor Movements'!D213</f>
        <v>52672.8895031434</v>
      </c>
      <c r="G213">
        <f>Portfolio!B$6*'CurrentPor-All Factor Movements'!E213</f>
        <v>3423.0382270039572</v>
      </c>
      <c r="H213">
        <f t="shared" si="9"/>
        <v>95233.001247880791</v>
      </c>
      <c r="I213">
        <f t="shared" si="10"/>
        <v>480.64118078514002</v>
      </c>
    </row>
    <row r="214" spans="1:9">
      <c r="A214" s="1">
        <v>39556</v>
      </c>
      <c r="B214">
        <f>(3/(1+('CurrentPor-All Factor Movements'!B214)/100)+103/POWER(1+('CurrentPor-All Factor Movements'!C214)/100,2))*100</f>
        <v>9791.0405735748955</v>
      </c>
      <c r="C214">
        <f>(3/(1+('CurrentPor-All Factor Movements'!B214+'CurrentPor-All Factor Movements'!F214)/100)+103/POWER(1+('CurrentPor-All Factor Movements'!C214+'CurrentPor-All Factor Movements'!F214)/100,2))*100</f>
        <v>9683.6626647215944</v>
      </c>
      <c r="D214">
        <f>(3/(1+('CurrentPor-All Factor Movements'!B214+'CurrentPor-All Factor Movements'!G214)/100)+103/POWER(1+('CurrentPor-All Factor Movements'!C214+'CurrentPor-All Factor Movements'!G214)/100,2))*100</f>
        <v>9678.5146381196591</v>
      </c>
      <c r="E214">
        <f>(3/(1+('CurrentPor-All Factor Movements'!B214+'CurrentPor-All Factor Movements'!H214)/100)+103/POWER(1+('CurrentPor-All Factor Movements'!C214+'CurrentPor-All Factor Movements'!H214)/100,2))*100</f>
        <v>9655.7097680692623</v>
      </c>
      <c r="F214">
        <f>Portfolio!B$5*'CurrentPor-All Factor Movements'!D214</f>
        <v>51896.065328963632</v>
      </c>
      <c r="G214">
        <f>Portfolio!B$6*'CurrentPor-All Factor Movements'!E214</f>
        <v>3784.8131036832883</v>
      </c>
      <c r="H214">
        <f t="shared" si="9"/>
        <v>94489.806077132336</v>
      </c>
      <c r="I214">
        <f t="shared" si="10"/>
        <v>163.2764656378713</v>
      </c>
    </row>
    <row r="215" spans="1:9">
      <c r="A215" s="1">
        <v>39559</v>
      </c>
      <c r="B215">
        <f>(3/(1+('CurrentPor-All Factor Movements'!B215)/100)+103/POWER(1+('CurrentPor-All Factor Movements'!C215)/100,2))*100</f>
        <v>9758.4813726695265</v>
      </c>
      <c r="C215">
        <f>(3/(1+('CurrentPor-All Factor Movements'!B215+'CurrentPor-All Factor Movements'!F215)/100)+103/POWER(1+('CurrentPor-All Factor Movements'!C215+'CurrentPor-All Factor Movements'!F215)/100,2))*100</f>
        <v>9668.5321338397298</v>
      </c>
      <c r="D215">
        <f>(3/(1+('CurrentPor-All Factor Movements'!B215+'CurrentPor-All Factor Movements'!G215)/100)+103/POWER(1+('CurrentPor-All Factor Movements'!C215+'CurrentPor-All Factor Movements'!G215)/100,2))*100</f>
        <v>9650.1127660607817</v>
      </c>
      <c r="E215">
        <f>(3/(1+('CurrentPor-All Factor Movements'!B215+'CurrentPor-All Factor Movements'!H215)/100)+103/POWER(1+('CurrentPor-All Factor Movements'!C215+'CurrentPor-All Factor Movements'!H215)/100,2))*100</f>
        <v>9628.6901820813127</v>
      </c>
      <c r="F215">
        <f>Portfolio!B$5*'CurrentPor-All Factor Movements'!D215</f>
        <v>52878.747280627191</v>
      </c>
      <c r="G215">
        <f>Portfolio!B$6*'CurrentPor-All Factor Movements'!E215</f>
        <v>3491.4190137650139</v>
      </c>
      <c r="H215">
        <f t="shared" si="9"/>
        <v>95075.982749043556</v>
      </c>
      <c r="I215">
        <f t="shared" si="10"/>
        <v>1107.3361195503385</v>
      </c>
    </row>
    <row r="216" spans="1:9">
      <c r="A216" s="1">
        <v>39560</v>
      </c>
      <c r="B216">
        <f>(3/(1+('CurrentPor-All Factor Movements'!B216)/100)+103/POWER(1+('CurrentPor-All Factor Movements'!C216)/100,2))*100</f>
        <v>9527.520203894881</v>
      </c>
      <c r="C216">
        <f>(3/(1+('CurrentPor-All Factor Movements'!B216+'CurrentPor-All Factor Movements'!F216)/100)+103/POWER(1+('CurrentPor-All Factor Movements'!C216+'CurrentPor-All Factor Movements'!F216)/100,2))*100</f>
        <v>9443.6221768240594</v>
      </c>
      <c r="D216">
        <f>(3/(1+('CurrentPor-All Factor Movements'!B216+'CurrentPor-All Factor Movements'!G216)/100)+103/POWER(1+('CurrentPor-All Factor Movements'!C216+'CurrentPor-All Factor Movements'!G216)/100,2))*100</f>
        <v>9398.5083239671985</v>
      </c>
      <c r="E216">
        <f>(3/(1+('CurrentPor-All Factor Movements'!B216+'CurrentPor-All Factor Movements'!H216)/100)+103/POWER(1+('CurrentPor-All Factor Movements'!C216+'CurrentPor-All Factor Movements'!H216)/100,2))*100</f>
        <v>9395.0743367798714</v>
      </c>
      <c r="F216">
        <f>Portfolio!B$5*'CurrentPor-All Factor Movements'!D216</f>
        <v>51587.837049325732</v>
      </c>
      <c r="G216">
        <f>Portfolio!B$6*'CurrentPor-All Factor Movements'!E216</f>
        <v>3537.5276717338847</v>
      </c>
      <c r="H216">
        <f t="shared" si="9"/>
        <v>92890.089762525618</v>
      </c>
      <c r="I216">
        <f t="shared" si="10"/>
        <v>-1447.2594909386098</v>
      </c>
    </row>
    <row r="217" spans="1:9">
      <c r="A217" s="1">
        <v>39561</v>
      </c>
      <c r="B217">
        <f>(3/(1+('CurrentPor-All Factor Movements'!B217)/100)+103/POWER(1+('CurrentPor-All Factor Movements'!C217)/100,2))*100</f>
        <v>9588.1764544876241</v>
      </c>
      <c r="C217">
        <f>(3/(1+('CurrentPor-All Factor Movements'!B217+'CurrentPor-All Factor Movements'!F217)/100)+103/POWER(1+('CurrentPor-All Factor Movements'!C217+'CurrentPor-All Factor Movements'!F217)/100,2))*100</f>
        <v>9499.2013701405303</v>
      </c>
      <c r="D217">
        <f>(3/(1+('CurrentPor-All Factor Movements'!B217+'CurrentPor-All Factor Movements'!G217)/100)+103/POWER(1+('CurrentPor-All Factor Movements'!C217+'CurrentPor-All Factor Movements'!G217)/100,2))*100</f>
        <v>9491.4544926604976</v>
      </c>
      <c r="E217">
        <f>(3/(1+('CurrentPor-All Factor Movements'!B217+'CurrentPor-All Factor Movements'!H217)/100)+103/POWER(1+('CurrentPor-All Factor Movements'!C217+'CurrentPor-All Factor Movements'!H217)/100,2))*100</f>
        <v>9448.2642780969418</v>
      </c>
      <c r="F217">
        <f>Portfolio!B$5*'CurrentPor-All Factor Movements'!D217</f>
        <v>52447.437386184334</v>
      </c>
      <c r="G217">
        <f>Portfolio!B$6*'CurrentPor-All Factor Movements'!E217</f>
        <v>3823.459947433892</v>
      </c>
      <c r="H217">
        <f t="shared" si="9"/>
        <v>94297.993929003816</v>
      </c>
      <c r="I217">
        <f t="shared" si="10"/>
        <v>353.7018998307467</v>
      </c>
    </row>
    <row r="218" spans="1:9">
      <c r="A218" s="1">
        <v>39562</v>
      </c>
      <c r="B218">
        <f>(3/(1+('CurrentPor-All Factor Movements'!B218)/100)+103/POWER(1+('CurrentPor-All Factor Movements'!C218)/100,2))*100</f>
        <v>9679.9433860654863</v>
      </c>
      <c r="C218">
        <f>(3/(1+('CurrentPor-All Factor Movements'!B218+'CurrentPor-All Factor Movements'!F218)/100)+103/POWER(1+('CurrentPor-All Factor Movements'!C218+'CurrentPor-All Factor Movements'!F218)/100,2))*100</f>
        <v>9588.2820335658071</v>
      </c>
      <c r="D218">
        <f>(3/(1+('CurrentPor-All Factor Movements'!B218+'CurrentPor-All Factor Movements'!G218)/100)+103/POWER(1+('CurrentPor-All Factor Movements'!C218+'CurrentPor-All Factor Movements'!G218)/100,2))*100</f>
        <v>9560.0448482279098</v>
      </c>
      <c r="E218">
        <f>(3/(1+('CurrentPor-All Factor Movements'!B218+'CurrentPor-All Factor Movements'!H218)/100)+103/POWER(1+('CurrentPor-All Factor Movements'!C218+'CurrentPor-All Factor Movements'!H218)/100,2))*100</f>
        <v>9541.3186219682793</v>
      </c>
      <c r="F218">
        <f>Portfolio!B$5*'CurrentPor-All Factor Movements'!D218</f>
        <v>50389.018260904173</v>
      </c>
      <c r="G218">
        <f>Portfolio!B$6*'CurrentPor-All Factor Movements'!E218</f>
        <v>3779.4419363289153</v>
      </c>
      <c r="H218">
        <f t="shared" si="9"/>
        <v>92538.049087060586</v>
      </c>
      <c r="I218">
        <f t="shared" si="10"/>
        <v>-1951.600290005139</v>
      </c>
    </row>
    <row r="219" spans="1:9">
      <c r="A219" s="1">
        <v>39563</v>
      </c>
      <c r="B219">
        <f>(3/(1+('CurrentPor-All Factor Movements'!B219)/100)+103/POWER(1+('CurrentPor-All Factor Movements'!C219)/100,2))*100</f>
        <v>9936.5576427011838</v>
      </c>
      <c r="C219">
        <f>(3/(1+('CurrentPor-All Factor Movements'!B219+'CurrentPor-All Factor Movements'!F219)/100)+103/POWER(1+('CurrentPor-All Factor Movements'!C219+'CurrentPor-All Factor Movements'!F219)/100,2))*100</f>
        <v>9843.8827068187275</v>
      </c>
      <c r="D219">
        <f>(3/(1+('CurrentPor-All Factor Movements'!B219+'CurrentPor-All Factor Movements'!G219)/100)+103/POWER(1+('CurrentPor-All Factor Movements'!C219+'CurrentPor-All Factor Movements'!G219)/100,2))*100</f>
        <v>9837.941328136325</v>
      </c>
      <c r="E219">
        <f>(3/(1+('CurrentPor-All Factor Movements'!B219+'CurrentPor-All Factor Movements'!H219)/100)+103/POWER(1+('CurrentPor-All Factor Movements'!C219+'CurrentPor-All Factor Movements'!H219)/100,2))*100</f>
        <v>9807.5658444545043</v>
      </c>
      <c r="F219">
        <f>Portfolio!B$5*'CurrentPor-All Factor Movements'!D219</f>
        <v>50268.828825766344</v>
      </c>
      <c r="G219">
        <f>Portfolio!B$6*'CurrentPor-All Factor Movements'!E219</f>
        <v>3753.8134133981544</v>
      </c>
      <c r="H219">
        <f t="shared" si="9"/>
        <v>93448.589761275231</v>
      </c>
      <c r="I219">
        <f t="shared" si="10"/>
        <v>-3441.2084560030344</v>
      </c>
    </row>
    <row r="220" spans="1:9">
      <c r="A220" s="1">
        <v>39566</v>
      </c>
      <c r="B220">
        <f>(3/(1+('CurrentPor-All Factor Movements'!B220)/100)+103/POWER(1+('CurrentPor-All Factor Movements'!C220)/100,2))*100</f>
        <v>9817.374165305313</v>
      </c>
      <c r="C220">
        <f>(3/(1+('CurrentPor-All Factor Movements'!B220+'CurrentPor-All Factor Movements'!F220)/100)+103/POWER(1+('CurrentPor-All Factor Movements'!C220+'CurrentPor-All Factor Movements'!F220)/100,2))*100</f>
        <v>9725.891886178355</v>
      </c>
      <c r="D220">
        <f>(3/(1+('CurrentPor-All Factor Movements'!B220+'CurrentPor-All Factor Movements'!G220)/100)+103/POWER(1+('CurrentPor-All Factor Movements'!C220+'CurrentPor-All Factor Movements'!G220)/100,2))*100</f>
        <v>9727.0799523574078</v>
      </c>
      <c r="E220">
        <f>(3/(1+('CurrentPor-All Factor Movements'!B220+'CurrentPor-All Factor Movements'!H220)/100)+103/POWER(1+('CurrentPor-All Factor Movements'!C220+'CurrentPor-All Factor Movements'!H220)/100,2))*100</f>
        <v>9696.7978767119075</v>
      </c>
      <c r="F220">
        <f>Portfolio!B$5*'CurrentPor-All Factor Movements'!D220</f>
        <v>51325.951689200723</v>
      </c>
      <c r="G220">
        <f>Portfolio!B$6*'CurrentPor-All Factor Movements'!E220</f>
        <v>3495.8516488511946</v>
      </c>
      <c r="H220">
        <f t="shared" si="9"/>
        <v>93788.947218604895</v>
      </c>
      <c r="I220">
        <f t="shared" si="10"/>
        <v>-1563.2893521444203</v>
      </c>
    </row>
    <row r="221" spans="1:9">
      <c r="A221" s="1">
        <v>39567</v>
      </c>
      <c r="B221">
        <f>(3/(1+('CurrentPor-All Factor Movements'!B221)/100)+103/POWER(1+('CurrentPor-All Factor Movements'!C221)/100,2))*100</f>
        <v>9783.387034737545</v>
      </c>
      <c r="C221">
        <f>(3/(1+('CurrentPor-All Factor Movements'!B221+'CurrentPor-All Factor Movements'!F221)/100)+103/POWER(1+('CurrentPor-All Factor Movements'!C221+'CurrentPor-All Factor Movements'!F221)/100,2))*100</f>
        <v>9680.5942025870791</v>
      </c>
      <c r="D221">
        <f>(3/(1+('CurrentPor-All Factor Movements'!B221+'CurrentPor-All Factor Movements'!G221)/100)+103/POWER(1+('CurrentPor-All Factor Movements'!C221+'CurrentPor-All Factor Movements'!G221)/100,2))*100</f>
        <v>9676.1411781628976</v>
      </c>
      <c r="E221">
        <f>(3/(1+('CurrentPor-All Factor Movements'!B221+'CurrentPor-All Factor Movements'!H221)/100)+103/POWER(1+('CurrentPor-All Factor Movements'!C221+'CurrentPor-All Factor Movements'!H221)/100,2))*100</f>
        <v>9676.7081140994796</v>
      </c>
      <c r="F221">
        <f>Portfolio!B$5*'CurrentPor-All Factor Movements'!D221</f>
        <v>52483.013367950029</v>
      </c>
      <c r="G221">
        <f>Portfolio!B$6*'CurrentPor-All Factor Movements'!E221</f>
        <v>3598.506558628098</v>
      </c>
      <c r="H221">
        <f t="shared" si="9"/>
        <v>94898.350456165135</v>
      </c>
      <c r="I221">
        <f t="shared" si="10"/>
        <v>762.07280988307321</v>
      </c>
    </row>
    <row r="222" spans="1:9">
      <c r="A222" s="1">
        <v>39568</v>
      </c>
      <c r="B222">
        <f>(3/(1+('CurrentPor-All Factor Movements'!B222)/100)+103/POWER(1+('CurrentPor-All Factor Movements'!C222)/100,2))*100</f>
        <v>9769.7161482133015</v>
      </c>
      <c r="C222">
        <f>(3/(1+('CurrentPor-All Factor Movements'!B222+'CurrentPor-All Factor Movements'!F222)/100)+103/POWER(1+('CurrentPor-All Factor Movements'!C222+'CurrentPor-All Factor Movements'!F222)/100,2))*100</f>
        <v>9666.4947423899848</v>
      </c>
      <c r="D222">
        <f>(3/(1+('CurrentPor-All Factor Movements'!B222+'CurrentPor-All Factor Movements'!G222)/100)+103/POWER(1+('CurrentPor-All Factor Movements'!C222+'CurrentPor-All Factor Movements'!G222)/100,2))*100</f>
        <v>9664.3803877380797</v>
      </c>
      <c r="E222">
        <f>(3/(1+('CurrentPor-All Factor Movements'!B222+'CurrentPor-All Factor Movements'!H222)/100)+103/POWER(1+('CurrentPor-All Factor Movements'!C222+'CurrentPor-All Factor Movements'!H222)/100,2))*100</f>
        <v>9640.8628140681176</v>
      </c>
      <c r="F222">
        <f>Portfolio!B$5*'CurrentPor-All Factor Movements'!D222</f>
        <v>52004.423787100401</v>
      </c>
      <c r="G222">
        <f>Portfolio!B$6*'CurrentPor-All Factor Movements'!E222</f>
        <v>3280.4295049330171</v>
      </c>
      <c r="H222">
        <f t="shared" si="9"/>
        <v>94026.307384442887</v>
      </c>
      <c r="I222">
        <f t="shared" si="10"/>
        <v>-1169.4768162333494</v>
      </c>
    </row>
    <row r="223" spans="1:9">
      <c r="A223" s="1">
        <v>39569</v>
      </c>
      <c r="B223">
        <f>(3/(1+('CurrentPor-All Factor Movements'!B223)/100)+103/POWER(1+('CurrentPor-All Factor Movements'!C223)/100,2))*100</f>
        <v>9469.0444122459921</v>
      </c>
      <c r="C223">
        <f>(3/(1+('CurrentPor-All Factor Movements'!B223+'CurrentPor-All Factor Movements'!F223)/100)+103/POWER(1+('CurrentPor-All Factor Movements'!C223+'CurrentPor-All Factor Movements'!F223)/100,2))*100</f>
        <v>9382.5022563433267</v>
      </c>
      <c r="D223">
        <f>(3/(1+('CurrentPor-All Factor Movements'!B223+'CurrentPor-All Factor Movements'!G223)/100)+103/POWER(1+('CurrentPor-All Factor Movements'!C223+'CurrentPor-All Factor Movements'!G223)/100,2))*100</f>
        <v>9358.639940909934</v>
      </c>
      <c r="E223">
        <f>(3/(1+('CurrentPor-All Factor Movements'!B223+'CurrentPor-All Factor Movements'!H223)/100)+103/POWER(1+('CurrentPor-All Factor Movements'!C223+'CurrentPor-All Factor Movements'!H223)/100,2))*100</f>
        <v>9346.3281811655906</v>
      </c>
      <c r="F223">
        <f>Portfolio!B$5*'CurrentPor-All Factor Movements'!D223</f>
        <v>50421.485581735025</v>
      </c>
      <c r="G223">
        <f>Portfolio!B$6*'CurrentPor-All Factor Movements'!E223</f>
        <v>2947.9404886603756</v>
      </c>
      <c r="H223">
        <f t="shared" si="9"/>
        <v>90925.94086106024</v>
      </c>
      <c r="I223">
        <f t="shared" si="10"/>
        <v>-4307.0603868205508</v>
      </c>
    </row>
    <row r="224" spans="1:9">
      <c r="A224" s="1">
        <v>39570</v>
      </c>
      <c r="B224">
        <f>(3/(1+('CurrentPor-All Factor Movements'!B224)/100)+103/POWER(1+('CurrentPor-All Factor Movements'!C224)/100,2))*100</f>
        <v>9899.2489279370202</v>
      </c>
      <c r="C224">
        <f>(3/(1+('CurrentPor-All Factor Movements'!B224+'CurrentPor-All Factor Movements'!F224)/100)+103/POWER(1+('CurrentPor-All Factor Movements'!C224+'CurrentPor-All Factor Movements'!F224)/100,2))*100</f>
        <v>9799.6659566762992</v>
      </c>
      <c r="D224">
        <f>(3/(1+('CurrentPor-All Factor Movements'!B224+'CurrentPor-All Factor Movements'!G224)/100)+103/POWER(1+('CurrentPor-All Factor Movements'!C224+'CurrentPor-All Factor Movements'!G224)/100,2))*100</f>
        <v>9788.1687576799686</v>
      </c>
      <c r="E224">
        <f>(3/(1+('CurrentPor-All Factor Movements'!B224+'CurrentPor-All Factor Movements'!H224)/100)+103/POWER(1+('CurrentPor-All Factor Movements'!C224+'CurrentPor-All Factor Movements'!H224)/100,2))*100</f>
        <v>9763.4048709445233</v>
      </c>
      <c r="F224">
        <f>Portfolio!B$5*'CurrentPor-All Factor Movements'!D224</f>
        <v>51209.54125334639</v>
      </c>
      <c r="G224">
        <f>Portfolio!B$6*'CurrentPor-All Factor Movements'!E224</f>
        <v>3236.4065055926053</v>
      </c>
      <c r="H224">
        <f t="shared" si="9"/>
        <v>93696.436272176798</v>
      </c>
      <c r="I224">
        <f t="shared" si="10"/>
        <v>-793.36980495553871</v>
      </c>
    </row>
    <row r="225" spans="1:9">
      <c r="A225" s="1">
        <v>39573</v>
      </c>
      <c r="B225">
        <f>(3/(1+('CurrentPor-All Factor Movements'!B225)/100)+103/POWER(1+('CurrentPor-All Factor Movements'!C225)/100,2))*100</f>
        <v>9893.350847644886</v>
      </c>
      <c r="C225">
        <f>(3/(1+('CurrentPor-All Factor Movements'!B225+'CurrentPor-All Factor Movements'!F225)/100)+103/POWER(1+('CurrentPor-All Factor Movements'!C225+'CurrentPor-All Factor Movements'!F225)/100,2))*100</f>
        <v>9805.2524497374197</v>
      </c>
      <c r="D225">
        <f>(3/(1+('CurrentPor-All Factor Movements'!B225+'CurrentPor-All Factor Movements'!G225)/100)+103/POWER(1+('CurrentPor-All Factor Movements'!C225+'CurrentPor-All Factor Movements'!G225)/100,2))*100</f>
        <v>9782.8036184164685</v>
      </c>
      <c r="E225">
        <f>(3/(1+('CurrentPor-All Factor Movements'!B225+'CurrentPor-All Factor Movements'!H225)/100)+103/POWER(1+('CurrentPor-All Factor Movements'!C225+'CurrentPor-All Factor Movements'!H225)/100,2))*100</f>
        <v>9769.0297169643854</v>
      </c>
      <c r="F225">
        <f>Portfolio!B$5*'CurrentPor-All Factor Movements'!D225</f>
        <v>51058.061431085465</v>
      </c>
      <c r="G225">
        <f>Portfolio!B$6*'CurrentPor-All Factor Movements'!E225</f>
        <v>3690.3494129336004</v>
      </c>
      <c r="H225">
        <f t="shared" si="9"/>
        <v>93998.847476782219</v>
      </c>
      <c r="I225">
        <f t="shared" si="10"/>
        <v>-1077.1352722613374</v>
      </c>
    </row>
    <row r="226" spans="1:9">
      <c r="A226" s="1">
        <v>39574</v>
      </c>
      <c r="B226">
        <f>(3/(1+('CurrentPor-All Factor Movements'!B226)/100)+103/POWER(1+('CurrentPor-All Factor Movements'!C226)/100,2))*100</f>
        <v>9719.4198084045456</v>
      </c>
      <c r="C226">
        <f>(3/(1+('CurrentPor-All Factor Movements'!B226+'CurrentPor-All Factor Movements'!F226)/100)+103/POWER(1+('CurrentPor-All Factor Movements'!C226+'CurrentPor-All Factor Movements'!F226)/100,2))*100</f>
        <v>9621.2108737135259</v>
      </c>
      <c r="D226">
        <f>(3/(1+('CurrentPor-All Factor Movements'!B226+'CurrentPor-All Factor Movements'!G226)/100)+103/POWER(1+('CurrentPor-All Factor Movements'!C226+'CurrentPor-All Factor Movements'!G226)/100,2))*100</f>
        <v>9609.4440537879309</v>
      </c>
      <c r="E226">
        <f>(3/(1+('CurrentPor-All Factor Movements'!B226+'CurrentPor-All Factor Movements'!H226)/100)+103/POWER(1+('CurrentPor-All Factor Movements'!C226+'CurrentPor-All Factor Movements'!H226)/100,2))*100</f>
        <v>9600.6973736412092</v>
      </c>
      <c r="F226">
        <f>Portfolio!B$5*'CurrentPor-All Factor Movements'!D226</f>
        <v>52846.74066354597</v>
      </c>
      <c r="G226">
        <f>Portfolio!B$6*'CurrentPor-All Factor Movements'!E226</f>
        <v>3751.6643990649854</v>
      </c>
      <c r="H226">
        <f t="shared" si="9"/>
        <v>95149.177172158175</v>
      </c>
      <c r="I226">
        <f t="shared" si="10"/>
        <v>2259.087409632557</v>
      </c>
    </row>
    <row r="227" spans="1:9">
      <c r="A227" s="1">
        <v>39575</v>
      </c>
      <c r="B227">
        <f>(3/(1+('CurrentPor-All Factor Movements'!B227)/100)+103/POWER(1+('CurrentPor-All Factor Movements'!C227)/100,2))*100</f>
        <v>9612.8104672108657</v>
      </c>
      <c r="C227">
        <f>(3/(1+('CurrentPor-All Factor Movements'!B227+'CurrentPor-All Factor Movements'!F227)/100)+103/POWER(1+('CurrentPor-All Factor Movements'!C227+'CurrentPor-All Factor Movements'!F227)/100,2))*100</f>
        <v>9507.3021335356789</v>
      </c>
      <c r="D227">
        <f>(3/(1+('CurrentPor-All Factor Movements'!B227+'CurrentPor-All Factor Movements'!G227)/100)+103/POWER(1+('CurrentPor-All Factor Movements'!C227+'CurrentPor-All Factor Movements'!G227)/100,2))*100</f>
        <v>9515.8139178699385</v>
      </c>
      <c r="E227">
        <f>(3/(1+('CurrentPor-All Factor Movements'!B227+'CurrentPor-All Factor Movements'!H227)/100)+103/POWER(1+('CurrentPor-All Factor Movements'!C227+'CurrentPor-All Factor Movements'!H227)/100,2))*100</f>
        <v>9499.5088425382182</v>
      </c>
      <c r="F227">
        <f>Portfolio!B$5*'CurrentPor-All Factor Movements'!D227</f>
        <v>50347.547786283183</v>
      </c>
      <c r="G227">
        <f>Portfolio!B$6*'CurrentPor-All Factor Movements'!E227</f>
        <v>3839.9887603973184</v>
      </c>
      <c r="H227">
        <f t="shared" si="9"/>
        <v>92322.971907835206</v>
      </c>
      <c r="I227">
        <f t="shared" si="10"/>
        <v>-1975.0220211686101</v>
      </c>
    </row>
    <row r="228" spans="1:9">
      <c r="A228" s="1">
        <v>39576</v>
      </c>
      <c r="B228">
        <f>(3/(1+('CurrentPor-All Factor Movements'!B228)/100)+103/POWER(1+('CurrentPor-All Factor Movements'!C228)/100,2))*100</f>
        <v>9622.0317945585375</v>
      </c>
      <c r="C228">
        <f>(3/(1+('CurrentPor-All Factor Movements'!B228+'CurrentPor-All Factor Movements'!F228)/100)+103/POWER(1+('CurrentPor-All Factor Movements'!C228+'CurrentPor-All Factor Movements'!F228)/100,2))*100</f>
        <v>9532.3511986534086</v>
      </c>
      <c r="D228">
        <f>(3/(1+('CurrentPor-All Factor Movements'!B228+'CurrentPor-All Factor Movements'!G228)/100)+103/POWER(1+('CurrentPor-All Factor Movements'!C228+'CurrentPor-All Factor Movements'!G228)/100,2))*100</f>
        <v>9528.6592877646617</v>
      </c>
      <c r="E228">
        <f>(3/(1+('CurrentPor-All Factor Movements'!B228+'CurrentPor-All Factor Movements'!H228)/100)+103/POWER(1+('CurrentPor-All Factor Movements'!C228+'CurrentPor-All Factor Movements'!H228)/100,2))*100</f>
        <v>9523.9024657372247</v>
      </c>
      <c r="F228">
        <f>Portfolio!B$5*'CurrentPor-All Factor Movements'!D228</f>
        <v>51501.725191078069</v>
      </c>
      <c r="G228">
        <f>Portfolio!B$6*'CurrentPor-All Factor Movements'!E228</f>
        <v>3479.0589743194223</v>
      </c>
      <c r="H228">
        <f t="shared" si="9"/>
        <v>93187.728912111343</v>
      </c>
      <c r="I228">
        <f t="shared" si="10"/>
        <v>649.67982505075634</v>
      </c>
    </row>
    <row r="229" spans="1:9">
      <c r="A229" s="1">
        <v>39577</v>
      </c>
      <c r="B229">
        <f>(3/(1+('CurrentPor-All Factor Movements'!B229)/100)+103/POWER(1+('CurrentPor-All Factor Movements'!C229)/100,2))*100</f>
        <v>9646.5256433674058</v>
      </c>
      <c r="C229">
        <f>(3/(1+('CurrentPor-All Factor Movements'!B229+'CurrentPor-All Factor Movements'!F229)/100)+103/POWER(1+('CurrentPor-All Factor Movements'!C229+'CurrentPor-All Factor Movements'!F229)/100,2))*100</f>
        <v>9553.2096108333826</v>
      </c>
      <c r="D229">
        <f>(3/(1+('CurrentPor-All Factor Movements'!B229+'CurrentPor-All Factor Movements'!G229)/100)+103/POWER(1+('CurrentPor-All Factor Movements'!C229+'CurrentPor-All Factor Movements'!G229)/100,2))*100</f>
        <v>9532.5207349056363</v>
      </c>
      <c r="E229">
        <f>(3/(1+('CurrentPor-All Factor Movements'!B229+'CurrentPor-All Factor Movements'!H229)/100)+103/POWER(1+('CurrentPor-All Factor Movements'!C229+'CurrentPor-All Factor Movements'!H229)/100,2))*100</f>
        <v>9544.3029627026353</v>
      </c>
      <c r="F229">
        <f>Portfolio!B$5*'CurrentPor-All Factor Movements'!D229</f>
        <v>53189.120342549919</v>
      </c>
      <c r="G229">
        <f>Portfolio!B$6*'CurrentPor-All Factor Movements'!E229</f>
        <v>3306.2982884434823</v>
      </c>
      <c r="H229">
        <f t="shared" si="9"/>
        <v>94771.977582802443</v>
      </c>
      <c r="I229">
        <f t="shared" si="10"/>
        <v>1323.3878215272125</v>
      </c>
    </row>
    <row r="230" spans="1:9">
      <c r="A230" s="1">
        <v>39580</v>
      </c>
      <c r="B230">
        <f>(3/(1+('CurrentPor-All Factor Movements'!B230)/100)+103/POWER(1+('CurrentPor-All Factor Movements'!C230)/100,2))*100</f>
        <v>9820.0336876052243</v>
      </c>
      <c r="C230">
        <f>(3/(1+('CurrentPor-All Factor Movements'!B230+'CurrentPor-All Factor Movements'!F230)/100)+103/POWER(1+('CurrentPor-All Factor Movements'!C230+'CurrentPor-All Factor Movements'!F230)/100,2))*100</f>
        <v>9721.0351136651625</v>
      </c>
      <c r="D230">
        <f>(3/(1+('CurrentPor-All Factor Movements'!B230+'CurrentPor-All Factor Movements'!G230)/100)+103/POWER(1+('CurrentPor-All Factor Movements'!C230+'CurrentPor-All Factor Movements'!G230)/100,2))*100</f>
        <v>9688.2557147688112</v>
      </c>
      <c r="E230">
        <f>(3/(1+('CurrentPor-All Factor Movements'!B230+'CurrentPor-All Factor Movements'!H230)/100)+103/POWER(1+('CurrentPor-All Factor Movements'!C230+'CurrentPor-All Factor Movements'!H230)/100,2))*100</f>
        <v>9689.8872300362473</v>
      </c>
      <c r="F230">
        <f>Portfolio!B$5*'CurrentPor-All Factor Movements'!D230</f>
        <v>53125.821464958077</v>
      </c>
      <c r="G230">
        <f>Portfolio!B$6*'CurrentPor-All Factor Movements'!E230</f>
        <v>3118.1188656280215</v>
      </c>
      <c r="H230">
        <f t="shared" si="9"/>
        <v>95163.152076661558</v>
      </c>
      <c r="I230">
        <f t="shared" si="10"/>
        <v>1374.2048580566625</v>
      </c>
    </row>
    <row r="231" spans="1:9">
      <c r="A231" s="1">
        <v>39581</v>
      </c>
      <c r="B231">
        <f>(3/(1+('CurrentPor-All Factor Movements'!B231)/100)+103/POWER(1+('CurrentPor-All Factor Movements'!C231)/100,2))*100</f>
        <v>9626.2962943334896</v>
      </c>
      <c r="C231">
        <f>(3/(1+('CurrentPor-All Factor Movements'!B231+'CurrentPor-All Factor Movements'!F231)/100)+103/POWER(1+('CurrentPor-All Factor Movements'!C231+'CurrentPor-All Factor Movements'!F231)/100,2))*100</f>
        <v>9529.2452149769069</v>
      </c>
      <c r="D231">
        <f>(3/(1+('CurrentPor-All Factor Movements'!B231+'CurrentPor-All Factor Movements'!G231)/100)+103/POWER(1+('CurrentPor-All Factor Movements'!C231+'CurrentPor-All Factor Movements'!G231)/100,2))*100</f>
        <v>9515.4872620836904</v>
      </c>
      <c r="E231">
        <f>(3/(1+('CurrentPor-All Factor Movements'!B231+'CurrentPor-All Factor Movements'!H231)/100)+103/POWER(1+('CurrentPor-All Factor Movements'!C231+'CurrentPor-All Factor Movements'!H231)/100,2))*100</f>
        <v>9521.3832584643533</v>
      </c>
      <c r="F231">
        <f>Portfolio!B$5*'CurrentPor-All Factor Movements'!D231</f>
        <v>51920.547273091121</v>
      </c>
      <c r="G231">
        <f>Portfolio!B$6*'CurrentPor-All Factor Movements'!E231</f>
        <v>3568.568515032815</v>
      </c>
      <c r="H231">
        <f t="shared" si="9"/>
        <v>93681.52781798238</v>
      </c>
      <c r="I231">
        <f t="shared" si="10"/>
        <v>-1216.8226381827553</v>
      </c>
    </row>
    <row r="232" spans="1:9">
      <c r="A232" s="1">
        <v>39582</v>
      </c>
      <c r="B232">
        <f>(3/(1+('CurrentPor-All Factor Movements'!B232)/100)+103/POWER(1+('CurrentPor-All Factor Movements'!C232)/100,2))*100</f>
        <v>9820.9294844705091</v>
      </c>
      <c r="C232">
        <f>(3/(1+('CurrentPor-All Factor Movements'!B232+'CurrentPor-All Factor Movements'!F232)/100)+103/POWER(1+('CurrentPor-All Factor Movements'!C232+'CurrentPor-All Factor Movements'!F232)/100,2))*100</f>
        <v>9728.8396585027549</v>
      </c>
      <c r="D232">
        <f>(3/(1+('CurrentPor-All Factor Movements'!B232+'CurrentPor-All Factor Movements'!G232)/100)+103/POWER(1+('CurrentPor-All Factor Movements'!C232+'CurrentPor-All Factor Movements'!G232)/100,2))*100</f>
        <v>9721.2327593848131</v>
      </c>
      <c r="E232">
        <f>(3/(1+('CurrentPor-All Factor Movements'!B232+'CurrentPor-All Factor Movements'!H232)/100)+103/POWER(1+('CurrentPor-All Factor Movements'!C232+'CurrentPor-All Factor Movements'!H232)/100,2))*100</f>
        <v>9693.0855117391438</v>
      </c>
      <c r="F232">
        <f>Portfolio!B$5*'CurrentPor-All Factor Movements'!D232</f>
        <v>52987.911292912169</v>
      </c>
      <c r="G232">
        <f>Portfolio!B$6*'CurrentPor-All Factor Movements'!E232</f>
        <v>3936.1406325290468</v>
      </c>
      <c r="H232">
        <f t="shared" si="9"/>
        <v>95888.139339538437</v>
      </c>
      <c r="I232">
        <f t="shared" si="10"/>
        <v>1861.8319550955493</v>
      </c>
    </row>
    <row r="233" spans="1:9">
      <c r="A233" s="1">
        <v>39583</v>
      </c>
      <c r="B233">
        <f>(3/(1+('CurrentPor-All Factor Movements'!B233)/100)+103/POWER(1+('CurrentPor-All Factor Movements'!C233)/100,2))*100</f>
        <v>9769.9992254898043</v>
      </c>
      <c r="C233">
        <f>(3/(1+('CurrentPor-All Factor Movements'!B233+'CurrentPor-All Factor Movements'!F233)/100)+103/POWER(1+('CurrentPor-All Factor Movements'!C233+'CurrentPor-All Factor Movements'!F233)/100,2))*100</f>
        <v>9671.9708389881798</v>
      </c>
      <c r="D233">
        <f>(3/(1+('CurrentPor-All Factor Movements'!B233+'CurrentPor-All Factor Movements'!G233)/100)+103/POWER(1+('CurrentPor-All Factor Movements'!C233+'CurrentPor-All Factor Movements'!G233)/100,2))*100</f>
        <v>9651.808149888202</v>
      </c>
      <c r="E233">
        <f>(3/(1+('CurrentPor-All Factor Movements'!B233+'CurrentPor-All Factor Movements'!H233)/100)+103/POWER(1+('CurrentPor-All Factor Movements'!C233+'CurrentPor-All Factor Movements'!H233)/100,2))*100</f>
        <v>9630.3141618954833</v>
      </c>
      <c r="F233">
        <f>Portfolio!B$5*'CurrentPor-All Factor Movements'!D233</f>
        <v>51191.047816198399</v>
      </c>
      <c r="G233">
        <f>Portfolio!B$6*'CurrentPor-All Factor Movements'!E233</f>
        <v>3534.7135243958355</v>
      </c>
      <c r="H233">
        <f t="shared" si="9"/>
        <v>93449.853716855898</v>
      </c>
      <c r="I233">
        <f t="shared" si="10"/>
        <v>2523.9128557956574</v>
      </c>
    </row>
    <row r="234" spans="1:9">
      <c r="A234" s="1">
        <v>39584</v>
      </c>
      <c r="B234">
        <f>(3/(1+('CurrentPor-All Factor Movements'!B234)/100)+103/POWER(1+('CurrentPor-All Factor Movements'!C234)/100,2))*100</f>
        <v>9771.7108245971758</v>
      </c>
      <c r="C234">
        <f>(3/(1+('CurrentPor-All Factor Movements'!B234+'CurrentPor-All Factor Movements'!F234)/100)+103/POWER(1+('CurrentPor-All Factor Movements'!C234+'CurrentPor-All Factor Movements'!F234)/100,2))*100</f>
        <v>9684.4376724230715</v>
      </c>
      <c r="D234">
        <f>(3/(1+('CurrentPor-All Factor Movements'!B234+'CurrentPor-All Factor Movements'!G234)/100)+103/POWER(1+('CurrentPor-All Factor Movements'!C234+'CurrentPor-All Factor Movements'!G234)/100,2))*100</f>
        <v>9660.9953231608561</v>
      </c>
      <c r="E234">
        <f>(3/(1+('CurrentPor-All Factor Movements'!B234+'CurrentPor-All Factor Movements'!H234)/100)+103/POWER(1+('CurrentPor-All Factor Movements'!C234+'CurrentPor-All Factor Movements'!H234)/100,2))*100</f>
        <v>9644.2955602901129</v>
      </c>
      <c r="F234">
        <f>Portfolio!B$5*'CurrentPor-All Factor Movements'!D234</f>
        <v>52244.356745874815</v>
      </c>
      <c r="G234">
        <f>Portfolio!B$6*'CurrentPor-All Factor Movements'!E234</f>
        <v>3377.1405846790544</v>
      </c>
      <c r="H234">
        <f t="shared" si="9"/>
        <v>94382.93671102509</v>
      </c>
      <c r="I234">
        <f t="shared" si="10"/>
        <v>686.50043884829211</v>
      </c>
    </row>
    <row r="235" spans="1:9">
      <c r="A235" s="1">
        <v>39587</v>
      </c>
      <c r="B235">
        <f>(3/(1+('CurrentPor-All Factor Movements'!B235)/100)+103/POWER(1+('CurrentPor-All Factor Movements'!C235)/100,2))*100</f>
        <v>9709.7867623795373</v>
      </c>
      <c r="C235">
        <f>(3/(1+('CurrentPor-All Factor Movements'!B235+'CurrentPor-All Factor Movements'!F235)/100)+103/POWER(1+('CurrentPor-All Factor Movements'!C235+'CurrentPor-All Factor Movements'!F235)/100,2))*100</f>
        <v>9612.8822727562983</v>
      </c>
      <c r="D235">
        <f>(3/(1+('CurrentPor-All Factor Movements'!B235+'CurrentPor-All Factor Movements'!G235)/100)+103/POWER(1+('CurrentPor-All Factor Movements'!C235+'CurrentPor-All Factor Movements'!G235)/100,2))*100</f>
        <v>9594.2867249867013</v>
      </c>
      <c r="E235">
        <f>(3/(1+('CurrentPor-All Factor Movements'!B235+'CurrentPor-All Factor Movements'!H235)/100)+103/POWER(1+('CurrentPor-All Factor Movements'!C235+'CurrentPor-All Factor Movements'!H235)/100,2))*100</f>
        <v>9597.7685092949141</v>
      </c>
      <c r="F235">
        <f>Portfolio!B$5*'CurrentPor-All Factor Movements'!D235</f>
        <v>53584.39141253721</v>
      </c>
      <c r="G235">
        <f>Portfolio!B$6*'CurrentPor-All Factor Movements'!E235</f>
        <v>3817.2608937488185</v>
      </c>
      <c r="H235">
        <f t="shared" si="9"/>
        <v>95916.376575703471</v>
      </c>
      <c r="I235">
        <f t="shared" si="10"/>
        <v>1917.5290989212517</v>
      </c>
    </row>
    <row r="236" spans="1:9">
      <c r="A236" s="1">
        <v>39588</v>
      </c>
      <c r="B236">
        <f>(3/(1+('CurrentPor-All Factor Movements'!B236)/100)+103/POWER(1+('CurrentPor-All Factor Movements'!C236)/100,2))*100</f>
        <v>9573.3179244477888</v>
      </c>
      <c r="C236">
        <f>(3/(1+('CurrentPor-All Factor Movements'!B236+'CurrentPor-All Factor Movements'!F236)/100)+103/POWER(1+('CurrentPor-All Factor Movements'!C236+'CurrentPor-All Factor Movements'!F236)/100,2))*100</f>
        <v>9491.5413053821285</v>
      </c>
      <c r="D236">
        <f>(3/(1+('CurrentPor-All Factor Movements'!B236+'CurrentPor-All Factor Movements'!G236)/100)+103/POWER(1+('CurrentPor-All Factor Movements'!C236+'CurrentPor-All Factor Movements'!G236)/100,2))*100</f>
        <v>9463.6138415640544</v>
      </c>
      <c r="E236">
        <f>(3/(1+('CurrentPor-All Factor Movements'!B236+'CurrentPor-All Factor Movements'!H236)/100)+103/POWER(1+('CurrentPor-All Factor Movements'!C236+'CurrentPor-All Factor Movements'!H236)/100,2))*100</f>
        <v>9448.0859585478775</v>
      </c>
      <c r="F236">
        <f>Portfolio!B$5*'CurrentPor-All Factor Movements'!D236</f>
        <v>53267.962866541551</v>
      </c>
      <c r="G236">
        <f>Portfolio!B$6*'CurrentPor-All Factor Movements'!E236</f>
        <v>3538.4784382337157</v>
      </c>
      <c r="H236">
        <f t="shared" si="9"/>
        <v>94783.000334717115</v>
      </c>
      <c r="I236">
        <f t="shared" si="10"/>
        <v>-366.17683744106034</v>
      </c>
    </row>
    <row r="237" spans="1:9">
      <c r="A237" s="1">
        <v>39589</v>
      </c>
      <c r="B237">
        <f>(3/(1+('CurrentPor-All Factor Movements'!B237)/100)+103/POWER(1+('CurrentPor-All Factor Movements'!C237)/100,2))*100</f>
        <v>9682.7193917914447</v>
      </c>
      <c r="C237">
        <f>(3/(1+('CurrentPor-All Factor Movements'!B237+'CurrentPor-All Factor Movements'!F237)/100)+103/POWER(1+('CurrentPor-All Factor Movements'!C237+'CurrentPor-All Factor Movements'!F237)/100,2))*100</f>
        <v>9600.3771372517058</v>
      </c>
      <c r="D237">
        <f>(3/(1+('CurrentPor-All Factor Movements'!B237+'CurrentPor-All Factor Movements'!G237)/100)+103/POWER(1+('CurrentPor-All Factor Movements'!C237+'CurrentPor-All Factor Movements'!G237)/100,2))*100</f>
        <v>9549.3498911784081</v>
      </c>
      <c r="E237">
        <f>(3/(1+('CurrentPor-All Factor Movements'!B237+'CurrentPor-All Factor Movements'!H237)/100)+103/POWER(1+('CurrentPor-All Factor Movements'!C237+'CurrentPor-All Factor Movements'!H237)/100,2))*100</f>
        <v>9546.6168676768248</v>
      </c>
      <c r="F237">
        <f>Portfolio!B$5*'CurrentPor-All Factor Movements'!D237</f>
        <v>50522.248773326792</v>
      </c>
      <c r="G237">
        <f>Portfolio!B$6*'CurrentPor-All Factor Movements'!E237</f>
        <v>3564.0367621654818</v>
      </c>
      <c r="H237">
        <f t="shared" si="9"/>
        <v>92465.348823390668</v>
      </c>
      <c r="I237">
        <f t="shared" si="10"/>
        <v>142.37691555546189</v>
      </c>
    </row>
    <row r="238" spans="1:9">
      <c r="A238" s="1">
        <v>39590</v>
      </c>
      <c r="B238">
        <f>(3/(1+('CurrentPor-All Factor Movements'!B238)/100)+103/POWER(1+('CurrentPor-All Factor Movements'!C238)/100,2))*100</f>
        <v>9686.3985401126974</v>
      </c>
      <c r="C238">
        <f>(3/(1+('CurrentPor-All Factor Movements'!B238+'CurrentPor-All Factor Movements'!F238)/100)+103/POWER(1+('CurrentPor-All Factor Movements'!C238+'CurrentPor-All Factor Movements'!F238)/100,2))*100</f>
        <v>9578.5947896048892</v>
      </c>
      <c r="D238">
        <f>(3/(1+('CurrentPor-All Factor Movements'!B238+'CurrentPor-All Factor Movements'!G238)/100)+103/POWER(1+('CurrentPor-All Factor Movements'!C238+'CurrentPor-All Factor Movements'!G238)/100,2))*100</f>
        <v>9585.7681928007423</v>
      </c>
      <c r="E238">
        <f>(3/(1+('CurrentPor-All Factor Movements'!B238+'CurrentPor-All Factor Movements'!H238)/100)+103/POWER(1+('CurrentPor-All Factor Movements'!C238+'CurrentPor-All Factor Movements'!H238)/100,2))*100</f>
        <v>9552.7491128628353</v>
      </c>
      <c r="F238">
        <f>Portfolio!B$5*'CurrentPor-All Factor Movements'!D238</f>
        <v>52087.702178151536</v>
      </c>
      <c r="G238">
        <f>Portfolio!B$6*'CurrentPor-All Factor Movements'!E238</f>
        <v>3565.7267305973219</v>
      </c>
      <c r="H238">
        <f t="shared" si="9"/>
        <v>94056.939544130029</v>
      </c>
      <c r="I238">
        <f t="shared" si="10"/>
        <v>869.21063201868674</v>
      </c>
    </row>
    <row r="239" spans="1:9">
      <c r="A239" s="1">
        <v>39591</v>
      </c>
      <c r="B239">
        <f>(3/(1+('CurrentPor-All Factor Movements'!B239)/100)+103/POWER(1+('CurrentPor-All Factor Movements'!C239)/100,2))*100</f>
        <v>9596.8655676916751</v>
      </c>
      <c r="C239">
        <f>(3/(1+('CurrentPor-All Factor Movements'!B239+'CurrentPor-All Factor Movements'!F239)/100)+103/POWER(1+('CurrentPor-All Factor Movements'!C239+'CurrentPor-All Factor Movements'!F239)/100,2))*100</f>
        <v>9501.1343704297651</v>
      </c>
      <c r="D239">
        <f>(3/(1+('CurrentPor-All Factor Movements'!B239+'CurrentPor-All Factor Movements'!G239)/100)+103/POWER(1+('CurrentPor-All Factor Movements'!C239+'CurrentPor-All Factor Movements'!G239)/100,2))*100</f>
        <v>9497.692478341758</v>
      </c>
      <c r="E239">
        <f>(3/(1+('CurrentPor-All Factor Movements'!B239+'CurrentPor-All Factor Movements'!H239)/100)+103/POWER(1+('CurrentPor-All Factor Movements'!C239+'CurrentPor-All Factor Movements'!H239)/100,2))*100</f>
        <v>9434.274596906087</v>
      </c>
      <c r="F239">
        <f>Portfolio!B$5*'CurrentPor-All Factor Movements'!D239</f>
        <v>52487.627920148181</v>
      </c>
      <c r="G239">
        <f>Portfolio!B$6*'CurrentPor-All Factor Movements'!E239</f>
        <v>3748.0584525308823</v>
      </c>
      <c r="H239">
        <f t="shared" si="9"/>
        <v>94265.653386048347</v>
      </c>
      <c r="I239">
        <f t="shared" si="10"/>
        <v>-506.32419675409619</v>
      </c>
    </row>
    <row r="240" spans="1:9">
      <c r="A240" s="1">
        <v>39594</v>
      </c>
      <c r="B240">
        <f>(3/(1+('CurrentPor-All Factor Movements'!B240)/100)+103/POWER(1+('CurrentPor-All Factor Movements'!C240)/100,2))*100</f>
        <v>9705.6301728506151</v>
      </c>
      <c r="C240">
        <f>(3/(1+('CurrentPor-All Factor Movements'!B240+'CurrentPor-All Factor Movements'!F240)/100)+103/POWER(1+('CurrentPor-All Factor Movements'!C240+'CurrentPor-All Factor Movements'!F240)/100,2))*100</f>
        <v>9617.0727656893305</v>
      </c>
      <c r="D240">
        <f>(3/(1+('CurrentPor-All Factor Movements'!B240+'CurrentPor-All Factor Movements'!G240)/100)+103/POWER(1+('CurrentPor-All Factor Movements'!C240+'CurrentPor-All Factor Movements'!G240)/100,2))*100</f>
        <v>9585.802483011641</v>
      </c>
      <c r="E240">
        <f>(3/(1+('CurrentPor-All Factor Movements'!B240+'CurrentPor-All Factor Movements'!H240)/100)+103/POWER(1+('CurrentPor-All Factor Movements'!C240+'CurrentPor-All Factor Movements'!H240)/100,2))*100</f>
        <v>9586.4438529743366</v>
      </c>
      <c r="F240">
        <f>Portfolio!B$5*'CurrentPor-All Factor Movements'!D240</f>
        <v>50961.649928550869</v>
      </c>
      <c r="G240">
        <f>Portfolio!B$6*'CurrentPor-All Factor Movements'!E240</f>
        <v>3386.6611355859836</v>
      </c>
      <c r="H240">
        <f t="shared" si="9"/>
        <v>92843.260338662774</v>
      </c>
      <c r="I240">
        <f t="shared" si="10"/>
        <v>-2319.8917379987834</v>
      </c>
    </row>
    <row r="241" spans="1:9">
      <c r="A241" s="1">
        <v>39595</v>
      </c>
      <c r="B241">
        <f>(3/(1+('CurrentPor-All Factor Movements'!B241)/100)+103/POWER(1+('CurrentPor-All Factor Movements'!C241)/100,2))*100</f>
        <v>9695.7335439165454</v>
      </c>
      <c r="C241">
        <f>(3/(1+('CurrentPor-All Factor Movements'!B241+'CurrentPor-All Factor Movements'!F241)/100)+103/POWER(1+('CurrentPor-All Factor Movements'!C241+'CurrentPor-All Factor Movements'!F241)/100,2))*100</f>
        <v>9602.2361298166434</v>
      </c>
      <c r="D241">
        <f>(3/(1+('CurrentPor-All Factor Movements'!B241+'CurrentPor-All Factor Movements'!G241)/100)+103/POWER(1+('CurrentPor-All Factor Movements'!C241+'CurrentPor-All Factor Movements'!G241)/100,2))*100</f>
        <v>9586.7501470558836</v>
      </c>
      <c r="E241">
        <f>(3/(1+('CurrentPor-All Factor Movements'!B241+'CurrentPor-All Factor Movements'!H241)/100)+103/POWER(1+('CurrentPor-All Factor Movements'!C241+'CurrentPor-All Factor Movements'!H241)/100,2))*100</f>
        <v>9580.2111118612283</v>
      </c>
      <c r="F241">
        <f>Portfolio!B$5*'CurrentPor-All Factor Movements'!D241</f>
        <v>53577.976508236236</v>
      </c>
      <c r="G241">
        <f>Portfolio!B$6*'CurrentPor-All Factor Movements'!E241</f>
        <v>3368.9848371381368</v>
      </c>
      <c r="H241">
        <f t="shared" si="9"/>
        <v>95411.892278024679</v>
      </c>
      <c r="I241">
        <f t="shared" si="10"/>
        <v>1730.3644600422995</v>
      </c>
    </row>
    <row r="242" spans="1:9">
      <c r="A242" s="1">
        <v>39596</v>
      </c>
      <c r="B242">
        <f>(3/(1+('CurrentPor-All Factor Movements'!B242)/100)+103/POWER(1+('CurrentPor-All Factor Movements'!C242)/100,2))*100</f>
        <v>9664.799228322132</v>
      </c>
      <c r="C242">
        <f>(3/(1+('CurrentPor-All Factor Movements'!B242+'CurrentPor-All Factor Movements'!F242)/100)+103/POWER(1+('CurrentPor-All Factor Movements'!C242+'CurrentPor-All Factor Movements'!F242)/100,2))*100</f>
        <v>9583.1810920104872</v>
      </c>
      <c r="D242">
        <f>(3/(1+('CurrentPor-All Factor Movements'!B242+'CurrentPor-All Factor Movements'!G242)/100)+103/POWER(1+('CurrentPor-All Factor Movements'!C242+'CurrentPor-All Factor Movements'!G242)/100,2))*100</f>
        <v>9557.0722280490463</v>
      </c>
      <c r="E242">
        <f>(3/(1+('CurrentPor-All Factor Movements'!B242+'CurrentPor-All Factor Movements'!H242)/100)+103/POWER(1+('CurrentPor-All Factor Movements'!C242+'CurrentPor-All Factor Movements'!H242)/100,2))*100</f>
        <v>9546.8017197875306</v>
      </c>
      <c r="F242">
        <f>Portfolio!B$5*'CurrentPor-All Factor Movements'!D242</f>
        <v>52618.917830537546</v>
      </c>
      <c r="G242">
        <f>Portfolio!B$6*'CurrentPor-All Factor Movements'!E242</f>
        <v>3585.2255124951171</v>
      </c>
      <c r="H242">
        <f t="shared" si="9"/>
        <v>94555.997611201863</v>
      </c>
      <c r="I242">
        <f t="shared" si="10"/>
        <v>-1332.1417283365736</v>
      </c>
    </row>
    <row r="243" spans="1:9">
      <c r="A243" s="1">
        <v>39597</v>
      </c>
      <c r="B243">
        <f>(3/(1+('CurrentPor-All Factor Movements'!B243)/100)+103/POWER(1+('CurrentPor-All Factor Movements'!C243)/100,2))*100</f>
        <v>9672.3650757404375</v>
      </c>
      <c r="C243">
        <f>(3/(1+('CurrentPor-All Factor Movements'!B243+'CurrentPor-All Factor Movements'!F243)/100)+103/POWER(1+('CurrentPor-All Factor Movements'!C243+'CurrentPor-All Factor Movements'!F243)/100,2))*100</f>
        <v>9577.88970020733</v>
      </c>
      <c r="D243">
        <f>(3/(1+('CurrentPor-All Factor Movements'!B243+'CurrentPor-All Factor Movements'!G243)/100)+103/POWER(1+('CurrentPor-All Factor Movements'!C243+'CurrentPor-All Factor Movements'!G243)/100,2))*100</f>
        <v>9570.3115995964672</v>
      </c>
      <c r="E243">
        <f>(3/(1+('CurrentPor-All Factor Movements'!B243+'CurrentPor-All Factor Movements'!H243)/100)+103/POWER(1+('CurrentPor-All Factor Movements'!C243+'CurrentPor-All Factor Movements'!H243)/100,2))*100</f>
        <v>9535.6564156196546</v>
      </c>
      <c r="F243">
        <f>Portfolio!B$5*'CurrentPor-All Factor Movements'!D243</f>
        <v>52077.320588875933</v>
      </c>
      <c r="G243">
        <f>Portfolio!B$6*'CurrentPor-All Factor Movements'!E243</f>
        <v>3355.1001444953995</v>
      </c>
      <c r="H243">
        <f t="shared" si="9"/>
        <v>93788.643524535233</v>
      </c>
      <c r="I243">
        <f t="shared" si="10"/>
        <v>338.78980767933535</v>
      </c>
    </row>
    <row r="244" spans="1:9">
      <c r="A244" s="1">
        <v>39598</v>
      </c>
      <c r="B244">
        <f>(3/(1+('CurrentPor-All Factor Movements'!B244)/100)+103/POWER(1+('CurrentPor-All Factor Movements'!C244)/100,2))*100</f>
        <v>9698.6814783144873</v>
      </c>
      <c r="C244">
        <f>(3/(1+('CurrentPor-All Factor Movements'!B244+'CurrentPor-All Factor Movements'!F244)/100)+103/POWER(1+('CurrentPor-All Factor Movements'!C244+'CurrentPor-All Factor Movements'!F244)/100,2))*100</f>
        <v>9602.0356879811334</v>
      </c>
      <c r="D244">
        <f>(3/(1+('CurrentPor-All Factor Movements'!B244+'CurrentPor-All Factor Movements'!G244)/100)+103/POWER(1+('CurrentPor-All Factor Movements'!C244+'CurrentPor-All Factor Movements'!G244)/100,2))*100</f>
        <v>9602.8303389610901</v>
      </c>
      <c r="E244">
        <f>(3/(1+('CurrentPor-All Factor Movements'!B244+'CurrentPor-All Factor Movements'!H244)/100)+103/POWER(1+('CurrentPor-All Factor Movements'!C244+'CurrentPor-All Factor Movements'!H244)/100,2))*100</f>
        <v>9563.9053293686447</v>
      </c>
      <c r="F244">
        <f>Portfolio!B$5*'CurrentPor-All Factor Movements'!D244</f>
        <v>51337.31011506699</v>
      </c>
      <c r="G244">
        <f>Portfolio!B$6*'CurrentPor-All Factor Movements'!E244</f>
        <v>3776.2227167409706</v>
      </c>
      <c r="H244">
        <f t="shared" si="9"/>
        <v>93580.98566643332</v>
      </c>
      <c r="I244">
        <f t="shared" si="10"/>
        <v>-801.95104459176946</v>
      </c>
    </row>
    <row r="245" spans="1:9">
      <c r="A245" s="1">
        <v>39601</v>
      </c>
      <c r="B245">
        <f>(3/(1+('CurrentPor-All Factor Movements'!B245)/100)+103/POWER(1+('CurrentPor-All Factor Movements'!C245)/100,2))*100</f>
        <v>9658.3051629786842</v>
      </c>
      <c r="C245">
        <f>(3/(1+('CurrentPor-All Factor Movements'!B245+'CurrentPor-All Factor Movements'!F245)/100)+103/POWER(1+('CurrentPor-All Factor Movements'!C245+'CurrentPor-All Factor Movements'!F245)/100,2))*100</f>
        <v>9569.6149499820367</v>
      </c>
      <c r="D245">
        <f>(3/(1+('CurrentPor-All Factor Movements'!B245+'CurrentPor-All Factor Movements'!G245)/100)+103/POWER(1+('CurrentPor-All Factor Movements'!C245+'CurrentPor-All Factor Movements'!G245)/100,2))*100</f>
        <v>9550.1528409599268</v>
      </c>
      <c r="E245">
        <f>(3/(1+('CurrentPor-All Factor Movements'!B245+'CurrentPor-All Factor Movements'!H245)/100)+103/POWER(1+('CurrentPor-All Factor Movements'!C245+'CurrentPor-All Factor Movements'!H245)/100,2))*100</f>
        <v>9542.193438978753</v>
      </c>
      <c r="F245">
        <f>Portfolio!B$5*'CurrentPor-All Factor Movements'!D245</f>
        <v>51900.452355689085</v>
      </c>
      <c r="G245">
        <f>Portfolio!B$6*'CurrentPor-All Factor Movements'!E245</f>
        <v>3564.2670504517605</v>
      </c>
      <c r="H245">
        <f t="shared" si="9"/>
        <v>93784.985799040252</v>
      </c>
      <c r="I245">
        <f t="shared" si="10"/>
        <v>-2131.3907766632183</v>
      </c>
    </row>
    <row r="246" spans="1:9">
      <c r="A246" s="1">
        <v>39602</v>
      </c>
      <c r="B246">
        <f>(3/(1+('CurrentPor-All Factor Movements'!B246)/100)+103/POWER(1+('CurrentPor-All Factor Movements'!C246)/100,2))*100</f>
        <v>9634.6676883047403</v>
      </c>
      <c r="C246">
        <f>(3/(1+('CurrentPor-All Factor Movements'!B246+'CurrentPor-All Factor Movements'!F246)/100)+103/POWER(1+('CurrentPor-All Factor Movements'!C246+'CurrentPor-All Factor Movements'!F246)/100,2))*100</f>
        <v>9540.5076024066402</v>
      </c>
      <c r="D246">
        <f>(3/(1+('CurrentPor-All Factor Movements'!B246+'CurrentPor-All Factor Movements'!G246)/100)+103/POWER(1+('CurrentPor-All Factor Movements'!C246+'CurrentPor-All Factor Movements'!G246)/100,2))*100</f>
        <v>9518.0464211398212</v>
      </c>
      <c r="E246">
        <f>(3/(1+('CurrentPor-All Factor Movements'!B246+'CurrentPor-All Factor Movements'!H246)/100)+103/POWER(1+('CurrentPor-All Factor Movements'!C246+'CurrentPor-All Factor Movements'!H246)/100,2))*100</f>
        <v>9520.0080130739516</v>
      </c>
      <c r="F246">
        <f>Portfolio!B$5*'CurrentPor-All Factor Movements'!D246</f>
        <v>52437.954965039557</v>
      </c>
      <c r="G246">
        <f>Portfolio!B$6*'CurrentPor-All Factor Movements'!E246</f>
        <v>3409.0201636989591</v>
      </c>
      <c r="H246">
        <f t="shared" si="9"/>
        <v>94060.204853663687</v>
      </c>
      <c r="I246">
        <f t="shared" si="10"/>
        <v>-722.79548105342838</v>
      </c>
    </row>
    <row r="247" spans="1:9">
      <c r="A247" s="1">
        <v>39603</v>
      </c>
      <c r="B247">
        <f>(3/(1+('CurrentPor-All Factor Movements'!B247)/100)+103/POWER(1+('CurrentPor-All Factor Movements'!C247)/100,2))*100</f>
        <v>9979.1416348545918</v>
      </c>
      <c r="C247">
        <f>(3/(1+('CurrentPor-All Factor Movements'!B247+'CurrentPor-All Factor Movements'!F247)/100)+103/POWER(1+('CurrentPor-All Factor Movements'!C247+'CurrentPor-All Factor Movements'!F247)/100,2))*100</f>
        <v>9884.7502423797996</v>
      </c>
      <c r="D247">
        <f>(3/(1+('CurrentPor-All Factor Movements'!B247+'CurrentPor-All Factor Movements'!G247)/100)+103/POWER(1+('CurrentPor-All Factor Movements'!C247+'CurrentPor-All Factor Movements'!G247)/100,2))*100</f>
        <v>9873.3999402704703</v>
      </c>
      <c r="E247">
        <f>(3/(1+('CurrentPor-All Factor Movements'!B247+'CurrentPor-All Factor Movements'!H247)/100)+103/POWER(1+('CurrentPor-All Factor Movements'!C247+'CurrentPor-All Factor Movements'!H247)/100,2))*100</f>
        <v>9858.0053221705348</v>
      </c>
      <c r="F247">
        <f>Portfolio!B$5*'CurrentPor-All Factor Movements'!D247</f>
        <v>52724.277687075868</v>
      </c>
      <c r="G247">
        <f>Portfolio!B$6*'CurrentPor-All Factor Movements'!E247</f>
        <v>3442.6791358723244</v>
      </c>
      <c r="H247">
        <f t="shared" si="9"/>
        <v>95762.253962623596</v>
      </c>
      <c r="I247">
        <f t="shared" si="10"/>
        <v>3296.9051392329275</v>
      </c>
    </row>
    <row r="248" spans="1:9">
      <c r="A248" s="1">
        <v>39604</v>
      </c>
      <c r="B248">
        <f>(3/(1+('CurrentPor-All Factor Movements'!B248)/100)+103/POWER(1+('CurrentPor-All Factor Movements'!C248)/100,2))*100</f>
        <v>9551.2784076649259</v>
      </c>
      <c r="C248">
        <f>(3/(1+('CurrentPor-All Factor Movements'!B248+'CurrentPor-All Factor Movements'!F248)/100)+103/POWER(1+('CurrentPor-All Factor Movements'!C248+'CurrentPor-All Factor Movements'!F248)/100,2))*100</f>
        <v>9446.9032042840972</v>
      </c>
      <c r="D248">
        <f>(3/(1+('CurrentPor-All Factor Movements'!B248+'CurrentPor-All Factor Movements'!G248)/100)+103/POWER(1+('CurrentPor-All Factor Movements'!C248+'CurrentPor-All Factor Movements'!G248)/100,2))*100</f>
        <v>9446.7022831797021</v>
      </c>
      <c r="E248">
        <f>(3/(1+('CurrentPor-All Factor Movements'!B248+'CurrentPor-All Factor Movements'!H248)/100)+103/POWER(1+('CurrentPor-All Factor Movements'!C248+'CurrentPor-All Factor Movements'!H248)/100,2))*100</f>
        <v>9436.4312010310223</v>
      </c>
      <c r="F248">
        <f>Portfolio!B$5*'CurrentPor-All Factor Movements'!D248</f>
        <v>50615.451840392067</v>
      </c>
      <c r="G248">
        <f>Portfolio!B$6*'CurrentPor-All Factor Movements'!E248</f>
        <v>3645.4221946500361</v>
      </c>
      <c r="H248">
        <f t="shared" si="9"/>
        <v>92142.189131201842</v>
      </c>
      <c r="I248">
        <f t="shared" si="10"/>
        <v>-1914.7504129281879</v>
      </c>
    </row>
    <row r="249" spans="1:9">
      <c r="A249" s="1">
        <v>39605</v>
      </c>
      <c r="B249">
        <f>(3/(1+('CurrentPor-All Factor Movements'!B249)/100)+103/POWER(1+('CurrentPor-All Factor Movements'!C249)/100,2))*100</f>
        <v>9751.6575554605588</v>
      </c>
      <c r="C249">
        <f>(3/(1+('CurrentPor-All Factor Movements'!B249+'CurrentPor-All Factor Movements'!F249)/100)+103/POWER(1+('CurrentPor-All Factor Movements'!C249+'CurrentPor-All Factor Movements'!F249)/100,2))*100</f>
        <v>9658.8737294808416</v>
      </c>
      <c r="D249">
        <f>(3/(1+('CurrentPor-All Factor Movements'!B249+'CurrentPor-All Factor Movements'!G249)/100)+103/POWER(1+('CurrentPor-All Factor Movements'!C249+'CurrentPor-All Factor Movements'!G249)/100,2))*100</f>
        <v>9635.5324831784274</v>
      </c>
      <c r="E249">
        <f>(3/(1+('CurrentPor-All Factor Movements'!B249+'CurrentPor-All Factor Movements'!H249)/100)+103/POWER(1+('CurrentPor-All Factor Movements'!C249+'CurrentPor-All Factor Movements'!H249)/100,2))*100</f>
        <v>9645.5575845412841</v>
      </c>
      <c r="F249">
        <f>Portfolio!B$5*'CurrentPor-All Factor Movements'!D249</f>
        <v>50840.001166109447</v>
      </c>
      <c r="G249">
        <f>Portfolio!B$6*'CurrentPor-All Factor Movements'!E249</f>
        <v>3664.7119332857224</v>
      </c>
      <c r="H249">
        <f t="shared" si="9"/>
        <v>93196.334452056282</v>
      </c>
      <c r="I249">
        <f t="shared" si="10"/>
        <v>-1069.3189339920646</v>
      </c>
    </row>
    <row r="250" spans="1:9">
      <c r="A250" s="1">
        <v>39608</v>
      </c>
      <c r="B250">
        <f>(3/(1+('CurrentPor-All Factor Movements'!B250)/100)+103/POWER(1+('CurrentPor-All Factor Movements'!C250)/100,2))*100</f>
        <v>9923.5976805965965</v>
      </c>
      <c r="C250">
        <f>(3/(1+('CurrentPor-All Factor Movements'!B250+'CurrentPor-All Factor Movements'!F250)/100)+103/POWER(1+('CurrentPor-All Factor Movements'!C250+'CurrentPor-All Factor Movements'!F250)/100,2))*100</f>
        <v>9832.5572164687837</v>
      </c>
      <c r="D250">
        <f>(3/(1+('CurrentPor-All Factor Movements'!B250+'CurrentPor-All Factor Movements'!G250)/100)+103/POWER(1+('CurrentPor-All Factor Movements'!C250+'CurrentPor-All Factor Movements'!G250)/100,2))*100</f>
        <v>9803.5494542165034</v>
      </c>
      <c r="E250">
        <f>(3/(1+('CurrentPor-All Factor Movements'!B250+'CurrentPor-All Factor Movements'!H250)/100)+103/POWER(1+('CurrentPor-All Factor Movements'!C250+'CurrentPor-All Factor Movements'!H250)/100,2))*100</f>
        <v>9787.626253914772</v>
      </c>
      <c r="F250">
        <f>Portfolio!B$5*'CurrentPor-All Factor Movements'!D250</f>
        <v>51676.87050565581</v>
      </c>
      <c r="G250">
        <f>Portfolio!B$6*'CurrentPor-All Factor Movements'!E250</f>
        <v>3403.4026625362239</v>
      </c>
      <c r="H250">
        <f t="shared" si="9"/>
        <v>94427.603773388691</v>
      </c>
      <c r="I250">
        <f t="shared" si="10"/>
        <v>1584.3434347259172</v>
      </c>
    </row>
    <row r="251" spans="1:9">
      <c r="A251" s="1">
        <v>39609</v>
      </c>
      <c r="B251">
        <f>(3/(1+('CurrentPor-All Factor Movements'!B251)/100)+103/POWER(1+('CurrentPor-All Factor Movements'!C251)/100,2))*100</f>
        <v>9539.527918233287</v>
      </c>
      <c r="C251">
        <f>(3/(1+('CurrentPor-All Factor Movements'!B251+'CurrentPor-All Factor Movements'!F251)/100)+103/POWER(1+('CurrentPor-All Factor Movements'!C251+'CurrentPor-All Factor Movements'!F251)/100,2))*100</f>
        <v>9457.9202573289713</v>
      </c>
      <c r="D251">
        <f>(3/(1+('CurrentPor-All Factor Movements'!B251+'CurrentPor-All Factor Movements'!G251)/100)+103/POWER(1+('CurrentPor-All Factor Movements'!C251+'CurrentPor-All Factor Movements'!G251)/100,2))*100</f>
        <v>9437.2248105911731</v>
      </c>
      <c r="E251">
        <f>(3/(1+('CurrentPor-All Factor Movements'!B251+'CurrentPor-All Factor Movements'!H251)/100)+103/POWER(1+('CurrentPor-All Factor Movements'!C251+'CurrentPor-All Factor Movements'!H251)/100,2))*100</f>
        <v>9430.8050094237879</v>
      </c>
      <c r="F251">
        <f>Portfolio!B$5*'CurrentPor-All Factor Movements'!D251</f>
        <v>54137.463763131185</v>
      </c>
      <c r="G251">
        <f>Portfolio!B$6*'CurrentPor-All Factor Movements'!E251</f>
        <v>3542.2873228499357</v>
      </c>
      <c r="H251">
        <f t="shared" si="9"/>
        <v>95545.229081558355</v>
      </c>
      <c r="I251">
        <f t="shared" si="10"/>
        <v>133.33680353367527</v>
      </c>
    </row>
    <row r="252" spans="1:9">
      <c r="A252" s="1">
        <v>39610</v>
      </c>
      <c r="B252">
        <f>(3/(1+('CurrentPor-All Factor Movements'!B252)/100)+103/POWER(1+('CurrentPor-All Factor Movements'!C252)/100,2))*100</f>
        <v>9670.2777652893528</v>
      </c>
      <c r="C252">
        <f>(3/(1+('CurrentPor-All Factor Movements'!B252+'CurrentPor-All Factor Movements'!F252)/100)+103/POWER(1+('CurrentPor-All Factor Movements'!C252+'CurrentPor-All Factor Movements'!F252)/100,2))*100</f>
        <v>9573.8824864687012</v>
      </c>
      <c r="D252">
        <f>(3/(1+('CurrentPor-All Factor Movements'!B252+'CurrentPor-All Factor Movements'!G252)/100)+103/POWER(1+('CurrentPor-All Factor Movements'!C252+'CurrentPor-All Factor Movements'!G252)/100,2))*100</f>
        <v>9574.7264184692795</v>
      </c>
      <c r="E252">
        <f>(3/(1+('CurrentPor-All Factor Movements'!B252+'CurrentPor-All Factor Movements'!H252)/100)+103/POWER(1+('CurrentPor-All Factor Movements'!C252+'CurrentPor-All Factor Movements'!H252)/100,2))*100</f>
        <v>9548.2212117056661</v>
      </c>
      <c r="F252">
        <f>Portfolio!B$5*'CurrentPor-All Factor Movements'!D252</f>
        <v>52374.89262061871</v>
      </c>
      <c r="G252">
        <f>Portfolio!B$6*'CurrentPor-All Factor Movements'!E252</f>
        <v>3546.1425622630286</v>
      </c>
      <c r="H252">
        <f t="shared" ref="H252:H263" si="11">SUM(B252:G252)</f>
        <v>94288.143064814736</v>
      </c>
      <c r="I252">
        <f t="shared" ref="I252:I263" si="12">H252-H242</f>
        <v>-267.8545463871269</v>
      </c>
    </row>
    <row r="253" spans="1:9">
      <c r="A253" s="1">
        <v>39611</v>
      </c>
      <c r="B253">
        <f>(3/(1+('CurrentPor-All Factor Movements'!B253)/100)+103/POWER(1+('CurrentPor-All Factor Movements'!C253)/100,2))*100</f>
        <v>9765.0759297995246</v>
      </c>
      <c r="C253">
        <f>(3/(1+('CurrentPor-All Factor Movements'!B253+'CurrentPor-All Factor Movements'!F253)/100)+103/POWER(1+('CurrentPor-All Factor Movements'!C253+'CurrentPor-All Factor Movements'!F253)/100,2))*100</f>
        <v>9672.5894418489552</v>
      </c>
      <c r="D253">
        <f>(3/(1+('CurrentPor-All Factor Movements'!B253+'CurrentPor-All Factor Movements'!G253)/100)+103/POWER(1+('CurrentPor-All Factor Movements'!C253+'CurrentPor-All Factor Movements'!G253)/100,2))*100</f>
        <v>9666.1423070925484</v>
      </c>
      <c r="E253">
        <f>(3/(1+('CurrentPor-All Factor Movements'!B253+'CurrentPor-All Factor Movements'!H253)/100)+103/POWER(1+('CurrentPor-All Factor Movements'!C253+'CurrentPor-All Factor Movements'!H253)/100,2))*100</f>
        <v>9642.2721380066414</v>
      </c>
      <c r="F253">
        <f>Portfolio!B$5*'CurrentPor-All Factor Movements'!D253</f>
        <v>52602.622347384648</v>
      </c>
      <c r="G253">
        <f>Portfolio!B$6*'CurrentPor-All Factor Movements'!E253</f>
        <v>3217.6457104334963</v>
      </c>
      <c r="H253">
        <f t="shared" si="11"/>
        <v>94566.347874565821</v>
      </c>
      <c r="I253">
        <f t="shared" si="12"/>
        <v>777.7043500305881</v>
      </c>
    </row>
    <row r="254" spans="1:9">
      <c r="A254" s="1">
        <v>39612</v>
      </c>
      <c r="B254">
        <f>(3/(1+('CurrentPor-All Factor Movements'!B254)/100)+103/POWER(1+('CurrentPor-All Factor Movements'!C254)/100,2))*100</f>
        <v>9961.501702875441</v>
      </c>
      <c r="C254">
        <f>(3/(1+('CurrentPor-All Factor Movements'!B254+'CurrentPor-All Factor Movements'!F254)/100)+103/POWER(1+('CurrentPor-All Factor Movements'!C254+'CurrentPor-All Factor Movements'!F254)/100,2))*100</f>
        <v>9873.8857013684519</v>
      </c>
      <c r="D254">
        <f>(3/(1+('CurrentPor-All Factor Movements'!B254+'CurrentPor-All Factor Movements'!G254)/100)+103/POWER(1+('CurrentPor-All Factor Movements'!C254+'CurrentPor-All Factor Movements'!G254)/100,2))*100</f>
        <v>9854.0337352848637</v>
      </c>
      <c r="E254">
        <f>(3/(1+('CurrentPor-All Factor Movements'!B254+'CurrentPor-All Factor Movements'!H254)/100)+103/POWER(1+('CurrentPor-All Factor Movements'!C254+'CurrentPor-All Factor Movements'!H254)/100,2))*100</f>
        <v>9837.7399101224946</v>
      </c>
      <c r="F254">
        <f>Portfolio!B$5*'CurrentPor-All Factor Movements'!D254</f>
        <v>50261.992570595125</v>
      </c>
      <c r="G254">
        <f>Portfolio!B$6*'CurrentPor-All Factor Movements'!E254</f>
        <v>3676.6152659619793</v>
      </c>
      <c r="H254">
        <f t="shared" si="11"/>
        <v>93465.76888620836</v>
      </c>
      <c r="I254">
        <f t="shared" si="12"/>
        <v>-115.21678022496053</v>
      </c>
    </row>
    <row r="255" spans="1:9">
      <c r="A255" s="1">
        <v>39615</v>
      </c>
      <c r="B255">
        <f>(3/(1+('CurrentPor-All Factor Movements'!B255)/100)+103/POWER(1+('CurrentPor-All Factor Movements'!C255)/100,2))*100</f>
        <v>9698.7441391900065</v>
      </c>
      <c r="C255">
        <f>(3/(1+('CurrentPor-All Factor Movements'!B255+'CurrentPor-All Factor Movements'!F255)/100)+103/POWER(1+('CurrentPor-All Factor Movements'!C255+'CurrentPor-All Factor Movements'!F255)/100,2))*100</f>
        <v>9595.5715600672229</v>
      </c>
      <c r="D255">
        <f>(3/(1+('CurrentPor-All Factor Movements'!B255+'CurrentPor-All Factor Movements'!G255)/100)+103/POWER(1+('CurrentPor-All Factor Movements'!C255+'CurrentPor-All Factor Movements'!G255)/100,2))*100</f>
        <v>9579.7318720890198</v>
      </c>
      <c r="E255">
        <f>(3/(1+('CurrentPor-All Factor Movements'!B255+'CurrentPor-All Factor Movements'!H255)/100)+103/POWER(1+('CurrentPor-All Factor Movements'!C255+'CurrentPor-All Factor Movements'!H255)/100,2))*100</f>
        <v>9590.6701829319809</v>
      </c>
      <c r="F255">
        <f>Portfolio!B$5*'CurrentPor-All Factor Movements'!D255</f>
        <v>52938.209962628593</v>
      </c>
      <c r="G255">
        <f>Portfolio!B$6*'CurrentPor-All Factor Movements'!E255</f>
        <v>3485.0554946667294</v>
      </c>
      <c r="H255">
        <f t="shared" si="11"/>
        <v>94887.983211573548</v>
      </c>
      <c r="I255">
        <f t="shared" si="12"/>
        <v>1102.9974125332956</v>
      </c>
    </row>
    <row r="256" spans="1:9">
      <c r="A256" s="1">
        <v>39616</v>
      </c>
      <c r="B256">
        <f>(3/(1+('CurrentPor-All Factor Movements'!B256)/100)+103/POWER(1+('CurrentPor-All Factor Movements'!C256)/100,2))*100</f>
        <v>9862.5934557188102</v>
      </c>
      <c r="C256">
        <f>(3/(1+('CurrentPor-All Factor Movements'!B256+'CurrentPor-All Factor Movements'!F256)/100)+103/POWER(1+('CurrentPor-All Factor Movements'!C256+'CurrentPor-All Factor Movements'!F256)/100,2))*100</f>
        <v>9785.3057612748962</v>
      </c>
      <c r="D256">
        <f>(3/(1+('CurrentPor-All Factor Movements'!B256+'CurrentPor-All Factor Movements'!G256)/100)+103/POWER(1+('CurrentPor-All Factor Movements'!C256+'CurrentPor-All Factor Movements'!G256)/100,2))*100</f>
        <v>9755.9061194624646</v>
      </c>
      <c r="E256">
        <f>(3/(1+('CurrentPor-All Factor Movements'!B256+'CurrentPor-All Factor Movements'!H256)/100)+103/POWER(1+('CurrentPor-All Factor Movements'!C256+'CurrentPor-All Factor Movements'!H256)/100,2))*100</f>
        <v>9726.8300994671263</v>
      </c>
      <c r="F256">
        <f>Portfolio!B$5*'CurrentPor-All Factor Movements'!D256</f>
        <v>53044.420181609385</v>
      </c>
      <c r="G256">
        <f>Portfolio!B$6*'CurrentPor-All Factor Movements'!E256</f>
        <v>3755.4142477725227</v>
      </c>
      <c r="H256">
        <f t="shared" si="11"/>
        <v>95930.469865305204</v>
      </c>
      <c r="I256">
        <f t="shared" si="12"/>
        <v>1870.265011641517</v>
      </c>
    </row>
    <row r="257" spans="1:9">
      <c r="A257" s="1">
        <v>39617</v>
      </c>
      <c r="B257">
        <f>(3/(1+('CurrentPor-All Factor Movements'!B257)/100)+103/POWER(1+('CurrentPor-All Factor Movements'!C257)/100,2))*100</f>
        <v>9780.1299679056629</v>
      </c>
      <c r="C257">
        <f>(3/(1+('CurrentPor-All Factor Movements'!B257+'CurrentPor-All Factor Movements'!F257)/100)+103/POWER(1+('CurrentPor-All Factor Movements'!C257+'CurrentPor-All Factor Movements'!F257)/100,2))*100</f>
        <v>9694.0989682771124</v>
      </c>
      <c r="D257">
        <f>(3/(1+('CurrentPor-All Factor Movements'!B257+'CurrentPor-All Factor Movements'!G257)/100)+103/POWER(1+('CurrentPor-All Factor Movements'!C257+'CurrentPor-All Factor Movements'!G257)/100,2))*100</f>
        <v>9660.0307145092993</v>
      </c>
      <c r="E257">
        <f>(3/(1+('CurrentPor-All Factor Movements'!B257+'CurrentPor-All Factor Movements'!H257)/100)+103/POWER(1+('CurrentPor-All Factor Movements'!C257+'CurrentPor-All Factor Movements'!H257)/100,2))*100</f>
        <v>9659.6680455929127</v>
      </c>
      <c r="F257">
        <f>Portfolio!B$5*'CurrentPor-All Factor Movements'!D257</f>
        <v>51944.951810213344</v>
      </c>
      <c r="G257">
        <f>Portfolio!B$6*'CurrentPor-All Factor Movements'!E257</f>
        <v>3330.4553471741046</v>
      </c>
      <c r="H257">
        <f t="shared" si="11"/>
        <v>94069.334853672437</v>
      </c>
      <c r="I257">
        <f t="shared" si="12"/>
        <v>-1692.9191089511587</v>
      </c>
    </row>
    <row r="258" spans="1:9">
      <c r="A258" s="1">
        <v>39618</v>
      </c>
      <c r="B258">
        <f>(3/(1+('CurrentPor-All Factor Movements'!B258)/100)+103/POWER(1+('CurrentPor-All Factor Movements'!C258)/100,2))*100</f>
        <v>9707.0035443986362</v>
      </c>
      <c r="C258">
        <f>(3/(1+('CurrentPor-All Factor Movements'!B258+'CurrentPor-All Factor Movements'!F258)/100)+103/POWER(1+('CurrentPor-All Factor Movements'!C258+'CurrentPor-All Factor Movements'!F258)/100,2))*100</f>
        <v>9589.7719262819719</v>
      </c>
      <c r="D258">
        <f>(3/(1+('CurrentPor-All Factor Movements'!B258+'CurrentPor-All Factor Movements'!G258)/100)+103/POWER(1+('CurrentPor-All Factor Movements'!C258+'CurrentPor-All Factor Movements'!G258)/100,2))*100</f>
        <v>9606.5654156977325</v>
      </c>
      <c r="E258">
        <f>(3/(1+('CurrentPor-All Factor Movements'!B258+'CurrentPor-All Factor Movements'!H258)/100)+103/POWER(1+('CurrentPor-All Factor Movements'!C258+'CurrentPor-All Factor Movements'!H258)/100,2))*100</f>
        <v>9566.0919684696928</v>
      </c>
      <c r="F258">
        <f>Portfolio!B$5*'CurrentPor-All Factor Movements'!D258</f>
        <v>52360.558982983399</v>
      </c>
      <c r="G258">
        <f>Portfolio!B$6*'CurrentPor-All Factor Movements'!E258</f>
        <v>3889.5566472245528</v>
      </c>
      <c r="H258">
        <f t="shared" si="11"/>
        <v>94719.548485055988</v>
      </c>
      <c r="I258">
        <f t="shared" si="12"/>
        <v>2577.3593538541463</v>
      </c>
    </row>
    <row r="259" spans="1:9">
      <c r="A259" s="1">
        <v>39619</v>
      </c>
      <c r="B259">
        <f>(3/(1+('CurrentPor-All Factor Movements'!B259)/100)+103/POWER(1+('CurrentPor-All Factor Movements'!C259)/100,2))*100</f>
        <v>9602.3628445888462</v>
      </c>
      <c r="C259">
        <f>(3/(1+('CurrentPor-All Factor Movements'!B259+'CurrentPor-All Factor Movements'!F259)/100)+103/POWER(1+('CurrentPor-All Factor Movements'!C259+'CurrentPor-All Factor Movements'!F259)/100,2))*100</f>
        <v>9504.857710973487</v>
      </c>
      <c r="D259">
        <f>(3/(1+('CurrentPor-All Factor Movements'!B259+'CurrentPor-All Factor Movements'!G259)/100)+103/POWER(1+('CurrentPor-All Factor Movements'!C259+'CurrentPor-All Factor Movements'!G259)/100,2))*100</f>
        <v>9494.8630905346163</v>
      </c>
      <c r="E259">
        <f>(3/(1+('CurrentPor-All Factor Movements'!B259+'CurrentPor-All Factor Movements'!H259)/100)+103/POWER(1+('CurrentPor-All Factor Movements'!C259+'CurrentPor-All Factor Movements'!H259)/100,2))*100</f>
        <v>9464.7395231194532</v>
      </c>
      <c r="F259">
        <f>Portfolio!B$5*'CurrentPor-All Factor Movements'!D259</f>
        <v>52855.979127075952</v>
      </c>
      <c r="G259">
        <f>Portfolio!B$6*'CurrentPor-All Factor Movements'!E259</f>
        <v>3391.9461429325188</v>
      </c>
      <c r="H259">
        <f t="shared" si="11"/>
        <v>94314.748439224873</v>
      </c>
      <c r="I259">
        <f t="shared" si="12"/>
        <v>1118.4139871685911</v>
      </c>
    </row>
    <row r="260" spans="1:9">
      <c r="A260" s="1">
        <v>39622</v>
      </c>
      <c r="B260">
        <f>(3/(1+('CurrentPor-All Factor Movements'!B260)/100)+103/POWER(1+('CurrentPor-All Factor Movements'!C260)/100,2))*100</f>
        <v>9675.1531731647046</v>
      </c>
      <c r="C260">
        <f>(3/(1+('CurrentPor-All Factor Movements'!B260+'CurrentPor-All Factor Movements'!F260)/100)+103/POWER(1+('CurrentPor-All Factor Movements'!C260+'CurrentPor-All Factor Movements'!F260)/100,2))*100</f>
        <v>9588.7845782485419</v>
      </c>
      <c r="D260">
        <f>(3/(1+('CurrentPor-All Factor Movements'!B260+'CurrentPor-All Factor Movements'!G260)/100)+103/POWER(1+('CurrentPor-All Factor Movements'!C260+'CurrentPor-All Factor Movements'!G260)/100,2))*100</f>
        <v>9561.5837039016969</v>
      </c>
      <c r="E260">
        <f>(3/(1+('CurrentPor-All Factor Movements'!B260+'CurrentPor-All Factor Movements'!H260)/100)+103/POWER(1+('CurrentPor-All Factor Movements'!C260+'CurrentPor-All Factor Movements'!H260)/100,2))*100</f>
        <v>9544.3717691101701</v>
      </c>
      <c r="F260">
        <f>Portfolio!B$5*'CurrentPor-All Factor Movements'!D260</f>
        <v>52536.71895106868</v>
      </c>
      <c r="G260">
        <f>Portfolio!B$6*'CurrentPor-All Factor Movements'!E260</f>
        <v>3848.586177559192</v>
      </c>
      <c r="H260">
        <f t="shared" si="11"/>
        <v>94755.198353052983</v>
      </c>
      <c r="I260">
        <f t="shared" si="12"/>
        <v>327.59457966429181</v>
      </c>
    </row>
    <row r="261" spans="1:9">
      <c r="A261" s="1">
        <v>39623</v>
      </c>
      <c r="B261">
        <f>(3/(1+('CurrentPor-All Factor Movements'!B261)/100)+103/POWER(1+('CurrentPor-All Factor Movements'!C261)/100,2))*100</f>
        <v>9608.2192961272867</v>
      </c>
      <c r="C261">
        <f>(3/(1+('CurrentPor-All Factor Movements'!B261+'CurrentPor-All Factor Movements'!F261)/100)+103/POWER(1+('CurrentPor-All Factor Movements'!C261+'CurrentPor-All Factor Movements'!F261)/100,2))*100</f>
        <v>9508.5795223834393</v>
      </c>
      <c r="D261">
        <f>(3/(1+('CurrentPor-All Factor Movements'!B261+'CurrentPor-All Factor Movements'!G261)/100)+103/POWER(1+('CurrentPor-All Factor Movements'!C261+'CurrentPor-All Factor Movements'!G261)/100,2))*100</f>
        <v>9492.2202463730318</v>
      </c>
      <c r="E261">
        <f>(3/(1+('CurrentPor-All Factor Movements'!B261+'CurrentPor-All Factor Movements'!H261)/100)+103/POWER(1+('CurrentPor-All Factor Movements'!C261+'CurrentPor-All Factor Movements'!H261)/100,2))*100</f>
        <v>9500.0789502795596</v>
      </c>
      <c r="F261">
        <f>Portfolio!B$5*'CurrentPor-All Factor Movements'!D261</f>
        <v>53319.125715192444</v>
      </c>
      <c r="G261">
        <f>Portfolio!B$6*'CurrentPor-All Factor Movements'!E261</f>
        <v>3689.9199461143744</v>
      </c>
      <c r="H261">
        <f t="shared" si="11"/>
        <v>95118.143676470136</v>
      </c>
      <c r="I261">
        <f t="shared" si="12"/>
        <v>-427.08540508821898</v>
      </c>
    </row>
    <row r="262" spans="1:9">
      <c r="A262" s="1">
        <v>39624</v>
      </c>
      <c r="B262">
        <f>(3/(1+('CurrentPor-All Factor Movements'!B262)/100)+103/POWER(1+('CurrentPor-All Factor Movements'!C262)/100,2))*100</f>
        <v>9705.5470732942122</v>
      </c>
      <c r="C262">
        <f>(3/(1+('CurrentPor-All Factor Movements'!B262+'CurrentPor-All Factor Movements'!F262)/100)+103/POWER(1+('CurrentPor-All Factor Movements'!C262+'CurrentPor-All Factor Movements'!F262)/100,2))*100</f>
        <v>9605.7806677303397</v>
      </c>
      <c r="D262">
        <f>(3/(1+('CurrentPor-All Factor Movements'!B262+'CurrentPor-All Factor Movements'!G262)/100)+103/POWER(1+('CurrentPor-All Factor Movements'!C262+'CurrentPor-All Factor Movements'!G262)/100,2))*100</f>
        <v>9570.2585543485166</v>
      </c>
      <c r="E262">
        <f>(3/(1+('CurrentPor-All Factor Movements'!B262+'CurrentPor-All Factor Movements'!H262)/100)+103/POWER(1+('CurrentPor-All Factor Movements'!C262+'CurrentPor-All Factor Movements'!H262)/100,2))*100</f>
        <v>9579.167988227251</v>
      </c>
      <c r="F262">
        <f>Portfolio!B$5*'CurrentPor-All Factor Movements'!D262</f>
        <v>53057.190950356184</v>
      </c>
      <c r="G262">
        <f>Portfolio!B$6*'CurrentPor-All Factor Movements'!E262</f>
        <v>3417.5484378602496</v>
      </c>
      <c r="H262">
        <f t="shared" si="11"/>
        <v>94935.493671816759</v>
      </c>
      <c r="I262">
        <f t="shared" si="12"/>
        <v>647.35060700202303</v>
      </c>
    </row>
    <row r="263" spans="1:9">
      <c r="A263" s="1">
        <v>39625</v>
      </c>
      <c r="B263">
        <f>(3/(1+('CurrentPor-All Factor Movements'!B263)/100)+103/POWER(1+('CurrentPor-All Factor Movements'!C263)/100,2))*100</f>
        <v>9685.3179388279077</v>
      </c>
      <c r="C263">
        <f>(3/(1+('CurrentPor-All Factor Movements'!B263+'CurrentPor-All Factor Movements'!F263)/100)+103/POWER(1+('CurrentPor-All Factor Movements'!C263+'CurrentPor-All Factor Movements'!F263)/100,2))*100</f>
        <v>9578.0063466193478</v>
      </c>
      <c r="D263">
        <f>(3/(1+('CurrentPor-All Factor Movements'!B263+'CurrentPor-All Factor Movements'!G263)/100)+103/POWER(1+('CurrentPor-All Factor Movements'!C263+'CurrentPor-All Factor Movements'!G263)/100,2))*100</f>
        <v>9569.2978116534741</v>
      </c>
      <c r="E263">
        <f>(3/(1+('CurrentPor-All Factor Movements'!B263+'CurrentPor-All Factor Movements'!H263)/100)+103/POWER(1+('CurrentPor-All Factor Movements'!C263+'CurrentPor-All Factor Movements'!H263)/100,2))*100</f>
        <v>9571.8545554122957</v>
      </c>
      <c r="F263">
        <f>Portfolio!B$5*'CurrentPor-All Factor Movements'!D263</f>
        <v>51079.331963359487</v>
      </c>
      <c r="G263">
        <f>Portfolio!B$6*'CurrentPor-All Factor Movements'!E263</f>
        <v>3615.2700771613231</v>
      </c>
      <c r="H263">
        <f t="shared" si="11"/>
        <v>93099.078693033836</v>
      </c>
      <c r="I263">
        <f t="shared" si="12"/>
        <v>-1467.2691815319849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4F69-CC27-4C18-9E2E-88F38D3112D9}">
  <dimension ref="A1:K263"/>
  <sheetViews>
    <sheetView topLeftCell="C1" zoomScale="120" zoomScaleNormal="120" workbookViewId="0">
      <selection activeCell="A3" sqref="A3:A26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26</v>
      </c>
      <c r="C1" t="s">
        <v>27</v>
      </c>
      <c r="D1" t="s">
        <v>28</v>
      </c>
      <c r="E1" t="s">
        <v>31</v>
      </c>
      <c r="F1" t="s">
        <v>26</v>
      </c>
      <c r="G1" t="s">
        <v>26</v>
      </c>
    </row>
    <row r="2" spans="1:11">
      <c r="B2" t="s">
        <v>18</v>
      </c>
      <c r="C2" t="s">
        <v>19</v>
      </c>
      <c r="D2" t="s">
        <v>7</v>
      </c>
      <c r="E2" t="s">
        <v>29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34</v>
      </c>
    </row>
    <row r="3" spans="1:11">
      <c r="A3" s="1">
        <v>39261</v>
      </c>
      <c r="B3">
        <f>(3/(1+('CurrentPor-N10Unchanged'!B3)/100)+103/POWER(1+('CurrentPor-N10Unchanged'!C3)/100,2))*100</f>
        <v>9707.5857774288397</v>
      </c>
      <c r="C3">
        <f>(3/(1+('CurrentPor-N10Unchanged'!B3+'CurrentPor-N10Unchanged'!F3)/100)+103/POWER(1+('CurrentPor-N10Unchanged'!C3+'CurrentPor-N10Unchanged'!F3)/100,2))*100</f>
        <v>9614.9673582483465</v>
      </c>
      <c r="D3">
        <f>(3/(1+('CurrentPor-N10Unchanged'!B3+'CurrentPor-N10Unchanged'!G3)/100)+103/POWER(1+('CurrentPor-N10Unchanged'!C3+'CurrentPor-N10Unchanged'!G3)/100,2))*100</f>
        <v>9601.2395558122898</v>
      </c>
      <c r="E3">
        <f>(3/(1+('CurrentPor-N10Unchanged'!B3+'CurrentPor-N10Unchanged'!H3)/100)+103/POWER(1+('CurrentPor-N10Unchanged'!C3+'CurrentPor-N10Unchanged'!H3)/100,2))*100</f>
        <v>9676.6907857653259</v>
      </c>
      <c r="F3">
        <f>Portfolio!B$5*'CurrentPor-N10Unchanged'!D3</f>
        <v>52143.895533915893</v>
      </c>
      <c r="G3">
        <f>Portfolio!B$6*'CurrentPor-N10Unchanged'!E3</f>
        <v>3696.2945087936532</v>
      </c>
      <c r="H3">
        <f t="shared" ref="H3:H34" si="0">SUM(B3:G3)</f>
        <v>94440.673519964359</v>
      </c>
      <c r="J3" s="3">
        <f>_xlfn.PERCENTILE.INC(I13:I263, 0.025)</f>
        <v>-111.16185033079819</v>
      </c>
      <c r="K3">
        <f>AVERAGEIF(I13:I263, "&lt;="&amp;J3,I13:I263)</f>
        <v>-136.78969524683947</v>
      </c>
    </row>
    <row r="4" spans="1:11">
      <c r="A4" s="1">
        <v>39262</v>
      </c>
      <c r="B4">
        <f>(3/(1+('CurrentPor-N10Unchanged'!B4)/100)+103/POWER(1+('CurrentPor-N10Unchanged'!C4)/100,2))*100</f>
        <v>9707.5857774288397</v>
      </c>
      <c r="C4">
        <f>(3/(1+('CurrentPor-N10Unchanged'!B4+'CurrentPor-N10Unchanged'!F4)/100)+103/POWER(1+('CurrentPor-N10Unchanged'!C4+'CurrentPor-N10Unchanged'!F4)/100,2))*100</f>
        <v>9614.9673582483465</v>
      </c>
      <c r="D4">
        <f>(3/(1+('CurrentPor-N10Unchanged'!B4+'CurrentPor-N10Unchanged'!G4)/100)+103/POWER(1+('CurrentPor-N10Unchanged'!C4+'CurrentPor-N10Unchanged'!G4)/100,2))*100</f>
        <v>9586.753643287564</v>
      </c>
      <c r="E4">
        <f>(3/(1+('CurrentPor-N10Unchanged'!B4+'CurrentPor-N10Unchanged'!H4)/100)+103/POWER(1+('CurrentPor-N10Unchanged'!C4+'CurrentPor-N10Unchanged'!H4)/100,2))*100</f>
        <v>9676.5087411427976</v>
      </c>
      <c r="F4">
        <f>Portfolio!B$5*'CurrentPor-N10Unchanged'!D4</f>
        <v>52143.895533915893</v>
      </c>
      <c r="G4">
        <f>Portfolio!B$6*'CurrentPor-N10Unchanged'!E4</f>
        <v>3696.2945087936532</v>
      </c>
      <c r="H4">
        <f t="shared" si="0"/>
        <v>94426.005562817096</v>
      </c>
    </row>
    <row r="5" spans="1:11">
      <c r="A5" s="1">
        <v>39265</v>
      </c>
      <c r="B5">
        <f>(3/(1+('CurrentPor-N10Unchanged'!B5)/100)+103/POWER(1+('CurrentPor-N10Unchanged'!C5)/100,2))*100</f>
        <v>9707.5857774288397</v>
      </c>
      <c r="C5">
        <f>(3/(1+('CurrentPor-N10Unchanged'!B5+'CurrentPor-N10Unchanged'!F5)/100)+103/POWER(1+('CurrentPor-N10Unchanged'!C5+'CurrentPor-N10Unchanged'!F5)/100,2))*100</f>
        <v>9614.9673582483465</v>
      </c>
      <c r="D5">
        <f>(3/(1+('CurrentPor-N10Unchanged'!B5+'CurrentPor-N10Unchanged'!G5)/100)+103/POWER(1+('CurrentPor-N10Unchanged'!C5+'CurrentPor-N10Unchanged'!G5)/100,2))*100</f>
        <v>9603.4629610150168</v>
      </c>
      <c r="E5">
        <f>(3/(1+('CurrentPor-N10Unchanged'!B5+'CurrentPor-N10Unchanged'!H5)/100)+103/POWER(1+('CurrentPor-N10Unchanged'!C5+'CurrentPor-N10Unchanged'!H5)/100,2))*100</f>
        <v>9676.3449057655907</v>
      </c>
      <c r="F5">
        <f>Portfolio!B$5*'CurrentPor-N10Unchanged'!D5</f>
        <v>52143.895533915893</v>
      </c>
      <c r="G5">
        <f>Portfolio!B$6*'CurrentPor-N10Unchanged'!E5</f>
        <v>3696.2945087936532</v>
      </c>
      <c r="H5">
        <f t="shared" si="0"/>
        <v>94442.551045167347</v>
      </c>
    </row>
    <row r="6" spans="1:11">
      <c r="A6" s="1">
        <v>39266</v>
      </c>
      <c r="B6">
        <f>(3/(1+('CurrentPor-N10Unchanged'!B6)/100)+103/POWER(1+('CurrentPor-N10Unchanged'!C6)/100,2))*100</f>
        <v>9707.5857774288397</v>
      </c>
      <c r="C6">
        <f>(3/(1+('CurrentPor-N10Unchanged'!B6+'CurrentPor-N10Unchanged'!F6)/100)+103/POWER(1+('CurrentPor-N10Unchanged'!C6+'CurrentPor-N10Unchanged'!F6)/100,2))*100</f>
        <v>9614.9673582483465</v>
      </c>
      <c r="D6">
        <f>(3/(1+('CurrentPor-N10Unchanged'!B6+'CurrentPor-N10Unchanged'!G6)/100)+103/POWER(1+('CurrentPor-N10Unchanged'!C6+'CurrentPor-N10Unchanged'!G6)/100,2))*100</f>
        <v>9607.0114786197646</v>
      </c>
      <c r="E6">
        <f>(3/(1+('CurrentPor-N10Unchanged'!B6+'CurrentPor-N10Unchanged'!H6)/100)+103/POWER(1+('CurrentPor-N10Unchanged'!C6+'CurrentPor-N10Unchanged'!H6)/100,2))*100</f>
        <v>9674.761385040998</v>
      </c>
      <c r="F6">
        <f>Portfolio!B$5*'CurrentPor-N10Unchanged'!D6</f>
        <v>52143.895533915893</v>
      </c>
      <c r="G6">
        <f>Portfolio!B$6*'CurrentPor-N10Unchanged'!E6</f>
        <v>3696.2945087936532</v>
      </c>
      <c r="H6">
        <f t="shared" si="0"/>
        <v>94444.5160420475</v>
      </c>
    </row>
    <row r="7" spans="1:11">
      <c r="A7" s="1">
        <v>39267</v>
      </c>
      <c r="B7">
        <f>(3/(1+('CurrentPor-N10Unchanged'!B7)/100)+103/POWER(1+('CurrentPor-N10Unchanged'!C7)/100,2))*100</f>
        <v>9707.5857774288397</v>
      </c>
      <c r="C7">
        <f>(3/(1+('CurrentPor-N10Unchanged'!B7+'CurrentPor-N10Unchanged'!F7)/100)+103/POWER(1+('CurrentPor-N10Unchanged'!C7+'CurrentPor-N10Unchanged'!F7)/100,2))*100</f>
        <v>9616.7705171512371</v>
      </c>
      <c r="D7">
        <f>(3/(1+('CurrentPor-N10Unchanged'!B7+'CurrentPor-N10Unchanged'!G7)/100)+103/POWER(1+('CurrentPor-N10Unchanged'!C7+'CurrentPor-N10Unchanged'!G7)/100,2))*100</f>
        <v>9580.3056214308926</v>
      </c>
      <c r="E7">
        <f>(3/(1+('CurrentPor-N10Unchanged'!B7+'CurrentPor-N10Unchanged'!H7)/100)+103/POWER(1+('CurrentPor-N10Unchanged'!C7+'CurrentPor-N10Unchanged'!H7)/100,2))*100</f>
        <v>9676.8000136403025</v>
      </c>
      <c r="F7">
        <f>Portfolio!B$5*'CurrentPor-N10Unchanged'!D7</f>
        <v>52143.895533915893</v>
      </c>
      <c r="G7">
        <f>Portfolio!B$6*'CurrentPor-N10Unchanged'!E7</f>
        <v>3696.2945087936532</v>
      </c>
      <c r="H7">
        <f t="shared" si="0"/>
        <v>94421.651972360822</v>
      </c>
    </row>
    <row r="8" spans="1:11">
      <c r="A8" s="1">
        <v>39268</v>
      </c>
      <c r="B8">
        <f>(3/(1+('CurrentPor-N10Unchanged'!B8)/100)+103/POWER(1+('CurrentPor-N10Unchanged'!C8)/100,2))*100</f>
        <v>9707.5857774288397</v>
      </c>
      <c r="C8">
        <f>(3/(1+('CurrentPor-N10Unchanged'!B8+'CurrentPor-N10Unchanged'!F8)/100)+103/POWER(1+('CurrentPor-N10Unchanged'!C8+'CurrentPor-N10Unchanged'!F8)/100,2))*100</f>
        <v>9613.1647114954067</v>
      </c>
      <c r="D8">
        <f>(3/(1+('CurrentPor-N10Unchanged'!B8+'CurrentPor-N10Unchanged'!G8)/100)+103/POWER(1+('CurrentPor-N10Unchanged'!C8+'CurrentPor-N10Unchanged'!G8)/100,2))*100</f>
        <v>9582.0863699912024</v>
      </c>
      <c r="E8">
        <f>(3/(1+('CurrentPor-N10Unchanged'!B8+'CurrentPor-N10Unchanged'!H8)/100)+103/POWER(1+('CurrentPor-N10Unchanged'!C8+'CurrentPor-N10Unchanged'!H8)/100,2))*100</f>
        <v>9676.1810780625983</v>
      </c>
      <c r="F8">
        <f>Portfolio!B$5*'CurrentPor-N10Unchanged'!D8</f>
        <v>52143.895533915893</v>
      </c>
      <c r="G8">
        <f>Portfolio!B$6*'CurrentPor-N10Unchanged'!E8</f>
        <v>3696.2945087936532</v>
      </c>
      <c r="H8">
        <f t="shared" si="0"/>
        <v>94419.207979687591</v>
      </c>
    </row>
    <row r="9" spans="1:11">
      <c r="A9" s="1">
        <v>39269</v>
      </c>
      <c r="B9">
        <f>(3/(1+('CurrentPor-N10Unchanged'!B9)/100)+103/POWER(1+('CurrentPor-N10Unchanged'!C9)/100,2))*100</f>
        <v>9707.5857774288397</v>
      </c>
      <c r="C9">
        <f>(3/(1+('CurrentPor-N10Unchanged'!B9+'CurrentPor-N10Unchanged'!F9)/100)+103/POWER(1+('CurrentPor-N10Unchanged'!C9+'CurrentPor-N10Unchanged'!F9)/100,2))*100</f>
        <v>9613.1647114954067</v>
      </c>
      <c r="D9">
        <f>(3/(1+('CurrentPor-N10Unchanged'!B9+'CurrentPor-N10Unchanged'!G9)/100)+103/POWER(1+('CurrentPor-N10Unchanged'!C9+'CurrentPor-N10Unchanged'!G9)/100,2))*100</f>
        <v>9594.9699164194662</v>
      </c>
      <c r="E9">
        <f>(3/(1+('CurrentPor-N10Unchanged'!B9+'CurrentPor-N10Unchanged'!H9)/100)+103/POWER(1+('CurrentPor-N10Unchanged'!C9+'CurrentPor-N10Unchanged'!H9)/100,2))*100</f>
        <v>9673.7787046826343</v>
      </c>
      <c r="F9">
        <f>Portfolio!B$5*'CurrentPor-N10Unchanged'!D9</f>
        <v>52143.895533915893</v>
      </c>
      <c r="G9">
        <f>Portfolio!B$6*'CurrentPor-N10Unchanged'!E9</f>
        <v>3696.2945087936532</v>
      </c>
      <c r="H9">
        <f t="shared" si="0"/>
        <v>94429.689152735897</v>
      </c>
    </row>
    <row r="10" spans="1:11">
      <c r="A10" s="1">
        <v>39272</v>
      </c>
      <c r="B10">
        <f>(3/(1+('CurrentPor-N10Unchanged'!B10)/100)+103/POWER(1+('CurrentPor-N10Unchanged'!C10)/100,2))*100</f>
        <v>9707.5857774288397</v>
      </c>
      <c r="C10">
        <f>(3/(1+('CurrentPor-N10Unchanged'!B10+'CurrentPor-N10Unchanged'!F10)/100)+103/POWER(1+('CurrentPor-N10Unchanged'!C10+'CurrentPor-N10Unchanged'!F10)/100,2))*100</f>
        <v>9614.9673582483465</v>
      </c>
      <c r="D10">
        <f>(3/(1+('CurrentPor-N10Unchanged'!B10+'CurrentPor-N10Unchanged'!G10)/100)+103/POWER(1+('CurrentPor-N10Unchanged'!C10+'CurrentPor-N10Unchanged'!G10)/100,2))*100</f>
        <v>9593.3699457073908</v>
      </c>
      <c r="E10">
        <f>(3/(1+('CurrentPor-N10Unchanged'!B10+'CurrentPor-N10Unchanged'!H10)/100)+103/POWER(1+('CurrentPor-N10Unchanged'!C10+'CurrentPor-N10Unchanged'!H10)/100,2))*100</f>
        <v>9671.0498348775582</v>
      </c>
      <c r="F10">
        <f>Portfolio!B$5*'CurrentPor-N10Unchanged'!D10</f>
        <v>52143.895533915893</v>
      </c>
      <c r="G10">
        <f>Portfolio!B$6*'CurrentPor-N10Unchanged'!E10</f>
        <v>3696.2945087936532</v>
      </c>
      <c r="H10">
        <f t="shared" si="0"/>
        <v>94427.16295897169</v>
      </c>
    </row>
    <row r="11" spans="1:11">
      <c r="A11" s="1">
        <v>39273</v>
      </c>
      <c r="B11">
        <f>(3/(1+('CurrentPor-N10Unchanged'!B11)/100)+103/POWER(1+('CurrentPor-N10Unchanged'!C11)/100,2))*100</f>
        <v>9707.5857774288397</v>
      </c>
      <c r="C11">
        <f>(3/(1+('CurrentPor-N10Unchanged'!B11+'CurrentPor-N10Unchanged'!F11)/100)+103/POWER(1+('CurrentPor-N10Unchanged'!C11+'CurrentPor-N10Unchanged'!F11)/100,2))*100</f>
        <v>9614.9673582483465</v>
      </c>
      <c r="D11">
        <f>(3/(1+('CurrentPor-N10Unchanged'!B11+'CurrentPor-N10Unchanged'!G11)/100)+103/POWER(1+('CurrentPor-N10Unchanged'!C11+'CurrentPor-N10Unchanged'!G11)/100,2))*100</f>
        <v>9596.8685689189988</v>
      </c>
      <c r="E11">
        <f>(3/(1+('CurrentPor-N10Unchanged'!B11+'CurrentPor-N10Unchanged'!H11)/100)+103/POWER(1+('CurrentPor-N10Unchanged'!C11+'CurrentPor-N10Unchanged'!H11)/100,2))*100</f>
        <v>9672.6688259421371</v>
      </c>
      <c r="F11">
        <f>Portfolio!B$5*'CurrentPor-N10Unchanged'!D11</f>
        <v>52143.895533915893</v>
      </c>
      <c r="G11">
        <f>Portfolio!B$6*'CurrentPor-N10Unchanged'!E11</f>
        <v>3696.2945087936532</v>
      </c>
      <c r="H11">
        <f t="shared" si="0"/>
        <v>94432.280573247874</v>
      </c>
    </row>
    <row r="12" spans="1:11">
      <c r="A12" s="1">
        <v>39274</v>
      </c>
      <c r="B12">
        <f>(3/(1+('CurrentPor-N10Unchanged'!B12)/100)+103/POWER(1+('CurrentPor-N10Unchanged'!C12)/100,2))*100</f>
        <v>9707.5857774288397</v>
      </c>
      <c r="C12">
        <f>(3/(1+('CurrentPor-N10Unchanged'!B12+'CurrentPor-N10Unchanged'!F12)/100)+103/POWER(1+('CurrentPor-N10Unchanged'!C12+'CurrentPor-N10Unchanged'!F12)/100,2))*100</f>
        <v>9614.9673582483465</v>
      </c>
      <c r="D12">
        <f>(3/(1+('CurrentPor-N10Unchanged'!B12+'CurrentPor-N10Unchanged'!G12)/100)+103/POWER(1+('CurrentPor-N10Unchanged'!C12+'CurrentPor-N10Unchanged'!G12)/100,2))*100</f>
        <v>9593.7415131480611</v>
      </c>
      <c r="E12">
        <f>(3/(1+('CurrentPor-N10Unchanged'!B12+'CurrentPor-N10Unchanged'!H12)/100)+103/POWER(1+('CurrentPor-N10Unchanged'!C12+'CurrentPor-N10Unchanged'!H12)/100,2))*100</f>
        <v>9674.8341802658124</v>
      </c>
      <c r="F12">
        <f>Portfolio!B$5*'CurrentPor-N10Unchanged'!D12</f>
        <v>52143.895533915893</v>
      </c>
      <c r="G12">
        <f>Portfolio!B$6*'CurrentPor-N10Unchanged'!E12</f>
        <v>3696.2945087936532</v>
      </c>
      <c r="H12">
        <f t="shared" si="0"/>
        <v>94431.318871800613</v>
      </c>
    </row>
    <row r="13" spans="1:11">
      <c r="A13" s="1">
        <v>39275</v>
      </c>
      <c r="B13">
        <f>(3/(1+('CurrentPor-N10Unchanged'!B13)/100)+103/POWER(1+('CurrentPor-N10Unchanged'!C13)/100,2))*100</f>
        <v>9707.5857774288397</v>
      </c>
      <c r="C13">
        <f>(3/(1+('CurrentPor-N10Unchanged'!B13+'CurrentPor-N10Unchanged'!F13)/100)+103/POWER(1+('CurrentPor-N10Unchanged'!C13+'CurrentPor-N10Unchanged'!F13)/100,2))*100</f>
        <v>9620.3783721850123</v>
      </c>
      <c r="D13">
        <f>(3/(1+('CurrentPor-N10Unchanged'!B13+'CurrentPor-N10Unchanged'!G13)/100)+103/POWER(1+('CurrentPor-N10Unchanged'!C13+'CurrentPor-N10Unchanged'!G13)/100,2))*100</f>
        <v>9583.1352871394211</v>
      </c>
      <c r="E13">
        <f>(3/(1+('CurrentPor-N10Unchanged'!B13+'CurrentPor-N10Unchanged'!H13)/100)+103/POWER(1+('CurrentPor-N10Unchanged'!C13+'CurrentPor-N10Unchanged'!H13)/100,2))*100</f>
        <v>9679.0214075942895</v>
      </c>
      <c r="F13">
        <f>Portfolio!B$5*'CurrentPor-N10Unchanged'!D13</f>
        <v>52143.895533915893</v>
      </c>
      <c r="G13">
        <f>Portfolio!B$6*'CurrentPor-N10Unchanged'!E13</f>
        <v>3696.2945087936532</v>
      </c>
      <c r="H13">
        <f t="shared" si="0"/>
        <v>94430.310887057101</v>
      </c>
      <c r="I13">
        <f>H13-H3</f>
        <v>-10.362632907257648</v>
      </c>
    </row>
    <row r="14" spans="1:11">
      <c r="A14" s="1">
        <v>39276</v>
      </c>
      <c r="B14">
        <f>(3/(1+('CurrentPor-N10Unchanged'!B14)/100)+103/POWER(1+('CurrentPor-N10Unchanged'!C14)/100,2))*100</f>
        <v>9707.5857774288397</v>
      </c>
      <c r="C14">
        <f>(3/(1+('CurrentPor-N10Unchanged'!B14+'CurrentPor-N10Unchanged'!F14)/100)+103/POWER(1+('CurrentPor-N10Unchanged'!C14+'CurrentPor-N10Unchanged'!F14)/100,2))*100</f>
        <v>9616.7705171512371</v>
      </c>
      <c r="D14">
        <f>(3/(1+('CurrentPor-N10Unchanged'!B14+'CurrentPor-N10Unchanged'!G14)/100)+103/POWER(1+('CurrentPor-N10Unchanged'!C14+'CurrentPor-N10Unchanged'!G14)/100,2))*100</f>
        <v>9608.4612314889109</v>
      </c>
      <c r="E14">
        <f>(3/(1+('CurrentPor-N10Unchanged'!B14+'CurrentPor-N10Unchanged'!H14)/100)+103/POWER(1+('CurrentPor-N10Unchanged'!C14+'CurrentPor-N10Unchanged'!H14)/100,2))*100</f>
        <v>9680.9338783473122</v>
      </c>
      <c r="F14">
        <f>Portfolio!B$5*'CurrentPor-N10Unchanged'!D14</f>
        <v>52143.895533915893</v>
      </c>
      <c r="G14">
        <f>Portfolio!B$6*'CurrentPor-N10Unchanged'!E14</f>
        <v>3696.2945087936532</v>
      </c>
      <c r="H14">
        <f t="shared" si="0"/>
        <v>94453.94144712585</v>
      </c>
      <c r="I14">
        <f t="shared" ref="I14:I77" si="1">H14-H4</f>
        <v>27.935884308753884</v>
      </c>
    </row>
    <row r="15" spans="1:11">
      <c r="A15" s="1">
        <v>39279</v>
      </c>
      <c r="B15">
        <f>(3/(1+('CurrentPor-N10Unchanged'!B15)/100)+103/POWER(1+('CurrentPor-N10Unchanged'!C15)/100,2))*100</f>
        <v>9707.5857774288397</v>
      </c>
      <c r="C15">
        <f>(3/(1+('CurrentPor-N10Unchanged'!B15+'CurrentPor-N10Unchanged'!F15)/100)+103/POWER(1+('CurrentPor-N10Unchanged'!C15+'CurrentPor-N10Unchanged'!F15)/100,2))*100</f>
        <v>9616.7705171512371</v>
      </c>
      <c r="D15">
        <f>(3/(1+('CurrentPor-N10Unchanged'!B15+'CurrentPor-N10Unchanged'!G15)/100)+103/POWER(1+('CurrentPor-N10Unchanged'!C15+'CurrentPor-N10Unchanged'!G15)/100,2))*100</f>
        <v>9605.5320342821306</v>
      </c>
      <c r="E15">
        <f>(3/(1+('CurrentPor-N10Unchanged'!B15+'CurrentPor-N10Unchanged'!H15)/100)+103/POWER(1+('CurrentPor-N10Unchanged'!C15+'CurrentPor-N10Unchanged'!H15)/100,2))*100</f>
        <v>9680.6970665619065</v>
      </c>
      <c r="F15">
        <f>Portfolio!B$5*'CurrentPor-N10Unchanged'!D15</f>
        <v>52143.895533915893</v>
      </c>
      <c r="G15">
        <f>Portfolio!B$6*'CurrentPor-N10Unchanged'!E15</f>
        <v>3696.2945087936532</v>
      </c>
      <c r="H15">
        <f t="shared" si="0"/>
        <v>94450.775438133656</v>
      </c>
      <c r="I15">
        <f t="shared" si="1"/>
        <v>8.2243929663090967</v>
      </c>
    </row>
    <row r="16" spans="1:11">
      <c r="A16" s="1">
        <v>39280</v>
      </c>
      <c r="B16">
        <f>(3/(1+('CurrentPor-N10Unchanged'!B16)/100)+103/POWER(1+('CurrentPor-N10Unchanged'!C16)/100,2))*100</f>
        <v>9707.5857774288397</v>
      </c>
      <c r="C16">
        <f>(3/(1+('CurrentPor-N10Unchanged'!B16+'CurrentPor-N10Unchanged'!F16)/100)+103/POWER(1+('CurrentPor-N10Unchanged'!C16+'CurrentPor-N10Unchanged'!F16)/100,2))*100</f>
        <v>9618.5741883985884</v>
      </c>
      <c r="D16">
        <f>(3/(1+('CurrentPor-N10Unchanged'!B16+'CurrentPor-N10Unchanged'!G16)/100)+103/POWER(1+('CurrentPor-N10Unchanged'!C16+'CurrentPor-N10Unchanged'!G16)/100,2))*100</f>
        <v>9595.4362388343052</v>
      </c>
      <c r="E16">
        <f>(3/(1+('CurrentPor-N10Unchanged'!B16+'CurrentPor-N10Unchanged'!H16)/100)+103/POWER(1+('CurrentPor-N10Unchanged'!C16+'CurrentPor-N10Unchanged'!H16)/100,2))*100</f>
        <v>9682.0998570962529</v>
      </c>
      <c r="F16">
        <f>Portfolio!B$5*'CurrentPor-N10Unchanged'!D16</f>
        <v>52143.895533915893</v>
      </c>
      <c r="G16">
        <f>Portfolio!B$6*'CurrentPor-N10Unchanged'!E16</f>
        <v>3696.2945087936532</v>
      </c>
      <c r="H16">
        <f t="shared" si="0"/>
        <v>94443.886104467529</v>
      </c>
      <c r="I16">
        <f t="shared" si="1"/>
        <v>-0.62993757997173816</v>
      </c>
    </row>
    <row r="17" spans="1:9">
      <c r="A17" s="1">
        <v>39281</v>
      </c>
      <c r="B17">
        <f>(3/(1+('CurrentPor-N10Unchanged'!B17)/100)+103/POWER(1+('CurrentPor-N10Unchanged'!C17)/100,2))*100</f>
        <v>9707.5857774288397</v>
      </c>
      <c r="C17">
        <f>(3/(1+('CurrentPor-N10Unchanged'!B17+'CurrentPor-N10Unchanged'!F17)/100)+103/POWER(1+('CurrentPor-N10Unchanged'!C17+'CurrentPor-N10Unchanged'!F17)/100,2))*100</f>
        <v>9616.7705171512371</v>
      </c>
      <c r="D17">
        <f>(3/(1+('CurrentPor-N10Unchanged'!B17+'CurrentPor-N10Unchanged'!G17)/100)+103/POWER(1+('CurrentPor-N10Unchanged'!C17+'CurrentPor-N10Unchanged'!G17)/100,2))*100</f>
        <v>9607.924067800639</v>
      </c>
      <c r="E17">
        <f>(3/(1+('CurrentPor-N10Unchanged'!B17+'CurrentPor-N10Unchanged'!H17)/100)+103/POWER(1+('CurrentPor-N10Unchanged'!C17+'CurrentPor-N10Unchanged'!H17)/100,2))*100</f>
        <v>9682.136298174546</v>
      </c>
      <c r="F17">
        <f>Portfolio!B$5*'CurrentPor-N10Unchanged'!D17</f>
        <v>52143.895533915893</v>
      </c>
      <c r="G17">
        <f>Portfolio!B$6*'CurrentPor-N10Unchanged'!E17</f>
        <v>3696.2945087936532</v>
      </c>
      <c r="H17">
        <f t="shared" si="0"/>
        <v>94454.606703264813</v>
      </c>
      <c r="I17">
        <f t="shared" si="1"/>
        <v>32.954730903991731</v>
      </c>
    </row>
    <row r="18" spans="1:9">
      <c r="A18" s="1">
        <v>39282</v>
      </c>
      <c r="B18">
        <f>(3/(1+('CurrentPor-N10Unchanged'!B18)/100)+103/POWER(1+('CurrentPor-N10Unchanged'!C18)/100,2))*100</f>
        <v>9707.5857774288397</v>
      </c>
      <c r="C18">
        <f>(3/(1+('CurrentPor-N10Unchanged'!B18+'CurrentPor-N10Unchanged'!F18)/100)+103/POWER(1+('CurrentPor-N10Unchanged'!C18+'CurrentPor-N10Unchanged'!F18)/100,2))*100</f>
        <v>9616.7705171512371</v>
      </c>
      <c r="D18">
        <f>(3/(1+('CurrentPor-N10Unchanged'!B18+'CurrentPor-N10Unchanged'!G18)/100)+103/POWER(1+('CurrentPor-N10Unchanged'!C18+'CurrentPor-N10Unchanged'!G18)/100,2))*100</f>
        <v>9603.7417214293109</v>
      </c>
      <c r="E18">
        <f>(3/(1+('CurrentPor-N10Unchanged'!B18+'CurrentPor-N10Unchanged'!H18)/100)+103/POWER(1+('CurrentPor-N10Unchanged'!C18+'CurrentPor-N10Unchanged'!H18)/100,2))*100</f>
        <v>9680.1870356704276</v>
      </c>
      <c r="F18">
        <f>Portfolio!B$5*'CurrentPor-N10Unchanged'!D18</f>
        <v>52143.895533915893</v>
      </c>
      <c r="G18">
        <f>Portfolio!B$6*'CurrentPor-N10Unchanged'!E18</f>
        <v>3696.2945087936532</v>
      </c>
      <c r="H18">
        <f t="shared" si="0"/>
        <v>94448.475094389374</v>
      </c>
      <c r="I18">
        <f t="shared" si="1"/>
        <v>29.267114701782702</v>
      </c>
    </row>
    <row r="19" spans="1:9">
      <c r="A19" s="1">
        <v>39283</v>
      </c>
      <c r="B19">
        <f>(3/(1+('CurrentPor-N10Unchanged'!B19)/100)+103/POWER(1+('CurrentPor-N10Unchanged'!C19)/100,2))*100</f>
        <v>9707.5857774288397</v>
      </c>
      <c r="C19">
        <f>(3/(1+('CurrentPor-N10Unchanged'!B19+'CurrentPor-N10Unchanged'!F19)/100)+103/POWER(1+('CurrentPor-N10Unchanged'!C19+'CurrentPor-N10Unchanged'!F19)/100,2))*100</f>
        <v>9616.7705171512371</v>
      </c>
      <c r="D19">
        <f>(3/(1+('CurrentPor-N10Unchanged'!B19+'CurrentPor-N10Unchanged'!G19)/100)+103/POWER(1+('CurrentPor-N10Unchanged'!C19+'CurrentPor-N10Unchanged'!G19)/100,2))*100</f>
        <v>9590.1448307730843</v>
      </c>
      <c r="E19">
        <f>(3/(1+('CurrentPor-N10Unchanged'!B19+'CurrentPor-N10Unchanged'!H19)/100)+103/POWER(1+('CurrentPor-N10Unchanged'!C19+'CurrentPor-N10Unchanged'!H19)/100,2))*100</f>
        <v>9680.9156629472927</v>
      </c>
      <c r="F19">
        <f>Portfolio!B$5*'CurrentPor-N10Unchanged'!D19</f>
        <v>52143.895533915893</v>
      </c>
      <c r="G19">
        <f>Portfolio!B$6*'CurrentPor-N10Unchanged'!E19</f>
        <v>3696.2945087936532</v>
      </c>
      <c r="H19">
        <f t="shared" si="0"/>
        <v>94435.606831009994</v>
      </c>
      <c r="I19">
        <f t="shared" si="1"/>
        <v>5.9176782740978524</v>
      </c>
    </row>
    <row r="20" spans="1:9">
      <c r="A20" s="1">
        <v>39286</v>
      </c>
      <c r="B20">
        <f>(3/(1+('CurrentPor-N10Unchanged'!B20)/100)+103/POWER(1+('CurrentPor-N10Unchanged'!C20)/100,2))*100</f>
        <v>9707.5857774288397</v>
      </c>
      <c r="C20">
        <f>(3/(1+('CurrentPor-N10Unchanged'!B20+'CurrentPor-N10Unchanged'!F20)/100)+103/POWER(1+('CurrentPor-N10Unchanged'!C20+'CurrentPor-N10Unchanged'!F20)/100,2))*100</f>
        <v>9616.7705171512371</v>
      </c>
      <c r="D20">
        <f>(3/(1+('CurrentPor-N10Unchanged'!B20+'CurrentPor-N10Unchanged'!G20)/100)+103/POWER(1+('CurrentPor-N10Unchanged'!C20+'CurrentPor-N10Unchanged'!G20)/100,2))*100</f>
        <v>9590.0803677000113</v>
      </c>
      <c r="E20">
        <f>(3/(1+('CurrentPor-N10Unchanged'!B20+'CurrentPor-N10Unchanged'!H20)/100)+103/POWER(1+('CurrentPor-N10Unchanged'!C20+'CurrentPor-N10Unchanged'!H20)/100,2))*100</f>
        <v>9682.2456191808233</v>
      </c>
      <c r="F20">
        <f>Portfolio!B$5*'CurrentPor-N10Unchanged'!D20</f>
        <v>52143.895533915893</v>
      </c>
      <c r="G20">
        <f>Portfolio!B$6*'CurrentPor-N10Unchanged'!E20</f>
        <v>3696.2945087936532</v>
      </c>
      <c r="H20">
        <f t="shared" si="0"/>
        <v>94436.872324170457</v>
      </c>
      <c r="I20">
        <f t="shared" si="1"/>
        <v>9.7093651987670455</v>
      </c>
    </row>
    <row r="21" spans="1:9">
      <c r="A21" s="1">
        <v>39287</v>
      </c>
      <c r="B21">
        <f>(3/(1+('CurrentPor-N10Unchanged'!B21)/100)+103/POWER(1+('CurrentPor-N10Unchanged'!C21)/100,2))*100</f>
        <v>9707.5857774288397</v>
      </c>
      <c r="C21">
        <f>(3/(1+('CurrentPor-N10Unchanged'!B21+'CurrentPor-N10Unchanged'!F21)/100)+103/POWER(1+('CurrentPor-N10Unchanged'!C21+'CurrentPor-N10Unchanged'!F21)/100,2))*100</f>
        <v>9614.9673582483465</v>
      </c>
      <c r="D21">
        <f>(3/(1+('CurrentPor-N10Unchanged'!B21+'CurrentPor-N10Unchanged'!G21)/100)+103/POWER(1+('CurrentPor-N10Unchanged'!C21+'CurrentPor-N10Unchanged'!G21)/100,2))*100</f>
        <v>9601.3477255280559</v>
      </c>
      <c r="E21">
        <f>(3/(1+('CurrentPor-N10Unchanged'!B21+'CurrentPor-N10Unchanged'!H21)/100)+103/POWER(1+('CurrentPor-N10Unchanged'!C21+'CurrentPor-N10Unchanged'!H21)/100,2))*100</f>
        <v>9681.1160491018709</v>
      </c>
      <c r="F21">
        <f>Portfolio!B$5*'CurrentPor-N10Unchanged'!D21</f>
        <v>52143.895533915893</v>
      </c>
      <c r="G21">
        <f>Portfolio!B$6*'CurrentPor-N10Unchanged'!E21</f>
        <v>3696.2945087936532</v>
      </c>
      <c r="H21">
        <f t="shared" si="0"/>
        <v>94445.206953016663</v>
      </c>
      <c r="I21">
        <f t="shared" si="1"/>
        <v>12.926379768789047</v>
      </c>
    </row>
    <row r="22" spans="1:9">
      <c r="A22" s="1">
        <v>39288</v>
      </c>
      <c r="B22">
        <f>(3/(1+('CurrentPor-N10Unchanged'!B22)/100)+103/POWER(1+('CurrentPor-N10Unchanged'!C22)/100,2))*100</f>
        <v>9707.5857774288397</v>
      </c>
      <c r="C22">
        <f>(3/(1+('CurrentPor-N10Unchanged'!B22+'CurrentPor-N10Unchanged'!F22)/100)+103/POWER(1+('CurrentPor-N10Unchanged'!C22+'CurrentPor-N10Unchanged'!F22)/100,2))*100</f>
        <v>9616.7705171512371</v>
      </c>
      <c r="D22">
        <f>(3/(1+('CurrentPor-N10Unchanged'!B22+'CurrentPor-N10Unchanged'!G22)/100)+103/POWER(1+('CurrentPor-N10Unchanged'!C22+'CurrentPor-N10Unchanged'!G22)/100,2))*100</f>
        <v>9591.6421671244771</v>
      </c>
      <c r="E22">
        <f>(3/(1+('CurrentPor-N10Unchanged'!B22+'CurrentPor-N10Unchanged'!H22)/100)+103/POWER(1+('CurrentPor-N10Unchanged'!C22+'CurrentPor-N10Unchanged'!H22)/100,2))*100</f>
        <v>9682.8651459978046</v>
      </c>
      <c r="F22">
        <f>Portfolio!B$5*'CurrentPor-N10Unchanged'!D22</f>
        <v>52143.895533915893</v>
      </c>
      <c r="G22">
        <f>Portfolio!B$6*'CurrentPor-N10Unchanged'!E22</f>
        <v>3696.2945087936532</v>
      </c>
      <c r="H22">
        <f t="shared" si="0"/>
        <v>94439.053650411908</v>
      </c>
      <c r="I22">
        <f t="shared" si="1"/>
        <v>7.7347786112950416</v>
      </c>
    </row>
    <row r="23" spans="1:9">
      <c r="A23" s="1">
        <v>39289</v>
      </c>
      <c r="B23">
        <f>(3/(1+('CurrentPor-N10Unchanged'!B23)/100)+103/POWER(1+('CurrentPor-N10Unchanged'!C23)/100,2))*100</f>
        <v>9707.5857774288397</v>
      </c>
      <c r="C23">
        <f>(3/(1+('CurrentPor-N10Unchanged'!B23+'CurrentPor-N10Unchanged'!F23)/100)+103/POWER(1+('CurrentPor-N10Unchanged'!C23+'CurrentPor-N10Unchanged'!F23)/100,2))*100</f>
        <v>9622.1830687052025</v>
      </c>
      <c r="D23">
        <f>(3/(1+('CurrentPor-N10Unchanged'!B23+'CurrentPor-N10Unchanged'!G23)/100)+103/POWER(1+('CurrentPor-N10Unchanged'!C23+'CurrentPor-N10Unchanged'!G23)/100,2))*100</f>
        <v>9612.9613775579364</v>
      </c>
      <c r="E23">
        <f>(3/(1+('CurrentPor-N10Unchanged'!B23+'CurrentPor-N10Unchanged'!H23)/100)+103/POWER(1+('CurrentPor-N10Unchanged'!C23+'CurrentPor-N10Unchanged'!H23)/100,2))*100</f>
        <v>9684.0132511794254</v>
      </c>
      <c r="F23">
        <f>Portfolio!B$5*'CurrentPor-N10Unchanged'!D23</f>
        <v>52143.895533915893</v>
      </c>
      <c r="G23">
        <f>Portfolio!B$6*'CurrentPor-N10Unchanged'!E23</f>
        <v>3696.2945087936532</v>
      </c>
      <c r="H23">
        <f t="shared" si="0"/>
        <v>94466.933517580939</v>
      </c>
      <c r="I23">
        <f t="shared" si="1"/>
        <v>36.62263052383787</v>
      </c>
    </row>
    <row r="24" spans="1:9">
      <c r="A24" s="1">
        <v>39290</v>
      </c>
      <c r="B24">
        <f>(3/(1+('CurrentPor-N10Unchanged'!B24)/100)+103/POWER(1+('CurrentPor-N10Unchanged'!C24)/100,2))*100</f>
        <v>9707.5857774288397</v>
      </c>
      <c r="C24">
        <f>(3/(1+('CurrentPor-N10Unchanged'!B24+'CurrentPor-N10Unchanged'!F24)/100)+103/POWER(1+('CurrentPor-N10Unchanged'!C24+'CurrentPor-N10Unchanged'!F24)/100,2))*100</f>
        <v>9622.1830687052025</v>
      </c>
      <c r="D24">
        <f>(3/(1+('CurrentPor-N10Unchanged'!B24+'CurrentPor-N10Unchanged'!G24)/100)+103/POWER(1+('CurrentPor-N10Unchanged'!C24+'CurrentPor-N10Unchanged'!G24)/100,2))*100</f>
        <v>9604.3100646544463</v>
      </c>
      <c r="E24">
        <f>(3/(1+('CurrentPor-N10Unchanged'!B24+'CurrentPor-N10Unchanged'!H24)/100)+103/POWER(1+('CurrentPor-N10Unchanged'!C24+'CurrentPor-N10Unchanged'!H24)/100,2))*100</f>
        <v>9683.0473718095345</v>
      </c>
      <c r="F24">
        <f>Portfolio!B$5*'CurrentPor-N10Unchanged'!D24</f>
        <v>52143.895533915893</v>
      </c>
      <c r="G24">
        <f>Portfolio!B$6*'CurrentPor-N10Unchanged'!E24</f>
        <v>3696.2945087936532</v>
      </c>
      <c r="H24">
        <f t="shared" si="0"/>
        <v>94457.316325307562</v>
      </c>
      <c r="I24">
        <f t="shared" si="1"/>
        <v>3.3748781817121198</v>
      </c>
    </row>
    <row r="25" spans="1:9">
      <c r="A25" s="1">
        <v>39293</v>
      </c>
      <c r="B25">
        <f>(3/(1+('CurrentPor-N10Unchanged'!B25)/100)+103/POWER(1+('CurrentPor-N10Unchanged'!C25)/100,2))*100</f>
        <v>9707.5857774288397</v>
      </c>
      <c r="C25">
        <f>(3/(1+('CurrentPor-N10Unchanged'!B25+'CurrentPor-N10Unchanged'!F25)/100)+103/POWER(1+('CurrentPor-N10Unchanged'!C25+'CurrentPor-N10Unchanged'!F25)/100,2))*100</f>
        <v>9622.1830687052025</v>
      </c>
      <c r="D25">
        <f>(3/(1+('CurrentPor-N10Unchanged'!B25+'CurrentPor-N10Unchanged'!G25)/100)+103/POWER(1+('CurrentPor-N10Unchanged'!C25+'CurrentPor-N10Unchanged'!G25)/100,2))*100</f>
        <v>9600.8525262647672</v>
      </c>
      <c r="E25">
        <f>(3/(1+('CurrentPor-N10Unchanged'!B25+'CurrentPor-N10Unchanged'!H25)/100)+103/POWER(1+('CurrentPor-N10Unchanged'!C25+'CurrentPor-N10Unchanged'!H25)/100,2))*100</f>
        <v>9681.5714969712353</v>
      </c>
      <c r="F25">
        <f>Portfolio!B$5*'CurrentPor-N10Unchanged'!D25</f>
        <v>52143.895533915893</v>
      </c>
      <c r="G25">
        <f>Portfolio!B$6*'CurrentPor-N10Unchanged'!E25</f>
        <v>3696.2945087936532</v>
      </c>
      <c r="H25">
        <f t="shared" si="0"/>
        <v>94452.3829120796</v>
      </c>
      <c r="I25">
        <f t="shared" si="1"/>
        <v>1.6074739459436387</v>
      </c>
    </row>
    <row r="26" spans="1:9">
      <c r="A26" s="1">
        <v>39294</v>
      </c>
      <c r="B26">
        <f>(3/(1+('CurrentPor-N10Unchanged'!B26)/100)+103/POWER(1+('CurrentPor-N10Unchanged'!C26)/100,2))*100</f>
        <v>9707.5857774288397</v>
      </c>
      <c r="C26">
        <f>(3/(1+('CurrentPor-N10Unchanged'!B26+'CurrentPor-N10Unchanged'!F26)/100)+103/POWER(1+('CurrentPor-N10Unchanged'!C26+'CurrentPor-N10Unchanged'!F26)/100,2))*100</f>
        <v>9620.3783721850123</v>
      </c>
      <c r="D26">
        <f>(3/(1+('CurrentPor-N10Unchanged'!B26+'CurrentPor-N10Unchanged'!G26)/100)+103/POWER(1+('CurrentPor-N10Unchanged'!C26+'CurrentPor-N10Unchanged'!G26)/100,2))*100</f>
        <v>9592.3973171120942</v>
      </c>
      <c r="E26">
        <f>(3/(1+('CurrentPor-N10Unchanged'!B26+'CurrentPor-N10Unchanged'!H26)/100)+103/POWER(1+('CurrentPor-N10Unchanged'!C26+'CurrentPor-N10Unchanged'!H26)/100,2))*100</f>
        <v>9682.5007116969864</v>
      </c>
      <c r="F26">
        <f>Portfolio!B$5*'CurrentPor-N10Unchanged'!D26</f>
        <v>52143.895533915893</v>
      </c>
      <c r="G26">
        <f>Portfolio!B$6*'CurrentPor-N10Unchanged'!E26</f>
        <v>3696.2945087936532</v>
      </c>
      <c r="H26">
        <f t="shared" si="0"/>
        <v>94443.052221132471</v>
      </c>
      <c r="I26">
        <f t="shared" si="1"/>
        <v>-0.83388333505718037</v>
      </c>
    </row>
    <row r="27" spans="1:9">
      <c r="A27" s="1">
        <v>39295</v>
      </c>
      <c r="B27">
        <f>(3/(1+('CurrentPor-N10Unchanged'!B27)/100)+103/POWER(1+('CurrentPor-N10Unchanged'!C27)/100,2))*100</f>
        <v>9707.5857774288397</v>
      </c>
      <c r="C27">
        <f>(3/(1+('CurrentPor-N10Unchanged'!B27+'CurrentPor-N10Unchanged'!F27)/100)+103/POWER(1+('CurrentPor-N10Unchanged'!C27+'CurrentPor-N10Unchanged'!F27)/100,2))*100</f>
        <v>9620.3783721850123</v>
      </c>
      <c r="D27">
        <f>(3/(1+('CurrentPor-N10Unchanged'!B27+'CurrentPor-N10Unchanged'!G27)/100)+103/POWER(1+('CurrentPor-N10Unchanged'!C27+'CurrentPor-N10Unchanged'!G27)/100,2))*100</f>
        <v>9580.1025386134588</v>
      </c>
      <c r="E27">
        <f>(3/(1+('CurrentPor-N10Unchanged'!B27+'CurrentPor-N10Unchanged'!H27)/100)+103/POWER(1+('CurrentPor-N10Unchanged'!C27+'CurrentPor-N10Unchanged'!H27)/100,2))*100</f>
        <v>9683.0655932861519</v>
      </c>
      <c r="F27">
        <f>Portfolio!B$5*'CurrentPor-N10Unchanged'!D27</f>
        <v>52143.895533915893</v>
      </c>
      <c r="G27">
        <f>Portfolio!B$6*'CurrentPor-N10Unchanged'!E27</f>
        <v>3696.2945087936532</v>
      </c>
      <c r="H27">
        <f t="shared" si="0"/>
        <v>94431.322324223001</v>
      </c>
      <c r="I27">
        <f t="shared" si="1"/>
        <v>-23.284379041811917</v>
      </c>
    </row>
    <row r="28" spans="1:9">
      <c r="A28" s="1">
        <v>39296</v>
      </c>
      <c r="B28">
        <f>(3/(1+('CurrentPor-N10Unchanged'!B28)/100)+103/POWER(1+('CurrentPor-N10Unchanged'!C28)/100,2))*100</f>
        <v>9707.5857774288397</v>
      </c>
      <c r="C28">
        <f>(3/(1+('CurrentPor-N10Unchanged'!B28+'CurrentPor-N10Unchanged'!F28)/100)+103/POWER(1+('CurrentPor-N10Unchanged'!C28+'CurrentPor-N10Unchanged'!F28)/100,2))*100</f>
        <v>9622.1830687052025</v>
      </c>
      <c r="D28">
        <f>(3/(1+('CurrentPor-N10Unchanged'!B28+'CurrentPor-N10Unchanged'!G28)/100)+103/POWER(1+('CurrentPor-N10Unchanged'!C28+'CurrentPor-N10Unchanged'!G28)/100,2))*100</f>
        <v>9613.4258203789323</v>
      </c>
      <c r="E28">
        <f>(3/(1+('CurrentPor-N10Unchanged'!B28+'CurrentPor-N10Unchanged'!H28)/100)+103/POWER(1+('CurrentPor-N10Unchanged'!C28+'CurrentPor-N10Unchanged'!H28)/100,2))*100</f>
        <v>9682.8104799624489</v>
      </c>
      <c r="F28">
        <f>Portfolio!B$5*'CurrentPor-N10Unchanged'!D28</f>
        <v>52143.895533915893</v>
      </c>
      <c r="G28">
        <f>Portfolio!B$6*'CurrentPor-N10Unchanged'!E28</f>
        <v>3696.2945087936532</v>
      </c>
      <c r="H28">
        <f t="shared" si="0"/>
        <v>94466.195189184975</v>
      </c>
      <c r="I28">
        <f t="shared" si="1"/>
        <v>17.720094795600744</v>
      </c>
    </row>
    <row r="29" spans="1:9">
      <c r="A29" s="1">
        <v>39297</v>
      </c>
      <c r="B29">
        <f>(3/(1+('CurrentPor-N10Unchanged'!B29)/100)+103/POWER(1+('CurrentPor-N10Unchanged'!C29)/100,2))*100</f>
        <v>9707.5857774288397</v>
      </c>
      <c r="C29">
        <f>(3/(1+('CurrentPor-N10Unchanged'!B29+'CurrentPor-N10Unchanged'!F29)/100)+103/POWER(1+('CurrentPor-N10Unchanged'!C29+'CurrentPor-N10Unchanged'!F29)/100,2))*100</f>
        <v>9620.3783721850123</v>
      </c>
      <c r="D29">
        <f>(3/(1+('CurrentPor-N10Unchanged'!B29+'CurrentPor-N10Unchanged'!G29)/100)+103/POWER(1+('CurrentPor-N10Unchanged'!C29+'CurrentPor-N10Unchanged'!G29)/100,2))*100</f>
        <v>9596.3427647590433</v>
      </c>
      <c r="E29">
        <f>(3/(1+('CurrentPor-N10Unchanged'!B29+'CurrentPor-N10Unchanged'!H29)/100)+103/POWER(1+('CurrentPor-N10Unchanged'!C29+'CurrentPor-N10Unchanged'!H29)/100,2))*100</f>
        <v>9681.6990276353554</v>
      </c>
      <c r="F29">
        <f>Portfolio!B$5*'CurrentPor-N10Unchanged'!D29</f>
        <v>52143.895533915893</v>
      </c>
      <c r="G29">
        <f>Portfolio!B$6*'CurrentPor-N10Unchanged'!E29</f>
        <v>3696.2945087936532</v>
      </c>
      <c r="H29">
        <f t="shared" si="0"/>
        <v>94446.195984717793</v>
      </c>
      <c r="I29">
        <f t="shared" si="1"/>
        <v>10.589153707798687</v>
      </c>
    </row>
    <row r="30" spans="1:9">
      <c r="A30" s="1">
        <v>39300</v>
      </c>
      <c r="B30">
        <f>(3/(1+('CurrentPor-N10Unchanged'!B30)/100)+103/POWER(1+('CurrentPor-N10Unchanged'!C30)/100,2))*100</f>
        <v>9707.5857774288397</v>
      </c>
      <c r="C30">
        <f>(3/(1+('CurrentPor-N10Unchanged'!B30+'CurrentPor-N10Unchanged'!F30)/100)+103/POWER(1+('CurrentPor-N10Unchanged'!C30+'CurrentPor-N10Unchanged'!F30)/100,2))*100</f>
        <v>9620.3783721850123</v>
      </c>
      <c r="D30">
        <f>(3/(1+('CurrentPor-N10Unchanged'!B30+'CurrentPor-N10Unchanged'!G30)/100)+103/POWER(1+('CurrentPor-N10Unchanged'!C30+'CurrentPor-N10Unchanged'!G30)/100,2))*100</f>
        <v>9614.4858949066092</v>
      </c>
      <c r="E30">
        <f>(3/(1+('CurrentPor-N10Unchanged'!B30+'CurrentPor-N10Unchanged'!H30)/100)+103/POWER(1+('CurrentPor-N10Unchanged'!C30+'CurrentPor-N10Unchanged'!H30)/100,2))*100</f>
        <v>9679.4038563019276</v>
      </c>
      <c r="F30">
        <f>Portfolio!B$5*'CurrentPor-N10Unchanged'!D30</f>
        <v>52143.895533915893</v>
      </c>
      <c r="G30">
        <f>Portfolio!B$6*'CurrentPor-N10Unchanged'!E30</f>
        <v>3696.2945087936532</v>
      </c>
      <c r="H30">
        <f t="shared" si="0"/>
        <v>94462.043943531928</v>
      </c>
      <c r="I30">
        <f t="shared" si="1"/>
        <v>25.171619361470221</v>
      </c>
    </row>
    <row r="31" spans="1:9">
      <c r="A31" s="1">
        <v>39301</v>
      </c>
      <c r="B31">
        <f>(3/(1+('CurrentPor-N10Unchanged'!B31)/100)+103/POWER(1+('CurrentPor-N10Unchanged'!C31)/100,2))*100</f>
        <v>9707.5857774288397</v>
      </c>
      <c r="C31">
        <f>(3/(1+('CurrentPor-N10Unchanged'!B31+'CurrentPor-N10Unchanged'!F31)/100)+103/POWER(1+('CurrentPor-N10Unchanged'!C31+'CurrentPor-N10Unchanged'!F31)/100,2))*100</f>
        <v>9622.1830687052025</v>
      </c>
      <c r="D31">
        <f>(3/(1+('CurrentPor-N10Unchanged'!B31+'CurrentPor-N10Unchanged'!G31)/100)+103/POWER(1+('CurrentPor-N10Unchanged'!C31+'CurrentPor-N10Unchanged'!G31)/100,2))*100</f>
        <v>9597.2415742954363</v>
      </c>
      <c r="E31">
        <f>(3/(1+('CurrentPor-N10Unchanged'!B31+'CurrentPor-N10Unchanged'!H31)/100)+103/POWER(1+('CurrentPor-N10Unchanged'!C31+'CurrentPor-N10Unchanged'!H31)/100,2))*100</f>
        <v>9680.5149077507449</v>
      </c>
      <c r="F31">
        <f>Portfolio!B$5*'CurrentPor-N10Unchanged'!D31</f>
        <v>52143.895533915893</v>
      </c>
      <c r="G31">
        <f>Portfolio!B$6*'CurrentPor-N10Unchanged'!E31</f>
        <v>3696.2945087936532</v>
      </c>
      <c r="H31">
        <f t="shared" si="0"/>
        <v>94447.715370889782</v>
      </c>
      <c r="I31">
        <f t="shared" si="1"/>
        <v>2.5084178731194697</v>
      </c>
    </row>
    <row r="32" spans="1:9">
      <c r="A32" s="1">
        <v>39302</v>
      </c>
      <c r="B32">
        <f>(3/(1+('CurrentPor-N10Unchanged'!B32)/100)+103/POWER(1+('CurrentPor-N10Unchanged'!C32)/100,2))*100</f>
        <v>9707.5857774288397</v>
      </c>
      <c r="C32">
        <f>(3/(1+('CurrentPor-N10Unchanged'!B32+'CurrentPor-N10Unchanged'!F32)/100)+103/POWER(1+('CurrentPor-N10Unchanged'!C32+'CurrentPor-N10Unchanged'!F32)/100,2))*100</f>
        <v>9622.1830687052025</v>
      </c>
      <c r="D32">
        <f>(3/(1+('CurrentPor-N10Unchanged'!B32+'CurrentPor-N10Unchanged'!G32)/100)+103/POWER(1+('CurrentPor-N10Unchanged'!C32+'CurrentPor-N10Unchanged'!G32)/100,2))*100</f>
        <v>9608.6398236915338</v>
      </c>
      <c r="E32">
        <f>(3/(1+('CurrentPor-N10Unchanged'!B32+'CurrentPor-N10Unchanged'!H32)/100)+103/POWER(1+('CurrentPor-N10Unchanged'!C32+'CurrentPor-N10Unchanged'!H32)/100,2))*100</f>
        <v>9680.0777498733969</v>
      </c>
      <c r="F32">
        <f>Portfolio!B$5*'CurrentPor-N10Unchanged'!D32</f>
        <v>52143.895533915893</v>
      </c>
      <c r="G32">
        <f>Portfolio!B$6*'CurrentPor-N10Unchanged'!E32</f>
        <v>3696.2945087936532</v>
      </c>
      <c r="H32">
        <f t="shared" si="0"/>
        <v>94458.676462408519</v>
      </c>
      <c r="I32">
        <f t="shared" si="1"/>
        <v>19.622811996610835</v>
      </c>
    </row>
    <row r="33" spans="1:9">
      <c r="A33" s="1">
        <v>39303</v>
      </c>
      <c r="B33">
        <f>(3/(1+('CurrentPor-N10Unchanged'!B33)/100)+103/POWER(1+('CurrentPor-N10Unchanged'!C33)/100,2))*100</f>
        <v>9707.5857774288397</v>
      </c>
      <c r="C33">
        <f>(3/(1+('CurrentPor-N10Unchanged'!B33+'CurrentPor-N10Unchanged'!F33)/100)+103/POWER(1+('CurrentPor-N10Unchanged'!C33+'CurrentPor-N10Unchanged'!F33)/100,2))*100</f>
        <v>9625.7940007261659</v>
      </c>
      <c r="D33">
        <f>(3/(1+('CurrentPor-N10Unchanged'!B33+'CurrentPor-N10Unchanged'!G33)/100)+103/POWER(1+('CurrentPor-N10Unchanged'!C33+'CurrentPor-N10Unchanged'!G33)/100,2))*100</f>
        <v>9606.527963993005</v>
      </c>
      <c r="E33">
        <f>(3/(1+('CurrentPor-N10Unchanged'!B33+'CurrentPor-N10Unchanged'!H33)/100)+103/POWER(1+('CurrentPor-N10Unchanged'!C33+'CurrentPor-N10Unchanged'!H33)/100,2))*100</f>
        <v>9682.7375920633258</v>
      </c>
      <c r="F33">
        <f>Portfolio!B$5*'CurrentPor-N10Unchanged'!D33</f>
        <v>52143.895533915893</v>
      </c>
      <c r="G33">
        <f>Portfolio!B$6*'CurrentPor-N10Unchanged'!E33</f>
        <v>3696.2945087936532</v>
      </c>
      <c r="H33">
        <f t="shared" si="0"/>
        <v>94462.835376920877</v>
      </c>
      <c r="I33">
        <f t="shared" si="1"/>
        <v>-4.0981406600621995</v>
      </c>
    </row>
    <row r="34" spans="1:9">
      <c r="A34" s="1">
        <v>39304</v>
      </c>
      <c r="B34">
        <f>(3/(1+('CurrentPor-N10Unchanged'!B34)/100)+103/POWER(1+('CurrentPor-N10Unchanged'!C34)/100,2))*100</f>
        <v>9707.5857774288397</v>
      </c>
      <c r="C34">
        <f>(3/(1+('CurrentPor-N10Unchanged'!B34+'CurrentPor-N10Unchanged'!F34)/100)+103/POWER(1+('CurrentPor-N10Unchanged'!C34+'CurrentPor-N10Unchanged'!F34)/100,2))*100</f>
        <v>9625.7940007261659</v>
      </c>
      <c r="D34">
        <f>(3/(1+('CurrentPor-N10Unchanged'!B34+'CurrentPor-N10Unchanged'!G34)/100)+103/POWER(1+('CurrentPor-N10Unchanged'!C34+'CurrentPor-N10Unchanged'!G34)/100,2))*100</f>
        <v>9594.5377309936757</v>
      </c>
      <c r="E34">
        <f>(3/(1+('CurrentPor-N10Unchanged'!B34+'CurrentPor-N10Unchanged'!H34)/100)+103/POWER(1+('CurrentPor-N10Unchanged'!C34+'CurrentPor-N10Unchanged'!H34)/100,2))*100</f>
        <v>9683.2296010785903</v>
      </c>
      <c r="F34">
        <f>Portfolio!B$5*'CurrentPor-N10Unchanged'!D34</f>
        <v>52143.895533915893</v>
      </c>
      <c r="G34">
        <f>Portfolio!B$6*'CurrentPor-N10Unchanged'!E34</f>
        <v>3696.2945087936532</v>
      </c>
      <c r="H34">
        <f t="shared" si="0"/>
        <v>94451.337152936816</v>
      </c>
      <c r="I34">
        <f t="shared" si="1"/>
        <v>-5.9791723707458004</v>
      </c>
    </row>
    <row r="35" spans="1:9">
      <c r="A35" s="1">
        <v>39307</v>
      </c>
      <c r="B35">
        <f>(3/(1+('CurrentPor-N10Unchanged'!B35)/100)+103/POWER(1+('CurrentPor-N10Unchanged'!C35)/100,2))*100</f>
        <v>9707.5857774288397</v>
      </c>
      <c r="C35">
        <f>(3/(1+('CurrentPor-N10Unchanged'!B35+'CurrentPor-N10Unchanged'!F35)/100)+103/POWER(1+('CurrentPor-N10Unchanged'!C35+'CurrentPor-N10Unchanged'!F35)/100,2))*100</f>
        <v>9622.1830687052025</v>
      </c>
      <c r="D35">
        <f>(3/(1+('CurrentPor-N10Unchanged'!B35+'CurrentPor-N10Unchanged'!G35)/100)+103/POWER(1+('CurrentPor-N10Unchanged'!C35+'CurrentPor-N10Unchanged'!G35)/100,2))*100</f>
        <v>9608.7326212558746</v>
      </c>
      <c r="E35">
        <f>(3/(1+('CurrentPor-N10Unchanged'!B35+'CurrentPor-N10Unchanged'!H35)/100)+103/POWER(1+('CurrentPor-N10Unchanged'!C35+'CurrentPor-N10Unchanged'!H35)/100,2))*100</f>
        <v>9682.9744812089939</v>
      </c>
      <c r="F35">
        <f>Portfolio!B$5*'CurrentPor-N10Unchanged'!D35</f>
        <v>52143.895533915893</v>
      </c>
      <c r="G35">
        <f>Portfolio!B$6*'CurrentPor-N10Unchanged'!E35</f>
        <v>3696.2945087936532</v>
      </c>
      <c r="H35">
        <f t="shared" ref="H35:H66" si="2">SUM(B35:G35)</f>
        <v>94461.665991308459</v>
      </c>
      <c r="I35">
        <f t="shared" si="1"/>
        <v>9.2830792288586963</v>
      </c>
    </row>
    <row r="36" spans="1:9">
      <c r="A36" s="1">
        <v>39308</v>
      </c>
      <c r="B36">
        <f>(3/(1+('CurrentPor-N10Unchanged'!B36)/100)+103/POWER(1+('CurrentPor-N10Unchanged'!C36)/100,2))*100</f>
        <v>9707.5857774288397</v>
      </c>
      <c r="C36">
        <f>(3/(1+('CurrentPor-N10Unchanged'!B36+'CurrentPor-N10Unchanged'!F36)/100)+103/POWER(1+('CurrentPor-N10Unchanged'!C36+'CurrentPor-N10Unchanged'!F36)/100,2))*100</f>
        <v>9622.1830687052025</v>
      </c>
      <c r="D36">
        <f>(3/(1+('CurrentPor-N10Unchanged'!B36+'CurrentPor-N10Unchanged'!G36)/100)+103/POWER(1+('CurrentPor-N10Unchanged'!C36+'CurrentPor-N10Unchanged'!G36)/100,2))*100</f>
        <v>9607.5616854519176</v>
      </c>
      <c r="E36">
        <f>(3/(1+('CurrentPor-N10Unchanged'!B36+'CurrentPor-N10Unchanged'!H36)/100)+103/POWER(1+('CurrentPor-N10Unchanged'!C36+'CurrentPor-N10Unchanged'!H36)/100,2))*100</f>
        <v>9683.3024945884808</v>
      </c>
      <c r="F36">
        <f>Portfolio!B$5*'CurrentPor-N10Unchanged'!D36</f>
        <v>52143.895533915893</v>
      </c>
      <c r="G36">
        <f>Portfolio!B$6*'CurrentPor-N10Unchanged'!E36</f>
        <v>3696.2945087936532</v>
      </c>
      <c r="H36">
        <f t="shared" si="2"/>
        <v>94460.823068883998</v>
      </c>
      <c r="I36">
        <f t="shared" si="1"/>
        <v>17.770847751526162</v>
      </c>
    </row>
    <row r="37" spans="1:9">
      <c r="A37" s="1">
        <v>39309</v>
      </c>
      <c r="B37">
        <f>(3/(1+('CurrentPor-N10Unchanged'!B37)/100)+103/POWER(1+('CurrentPor-N10Unchanged'!C37)/100,2))*100</f>
        <v>9707.5857774288397</v>
      </c>
      <c r="C37">
        <f>(3/(1+('CurrentPor-N10Unchanged'!B37+'CurrentPor-N10Unchanged'!F37)/100)+103/POWER(1+('CurrentPor-N10Unchanged'!C37+'CurrentPor-N10Unchanged'!F37)/100,2))*100</f>
        <v>9622.1830687052025</v>
      </c>
      <c r="D37">
        <f>(3/(1+('CurrentPor-N10Unchanged'!B37+'CurrentPor-N10Unchanged'!G37)/100)+103/POWER(1+('CurrentPor-N10Unchanged'!C37+'CurrentPor-N10Unchanged'!G37)/100,2))*100</f>
        <v>9606.1106357583994</v>
      </c>
      <c r="E37">
        <f>(3/(1+('CurrentPor-N10Unchanged'!B37+'CurrentPor-N10Unchanged'!H37)/100)+103/POWER(1+('CurrentPor-N10Unchanged'!C37+'CurrentPor-N10Unchanged'!H37)/100,2))*100</f>
        <v>9682.4642685408926</v>
      </c>
      <c r="F37">
        <f>Portfolio!B$5*'CurrentPor-N10Unchanged'!D37</f>
        <v>52143.895533915893</v>
      </c>
      <c r="G37">
        <f>Portfolio!B$6*'CurrentPor-N10Unchanged'!E37</f>
        <v>3696.2945087936532</v>
      </c>
      <c r="H37">
        <f t="shared" si="2"/>
        <v>94458.53379314288</v>
      </c>
      <c r="I37">
        <f t="shared" si="1"/>
        <v>27.211468919878826</v>
      </c>
    </row>
    <row r="38" spans="1:9">
      <c r="A38" s="1">
        <v>39310</v>
      </c>
      <c r="B38">
        <f>(3/(1+('CurrentPor-N10Unchanged'!B38)/100)+103/POWER(1+('CurrentPor-N10Unchanged'!C38)/100,2))*100</f>
        <v>9707.5857774288397</v>
      </c>
      <c r="C38">
        <f>(3/(1+('CurrentPor-N10Unchanged'!B38+'CurrentPor-N10Unchanged'!F38)/100)+103/POWER(1+('CurrentPor-N10Unchanged'!C38+'CurrentPor-N10Unchanged'!F38)/100,2))*100</f>
        <v>9620.3783721850123</v>
      </c>
      <c r="D38">
        <f>(3/(1+('CurrentPor-N10Unchanged'!B38+'CurrentPor-N10Unchanged'!G38)/100)+103/POWER(1+('CurrentPor-N10Unchanged'!C38+'CurrentPor-N10Unchanged'!G38)/100,2))*100</f>
        <v>9584.5899894685554</v>
      </c>
      <c r="E38">
        <f>(3/(1+('CurrentPor-N10Unchanged'!B38+'CurrentPor-N10Unchanged'!H38)/100)+103/POWER(1+('CurrentPor-N10Unchanged'!C38+'CurrentPor-N10Unchanged'!H38)/100,2))*100</f>
        <v>9682.1909584439472</v>
      </c>
      <c r="F38">
        <f>Portfolio!B$5*'CurrentPor-N10Unchanged'!D38</f>
        <v>52143.895533915893</v>
      </c>
      <c r="G38">
        <f>Portfolio!B$6*'CurrentPor-N10Unchanged'!E38</f>
        <v>3696.2945087936532</v>
      </c>
      <c r="H38">
        <f t="shared" si="2"/>
        <v>94434.935140235903</v>
      </c>
      <c r="I38">
        <f t="shared" si="1"/>
        <v>-31.26004894907237</v>
      </c>
    </row>
    <row r="39" spans="1:9">
      <c r="A39" s="1">
        <v>39311</v>
      </c>
      <c r="B39">
        <f>(3/(1+('CurrentPor-N10Unchanged'!B39)/100)+103/POWER(1+('CurrentPor-N10Unchanged'!C39)/100,2))*100</f>
        <v>9707.5857774288397</v>
      </c>
      <c r="C39">
        <f>(3/(1+('CurrentPor-N10Unchanged'!B39+'CurrentPor-N10Unchanged'!F39)/100)+103/POWER(1+('CurrentPor-N10Unchanged'!C39+'CurrentPor-N10Unchanged'!F39)/100,2))*100</f>
        <v>9622.1830687052025</v>
      </c>
      <c r="D39">
        <f>(3/(1+('CurrentPor-N10Unchanged'!B39+'CurrentPor-N10Unchanged'!G39)/100)+103/POWER(1+('CurrentPor-N10Unchanged'!C39+'CurrentPor-N10Unchanged'!G39)/100,2))*100</f>
        <v>9592.986627535307</v>
      </c>
      <c r="E39">
        <f>(3/(1+('CurrentPor-N10Unchanged'!B39+'CurrentPor-N10Unchanged'!H39)/100)+103/POWER(1+('CurrentPor-N10Unchanged'!C39+'CurrentPor-N10Unchanged'!H39)/100,2))*100</f>
        <v>9682.2820610902218</v>
      </c>
      <c r="F39">
        <f>Portfolio!B$5*'CurrentPor-N10Unchanged'!D39</f>
        <v>52143.895533915893</v>
      </c>
      <c r="G39">
        <f>Portfolio!B$6*'CurrentPor-N10Unchanged'!E39</f>
        <v>3696.2945087936532</v>
      </c>
      <c r="H39">
        <f t="shared" si="2"/>
        <v>94445.227577469108</v>
      </c>
      <c r="I39">
        <f t="shared" si="1"/>
        <v>-0.96840724868525285</v>
      </c>
    </row>
    <row r="40" spans="1:9">
      <c r="A40" s="1">
        <v>39314</v>
      </c>
      <c r="B40">
        <f>(3/(1+('CurrentPor-N10Unchanged'!B40)/100)+103/POWER(1+('CurrentPor-N10Unchanged'!C40)/100,2))*100</f>
        <v>9707.5857774288397</v>
      </c>
      <c r="C40">
        <f>(3/(1+('CurrentPor-N10Unchanged'!B40+'CurrentPor-N10Unchanged'!F40)/100)+103/POWER(1+('CurrentPor-N10Unchanged'!C40+'CurrentPor-N10Unchanged'!F40)/100,2))*100</f>
        <v>9620.3783721850123</v>
      </c>
      <c r="D40">
        <f>(3/(1+('CurrentPor-N10Unchanged'!B40+'CurrentPor-N10Unchanged'!G40)/100)+103/POWER(1+('CurrentPor-N10Unchanged'!C40+'CurrentPor-N10Unchanged'!G40)/100,2))*100</f>
        <v>9590.0459785141047</v>
      </c>
      <c r="E40">
        <f>(3/(1+('CurrentPor-N10Unchanged'!B40+'CurrentPor-N10Unchanged'!H40)/100)+103/POWER(1+('CurrentPor-N10Unchanged'!C40+'CurrentPor-N10Unchanged'!H40)/100,2))*100</f>
        <v>9683.5029573304655</v>
      </c>
      <c r="F40">
        <f>Portfolio!B$5*'CurrentPor-N10Unchanged'!D40</f>
        <v>52143.895533915893</v>
      </c>
      <c r="G40">
        <f>Portfolio!B$6*'CurrentPor-N10Unchanged'!E40</f>
        <v>3696.2945087936532</v>
      </c>
      <c r="H40">
        <f t="shared" si="2"/>
        <v>94441.703128167966</v>
      </c>
      <c r="I40">
        <f t="shared" si="1"/>
        <v>-20.340815363961156</v>
      </c>
    </row>
    <row r="41" spans="1:9">
      <c r="A41" s="1">
        <v>39315</v>
      </c>
      <c r="B41">
        <f>(3/(1+('CurrentPor-N10Unchanged'!B41)/100)+103/POWER(1+('CurrentPor-N10Unchanged'!C41)/100,2))*100</f>
        <v>9707.5857774288397</v>
      </c>
      <c r="C41">
        <f>(3/(1+('CurrentPor-N10Unchanged'!B41+'CurrentPor-N10Unchanged'!F41)/100)+103/POWER(1+('CurrentPor-N10Unchanged'!C41+'CurrentPor-N10Unchanged'!F41)/100,2))*100</f>
        <v>9620.3783721850123</v>
      </c>
      <c r="D41">
        <f>(3/(1+('CurrentPor-N10Unchanged'!B41+'CurrentPor-N10Unchanged'!G41)/100)+103/POWER(1+('CurrentPor-N10Unchanged'!C41+'CurrentPor-N10Unchanged'!G41)/100,2))*100</f>
        <v>9590.3986063913599</v>
      </c>
      <c r="E41">
        <f>(3/(1+('CurrentPor-N10Unchanged'!B41+'CurrentPor-N10Unchanged'!H41)/100)+103/POWER(1+('CurrentPor-N10Unchanged'!C41+'CurrentPor-N10Unchanged'!H41)/100,2))*100</f>
        <v>9681.2800068736287</v>
      </c>
      <c r="F41">
        <f>Portfolio!B$5*'CurrentPor-N10Unchanged'!D41</f>
        <v>52143.895533915893</v>
      </c>
      <c r="G41">
        <f>Portfolio!B$6*'CurrentPor-N10Unchanged'!E41</f>
        <v>3696.2945087936532</v>
      </c>
      <c r="H41">
        <f t="shared" si="2"/>
        <v>94439.832805588376</v>
      </c>
      <c r="I41">
        <f t="shared" si="1"/>
        <v>-7.8825653014064301</v>
      </c>
    </row>
    <row r="42" spans="1:9">
      <c r="A42" s="1">
        <v>39316</v>
      </c>
      <c r="B42">
        <f>(3/(1+('CurrentPor-N10Unchanged'!B42)/100)+103/POWER(1+('CurrentPor-N10Unchanged'!C42)/100,2))*100</f>
        <v>9707.5857774288397</v>
      </c>
      <c r="C42">
        <f>(3/(1+('CurrentPor-N10Unchanged'!B42+'CurrentPor-N10Unchanged'!F42)/100)+103/POWER(1+('CurrentPor-N10Unchanged'!C42+'CurrentPor-N10Unchanged'!F42)/100,2))*100</f>
        <v>9623.98827815396</v>
      </c>
      <c r="D42">
        <f>(3/(1+('CurrentPor-N10Unchanged'!B42+'CurrentPor-N10Unchanged'!G42)/100)+103/POWER(1+('CurrentPor-N10Unchanged'!C42+'CurrentPor-N10Unchanged'!G42)/100,2))*100</f>
        <v>9598.9630495882157</v>
      </c>
      <c r="E42">
        <f>(3/(1+('CurrentPor-N10Unchanged'!B42+'CurrentPor-N10Unchanged'!H42)/100)+103/POWER(1+('CurrentPor-N10Unchanged'!C42+'CurrentPor-N10Unchanged'!H42)/100,2))*100</f>
        <v>9683.2478248126099</v>
      </c>
      <c r="F42">
        <f>Portfolio!B$5*'CurrentPor-N10Unchanged'!D42</f>
        <v>52143.895533915893</v>
      </c>
      <c r="G42">
        <f>Portfolio!B$6*'CurrentPor-N10Unchanged'!E42</f>
        <v>3696.2945087936532</v>
      </c>
      <c r="H42">
        <f t="shared" si="2"/>
        <v>94453.974972693162</v>
      </c>
      <c r="I42">
        <f t="shared" si="1"/>
        <v>-4.701489715356729</v>
      </c>
    </row>
    <row r="43" spans="1:9">
      <c r="A43" s="1">
        <v>39317</v>
      </c>
      <c r="B43">
        <f>(3/(1+('CurrentPor-N10Unchanged'!B43)/100)+103/POWER(1+('CurrentPor-N10Unchanged'!C43)/100,2))*100</f>
        <v>9707.5857774288397</v>
      </c>
      <c r="C43">
        <f>(3/(1+('CurrentPor-N10Unchanged'!B43+'CurrentPor-N10Unchanged'!F43)/100)+103/POWER(1+('CurrentPor-N10Unchanged'!C43+'CurrentPor-N10Unchanged'!F43)/100,2))*100</f>
        <v>9618.5741883985884</v>
      </c>
      <c r="D43">
        <f>(3/(1+('CurrentPor-N10Unchanged'!B43+'CurrentPor-N10Unchanged'!G43)/100)+103/POWER(1+('CurrentPor-N10Unchanged'!C43+'CurrentPor-N10Unchanged'!G43)/100,2))*100</f>
        <v>9606.9286815533123</v>
      </c>
      <c r="E43">
        <f>(3/(1+('CurrentPor-N10Unchanged'!B43+'CurrentPor-N10Unchanged'!H43)/100)+103/POWER(1+('CurrentPor-N10Unchanged'!C43+'CurrentPor-N10Unchanged'!H43)/100,2))*100</f>
        <v>9678.2201598923075</v>
      </c>
      <c r="F43">
        <f>Portfolio!B$5*'CurrentPor-N10Unchanged'!D43</f>
        <v>52143.895533915893</v>
      </c>
      <c r="G43">
        <f>Portfolio!B$6*'CurrentPor-N10Unchanged'!E43</f>
        <v>3696.2945087936532</v>
      </c>
      <c r="H43">
        <f t="shared" si="2"/>
        <v>94451.498849982599</v>
      </c>
      <c r="I43">
        <f t="shared" si="1"/>
        <v>-11.33652693827753</v>
      </c>
    </row>
    <row r="44" spans="1:9">
      <c r="A44" s="1">
        <v>39318</v>
      </c>
      <c r="B44">
        <f>(3/(1+('CurrentPor-N10Unchanged'!B44)/100)+103/POWER(1+('CurrentPor-N10Unchanged'!C44)/100,2))*100</f>
        <v>9707.5857774288397</v>
      </c>
      <c r="C44">
        <f>(3/(1+('CurrentPor-N10Unchanged'!B44+'CurrentPor-N10Unchanged'!F44)/100)+103/POWER(1+('CurrentPor-N10Unchanged'!C44+'CurrentPor-N10Unchanged'!F44)/100,2))*100</f>
        <v>9618.5741883985884</v>
      </c>
      <c r="D44">
        <f>(3/(1+('CurrentPor-N10Unchanged'!B44+'CurrentPor-N10Unchanged'!G44)/100)+103/POWER(1+('CurrentPor-N10Unchanged'!C44+'CurrentPor-N10Unchanged'!G44)/100,2))*100</f>
        <v>9600.4295335271127</v>
      </c>
      <c r="E44">
        <f>(3/(1+('CurrentPor-N10Unchanged'!B44+'CurrentPor-N10Unchanged'!H44)/100)+103/POWER(1+('CurrentPor-N10Unchanged'!C44+'CurrentPor-N10Unchanged'!H44)/100,2))*100</f>
        <v>9678.5297207193616</v>
      </c>
      <c r="F44">
        <f>Portfolio!B$5*'CurrentPor-N10Unchanged'!D44</f>
        <v>52143.895533915893</v>
      </c>
      <c r="G44">
        <f>Portfolio!B$6*'CurrentPor-N10Unchanged'!E44</f>
        <v>3696.2945087936532</v>
      </c>
      <c r="H44">
        <f t="shared" si="2"/>
        <v>94445.309262783441</v>
      </c>
      <c r="I44">
        <f t="shared" si="1"/>
        <v>-6.0278901533747558</v>
      </c>
    </row>
    <row r="45" spans="1:9">
      <c r="A45" s="1">
        <v>39321</v>
      </c>
      <c r="B45">
        <f>(3/(1+('CurrentPor-N10Unchanged'!B45)/100)+103/POWER(1+('CurrentPor-N10Unchanged'!C45)/100,2))*100</f>
        <v>9707.5857774288397</v>
      </c>
      <c r="C45">
        <f>(3/(1+('CurrentPor-N10Unchanged'!B45+'CurrentPor-N10Unchanged'!F45)/100)+103/POWER(1+('CurrentPor-N10Unchanged'!C45+'CurrentPor-N10Unchanged'!F45)/100,2))*100</f>
        <v>9616.7705171512371</v>
      </c>
      <c r="D45">
        <f>(3/(1+('CurrentPor-N10Unchanged'!B45+'CurrentPor-N10Unchanged'!G45)/100)+103/POWER(1+('CurrentPor-N10Unchanged'!C45+'CurrentPor-N10Unchanged'!G45)/100,2))*100</f>
        <v>9604.6783978490421</v>
      </c>
      <c r="E45">
        <f>(3/(1+('CurrentPor-N10Unchanged'!B45+'CurrentPor-N10Unchanged'!H45)/100)+103/POWER(1+('CurrentPor-N10Unchanged'!C45+'CurrentPor-N10Unchanged'!H45)/100,2))*100</f>
        <v>9676.3813140356069</v>
      </c>
      <c r="F45">
        <f>Portfolio!B$5*'CurrentPor-N10Unchanged'!D45</f>
        <v>52143.895533915893</v>
      </c>
      <c r="G45">
        <f>Portfolio!B$6*'CurrentPor-N10Unchanged'!E45</f>
        <v>3696.2945087936532</v>
      </c>
      <c r="H45">
        <f t="shared" si="2"/>
        <v>94445.606049174268</v>
      </c>
      <c r="I45">
        <f t="shared" si="1"/>
        <v>-16.059942134190351</v>
      </c>
    </row>
    <row r="46" spans="1:9">
      <c r="A46" s="1">
        <v>39322</v>
      </c>
      <c r="B46">
        <f>(3/(1+('CurrentPor-N10Unchanged'!B46)/100)+103/POWER(1+('CurrentPor-N10Unchanged'!C46)/100,2))*100</f>
        <v>9707.5857774288397</v>
      </c>
      <c r="C46">
        <f>(3/(1+('CurrentPor-N10Unchanged'!B46+'CurrentPor-N10Unchanged'!F46)/100)+103/POWER(1+('CurrentPor-N10Unchanged'!C46+'CurrentPor-N10Unchanged'!F46)/100,2))*100</f>
        <v>9622.1830687052025</v>
      </c>
      <c r="D46">
        <f>(3/(1+('CurrentPor-N10Unchanged'!B46+'CurrentPor-N10Unchanged'!G46)/100)+103/POWER(1+('CurrentPor-N10Unchanged'!C46+'CurrentPor-N10Unchanged'!G46)/100,2))*100</f>
        <v>9603.5136274222132</v>
      </c>
      <c r="E46">
        <f>(3/(1+('CurrentPor-N10Unchanged'!B46+'CurrentPor-N10Unchanged'!H46)/100)+103/POWER(1+('CurrentPor-N10Unchanged'!C46+'CurrentPor-N10Unchanged'!H46)/100,2))*100</f>
        <v>9678.8028742649876</v>
      </c>
      <c r="F46">
        <f>Portfolio!B$5*'CurrentPor-N10Unchanged'!D46</f>
        <v>52143.895533915893</v>
      </c>
      <c r="G46">
        <f>Portfolio!B$6*'CurrentPor-N10Unchanged'!E46</f>
        <v>3696.2945087936532</v>
      </c>
      <c r="H46">
        <f t="shared" si="2"/>
        <v>94452.275390530791</v>
      </c>
      <c r="I46">
        <f t="shared" si="1"/>
        <v>-8.5476783532067202</v>
      </c>
    </row>
    <row r="47" spans="1:9">
      <c r="A47" s="1">
        <v>39323</v>
      </c>
      <c r="B47">
        <f>(3/(1+('CurrentPor-N10Unchanged'!B47)/100)+103/POWER(1+('CurrentPor-N10Unchanged'!C47)/100,2))*100</f>
        <v>9707.5857774288397</v>
      </c>
      <c r="C47">
        <f>(3/(1+('CurrentPor-N10Unchanged'!B47+'CurrentPor-N10Unchanged'!F47)/100)+103/POWER(1+('CurrentPor-N10Unchanged'!C47+'CurrentPor-N10Unchanged'!F47)/100,2))*100</f>
        <v>9620.3783721850123</v>
      </c>
      <c r="D47">
        <f>(3/(1+('CurrentPor-N10Unchanged'!B47+'CurrentPor-N10Unchanged'!G47)/100)+103/POWER(1+('CurrentPor-N10Unchanged'!C47+'CurrentPor-N10Unchanged'!G47)/100,2))*100</f>
        <v>9595.1709859650473</v>
      </c>
      <c r="E47">
        <f>(3/(1+('CurrentPor-N10Unchanged'!B47+'CurrentPor-N10Unchanged'!H47)/100)+103/POWER(1+('CurrentPor-N10Unchanged'!C47+'CurrentPor-N10Unchanged'!H47)/100,2))*100</f>
        <v>9678.4022532928229</v>
      </c>
      <c r="F47">
        <f>Portfolio!B$5*'CurrentPor-N10Unchanged'!D47</f>
        <v>52143.895533915893</v>
      </c>
      <c r="G47">
        <f>Portfolio!B$6*'CurrentPor-N10Unchanged'!E47</f>
        <v>3696.2945087936532</v>
      </c>
      <c r="H47">
        <f t="shared" si="2"/>
        <v>94441.727431581268</v>
      </c>
      <c r="I47">
        <f t="shared" si="1"/>
        <v>-16.806361561611993</v>
      </c>
    </row>
    <row r="48" spans="1:9">
      <c r="A48" s="1">
        <v>39324</v>
      </c>
      <c r="B48">
        <f>(3/(1+('CurrentPor-N10Unchanged'!B48)/100)+103/POWER(1+('CurrentPor-N10Unchanged'!C48)/100,2))*100</f>
        <v>9707.5857774288397</v>
      </c>
      <c r="C48">
        <f>(3/(1+('CurrentPor-N10Unchanged'!B48+'CurrentPor-N10Unchanged'!F48)/100)+103/POWER(1+('CurrentPor-N10Unchanged'!C48+'CurrentPor-N10Unchanged'!F48)/100,2))*100</f>
        <v>9618.5741883985884</v>
      </c>
      <c r="D48">
        <f>(3/(1+('CurrentPor-N10Unchanged'!B48+'CurrentPor-N10Unchanged'!G48)/100)+103/POWER(1+('CurrentPor-N10Unchanged'!C48+'CurrentPor-N10Unchanged'!G48)/100,2))*100</f>
        <v>9596.8867541885575</v>
      </c>
      <c r="E48">
        <f>(3/(1+('CurrentPor-N10Unchanged'!B48+'CurrentPor-N10Unchanged'!H48)/100)+103/POWER(1+('CurrentPor-N10Unchanged'!C48+'CurrentPor-N10Unchanged'!H48)/100,2))*100</f>
        <v>9680.496691807788</v>
      </c>
      <c r="F48">
        <f>Portfolio!B$5*'CurrentPor-N10Unchanged'!D48</f>
        <v>52143.895533915893</v>
      </c>
      <c r="G48">
        <f>Portfolio!B$6*'CurrentPor-N10Unchanged'!E48</f>
        <v>3696.2945087936532</v>
      </c>
      <c r="H48">
        <f t="shared" si="2"/>
        <v>94443.733454533329</v>
      </c>
      <c r="I48">
        <f t="shared" si="1"/>
        <v>8.7983142974262591</v>
      </c>
    </row>
    <row r="49" spans="1:9">
      <c r="A49" s="1">
        <v>39325</v>
      </c>
      <c r="B49">
        <f>(3/(1+('CurrentPor-N10Unchanged'!B49)/100)+103/POWER(1+('CurrentPor-N10Unchanged'!C49)/100,2))*100</f>
        <v>9707.5857774288397</v>
      </c>
      <c r="C49">
        <f>(3/(1+('CurrentPor-N10Unchanged'!B49+'CurrentPor-N10Unchanged'!F49)/100)+103/POWER(1+('CurrentPor-N10Unchanged'!C49+'CurrentPor-N10Unchanged'!F49)/100,2))*100</f>
        <v>9623.98827815396</v>
      </c>
      <c r="D49">
        <f>(3/(1+('CurrentPor-N10Unchanged'!B49+'CurrentPor-N10Unchanged'!G49)/100)+103/POWER(1+('CurrentPor-N10Unchanged'!C49+'CurrentPor-N10Unchanged'!G49)/100,2))*100</f>
        <v>9624.7030766889202</v>
      </c>
      <c r="E49">
        <f>(3/(1+('CurrentPor-N10Unchanged'!B49+'CurrentPor-N10Unchanged'!H49)/100)+103/POWER(1+('CurrentPor-N10Unchanged'!C49+'CurrentPor-N10Unchanged'!H49)/100,2))*100</f>
        <v>9680.5331237456321</v>
      </c>
      <c r="F49">
        <f>Portfolio!B$5*'CurrentPor-N10Unchanged'!D49</f>
        <v>52143.895533915893</v>
      </c>
      <c r="G49">
        <f>Portfolio!B$6*'CurrentPor-N10Unchanged'!E49</f>
        <v>3696.2945087936532</v>
      </c>
      <c r="H49">
        <f t="shared" si="2"/>
        <v>94477.000298726896</v>
      </c>
      <c r="I49">
        <f t="shared" si="1"/>
        <v>31.772721257788362</v>
      </c>
    </row>
    <row r="50" spans="1:9">
      <c r="A50" s="1">
        <v>39328</v>
      </c>
      <c r="B50">
        <f>(3/(1+('CurrentPor-N10Unchanged'!B50)/100)+103/POWER(1+('CurrentPor-N10Unchanged'!C50)/100,2))*100</f>
        <v>9707.5857774288397</v>
      </c>
      <c r="C50">
        <f>(3/(1+('CurrentPor-N10Unchanged'!B50+'CurrentPor-N10Unchanged'!F50)/100)+103/POWER(1+('CurrentPor-N10Unchanged'!C50+'CurrentPor-N10Unchanged'!F50)/100,2))*100</f>
        <v>9623.98827815396</v>
      </c>
      <c r="D50">
        <f>(3/(1+('CurrentPor-N10Unchanged'!B50+'CurrentPor-N10Unchanged'!G50)/100)+103/POWER(1+('CurrentPor-N10Unchanged'!C50+'CurrentPor-N10Unchanged'!G50)/100,2))*100</f>
        <v>9610.8341407352054</v>
      </c>
      <c r="E50">
        <f>(3/(1+('CurrentPor-N10Unchanged'!B50+'CurrentPor-N10Unchanged'!H50)/100)+103/POWER(1+('CurrentPor-N10Unchanged'!C50+'CurrentPor-N10Unchanged'!H50)/100,2))*100</f>
        <v>9677.5464639503971</v>
      </c>
      <c r="F50">
        <f>Portfolio!B$5*'CurrentPor-N10Unchanged'!D50</f>
        <v>52143.895533915893</v>
      </c>
      <c r="G50">
        <f>Portfolio!B$6*'CurrentPor-N10Unchanged'!E50</f>
        <v>3696.2945087936532</v>
      </c>
      <c r="H50">
        <f t="shared" si="2"/>
        <v>94460.144702977952</v>
      </c>
      <c r="I50">
        <f t="shared" si="1"/>
        <v>18.441574809985468</v>
      </c>
    </row>
    <row r="51" spans="1:9">
      <c r="A51" s="1">
        <v>39329</v>
      </c>
      <c r="B51">
        <f>(3/(1+('CurrentPor-N10Unchanged'!B51)/100)+103/POWER(1+('CurrentPor-N10Unchanged'!C51)/100,2))*100</f>
        <v>9707.5857774288397</v>
      </c>
      <c r="C51">
        <f>(3/(1+('CurrentPor-N10Unchanged'!B51+'CurrentPor-N10Unchanged'!F51)/100)+103/POWER(1+('CurrentPor-N10Unchanged'!C51+'CurrentPor-N10Unchanged'!F51)/100,2))*100</f>
        <v>9623.98827815396</v>
      </c>
      <c r="D51">
        <f>(3/(1+('CurrentPor-N10Unchanged'!B51+'CurrentPor-N10Unchanged'!G51)/100)+103/POWER(1+('CurrentPor-N10Unchanged'!C51+'CurrentPor-N10Unchanged'!G51)/100,2))*100</f>
        <v>9591.9017329797862</v>
      </c>
      <c r="E51">
        <f>(3/(1+('CurrentPor-N10Unchanged'!B51+'CurrentPor-N10Unchanged'!H51)/100)+103/POWER(1+('CurrentPor-N10Unchanged'!C51+'CurrentPor-N10Unchanged'!H51)/100,2))*100</f>
        <v>9676.9638606911049</v>
      </c>
      <c r="F51">
        <f>Portfolio!B$5*'CurrentPor-N10Unchanged'!D51</f>
        <v>52143.895533915893</v>
      </c>
      <c r="G51">
        <f>Portfolio!B$6*'CurrentPor-N10Unchanged'!E51</f>
        <v>3696.2945087936532</v>
      </c>
      <c r="H51">
        <f t="shared" si="2"/>
        <v>94440.62969196323</v>
      </c>
      <c r="I51">
        <f t="shared" si="1"/>
        <v>0.79688637485378422</v>
      </c>
    </row>
    <row r="52" spans="1:9">
      <c r="A52" s="1">
        <v>39330</v>
      </c>
      <c r="B52">
        <f>(3/(1+('CurrentPor-N10Unchanged'!B52)/100)+103/POWER(1+('CurrentPor-N10Unchanged'!C52)/100,2))*100</f>
        <v>9707.5857774288397</v>
      </c>
      <c r="C52">
        <f>(3/(1+('CurrentPor-N10Unchanged'!B52+'CurrentPor-N10Unchanged'!F52)/100)+103/POWER(1+('CurrentPor-N10Unchanged'!C52+'CurrentPor-N10Unchanged'!F52)/100,2))*100</f>
        <v>9623.98827815396</v>
      </c>
      <c r="D52">
        <f>(3/(1+('CurrentPor-N10Unchanged'!B52+'CurrentPor-N10Unchanged'!G52)/100)+103/POWER(1+('CurrentPor-N10Unchanged'!C52+'CurrentPor-N10Unchanged'!G52)/100,2))*100</f>
        <v>9602.5500356131615</v>
      </c>
      <c r="E52">
        <f>(3/(1+('CurrentPor-N10Unchanged'!B52+'CurrentPor-N10Unchanged'!H52)/100)+103/POWER(1+('CurrentPor-N10Unchanged'!C52+'CurrentPor-N10Unchanged'!H52)/100,2))*100</f>
        <v>9674.9433798658083</v>
      </c>
      <c r="F52">
        <f>Portfolio!B$5*'CurrentPor-N10Unchanged'!D52</f>
        <v>52143.895533915893</v>
      </c>
      <c r="G52">
        <f>Portfolio!B$6*'CurrentPor-N10Unchanged'!E52</f>
        <v>3696.2945087936532</v>
      </c>
      <c r="H52">
        <f t="shared" si="2"/>
        <v>94449.257513771314</v>
      </c>
      <c r="I52">
        <f t="shared" si="1"/>
        <v>-4.7174589218484471</v>
      </c>
    </row>
    <row r="53" spans="1:9">
      <c r="A53" s="1">
        <v>39331</v>
      </c>
      <c r="B53">
        <f>(3/(1+('CurrentPor-N10Unchanged'!B53)/100)+103/POWER(1+('CurrentPor-N10Unchanged'!C53)/100,2))*100</f>
        <v>9707.5857774288397</v>
      </c>
      <c r="C53">
        <f>(3/(1+('CurrentPor-N10Unchanged'!B53+'CurrentPor-N10Unchanged'!F53)/100)+103/POWER(1+('CurrentPor-N10Unchanged'!C53+'CurrentPor-N10Unchanged'!F53)/100,2))*100</f>
        <v>9629.4069860209238</v>
      </c>
      <c r="D53">
        <f>(3/(1+('CurrentPor-N10Unchanged'!B53+'CurrentPor-N10Unchanged'!G53)/100)+103/POWER(1+('CurrentPor-N10Unchanged'!C53+'CurrentPor-N10Unchanged'!G53)/100,2))*100</f>
        <v>9610.7303003650195</v>
      </c>
      <c r="E53">
        <f>(3/(1+('CurrentPor-N10Unchanged'!B53+'CurrentPor-N10Unchanged'!H53)/100)+103/POWER(1+('CurrentPor-N10Unchanged'!C53+'CurrentPor-N10Unchanged'!H53)/100,2))*100</f>
        <v>9676.6179693770573</v>
      </c>
      <c r="F53">
        <f>Portfolio!B$5*'CurrentPor-N10Unchanged'!D53</f>
        <v>52143.895533915893</v>
      </c>
      <c r="G53">
        <f>Portfolio!B$6*'CurrentPor-N10Unchanged'!E53</f>
        <v>3696.2945087936532</v>
      </c>
      <c r="H53">
        <f t="shared" si="2"/>
        <v>94464.531075901381</v>
      </c>
      <c r="I53">
        <f t="shared" si="1"/>
        <v>13.032225918781478</v>
      </c>
    </row>
    <row r="54" spans="1:9">
      <c r="A54" s="1">
        <v>39332</v>
      </c>
      <c r="B54">
        <f>(3/(1+('CurrentPor-N10Unchanged'!B54)/100)+103/POWER(1+('CurrentPor-N10Unchanged'!C54)/100,2))*100</f>
        <v>9707.5857774288397</v>
      </c>
      <c r="C54">
        <f>(3/(1+('CurrentPor-N10Unchanged'!B54+'CurrentPor-N10Unchanged'!F54)/100)+103/POWER(1+('CurrentPor-N10Unchanged'!C54+'CurrentPor-N10Unchanged'!F54)/100,2))*100</f>
        <v>9631.2142491337127</v>
      </c>
      <c r="D54">
        <f>(3/(1+('CurrentPor-N10Unchanged'!B54+'CurrentPor-N10Unchanged'!G54)/100)+103/POWER(1+('CurrentPor-N10Unchanged'!C54+'CurrentPor-N10Unchanged'!G54)/100,2))*100</f>
        <v>9582.0723452286602</v>
      </c>
      <c r="E54">
        <f>(3/(1+('CurrentPor-N10Unchanged'!B54+'CurrentPor-N10Unchanged'!H54)/100)+103/POWER(1+('CurrentPor-N10Unchanged'!C54+'CurrentPor-N10Unchanged'!H54)/100,2))*100</f>
        <v>9678.4204632656547</v>
      </c>
      <c r="F54">
        <f>Portfolio!B$5*'CurrentPor-N10Unchanged'!D54</f>
        <v>52143.895533915893</v>
      </c>
      <c r="G54">
        <f>Portfolio!B$6*'CurrentPor-N10Unchanged'!E54</f>
        <v>3696.2945087936532</v>
      </c>
      <c r="H54">
        <f t="shared" si="2"/>
        <v>94439.482877766422</v>
      </c>
      <c r="I54">
        <f t="shared" si="1"/>
        <v>-5.8263850170187652</v>
      </c>
    </row>
    <row r="55" spans="1:9">
      <c r="A55" s="1">
        <v>39335</v>
      </c>
      <c r="B55">
        <f>(3/(1+('CurrentPor-N10Unchanged'!B55)/100)+103/POWER(1+('CurrentPor-N10Unchanged'!C55)/100,2))*100</f>
        <v>9707.5857774288397</v>
      </c>
      <c r="C55">
        <f>(3/(1+('CurrentPor-N10Unchanged'!B55+'CurrentPor-N10Unchanged'!F55)/100)+103/POWER(1+('CurrentPor-N10Unchanged'!C55+'CurrentPor-N10Unchanged'!F55)/100,2))*100</f>
        <v>9633.0220261504182</v>
      </c>
      <c r="D55">
        <f>(3/(1+('CurrentPor-N10Unchanged'!B55+'CurrentPor-N10Unchanged'!G55)/100)+103/POWER(1+('CurrentPor-N10Unchanged'!C55+'CurrentPor-N10Unchanged'!G55)/100,2))*100</f>
        <v>9590.7574615146805</v>
      </c>
      <c r="E55">
        <f>(3/(1+('CurrentPor-N10Unchanged'!B55+'CurrentPor-N10Unchanged'!H55)/100)+103/POWER(1+('CurrentPor-N10Unchanged'!C55+'CurrentPor-N10Unchanged'!H55)/100,2))*100</f>
        <v>9676.1992782327652</v>
      </c>
      <c r="F55">
        <f>Portfolio!B$5*'CurrentPor-N10Unchanged'!D55</f>
        <v>52143.895533915893</v>
      </c>
      <c r="G55">
        <f>Portfolio!B$6*'CurrentPor-N10Unchanged'!E55</f>
        <v>3696.2945087936532</v>
      </c>
      <c r="H55">
        <f t="shared" si="2"/>
        <v>94447.754586036259</v>
      </c>
      <c r="I55">
        <f t="shared" si="1"/>
        <v>2.1485368619905785</v>
      </c>
    </row>
    <row r="56" spans="1:9">
      <c r="A56" s="1">
        <v>39336</v>
      </c>
      <c r="B56">
        <f>(3/(1+('CurrentPor-N10Unchanged'!B56)/100)+103/POWER(1+('CurrentPor-N10Unchanged'!C56)/100,2))*100</f>
        <v>9707.5857774288397</v>
      </c>
      <c r="C56">
        <f>(3/(1+('CurrentPor-N10Unchanged'!B56+'CurrentPor-N10Unchanged'!F56)/100)+103/POWER(1+('CurrentPor-N10Unchanged'!C56+'CurrentPor-N10Unchanged'!F56)/100,2))*100</f>
        <v>9634.8303172663855</v>
      </c>
      <c r="D56">
        <f>(3/(1+('CurrentPor-N10Unchanged'!B56+'CurrentPor-N10Unchanged'!G56)/100)+103/POWER(1+('CurrentPor-N10Unchanged'!C56+'CurrentPor-N10Unchanged'!G56)/100,2))*100</f>
        <v>9589.4873307870294</v>
      </c>
      <c r="E56">
        <f>(3/(1+('CurrentPor-N10Unchanged'!B56+'CurrentPor-N10Unchanged'!H56)/100)+103/POWER(1+('CurrentPor-N10Unchanged'!C56+'CurrentPor-N10Unchanged'!H56)/100,2))*100</f>
        <v>9678.966772692831</v>
      </c>
      <c r="F56">
        <f>Portfolio!B$5*'CurrentPor-N10Unchanged'!D56</f>
        <v>52143.895533915893</v>
      </c>
      <c r="G56">
        <f>Portfolio!B$6*'CurrentPor-N10Unchanged'!E56</f>
        <v>3696.2945087936532</v>
      </c>
      <c r="H56">
        <f t="shared" si="2"/>
        <v>94451.060240884632</v>
      </c>
      <c r="I56">
        <f t="shared" si="1"/>
        <v>-1.2151496461592615</v>
      </c>
    </row>
    <row r="57" spans="1:9">
      <c r="A57" s="1">
        <v>39337</v>
      </c>
      <c r="B57">
        <f>(3/(1+('CurrentPor-N10Unchanged'!B57)/100)+103/POWER(1+('CurrentPor-N10Unchanged'!C57)/100,2))*100</f>
        <v>9707.5857774288397</v>
      </c>
      <c r="C57">
        <f>(3/(1+('CurrentPor-N10Unchanged'!B57+'CurrentPor-N10Unchanged'!F57)/100)+103/POWER(1+('CurrentPor-N10Unchanged'!C57+'CurrentPor-N10Unchanged'!F57)/100,2))*100</f>
        <v>9638.4484425779829</v>
      </c>
      <c r="D57">
        <f>(3/(1+('CurrentPor-N10Unchanged'!B57+'CurrentPor-N10Unchanged'!G57)/100)+103/POWER(1+('CurrentPor-N10Unchanged'!C57+'CurrentPor-N10Unchanged'!G57)/100,2))*100</f>
        <v>9609.4433094780234</v>
      </c>
      <c r="E57">
        <f>(3/(1+('CurrentPor-N10Unchanged'!B57+'CurrentPor-N10Unchanged'!H57)/100)+103/POWER(1+('CurrentPor-N10Unchanged'!C57+'CurrentPor-N10Unchanged'!H57)/100,2))*100</f>
        <v>9680.0595351765915</v>
      </c>
      <c r="F57">
        <f>Portfolio!B$5*'CurrentPor-N10Unchanged'!D57</f>
        <v>52143.895533915893</v>
      </c>
      <c r="G57">
        <f>Portfolio!B$6*'CurrentPor-N10Unchanged'!E57</f>
        <v>3696.2945087936532</v>
      </c>
      <c r="H57">
        <f t="shared" si="2"/>
        <v>94475.727107370971</v>
      </c>
      <c r="I57">
        <f t="shared" si="1"/>
        <v>33.999675789702451</v>
      </c>
    </row>
    <row r="58" spans="1:9">
      <c r="A58" s="1">
        <v>39338</v>
      </c>
      <c r="B58">
        <f>(3/(1+('CurrentPor-N10Unchanged'!B58)/100)+103/POWER(1+('CurrentPor-N10Unchanged'!C58)/100,2))*100</f>
        <v>9707.5857774288397</v>
      </c>
      <c r="C58">
        <f>(3/(1+('CurrentPor-N10Unchanged'!B58+'CurrentPor-N10Unchanged'!F58)/100)+103/POWER(1+('CurrentPor-N10Unchanged'!C58+'CurrentPor-N10Unchanged'!F58)/100,2))*100</f>
        <v>9640.2582771647722</v>
      </c>
      <c r="D58">
        <f>(3/(1+('CurrentPor-N10Unchanged'!B58+'CurrentPor-N10Unchanged'!G58)/100)+103/POWER(1+('CurrentPor-N10Unchanged'!C58+'CurrentPor-N10Unchanged'!G58)/100,2))*100</f>
        <v>9610.8271286705021</v>
      </c>
      <c r="E58">
        <f>(3/(1+('CurrentPor-N10Unchanged'!B58+'CurrentPor-N10Unchanged'!H58)/100)+103/POWER(1+('CurrentPor-N10Unchanged'!C58+'CurrentPor-N10Unchanged'!H58)/100,2))*100</f>
        <v>9682.8104799624489</v>
      </c>
      <c r="F58">
        <f>Portfolio!B$5*'CurrentPor-N10Unchanged'!D58</f>
        <v>52143.895533915893</v>
      </c>
      <c r="G58">
        <f>Portfolio!B$6*'CurrentPor-N10Unchanged'!E58</f>
        <v>3696.2945087936532</v>
      </c>
      <c r="H58">
        <f t="shared" si="2"/>
        <v>94481.671705936111</v>
      </c>
      <c r="I58">
        <f t="shared" si="1"/>
        <v>37.938251402782043</v>
      </c>
    </row>
    <row r="59" spans="1:9">
      <c r="A59" s="1">
        <v>39339</v>
      </c>
      <c r="B59">
        <f>(3/(1+('CurrentPor-N10Unchanged'!B59)/100)+103/POWER(1+('CurrentPor-N10Unchanged'!C59)/100,2))*100</f>
        <v>9707.5857774288397</v>
      </c>
      <c r="C59">
        <f>(3/(1+('CurrentPor-N10Unchanged'!B59+'CurrentPor-N10Unchanged'!F59)/100)+103/POWER(1+('CurrentPor-N10Unchanged'!C59+'CurrentPor-N10Unchanged'!F59)/100,2))*100</f>
        <v>9642.0686266331541</v>
      </c>
      <c r="D59">
        <f>(3/(1+('CurrentPor-N10Unchanged'!B59+'CurrentPor-N10Unchanged'!G59)/100)+103/POWER(1+('CurrentPor-N10Unchanged'!C59+'CurrentPor-N10Unchanged'!G59)/100,2))*100</f>
        <v>9596.9147464911293</v>
      </c>
      <c r="E59">
        <f>(3/(1+('CurrentPor-N10Unchanged'!B59+'CurrentPor-N10Unchanged'!H59)/100)+103/POWER(1+('CurrentPor-N10Unchanged'!C59+'CurrentPor-N10Unchanged'!H59)/100,2))*100</f>
        <v>9683.6851995883117</v>
      </c>
      <c r="F59">
        <f>Portfolio!B$5*'CurrentPor-N10Unchanged'!D59</f>
        <v>52143.895533915893</v>
      </c>
      <c r="G59">
        <f>Portfolio!B$6*'CurrentPor-N10Unchanged'!E59</f>
        <v>3696.2945087936532</v>
      </c>
      <c r="H59">
        <f t="shared" si="2"/>
        <v>94470.444392850972</v>
      </c>
      <c r="I59">
        <f t="shared" si="1"/>
        <v>-6.555905875924509</v>
      </c>
    </row>
    <row r="60" spans="1:9">
      <c r="A60" s="1">
        <v>39342</v>
      </c>
      <c r="B60">
        <f>(3/(1+('CurrentPor-N10Unchanged'!B60)/100)+103/POWER(1+('CurrentPor-N10Unchanged'!C60)/100,2))*100</f>
        <v>9707.5857774288397</v>
      </c>
      <c r="C60">
        <f>(3/(1+('CurrentPor-N10Unchanged'!B60+'CurrentPor-N10Unchanged'!F60)/100)+103/POWER(1+('CurrentPor-N10Unchanged'!C60+'CurrentPor-N10Unchanged'!F60)/100,2))*100</f>
        <v>9643.879491178941</v>
      </c>
      <c r="D60">
        <f>(3/(1+('CurrentPor-N10Unchanged'!B60+'CurrentPor-N10Unchanged'!G60)/100)+103/POWER(1+('CurrentPor-N10Unchanged'!C60+'CurrentPor-N10Unchanged'!G60)/100,2))*100</f>
        <v>9593.162131592806</v>
      </c>
      <c r="E60">
        <f>(3/(1+('CurrentPor-N10Unchanged'!B60+'CurrentPor-N10Unchanged'!H60)/100)+103/POWER(1+('CurrentPor-N10Unchanged'!C60+'CurrentPor-N10Unchanged'!H60)/100,2))*100</f>
        <v>9682.0087570471096</v>
      </c>
      <c r="F60">
        <f>Portfolio!B$5*'CurrentPor-N10Unchanged'!D60</f>
        <v>52143.895533915893</v>
      </c>
      <c r="G60">
        <f>Portfolio!B$6*'CurrentPor-N10Unchanged'!E60</f>
        <v>3696.2945087936532</v>
      </c>
      <c r="H60">
        <f t="shared" si="2"/>
        <v>94466.826199957242</v>
      </c>
      <c r="I60">
        <f t="shared" si="1"/>
        <v>6.6814969792903867</v>
      </c>
    </row>
    <row r="61" spans="1:9">
      <c r="A61" s="1">
        <v>39343</v>
      </c>
      <c r="B61">
        <f>(3/(1+('CurrentPor-N10Unchanged'!B61)/100)+103/POWER(1+('CurrentPor-N10Unchanged'!C61)/100,2))*100</f>
        <v>9707.5857774288397</v>
      </c>
      <c r="C61">
        <f>(3/(1+('CurrentPor-N10Unchanged'!B61+'CurrentPor-N10Unchanged'!F61)/100)+103/POWER(1+('CurrentPor-N10Unchanged'!C61+'CurrentPor-N10Unchanged'!F61)/100,2))*100</f>
        <v>9642.0686266331541</v>
      </c>
      <c r="D61">
        <f>(3/(1+('CurrentPor-N10Unchanged'!B61+'CurrentPor-N10Unchanged'!G61)/100)+103/POWER(1+('CurrentPor-N10Unchanged'!C61+'CurrentPor-N10Unchanged'!G61)/100,2))*100</f>
        <v>9604.9499368153101</v>
      </c>
      <c r="E61">
        <f>(3/(1+('CurrentPor-N10Unchanged'!B61+'CurrentPor-N10Unchanged'!H61)/100)+103/POWER(1+('CurrentPor-N10Unchanged'!C61+'CurrentPor-N10Unchanged'!H61)/100,2))*100</f>
        <v>9681.2071364265666</v>
      </c>
      <c r="F61">
        <f>Portfolio!B$5*'CurrentPor-N10Unchanged'!D61</f>
        <v>52143.895533915893</v>
      </c>
      <c r="G61">
        <f>Portfolio!B$6*'CurrentPor-N10Unchanged'!E61</f>
        <v>3696.2945087936532</v>
      </c>
      <c r="H61">
        <f t="shared" si="2"/>
        <v>94476.001520013408</v>
      </c>
      <c r="I61">
        <f t="shared" si="1"/>
        <v>35.37182805017801</v>
      </c>
    </row>
    <row r="62" spans="1:9">
      <c r="A62" s="1">
        <v>39344</v>
      </c>
      <c r="B62">
        <f>(3/(1+('CurrentPor-N10Unchanged'!B62)/100)+103/POWER(1+('CurrentPor-N10Unchanged'!C62)/100,2))*100</f>
        <v>9707.5857774288397</v>
      </c>
      <c r="C62">
        <f>(3/(1+('CurrentPor-N10Unchanged'!B62+'CurrentPor-N10Unchanged'!F62)/100)+103/POWER(1+('CurrentPor-N10Unchanged'!C62+'CurrentPor-N10Unchanged'!F62)/100,2))*100</f>
        <v>9640.2582771647722</v>
      </c>
      <c r="D62">
        <f>(3/(1+('CurrentPor-N10Unchanged'!B62+'CurrentPor-N10Unchanged'!G62)/100)+103/POWER(1+('CurrentPor-N10Unchanged'!C62+'CurrentPor-N10Unchanged'!G62)/100,2))*100</f>
        <v>9595.8487179296862</v>
      </c>
      <c r="E62">
        <f>(3/(1+('CurrentPor-N10Unchanged'!B62+'CurrentPor-N10Unchanged'!H62)/100)+103/POWER(1+('CurrentPor-N10Unchanged'!C62+'CurrentPor-N10Unchanged'!H62)/100,2))*100</f>
        <v>9681.2982250495716</v>
      </c>
      <c r="F62">
        <f>Portfolio!B$5*'CurrentPor-N10Unchanged'!D62</f>
        <v>52143.895533915893</v>
      </c>
      <c r="G62">
        <f>Portfolio!B$6*'CurrentPor-N10Unchanged'!E62</f>
        <v>3696.2945087936532</v>
      </c>
      <c r="H62">
        <f t="shared" si="2"/>
        <v>94465.181040282419</v>
      </c>
      <c r="I62">
        <f t="shared" si="1"/>
        <v>15.923526511105592</v>
      </c>
    </row>
    <row r="63" spans="1:9">
      <c r="A63" s="1">
        <v>39345</v>
      </c>
      <c r="B63">
        <f>(3/(1+('CurrentPor-N10Unchanged'!B63)/100)+103/POWER(1+('CurrentPor-N10Unchanged'!C63)/100,2))*100</f>
        <v>9707.5857774288397</v>
      </c>
      <c r="C63">
        <f>(3/(1+('CurrentPor-N10Unchanged'!B63+'CurrentPor-N10Unchanged'!F63)/100)+103/POWER(1+('CurrentPor-N10Unchanged'!C63+'CurrentPor-N10Unchanged'!F63)/100,2))*100</f>
        <v>9642.0686266331541</v>
      </c>
      <c r="D63">
        <f>(3/(1+('CurrentPor-N10Unchanged'!B63+'CurrentPor-N10Unchanged'!G63)/100)+103/POWER(1+('CurrentPor-N10Unchanged'!C63+'CurrentPor-N10Unchanged'!G63)/100,2))*100</f>
        <v>9606.8098692856529</v>
      </c>
      <c r="E63">
        <f>(3/(1+('CurrentPor-N10Unchanged'!B63+'CurrentPor-N10Unchanged'!H63)/100)+103/POWER(1+('CurrentPor-N10Unchanged'!C63+'CurrentPor-N10Unchanged'!H63)/100,2))*100</f>
        <v>9681.6079350369982</v>
      </c>
      <c r="F63">
        <f>Portfolio!B$5*'CurrentPor-N10Unchanged'!D63</f>
        <v>52143.895533915893</v>
      </c>
      <c r="G63">
        <f>Portfolio!B$6*'CurrentPor-N10Unchanged'!E63</f>
        <v>3696.2945087936532</v>
      </c>
      <c r="H63">
        <f t="shared" si="2"/>
        <v>94478.262251094187</v>
      </c>
      <c r="I63">
        <f t="shared" si="1"/>
        <v>13.731175192806404</v>
      </c>
    </row>
    <row r="64" spans="1:9">
      <c r="A64" s="1">
        <v>39346</v>
      </c>
      <c r="B64">
        <f>(3/(1+('CurrentPor-N10Unchanged'!B64)/100)+103/POWER(1+('CurrentPor-N10Unchanged'!C64)/100,2))*100</f>
        <v>9707.5857774288397</v>
      </c>
      <c r="C64">
        <f>(3/(1+('CurrentPor-N10Unchanged'!B64+'CurrentPor-N10Unchanged'!F64)/100)+103/POWER(1+('CurrentPor-N10Unchanged'!C64+'CurrentPor-N10Unchanged'!F64)/100,2))*100</f>
        <v>9643.879491178941</v>
      </c>
      <c r="D64">
        <f>(3/(1+('CurrentPor-N10Unchanged'!B64+'CurrentPor-N10Unchanged'!G64)/100)+103/POWER(1+('CurrentPor-N10Unchanged'!C64+'CurrentPor-N10Unchanged'!G64)/100,2))*100</f>
        <v>9614.896012983485</v>
      </c>
      <c r="E64">
        <f>(3/(1+('CurrentPor-N10Unchanged'!B64+'CurrentPor-N10Unchanged'!H64)/100)+103/POWER(1+('CurrentPor-N10Unchanged'!C64+'CurrentPor-N10Unchanged'!H64)/100,2))*100</f>
        <v>9682.9744812089939</v>
      </c>
      <c r="F64">
        <f>Portfolio!B$5*'CurrentPor-N10Unchanged'!D64</f>
        <v>52143.895533915893</v>
      </c>
      <c r="G64">
        <f>Portfolio!B$6*'CurrentPor-N10Unchanged'!E64</f>
        <v>3696.2945087936532</v>
      </c>
      <c r="H64">
        <f t="shared" si="2"/>
        <v>94489.525805509809</v>
      </c>
      <c r="I64">
        <f t="shared" si="1"/>
        <v>50.042927743386826</v>
      </c>
    </row>
    <row r="65" spans="1:9">
      <c r="A65" s="1">
        <v>39349</v>
      </c>
      <c r="B65">
        <f>(3/(1+('CurrentPor-N10Unchanged'!B65)/100)+103/POWER(1+('CurrentPor-N10Unchanged'!C65)/100,2))*100</f>
        <v>9707.5857774288397</v>
      </c>
      <c r="C65">
        <f>(3/(1+('CurrentPor-N10Unchanged'!B65+'CurrentPor-N10Unchanged'!F65)/100)+103/POWER(1+('CurrentPor-N10Unchanged'!C65+'CurrentPor-N10Unchanged'!F65)/100,2))*100</f>
        <v>9640.2582771647722</v>
      </c>
      <c r="D65">
        <f>(3/(1+('CurrentPor-N10Unchanged'!B65+'CurrentPor-N10Unchanged'!G65)/100)+103/POWER(1+('CurrentPor-N10Unchanged'!C65+'CurrentPor-N10Unchanged'!G65)/100,2))*100</f>
        <v>9607.6985825555385</v>
      </c>
      <c r="E65">
        <f>(3/(1+('CurrentPor-N10Unchanged'!B65+'CurrentPor-N10Unchanged'!H65)/100)+103/POWER(1+('CurrentPor-N10Unchanged'!C65+'CurrentPor-N10Unchanged'!H65)/100,2))*100</f>
        <v>9684.1772832883726</v>
      </c>
      <c r="F65">
        <f>Portfolio!B$5*'CurrentPor-N10Unchanged'!D65</f>
        <v>52143.895533915893</v>
      </c>
      <c r="G65">
        <f>Portfolio!B$6*'CurrentPor-N10Unchanged'!E65</f>
        <v>3696.2945087936532</v>
      </c>
      <c r="H65">
        <f t="shared" si="2"/>
        <v>94479.909963147074</v>
      </c>
      <c r="I65">
        <f t="shared" si="1"/>
        <v>32.155377110815607</v>
      </c>
    </row>
    <row r="66" spans="1:9">
      <c r="A66" s="1">
        <v>39350</v>
      </c>
      <c r="B66">
        <f>(3/(1+('CurrentPor-N10Unchanged'!B66)/100)+103/POWER(1+('CurrentPor-N10Unchanged'!C66)/100,2))*100</f>
        <v>9707.5857774288397</v>
      </c>
      <c r="C66">
        <f>(3/(1+('CurrentPor-N10Unchanged'!B66+'CurrentPor-N10Unchanged'!F66)/100)+103/POWER(1+('CurrentPor-N10Unchanged'!C66+'CurrentPor-N10Unchanged'!F66)/100,2))*100</f>
        <v>9638.4484425779829</v>
      </c>
      <c r="D66">
        <f>(3/(1+('CurrentPor-N10Unchanged'!B66+'CurrentPor-N10Unchanged'!G66)/100)+103/POWER(1+('CurrentPor-N10Unchanged'!C66+'CurrentPor-N10Unchanged'!G66)/100,2))*100</f>
        <v>9610.5328170949797</v>
      </c>
      <c r="E66">
        <f>(3/(1+('CurrentPor-N10Unchanged'!B66+'CurrentPor-N10Unchanged'!H66)/100)+103/POWER(1+('CurrentPor-N10Unchanged'!C66+'CurrentPor-N10Unchanged'!H66)/100,2))*100</f>
        <v>9682.4096059340463</v>
      </c>
      <c r="F66">
        <f>Portfolio!B$5*'CurrentPor-N10Unchanged'!D66</f>
        <v>52143.895533915893</v>
      </c>
      <c r="G66">
        <f>Portfolio!B$6*'CurrentPor-N10Unchanged'!E66</f>
        <v>3696.2945087936532</v>
      </c>
      <c r="H66">
        <f t="shared" si="2"/>
        <v>94479.166685745397</v>
      </c>
      <c r="I66">
        <f t="shared" si="1"/>
        <v>28.106444860764896</v>
      </c>
    </row>
    <row r="67" spans="1:9">
      <c r="A67" s="1">
        <v>39351</v>
      </c>
      <c r="B67">
        <f>(3/(1+('CurrentPor-N10Unchanged'!B67)/100)+103/POWER(1+('CurrentPor-N10Unchanged'!C67)/100,2))*100</f>
        <v>9707.5857774288397</v>
      </c>
      <c r="C67">
        <f>(3/(1+('CurrentPor-N10Unchanged'!B67+'CurrentPor-N10Unchanged'!F67)/100)+103/POWER(1+('CurrentPor-N10Unchanged'!C67+'CurrentPor-N10Unchanged'!F67)/100,2))*100</f>
        <v>9636.6391226770629</v>
      </c>
      <c r="D67">
        <f>(3/(1+('CurrentPor-N10Unchanged'!B67+'CurrentPor-N10Unchanged'!G67)/100)+103/POWER(1+('CurrentPor-N10Unchanged'!C67+'CurrentPor-N10Unchanged'!G67)/100,2))*100</f>
        <v>9597.3544839682436</v>
      </c>
      <c r="E67">
        <f>(3/(1+('CurrentPor-N10Unchanged'!B67+'CurrentPor-N10Unchanged'!H67)/100)+103/POWER(1+('CurrentPor-N10Unchanged'!C67+'CurrentPor-N10Unchanged'!H67)/100,2))*100</f>
        <v>9682.0269773005712</v>
      </c>
      <c r="F67">
        <f>Portfolio!B$5*'CurrentPor-N10Unchanged'!D67</f>
        <v>52143.895533915893</v>
      </c>
      <c r="G67">
        <f>Portfolio!B$6*'CurrentPor-N10Unchanged'!E67</f>
        <v>3696.2945087936532</v>
      </c>
      <c r="H67">
        <f t="shared" ref="H67:H98" si="3">SUM(B67:G67)</f>
        <v>94463.796404084263</v>
      </c>
      <c r="I67">
        <f t="shared" si="1"/>
        <v>-11.930703286707285</v>
      </c>
    </row>
    <row r="68" spans="1:9">
      <c r="A68" s="1">
        <v>39352</v>
      </c>
      <c r="B68">
        <f>(3/(1+('CurrentPor-N10Unchanged'!B68)/100)+103/POWER(1+('CurrentPor-N10Unchanged'!C68)/100,2))*100</f>
        <v>9707.5857774288397</v>
      </c>
      <c r="C68">
        <f>(3/(1+('CurrentPor-N10Unchanged'!B68+'CurrentPor-N10Unchanged'!F68)/100)+103/POWER(1+('CurrentPor-N10Unchanged'!C68+'CurrentPor-N10Unchanged'!F68)/100,2))*100</f>
        <v>9633.0220261504182</v>
      </c>
      <c r="D68">
        <f>(3/(1+('CurrentPor-N10Unchanged'!B68+'CurrentPor-N10Unchanged'!G68)/100)+103/POWER(1+('CurrentPor-N10Unchanged'!C68+'CurrentPor-N10Unchanged'!G68)/100,2))*100</f>
        <v>9594.7781927274227</v>
      </c>
      <c r="E68">
        <f>(3/(1+('CurrentPor-N10Unchanged'!B68+'CurrentPor-N10Unchanged'!H68)/100)+103/POWER(1+('CurrentPor-N10Unchanged'!C68+'CurrentPor-N10Unchanged'!H68)/100,2))*100</f>
        <v>9675.5803973896527</v>
      </c>
      <c r="F68">
        <f>Portfolio!B$5*'CurrentPor-N10Unchanged'!D68</f>
        <v>52143.895533915893</v>
      </c>
      <c r="G68">
        <f>Portfolio!B$6*'CurrentPor-N10Unchanged'!E68</f>
        <v>3696.2945087936532</v>
      </c>
      <c r="H68">
        <f t="shared" si="3"/>
        <v>94451.156436405872</v>
      </c>
      <c r="I68">
        <f t="shared" si="1"/>
        <v>-30.515269530238584</v>
      </c>
    </row>
    <row r="69" spans="1:9">
      <c r="A69" s="1">
        <v>39353</v>
      </c>
      <c r="B69">
        <f>(3/(1+('CurrentPor-N10Unchanged'!B69)/100)+103/POWER(1+('CurrentPor-N10Unchanged'!C69)/100,2))*100</f>
        <v>9707.5857774288397</v>
      </c>
      <c r="C69">
        <f>(3/(1+('CurrentPor-N10Unchanged'!B69+'CurrentPor-N10Unchanged'!F69)/100)+103/POWER(1+('CurrentPor-N10Unchanged'!C69+'CurrentPor-N10Unchanged'!F69)/100,2))*100</f>
        <v>9634.8303172663855</v>
      </c>
      <c r="D69">
        <f>(3/(1+('CurrentPor-N10Unchanged'!B69+'CurrentPor-N10Unchanged'!G69)/100)+103/POWER(1+('CurrentPor-N10Unchanged'!C69+'CurrentPor-N10Unchanged'!G69)/100,2))*100</f>
        <v>9596.784888139191</v>
      </c>
      <c r="E69">
        <f>(3/(1+('CurrentPor-N10Unchanged'!B69+'CurrentPor-N10Unchanged'!H69)/100)+103/POWER(1+('CurrentPor-N10Unchanged'!C69+'CurrentPor-N10Unchanged'!H69)/100,2))*100</f>
        <v>9676.1992782327652</v>
      </c>
      <c r="F69">
        <f>Portfolio!B$5*'CurrentPor-N10Unchanged'!D69</f>
        <v>52143.895533915893</v>
      </c>
      <c r="G69">
        <f>Portfolio!B$6*'CurrentPor-N10Unchanged'!E69</f>
        <v>3696.2945087936532</v>
      </c>
      <c r="H69">
        <f t="shared" si="3"/>
        <v>94455.590303776728</v>
      </c>
      <c r="I69">
        <f t="shared" si="1"/>
        <v>-14.854089074244257</v>
      </c>
    </row>
    <row r="70" spans="1:9">
      <c r="A70" s="1">
        <v>39356</v>
      </c>
      <c r="B70">
        <f>(3/(1+('CurrentPor-N10Unchanged'!B70)/100)+103/POWER(1+('CurrentPor-N10Unchanged'!C70)/100,2))*100</f>
        <v>9707.5857774288397</v>
      </c>
      <c r="C70">
        <f>(3/(1+('CurrentPor-N10Unchanged'!B70+'CurrentPor-N10Unchanged'!F70)/100)+103/POWER(1+('CurrentPor-N10Unchanged'!C70+'CurrentPor-N10Unchanged'!F70)/100,2))*100</f>
        <v>9634.8303172663855</v>
      </c>
      <c r="D70">
        <f>(3/(1+('CurrentPor-N10Unchanged'!B70+'CurrentPor-N10Unchanged'!G70)/100)+103/POWER(1+('CurrentPor-N10Unchanged'!C70+'CurrentPor-N10Unchanged'!G70)/100,2))*100</f>
        <v>9606.033946273903</v>
      </c>
      <c r="E70">
        <f>(3/(1+('CurrentPor-N10Unchanged'!B70+'CurrentPor-N10Unchanged'!H70)/100)+103/POWER(1+('CurrentPor-N10Unchanged'!C70+'CurrentPor-N10Unchanged'!H70)/100,2))*100</f>
        <v>9676.7454012054895</v>
      </c>
      <c r="F70">
        <f>Portfolio!B$5*'CurrentPor-N10Unchanged'!D70</f>
        <v>52143.895533915893</v>
      </c>
      <c r="G70">
        <f>Portfolio!B$6*'CurrentPor-N10Unchanged'!E70</f>
        <v>3696.2945087936532</v>
      </c>
      <c r="H70">
        <f t="shared" si="3"/>
        <v>94465.385484884173</v>
      </c>
      <c r="I70">
        <f t="shared" si="1"/>
        <v>-1.4407150730694411</v>
      </c>
    </row>
    <row r="71" spans="1:9">
      <c r="A71" s="1">
        <v>39357</v>
      </c>
      <c r="B71">
        <f>(3/(1+('CurrentPor-N10Unchanged'!B71)/100)+103/POWER(1+('CurrentPor-N10Unchanged'!C71)/100,2))*100</f>
        <v>9707.5857774288397</v>
      </c>
      <c r="C71">
        <f>(3/(1+('CurrentPor-N10Unchanged'!B71+'CurrentPor-N10Unchanged'!F71)/100)+103/POWER(1+('CurrentPor-N10Unchanged'!C71+'CurrentPor-N10Unchanged'!F71)/100,2))*100</f>
        <v>9634.8303172663855</v>
      </c>
      <c r="D71">
        <f>(3/(1+('CurrentPor-N10Unchanged'!B71+'CurrentPor-N10Unchanged'!G71)/100)+103/POWER(1+('CurrentPor-N10Unchanged'!C71+'CurrentPor-N10Unchanged'!G71)/100,2))*100</f>
        <v>9585.4843833852265</v>
      </c>
      <c r="E71">
        <f>(3/(1+('CurrentPor-N10Unchanged'!B71+'CurrentPor-N10Unchanged'!H71)/100)+103/POWER(1+('CurrentPor-N10Unchanged'!C71+'CurrentPor-N10Unchanged'!H71)/100,2))*100</f>
        <v>9673.0326980464833</v>
      </c>
      <c r="F71">
        <f>Portfolio!B$5*'CurrentPor-N10Unchanged'!D71</f>
        <v>52143.895533915893</v>
      </c>
      <c r="G71">
        <f>Portfolio!B$6*'CurrentPor-N10Unchanged'!E71</f>
        <v>3696.2945087936532</v>
      </c>
      <c r="H71">
        <f t="shared" si="3"/>
        <v>94441.123218836481</v>
      </c>
      <c r="I71">
        <f t="shared" si="1"/>
        <v>-34.87830117692647</v>
      </c>
    </row>
    <row r="72" spans="1:9">
      <c r="A72" s="1">
        <v>39358</v>
      </c>
      <c r="B72">
        <f>(3/(1+('CurrentPor-N10Unchanged'!B72)/100)+103/POWER(1+('CurrentPor-N10Unchanged'!C72)/100,2))*100</f>
        <v>9707.5857774288397</v>
      </c>
      <c r="C72">
        <f>(3/(1+('CurrentPor-N10Unchanged'!B72+'CurrentPor-N10Unchanged'!F72)/100)+103/POWER(1+('CurrentPor-N10Unchanged'!C72+'CurrentPor-N10Unchanged'!F72)/100,2))*100</f>
        <v>9631.2142491337127</v>
      </c>
      <c r="D72">
        <f>(3/(1+('CurrentPor-N10Unchanged'!B72+'CurrentPor-N10Unchanged'!G72)/100)+103/POWER(1+('CurrentPor-N10Unchanged'!C72+'CurrentPor-N10Unchanged'!G72)/100,2))*100</f>
        <v>9597.8405455466655</v>
      </c>
      <c r="E72">
        <f>(3/(1+('CurrentPor-N10Unchanged'!B72+'CurrentPor-N10Unchanged'!H72)/100)+103/POWER(1+('CurrentPor-N10Unchanged'!C72+'CurrentPor-N10Unchanged'!H72)/100,2))*100</f>
        <v>9674.3428190550749</v>
      </c>
      <c r="F72">
        <f>Portfolio!B$5*'CurrentPor-N10Unchanged'!D72</f>
        <v>52143.895533915893</v>
      </c>
      <c r="G72">
        <f>Portfolio!B$6*'CurrentPor-N10Unchanged'!E72</f>
        <v>3696.2945087936532</v>
      </c>
      <c r="H72">
        <f t="shared" si="3"/>
        <v>94451.173433873832</v>
      </c>
      <c r="I72">
        <f t="shared" si="1"/>
        <v>-14.00760640858789</v>
      </c>
    </row>
    <row r="73" spans="1:9">
      <c r="A73" s="1">
        <v>39359</v>
      </c>
      <c r="B73">
        <f>(3/(1+('CurrentPor-N10Unchanged'!B73)/100)+103/POWER(1+('CurrentPor-N10Unchanged'!C73)/100,2))*100</f>
        <v>9707.5857774288397</v>
      </c>
      <c r="C73">
        <f>(3/(1+('CurrentPor-N10Unchanged'!B73+'CurrentPor-N10Unchanged'!F73)/100)+103/POWER(1+('CurrentPor-N10Unchanged'!C73+'CurrentPor-N10Unchanged'!F73)/100,2))*100</f>
        <v>9629.4069860209238</v>
      </c>
      <c r="D73">
        <f>(3/(1+('CurrentPor-N10Unchanged'!B73+'CurrentPor-N10Unchanged'!G73)/100)+103/POWER(1+('CurrentPor-N10Unchanged'!C73+'CurrentPor-N10Unchanged'!G73)/100,2))*100</f>
        <v>9613.2645878226158</v>
      </c>
      <c r="E73">
        <f>(3/(1+('CurrentPor-N10Unchanged'!B73+'CurrentPor-N10Unchanged'!H73)/100)+103/POWER(1+('CurrentPor-N10Unchanged'!C73+'CurrentPor-N10Unchanged'!H73)/100,2))*100</f>
        <v>9675.4529888018551</v>
      </c>
      <c r="F73">
        <f>Portfolio!B$5*'CurrentPor-N10Unchanged'!D73</f>
        <v>52143.895533915893</v>
      </c>
      <c r="G73">
        <f>Portfolio!B$6*'CurrentPor-N10Unchanged'!E73</f>
        <v>3696.2945087936532</v>
      </c>
      <c r="H73">
        <f t="shared" si="3"/>
        <v>94465.900382783788</v>
      </c>
      <c r="I73">
        <f t="shared" si="1"/>
        <v>-12.361868310399586</v>
      </c>
    </row>
    <row r="74" spans="1:9">
      <c r="A74" s="1">
        <v>39360</v>
      </c>
      <c r="B74">
        <f>(3/(1+('CurrentPor-N10Unchanged'!B74)/100)+103/POWER(1+('CurrentPor-N10Unchanged'!C74)/100,2))*100</f>
        <v>9707.5857774288397</v>
      </c>
      <c r="C74">
        <f>(3/(1+('CurrentPor-N10Unchanged'!B74+'CurrentPor-N10Unchanged'!F74)/100)+103/POWER(1+('CurrentPor-N10Unchanged'!C74+'CurrentPor-N10Unchanged'!F74)/100,2))*100</f>
        <v>9636.6391226770629</v>
      </c>
      <c r="D74">
        <f>(3/(1+('CurrentPor-N10Unchanged'!B74+'CurrentPor-N10Unchanged'!G74)/100)+103/POWER(1+('CurrentPor-N10Unchanged'!C74+'CurrentPor-N10Unchanged'!G74)/100,2))*100</f>
        <v>9585.2118382865192</v>
      </c>
      <c r="E74">
        <f>(3/(1+('CurrentPor-N10Unchanged'!B74+'CurrentPor-N10Unchanged'!H74)/100)+103/POWER(1+('CurrentPor-N10Unchanged'!C74+'CurrentPor-N10Unchanged'!H74)/100,2))*100</f>
        <v>9671.5045655223075</v>
      </c>
      <c r="F74">
        <f>Portfolio!B$5*'CurrentPor-N10Unchanged'!D74</f>
        <v>52143.895533915893</v>
      </c>
      <c r="G74">
        <f>Portfolio!B$6*'CurrentPor-N10Unchanged'!E74</f>
        <v>3696.2945087936532</v>
      </c>
      <c r="H74">
        <f t="shared" si="3"/>
        <v>94441.131346624286</v>
      </c>
      <c r="I74">
        <f t="shared" si="1"/>
        <v>-48.394458885522909</v>
      </c>
    </row>
    <row r="75" spans="1:9">
      <c r="A75" s="1">
        <v>39363</v>
      </c>
      <c r="B75">
        <f>(3/(1+('CurrentPor-N10Unchanged'!B75)/100)+103/POWER(1+('CurrentPor-N10Unchanged'!C75)/100,2))*100</f>
        <v>9707.5857774288397</v>
      </c>
      <c r="C75">
        <f>(3/(1+('CurrentPor-N10Unchanged'!B75+'CurrentPor-N10Unchanged'!F75)/100)+103/POWER(1+('CurrentPor-N10Unchanged'!C75+'CurrentPor-N10Unchanged'!F75)/100,2))*100</f>
        <v>9640.2582771647722</v>
      </c>
      <c r="D75">
        <f>(3/(1+('CurrentPor-N10Unchanged'!B75+'CurrentPor-N10Unchanged'!G75)/100)+103/POWER(1+('CurrentPor-N10Unchanged'!C75+'CurrentPor-N10Unchanged'!G75)/100,2))*100</f>
        <v>9589.7775477937776</v>
      </c>
      <c r="E75">
        <f>(3/(1+('CurrentPor-N10Unchanged'!B75+'CurrentPor-N10Unchanged'!H75)/100)+103/POWER(1+('CurrentPor-N10Unchanged'!C75+'CurrentPor-N10Unchanged'!H75)/100,2))*100</f>
        <v>9673.6877249516419</v>
      </c>
      <c r="F75">
        <f>Portfolio!B$5*'CurrentPor-N10Unchanged'!D75</f>
        <v>52143.895533915893</v>
      </c>
      <c r="G75">
        <f>Portfolio!B$6*'CurrentPor-N10Unchanged'!E75</f>
        <v>3696.2945087936532</v>
      </c>
      <c r="H75">
        <f t="shared" si="3"/>
        <v>94451.499370048579</v>
      </c>
      <c r="I75">
        <f t="shared" si="1"/>
        <v>-28.410593098495156</v>
      </c>
    </row>
    <row r="76" spans="1:9">
      <c r="A76" s="1">
        <v>39364</v>
      </c>
      <c r="B76">
        <f>(3/(1+('CurrentPor-N10Unchanged'!B76)/100)+103/POWER(1+('CurrentPor-N10Unchanged'!C76)/100,2))*100</f>
        <v>9707.5857774288397</v>
      </c>
      <c r="C76">
        <f>(3/(1+('CurrentPor-N10Unchanged'!B76+'CurrentPor-N10Unchanged'!F76)/100)+103/POWER(1+('CurrentPor-N10Unchanged'!C76+'CurrentPor-N10Unchanged'!F76)/100,2))*100</f>
        <v>9642.0686266331541</v>
      </c>
      <c r="D76">
        <f>(3/(1+('CurrentPor-N10Unchanged'!B76+'CurrentPor-N10Unchanged'!G76)/100)+103/POWER(1+('CurrentPor-N10Unchanged'!C76+'CurrentPor-N10Unchanged'!G76)/100,2))*100</f>
        <v>9591.5763994074568</v>
      </c>
      <c r="E76">
        <f>(3/(1+('CurrentPor-N10Unchanged'!B76+'CurrentPor-N10Unchanged'!H76)/100)+103/POWER(1+('CurrentPor-N10Unchanged'!C76+'CurrentPor-N10Unchanged'!H76)/100,2))*100</f>
        <v>9673.8514921772967</v>
      </c>
      <c r="F76">
        <f>Portfolio!B$5*'CurrentPor-N10Unchanged'!D76</f>
        <v>52143.895533915893</v>
      </c>
      <c r="G76">
        <f>Portfolio!B$6*'CurrentPor-N10Unchanged'!E76</f>
        <v>3696.2945087936532</v>
      </c>
      <c r="H76">
        <f t="shared" si="3"/>
        <v>94455.272338356299</v>
      </c>
      <c r="I76">
        <f t="shared" si="1"/>
        <v>-23.894347389097675</v>
      </c>
    </row>
    <row r="77" spans="1:9">
      <c r="A77" s="1">
        <v>39365</v>
      </c>
      <c r="B77">
        <f>(3/(1+('CurrentPor-N10Unchanged'!B77)/100)+103/POWER(1+('CurrentPor-N10Unchanged'!C77)/100,2))*100</f>
        <v>9707.5857774288397</v>
      </c>
      <c r="C77">
        <f>(3/(1+('CurrentPor-N10Unchanged'!B77+'CurrentPor-N10Unchanged'!F77)/100)+103/POWER(1+('CurrentPor-N10Unchanged'!C77+'CurrentPor-N10Unchanged'!F77)/100,2))*100</f>
        <v>9642.0686266331541</v>
      </c>
      <c r="D77">
        <f>(3/(1+('CurrentPor-N10Unchanged'!B77+'CurrentPor-N10Unchanged'!G77)/100)+103/POWER(1+('CurrentPor-N10Unchanged'!C77+'CurrentPor-N10Unchanged'!G77)/100,2))*100</f>
        <v>9597.3391887643265</v>
      </c>
      <c r="E77">
        <f>(3/(1+('CurrentPor-N10Unchanged'!B77+'CurrentPor-N10Unchanged'!H77)/100)+103/POWER(1+('CurrentPor-N10Unchanged'!C77+'CurrentPor-N10Unchanged'!H77)/100,2))*100</f>
        <v>9675.7442131577227</v>
      </c>
      <c r="F77">
        <f>Portfolio!B$5*'CurrentPor-N10Unchanged'!D77</f>
        <v>52143.895533915893</v>
      </c>
      <c r="G77">
        <f>Portfolio!B$6*'CurrentPor-N10Unchanged'!E77</f>
        <v>3696.2945087936532</v>
      </c>
      <c r="H77">
        <f t="shared" si="3"/>
        <v>94462.927848693595</v>
      </c>
      <c r="I77">
        <f t="shared" si="1"/>
        <v>-0.86855539066891652</v>
      </c>
    </row>
    <row r="78" spans="1:9">
      <c r="A78" s="1">
        <v>39366</v>
      </c>
      <c r="B78">
        <f>(3/(1+('CurrentPor-N10Unchanged'!B78)/100)+103/POWER(1+('CurrentPor-N10Unchanged'!C78)/100,2))*100</f>
        <v>9707.5857774288397</v>
      </c>
      <c r="C78">
        <f>(3/(1+('CurrentPor-N10Unchanged'!B78+'CurrentPor-N10Unchanged'!F78)/100)+103/POWER(1+('CurrentPor-N10Unchanged'!C78+'CurrentPor-N10Unchanged'!F78)/100,2))*100</f>
        <v>9642.0686266331541</v>
      </c>
      <c r="D78">
        <f>(3/(1+('CurrentPor-N10Unchanged'!B78+'CurrentPor-N10Unchanged'!G78)/100)+103/POWER(1+('CurrentPor-N10Unchanged'!C78+'CurrentPor-N10Unchanged'!G78)/100,2))*100</f>
        <v>9607.7743638502561</v>
      </c>
      <c r="E78">
        <f>(3/(1+('CurrentPor-N10Unchanged'!B78+'CurrentPor-N10Unchanged'!H78)/100)+103/POWER(1+('CurrentPor-N10Unchanged'!C78+'CurrentPor-N10Unchanged'!H78)/100,2))*100</f>
        <v>9678.2201598923075</v>
      </c>
      <c r="F78">
        <f>Portfolio!B$5*'CurrentPor-N10Unchanged'!D78</f>
        <v>52143.895533915893</v>
      </c>
      <c r="G78">
        <f>Portfolio!B$6*'CurrentPor-N10Unchanged'!E78</f>
        <v>3696.2945087936532</v>
      </c>
      <c r="H78">
        <f t="shared" si="3"/>
        <v>94475.838970514102</v>
      </c>
      <c r="I78">
        <f t="shared" ref="I78:I141" si="4">H78-H68</f>
        <v>24.682534108229447</v>
      </c>
    </row>
    <row r="79" spans="1:9">
      <c r="A79" s="1">
        <v>39367</v>
      </c>
      <c r="B79">
        <f>(3/(1+('CurrentPor-N10Unchanged'!B79)/100)+103/POWER(1+('CurrentPor-N10Unchanged'!C79)/100,2))*100</f>
        <v>9707.5857774288397</v>
      </c>
      <c r="C79">
        <f>(3/(1+('CurrentPor-N10Unchanged'!B79+'CurrentPor-N10Unchanged'!F79)/100)+103/POWER(1+('CurrentPor-N10Unchanged'!C79+'CurrentPor-N10Unchanged'!F79)/100,2))*100</f>
        <v>9642.0686266331541</v>
      </c>
      <c r="D79">
        <f>(3/(1+('CurrentPor-N10Unchanged'!B79+'CurrentPor-N10Unchanged'!G79)/100)+103/POWER(1+('CurrentPor-N10Unchanged'!C79+'CurrentPor-N10Unchanged'!G79)/100,2))*100</f>
        <v>9620.9816481323287</v>
      </c>
      <c r="E79">
        <f>(3/(1+('CurrentPor-N10Unchanged'!B79+'CurrentPor-N10Unchanged'!H79)/100)+103/POWER(1+('CurrentPor-N10Unchanged'!C79+'CurrentPor-N10Unchanged'!H79)/100,2))*100</f>
        <v>9677.1277119446768</v>
      </c>
      <c r="F79">
        <f>Portfolio!B$5*'CurrentPor-N10Unchanged'!D79</f>
        <v>52143.895533915893</v>
      </c>
      <c r="G79">
        <f>Portfolio!B$6*'CurrentPor-N10Unchanged'!E79</f>
        <v>3696.2945087936532</v>
      </c>
      <c r="H79">
        <f t="shared" si="3"/>
        <v>94487.953806848542</v>
      </c>
      <c r="I79">
        <f t="shared" si="4"/>
        <v>32.363503071814193</v>
      </c>
    </row>
    <row r="80" spans="1:9">
      <c r="A80" s="1">
        <v>39370</v>
      </c>
      <c r="B80">
        <f>(3/(1+('CurrentPor-N10Unchanged'!B80)/100)+103/POWER(1+('CurrentPor-N10Unchanged'!C80)/100,2))*100</f>
        <v>9707.5857774288397</v>
      </c>
      <c r="C80">
        <f>(3/(1+('CurrentPor-N10Unchanged'!B80+'CurrentPor-N10Unchanged'!F80)/100)+103/POWER(1+('CurrentPor-N10Unchanged'!C80+'CurrentPor-N10Unchanged'!F80)/100,2))*100</f>
        <v>9645.6908709980435</v>
      </c>
      <c r="D80">
        <f>(3/(1+('CurrentPor-N10Unchanged'!B80+'CurrentPor-N10Unchanged'!G80)/100)+103/POWER(1+('CurrentPor-N10Unchanged'!C80+'CurrentPor-N10Unchanged'!G80)/100,2))*100</f>
        <v>9601.1583505225753</v>
      </c>
      <c r="E80">
        <f>(3/(1+('CurrentPor-N10Unchanged'!B80+'CurrentPor-N10Unchanged'!H80)/100)+103/POWER(1+('CurrentPor-N10Unchanged'!C80+'CurrentPor-N10Unchanged'!H80)/100,2))*100</f>
        <v>9672.3413563481736</v>
      </c>
      <c r="F80">
        <f>Portfolio!B$5*'CurrentPor-N10Unchanged'!D80</f>
        <v>52143.895533915893</v>
      </c>
      <c r="G80">
        <f>Portfolio!B$6*'CurrentPor-N10Unchanged'!E80</f>
        <v>3696.2945087936532</v>
      </c>
      <c r="H80">
        <f t="shared" si="3"/>
        <v>94466.966398007178</v>
      </c>
      <c r="I80">
        <f t="shared" si="4"/>
        <v>1.5809131230053026</v>
      </c>
    </row>
    <row r="81" spans="1:9">
      <c r="A81" s="1">
        <v>39371</v>
      </c>
      <c r="B81">
        <f>(3/(1+('CurrentPor-N10Unchanged'!B81)/100)+103/POWER(1+('CurrentPor-N10Unchanged'!C81)/100,2))*100</f>
        <v>9707.5857774288397</v>
      </c>
      <c r="C81">
        <f>(3/(1+('CurrentPor-N10Unchanged'!B81+'CurrentPor-N10Unchanged'!F81)/100)+103/POWER(1+('CurrentPor-N10Unchanged'!C81+'CurrentPor-N10Unchanged'!F81)/100,2))*100</f>
        <v>9645.6908709980435</v>
      </c>
      <c r="D81">
        <f>(3/(1+('CurrentPor-N10Unchanged'!B81+'CurrentPor-N10Unchanged'!G81)/100)+103/POWER(1+('CurrentPor-N10Unchanged'!C81+'CurrentPor-N10Unchanged'!G81)/100,2))*100</f>
        <v>9587.2990066597595</v>
      </c>
      <c r="E81">
        <f>(3/(1+('CurrentPor-N10Unchanged'!B81+'CurrentPor-N10Unchanged'!H81)/100)+103/POWER(1+('CurrentPor-N10Unchanged'!C81+'CurrentPor-N10Unchanged'!H81)/100,2))*100</f>
        <v>9676.1810780625983</v>
      </c>
      <c r="F81">
        <f>Portfolio!B$5*'CurrentPor-N10Unchanged'!D81</f>
        <v>52143.895533915893</v>
      </c>
      <c r="G81">
        <f>Portfolio!B$6*'CurrentPor-N10Unchanged'!E81</f>
        <v>3696.2945087936532</v>
      </c>
      <c r="H81">
        <f t="shared" si="3"/>
        <v>94456.946775858785</v>
      </c>
      <c r="I81">
        <f t="shared" si="4"/>
        <v>15.823557022304158</v>
      </c>
    </row>
    <row r="82" spans="1:9">
      <c r="A82" s="1">
        <v>39372</v>
      </c>
      <c r="B82">
        <f>(3/(1+('CurrentPor-N10Unchanged'!B82)/100)+103/POWER(1+('CurrentPor-N10Unchanged'!C82)/100,2))*100</f>
        <v>9707.5857774288397</v>
      </c>
      <c r="C82">
        <f>(3/(1+('CurrentPor-N10Unchanged'!B82+'CurrentPor-N10Unchanged'!F82)/100)+103/POWER(1+('CurrentPor-N10Unchanged'!C82+'CurrentPor-N10Unchanged'!F82)/100,2))*100</f>
        <v>9640.2582771647722</v>
      </c>
      <c r="D82">
        <f>(3/(1+('CurrentPor-N10Unchanged'!B82+'CurrentPor-N10Unchanged'!G82)/100)+103/POWER(1+('CurrentPor-N10Unchanged'!C82+'CurrentPor-N10Unchanged'!G82)/100,2))*100</f>
        <v>9599.4660613861888</v>
      </c>
      <c r="E82">
        <f>(3/(1+('CurrentPor-N10Unchanged'!B82+'CurrentPor-N10Unchanged'!H82)/100)+103/POWER(1+('CurrentPor-N10Unchanged'!C82+'CurrentPor-N10Unchanged'!H82)/100,2))*100</f>
        <v>9674.9615799806725</v>
      </c>
      <c r="F82">
        <f>Portfolio!B$5*'CurrentPor-N10Unchanged'!D82</f>
        <v>52143.895533915893</v>
      </c>
      <c r="G82">
        <f>Portfolio!B$6*'CurrentPor-N10Unchanged'!E82</f>
        <v>3696.2945087936532</v>
      </c>
      <c r="H82">
        <f t="shared" si="3"/>
        <v>94462.461738670012</v>
      </c>
      <c r="I82">
        <f t="shared" si="4"/>
        <v>11.288304796180455</v>
      </c>
    </row>
    <row r="83" spans="1:9">
      <c r="A83" s="1">
        <v>39373</v>
      </c>
      <c r="B83">
        <f>(3/(1+('CurrentPor-N10Unchanged'!B83)/100)+103/POWER(1+('CurrentPor-N10Unchanged'!C83)/100,2))*100</f>
        <v>9707.5857774288397</v>
      </c>
      <c r="C83">
        <f>(3/(1+('CurrentPor-N10Unchanged'!B83+'CurrentPor-N10Unchanged'!F83)/100)+103/POWER(1+('CurrentPor-N10Unchanged'!C83+'CurrentPor-N10Unchanged'!F83)/100,2))*100</f>
        <v>9634.8303172663855</v>
      </c>
      <c r="D83">
        <f>(3/(1+('CurrentPor-N10Unchanged'!B83+'CurrentPor-N10Unchanged'!G83)/100)+103/POWER(1+('CurrentPor-N10Unchanged'!C83+'CurrentPor-N10Unchanged'!G83)/100,2))*100</f>
        <v>9611.6571750888579</v>
      </c>
      <c r="E83">
        <f>(3/(1+('CurrentPor-N10Unchanged'!B83+'CurrentPor-N10Unchanged'!H83)/100)+103/POWER(1+('CurrentPor-N10Unchanged'!C83+'CurrentPor-N10Unchanged'!H83)/100,2))*100</f>
        <v>9667.9948878388495</v>
      </c>
      <c r="F83">
        <f>Portfolio!B$5*'CurrentPor-N10Unchanged'!D83</f>
        <v>52143.895533915893</v>
      </c>
      <c r="G83">
        <f>Portfolio!B$6*'CurrentPor-N10Unchanged'!E83</f>
        <v>3696.2945087936532</v>
      </c>
      <c r="H83">
        <f t="shared" si="3"/>
        <v>94462.258200332479</v>
      </c>
      <c r="I83">
        <f t="shared" si="4"/>
        <v>-3.6421824513090542</v>
      </c>
    </row>
    <row r="84" spans="1:9">
      <c r="A84" s="1">
        <v>39374</v>
      </c>
      <c r="B84">
        <f>(3/(1+('CurrentPor-N10Unchanged'!B84)/100)+103/POWER(1+('CurrentPor-N10Unchanged'!C84)/100,2))*100</f>
        <v>9707.5857774288397</v>
      </c>
      <c r="C84">
        <f>(3/(1+('CurrentPor-N10Unchanged'!B84+'CurrentPor-N10Unchanged'!F84)/100)+103/POWER(1+('CurrentPor-N10Unchanged'!C84+'CurrentPor-N10Unchanged'!F84)/100,2))*100</f>
        <v>9636.6391226770629</v>
      </c>
      <c r="D84">
        <f>(3/(1+('CurrentPor-N10Unchanged'!B84+'CurrentPor-N10Unchanged'!G84)/100)+103/POWER(1+('CurrentPor-N10Unchanged'!C84+'CurrentPor-N10Unchanged'!G84)/100,2))*100</f>
        <v>9601.8897761949283</v>
      </c>
      <c r="E84">
        <f>(3/(1+('CurrentPor-N10Unchanged'!B84+'CurrentPor-N10Unchanged'!H84)/100)+103/POWER(1+('CurrentPor-N10Unchanged'!C84+'CurrentPor-N10Unchanged'!H84)/100,2))*100</f>
        <v>9670.4314528997838</v>
      </c>
      <c r="F84">
        <f>Portfolio!B$5*'CurrentPor-N10Unchanged'!D84</f>
        <v>52143.895533915893</v>
      </c>
      <c r="G84">
        <f>Portfolio!B$6*'CurrentPor-N10Unchanged'!E84</f>
        <v>3696.2945087936532</v>
      </c>
      <c r="H84">
        <f t="shared" si="3"/>
        <v>94456.736171910161</v>
      </c>
      <c r="I84">
        <f t="shared" si="4"/>
        <v>15.60482528587454</v>
      </c>
    </row>
    <row r="85" spans="1:9">
      <c r="A85" s="1">
        <v>39377</v>
      </c>
      <c r="B85">
        <f>(3/(1+('CurrentPor-N10Unchanged'!B85)/100)+103/POWER(1+('CurrentPor-N10Unchanged'!C85)/100,2))*100</f>
        <v>9707.5857774288397</v>
      </c>
      <c r="C85">
        <f>(3/(1+('CurrentPor-N10Unchanged'!B85+'CurrentPor-N10Unchanged'!F85)/100)+103/POWER(1+('CurrentPor-N10Unchanged'!C85+'CurrentPor-N10Unchanged'!F85)/100,2))*100</f>
        <v>9640.2582771647722</v>
      </c>
      <c r="D85">
        <f>(3/(1+('CurrentPor-N10Unchanged'!B85+'CurrentPor-N10Unchanged'!G85)/100)+103/POWER(1+('CurrentPor-N10Unchanged'!C85+'CurrentPor-N10Unchanged'!G85)/100,2))*100</f>
        <v>9587.7244928794116</v>
      </c>
      <c r="E85">
        <f>(3/(1+('CurrentPor-N10Unchanged'!B85+'CurrentPor-N10Unchanged'!H85)/100)+103/POWER(1+('CurrentPor-N10Unchanged'!C85+'CurrentPor-N10Unchanged'!H85)/100,2))*100</f>
        <v>9672.9781178175181</v>
      </c>
      <c r="F85">
        <f>Portfolio!B$5*'CurrentPor-N10Unchanged'!D85</f>
        <v>52143.895533915893</v>
      </c>
      <c r="G85">
        <f>Portfolio!B$6*'CurrentPor-N10Unchanged'!E85</f>
        <v>3696.2945087936532</v>
      </c>
      <c r="H85">
        <f t="shared" si="3"/>
        <v>94448.736708000084</v>
      </c>
      <c r="I85">
        <f t="shared" si="4"/>
        <v>-2.7626620484952582</v>
      </c>
    </row>
    <row r="86" spans="1:9">
      <c r="A86" s="1">
        <v>39378</v>
      </c>
      <c r="B86">
        <f>(3/(1+('CurrentPor-N10Unchanged'!B86)/100)+103/POWER(1+('CurrentPor-N10Unchanged'!C86)/100,2))*100</f>
        <v>9707.5857774288397</v>
      </c>
      <c r="C86">
        <f>(3/(1+('CurrentPor-N10Unchanged'!B86+'CurrentPor-N10Unchanged'!F86)/100)+103/POWER(1+('CurrentPor-N10Unchanged'!C86+'CurrentPor-N10Unchanged'!F86)/100,2))*100</f>
        <v>9638.4484425779829</v>
      </c>
      <c r="D86">
        <f>(3/(1+('CurrentPor-N10Unchanged'!B86+'CurrentPor-N10Unchanged'!G86)/100)+103/POWER(1+('CurrentPor-N10Unchanged'!C86+'CurrentPor-N10Unchanged'!G86)/100,2))*100</f>
        <v>9603.089670627096</v>
      </c>
      <c r="E86">
        <f>(3/(1+('CurrentPor-N10Unchanged'!B86+'CurrentPor-N10Unchanged'!H86)/100)+103/POWER(1+('CurrentPor-N10Unchanged'!C86+'CurrentPor-N10Unchanged'!H86)/100,2))*100</f>
        <v>9670.7588245401621</v>
      </c>
      <c r="F86">
        <f>Portfolio!B$5*'CurrentPor-N10Unchanged'!D86</f>
        <v>52143.895533915893</v>
      </c>
      <c r="G86">
        <f>Portfolio!B$6*'CurrentPor-N10Unchanged'!E86</f>
        <v>3696.2945087936532</v>
      </c>
      <c r="H86">
        <f t="shared" si="3"/>
        <v>94460.072757883638</v>
      </c>
      <c r="I86">
        <f t="shared" si="4"/>
        <v>4.8004195273388177</v>
      </c>
    </row>
    <row r="87" spans="1:9">
      <c r="A87" s="1">
        <v>39379</v>
      </c>
      <c r="B87">
        <f>(3/(1+('CurrentPor-N10Unchanged'!B87)/100)+103/POWER(1+('CurrentPor-N10Unchanged'!C87)/100,2))*100</f>
        <v>9707.5857774288397</v>
      </c>
      <c r="C87">
        <f>(3/(1+('CurrentPor-N10Unchanged'!B87+'CurrentPor-N10Unchanged'!F87)/100)+103/POWER(1+('CurrentPor-N10Unchanged'!C87+'CurrentPor-N10Unchanged'!F87)/100,2))*100</f>
        <v>9636.6391226770629</v>
      </c>
      <c r="D87">
        <f>(3/(1+('CurrentPor-N10Unchanged'!B87+'CurrentPor-N10Unchanged'!G87)/100)+103/POWER(1+('CurrentPor-N10Unchanged'!C87+'CurrentPor-N10Unchanged'!G87)/100,2))*100</f>
        <v>9591.5299328629117</v>
      </c>
      <c r="E87">
        <f>(3/(1+('CurrentPor-N10Unchanged'!B87+'CurrentPor-N10Unchanged'!H87)/100)+103/POWER(1+('CurrentPor-N10Unchanged'!C87+'CurrentPor-N10Unchanged'!H87)/100,2))*100</f>
        <v>9669.8676874657613</v>
      </c>
      <c r="F87">
        <f>Portfolio!B$5*'CurrentPor-N10Unchanged'!D87</f>
        <v>52143.895533915893</v>
      </c>
      <c r="G87">
        <f>Portfolio!B$6*'CurrentPor-N10Unchanged'!E87</f>
        <v>3696.2945087936532</v>
      </c>
      <c r="H87">
        <f t="shared" si="3"/>
        <v>94445.812563144122</v>
      </c>
      <c r="I87">
        <f t="shared" si="4"/>
        <v>-17.115285549472901</v>
      </c>
    </row>
    <row r="88" spans="1:9">
      <c r="A88" s="1">
        <v>39380</v>
      </c>
      <c r="B88">
        <f>(3/(1+('CurrentPor-N10Unchanged'!B88)/100)+103/POWER(1+('CurrentPor-N10Unchanged'!C88)/100,2))*100</f>
        <v>9707.5857774288397</v>
      </c>
      <c r="C88">
        <f>(3/(1+('CurrentPor-N10Unchanged'!B88+'CurrentPor-N10Unchanged'!F88)/100)+103/POWER(1+('CurrentPor-N10Unchanged'!C88+'CurrentPor-N10Unchanged'!F88)/100,2))*100</f>
        <v>9640.2582771647722</v>
      </c>
      <c r="D88">
        <f>(3/(1+('CurrentPor-N10Unchanged'!B88+'CurrentPor-N10Unchanged'!G88)/100)+103/POWER(1+('CurrentPor-N10Unchanged'!C88+'CurrentPor-N10Unchanged'!G88)/100,2))*100</f>
        <v>9606.3992600756155</v>
      </c>
      <c r="E88">
        <f>(3/(1+('CurrentPor-N10Unchanged'!B88+'CurrentPor-N10Unchanged'!H88)/100)+103/POWER(1+('CurrentPor-N10Unchanged'!C88+'CurrentPor-N10Unchanged'!H88)/100,2))*100</f>
        <v>9674.4884042634476</v>
      </c>
      <c r="F88">
        <f>Portfolio!B$5*'CurrentPor-N10Unchanged'!D88</f>
        <v>52143.895533915893</v>
      </c>
      <c r="G88">
        <f>Portfolio!B$6*'CurrentPor-N10Unchanged'!E88</f>
        <v>3696.2945087936532</v>
      </c>
      <c r="H88">
        <f t="shared" si="3"/>
        <v>94468.92176164221</v>
      </c>
      <c r="I88">
        <f t="shared" si="4"/>
        <v>-6.9172088718914893</v>
      </c>
    </row>
    <row r="89" spans="1:9">
      <c r="A89" s="1">
        <v>39381</v>
      </c>
      <c r="B89">
        <f>(3/(1+('CurrentPor-N10Unchanged'!B89)/100)+103/POWER(1+('CurrentPor-N10Unchanged'!C89)/100,2))*100</f>
        <v>9707.5857774288397</v>
      </c>
      <c r="C89">
        <f>(3/(1+('CurrentPor-N10Unchanged'!B89+'CurrentPor-N10Unchanged'!F89)/100)+103/POWER(1+('CurrentPor-N10Unchanged'!C89+'CurrentPor-N10Unchanged'!F89)/100,2))*100</f>
        <v>9640.2582771647722</v>
      </c>
      <c r="D89">
        <f>(3/(1+('CurrentPor-N10Unchanged'!B89+'CurrentPor-N10Unchanged'!G89)/100)+103/POWER(1+('CurrentPor-N10Unchanged'!C89+'CurrentPor-N10Unchanged'!G89)/100,2))*100</f>
        <v>9611.4268835599887</v>
      </c>
      <c r="E89">
        <f>(3/(1+('CurrentPor-N10Unchanged'!B89+'CurrentPor-N10Unchanged'!H89)/100)+103/POWER(1+('CurrentPor-N10Unchanged'!C89+'CurrentPor-N10Unchanged'!H89)/100,2))*100</f>
        <v>9676.8000136403025</v>
      </c>
      <c r="F89">
        <f>Portfolio!B$5*'CurrentPor-N10Unchanged'!D89</f>
        <v>52143.895533915893</v>
      </c>
      <c r="G89">
        <f>Portfolio!B$6*'CurrentPor-N10Unchanged'!E89</f>
        <v>3696.2945087936532</v>
      </c>
      <c r="H89">
        <f t="shared" si="3"/>
        <v>94476.260994503449</v>
      </c>
      <c r="I89">
        <f t="shared" si="4"/>
        <v>-11.692812345092534</v>
      </c>
    </row>
    <row r="90" spans="1:9">
      <c r="A90" s="1">
        <v>39384</v>
      </c>
      <c r="B90">
        <f>(3/(1+('CurrentPor-N10Unchanged'!B90)/100)+103/POWER(1+('CurrentPor-N10Unchanged'!C90)/100,2))*100</f>
        <v>9707.5857774288397</v>
      </c>
      <c r="C90">
        <f>(3/(1+('CurrentPor-N10Unchanged'!B90+'CurrentPor-N10Unchanged'!F90)/100)+103/POWER(1+('CurrentPor-N10Unchanged'!C90+'CurrentPor-N10Unchanged'!F90)/100,2))*100</f>
        <v>9642.0686266331541</v>
      </c>
      <c r="D90">
        <f>(3/(1+('CurrentPor-N10Unchanged'!B90+'CurrentPor-N10Unchanged'!G90)/100)+103/POWER(1+('CurrentPor-N10Unchanged'!C90+'CurrentPor-N10Unchanged'!G90)/100,2))*100</f>
        <v>9589.4533787174823</v>
      </c>
      <c r="E90">
        <f>(3/(1+('CurrentPor-N10Unchanged'!B90+'CurrentPor-N10Unchanged'!H90)/100)+103/POWER(1+('CurrentPor-N10Unchanged'!C90+'CurrentPor-N10Unchanged'!H90)/100,2))*100</f>
        <v>9679.0031959085572</v>
      </c>
      <c r="F90">
        <f>Portfolio!B$5*'CurrentPor-N10Unchanged'!D90</f>
        <v>52143.895533915893</v>
      </c>
      <c r="G90">
        <f>Portfolio!B$6*'CurrentPor-N10Unchanged'!E90</f>
        <v>3696.2945087936532</v>
      </c>
      <c r="H90">
        <f t="shared" si="3"/>
        <v>94458.301021397579</v>
      </c>
      <c r="I90">
        <f t="shared" si="4"/>
        <v>-8.6653766095987521</v>
      </c>
    </row>
    <row r="91" spans="1:9">
      <c r="A91" s="1">
        <v>39385</v>
      </c>
      <c r="B91">
        <f>(3/(1+('CurrentPor-N10Unchanged'!B91)/100)+103/POWER(1+('CurrentPor-N10Unchanged'!C91)/100,2))*100</f>
        <v>9707.5857774288397</v>
      </c>
      <c r="C91">
        <f>(3/(1+('CurrentPor-N10Unchanged'!B91+'CurrentPor-N10Unchanged'!F91)/100)+103/POWER(1+('CurrentPor-N10Unchanged'!C91+'CurrentPor-N10Unchanged'!F91)/100,2))*100</f>
        <v>9643.879491178941</v>
      </c>
      <c r="D91">
        <f>(3/(1+('CurrentPor-N10Unchanged'!B91+'CurrentPor-N10Unchanged'!G91)/100)+103/POWER(1+('CurrentPor-N10Unchanged'!C91+'CurrentPor-N10Unchanged'!G91)/100,2))*100</f>
        <v>9587.2511643885482</v>
      </c>
      <c r="E91">
        <f>(3/(1+('CurrentPor-N10Unchanged'!B91+'CurrentPor-N10Unchanged'!H91)/100)+103/POWER(1+('CurrentPor-N10Unchanged'!C91+'CurrentPor-N10Unchanged'!H91)/100,2))*100</f>
        <v>9680.3691851352687</v>
      </c>
      <c r="F91">
        <f>Portfolio!B$5*'CurrentPor-N10Unchanged'!D91</f>
        <v>52143.895533915893</v>
      </c>
      <c r="G91">
        <f>Portfolio!B$6*'CurrentPor-N10Unchanged'!E91</f>
        <v>3696.2945087936532</v>
      </c>
      <c r="H91">
        <f t="shared" si="3"/>
        <v>94459.275660841144</v>
      </c>
      <c r="I91">
        <f t="shared" si="4"/>
        <v>2.3288849823584314</v>
      </c>
    </row>
    <row r="92" spans="1:9">
      <c r="A92" s="1">
        <v>39386</v>
      </c>
      <c r="B92">
        <f>(3/(1+('CurrentPor-N10Unchanged'!B92)/100)+103/POWER(1+('CurrentPor-N10Unchanged'!C92)/100,2))*100</f>
        <v>9707.5857774288397</v>
      </c>
      <c r="C92">
        <f>(3/(1+('CurrentPor-N10Unchanged'!B92+'CurrentPor-N10Unchanged'!F92)/100)+103/POWER(1+('CurrentPor-N10Unchanged'!C92+'CurrentPor-N10Unchanged'!F92)/100,2))*100</f>
        <v>9638.4484425779829</v>
      </c>
      <c r="D92">
        <f>(3/(1+('CurrentPor-N10Unchanged'!B92+'CurrentPor-N10Unchanged'!G92)/100)+103/POWER(1+('CurrentPor-N10Unchanged'!C92+'CurrentPor-N10Unchanged'!G92)/100,2))*100</f>
        <v>9601.9734866883045</v>
      </c>
      <c r="E92">
        <f>(3/(1+('CurrentPor-N10Unchanged'!B92+'CurrentPor-N10Unchanged'!H92)/100)+103/POWER(1+('CurrentPor-N10Unchanged'!C92+'CurrentPor-N10Unchanged'!H92)/100,2))*100</f>
        <v>9680.4056146090297</v>
      </c>
      <c r="F92">
        <f>Portfolio!B$5*'CurrentPor-N10Unchanged'!D92</f>
        <v>52143.895533915893</v>
      </c>
      <c r="G92">
        <f>Portfolio!B$6*'CurrentPor-N10Unchanged'!E92</f>
        <v>3696.2945087936532</v>
      </c>
      <c r="H92">
        <f t="shared" si="3"/>
        <v>94468.603364013703</v>
      </c>
      <c r="I92">
        <f t="shared" si="4"/>
        <v>6.1416253436909756</v>
      </c>
    </row>
    <row r="93" spans="1:9">
      <c r="A93" s="1">
        <v>39387</v>
      </c>
      <c r="B93">
        <f>(3/(1+('CurrentPor-N10Unchanged'!B93)/100)+103/POWER(1+('CurrentPor-N10Unchanged'!C93)/100,2))*100</f>
        <v>9707.5857774288397</v>
      </c>
      <c r="C93">
        <f>(3/(1+('CurrentPor-N10Unchanged'!B93+'CurrentPor-N10Unchanged'!F93)/100)+103/POWER(1+('CurrentPor-N10Unchanged'!C93+'CurrentPor-N10Unchanged'!F93)/100,2))*100</f>
        <v>9631.2142491337127</v>
      </c>
      <c r="D93">
        <f>(3/(1+('CurrentPor-N10Unchanged'!B93+'CurrentPor-N10Unchanged'!G93)/100)+103/POWER(1+('CurrentPor-N10Unchanged'!C93+'CurrentPor-N10Unchanged'!G93)/100,2))*100</f>
        <v>9592.6719611140124</v>
      </c>
      <c r="E93">
        <f>(3/(1+('CurrentPor-N10Unchanged'!B93+'CurrentPor-N10Unchanged'!H93)/100)+103/POWER(1+('CurrentPor-N10Unchanged'!C93+'CurrentPor-N10Unchanged'!H93)/100,2))*100</f>
        <v>9679.6770472220851</v>
      </c>
      <c r="F93">
        <f>Portfolio!B$5*'CurrentPor-N10Unchanged'!D93</f>
        <v>52143.895533915893</v>
      </c>
      <c r="G93">
        <f>Portfolio!B$6*'CurrentPor-N10Unchanged'!E93</f>
        <v>3696.2945087936532</v>
      </c>
      <c r="H93">
        <f t="shared" si="3"/>
        <v>94451.339077608194</v>
      </c>
      <c r="I93">
        <f t="shared" si="4"/>
        <v>-10.919122724284534</v>
      </c>
    </row>
    <row r="94" spans="1:9">
      <c r="A94" s="1">
        <v>39388</v>
      </c>
      <c r="B94">
        <f>(3/(1+('CurrentPor-N10Unchanged'!B94)/100)+103/POWER(1+('CurrentPor-N10Unchanged'!C94)/100,2))*100</f>
        <v>9707.5857774288397</v>
      </c>
      <c r="C94">
        <f>(3/(1+('CurrentPor-N10Unchanged'!B94+'CurrentPor-N10Unchanged'!F94)/100)+103/POWER(1+('CurrentPor-N10Unchanged'!C94+'CurrentPor-N10Unchanged'!F94)/100,2))*100</f>
        <v>9633.0220261504182</v>
      </c>
      <c r="D94">
        <f>(3/(1+('CurrentPor-N10Unchanged'!B94+'CurrentPor-N10Unchanged'!G94)/100)+103/POWER(1+('CurrentPor-N10Unchanged'!C94+'CurrentPor-N10Unchanged'!G94)/100,2))*100</f>
        <v>9572.9984013688572</v>
      </c>
      <c r="E94">
        <f>(3/(1+('CurrentPor-N10Unchanged'!B94+'CurrentPor-N10Unchanged'!H94)/100)+103/POWER(1+('CurrentPor-N10Unchanged'!C94+'CurrentPor-N10Unchanged'!H94)/100,2))*100</f>
        <v>9681.7172470058304</v>
      </c>
      <c r="F94">
        <f>Portfolio!B$5*'CurrentPor-N10Unchanged'!D94</f>
        <v>52143.895533915893</v>
      </c>
      <c r="G94">
        <f>Portfolio!B$6*'CurrentPor-N10Unchanged'!E94</f>
        <v>3696.2945087936532</v>
      </c>
      <c r="H94">
        <f t="shared" si="3"/>
        <v>94435.513494663493</v>
      </c>
      <c r="I94">
        <f t="shared" si="4"/>
        <v>-21.222677246667445</v>
      </c>
    </row>
    <row r="95" spans="1:9">
      <c r="A95" s="1">
        <v>39391</v>
      </c>
      <c r="B95">
        <f>(3/(1+('CurrentPor-N10Unchanged'!B95)/100)+103/POWER(1+('CurrentPor-N10Unchanged'!C95)/100,2))*100</f>
        <v>9707.5857774288397</v>
      </c>
      <c r="C95">
        <f>(3/(1+('CurrentPor-N10Unchanged'!B95+'CurrentPor-N10Unchanged'!F95)/100)+103/POWER(1+('CurrentPor-N10Unchanged'!C95+'CurrentPor-N10Unchanged'!F95)/100,2))*100</f>
        <v>9631.2142491337127</v>
      </c>
      <c r="D95">
        <f>(3/(1+('CurrentPor-N10Unchanged'!B95+'CurrentPor-N10Unchanged'!G95)/100)+103/POWER(1+('CurrentPor-N10Unchanged'!C95+'CurrentPor-N10Unchanged'!G95)/100,2))*100</f>
        <v>9604.9264476862427</v>
      </c>
      <c r="E95">
        <f>(3/(1+('CurrentPor-N10Unchanged'!B95+'CurrentPor-N10Unchanged'!H95)/100)+103/POWER(1+('CurrentPor-N10Unchanged'!C95+'CurrentPor-N10Unchanged'!H95)/100,2))*100</f>
        <v>9680.6424173310115</v>
      </c>
      <c r="F95">
        <f>Portfolio!B$5*'CurrentPor-N10Unchanged'!D95</f>
        <v>52143.895533915893</v>
      </c>
      <c r="G95">
        <f>Portfolio!B$6*'CurrentPor-N10Unchanged'!E95</f>
        <v>3696.2945087936532</v>
      </c>
      <c r="H95">
        <f t="shared" si="3"/>
        <v>94464.558934289351</v>
      </c>
      <c r="I95">
        <f t="shared" si="4"/>
        <v>15.822226289266837</v>
      </c>
    </row>
    <row r="96" spans="1:9">
      <c r="A96" s="1">
        <v>39392</v>
      </c>
      <c r="B96">
        <f>(3/(1+('CurrentPor-N10Unchanged'!B96)/100)+103/POWER(1+('CurrentPor-N10Unchanged'!C96)/100,2))*100</f>
        <v>9707.5857774288397</v>
      </c>
      <c r="C96">
        <f>(3/(1+('CurrentPor-N10Unchanged'!B96+'CurrentPor-N10Unchanged'!F96)/100)+103/POWER(1+('CurrentPor-N10Unchanged'!C96+'CurrentPor-N10Unchanged'!F96)/100,2))*100</f>
        <v>9634.8303172663855</v>
      </c>
      <c r="D96">
        <f>(3/(1+('CurrentPor-N10Unchanged'!B96+'CurrentPor-N10Unchanged'!G96)/100)+103/POWER(1+('CurrentPor-N10Unchanged'!C96+'CurrentPor-N10Unchanged'!G96)/100,2))*100</f>
        <v>9597.3798109872332</v>
      </c>
      <c r="E96">
        <f>(3/(1+('CurrentPor-N10Unchanged'!B96+'CurrentPor-N10Unchanged'!H96)/100)+103/POWER(1+('CurrentPor-N10Unchanged'!C96+'CurrentPor-N10Unchanged'!H96)/100,2))*100</f>
        <v>9681.7354664282466</v>
      </c>
      <c r="F96">
        <f>Portfolio!B$5*'CurrentPor-N10Unchanged'!D96</f>
        <v>52143.895533915893</v>
      </c>
      <c r="G96">
        <f>Portfolio!B$6*'CurrentPor-N10Unchanged'!E96</f>
        <v>3696.2945087936532</v>
      </c>
      <c r="H96">
        <f t="shared" si="3"/>
        <v>94461.721414820262</v>
      </c>
      <c r="I96">
        <f t="shared" si="4"/>
        <v>1.6486569366243202</v>
      </c>
    </row>
    <row r="97" spans="1:9">
      <c r="A97" s="1">
        <v>39393</v>
      </c>
      <c r="B97">
        <f>(3/(1+('CurrentPor-N10Unchanged'!B97)/100)+103/POWER(1+('CurrentPor-N10Unchanged'!C97)/100,2))*100</f>
        <v>9707.5857774288397</v>
      </c>
      <c r="C97">
        <f>(3/(1+('CurrentPor-N10Unchanged'!B97+'CurrentPor-N10Unchanged'!F97)/100)+103/POWER(1+('CurrentPor-N10Unchanged'!C97+'CurrentPor-N10Unchanged'!F97)/100,2))*100</f>
        <v>9634.8303172663855</v>
      </c>
      <c r="D97">
        <f>(3/(1+('CurrentPor-N10Unchanged'!B97+'CurrentPor-N10Unchanged'!G97)/100)+103/POWER(1+('CurrentPor-N10Unchanged'!C97+'CurrentPor-N10Unchanged'!G97)/100,2))*100</f>
        <v>9593.3541996930999</v>
      </c>
      <c r="E97">
        <f>(3/(1+('CurrentPor-N10Unchanged'!B97+'CurrentPor-N10Unchanged'!H97)/100)+103/POWER(1+('CurrentPor-N10Unchanged'!C97+'CurrentPor-N10Unchanged'!H97)/100,2))*100</f>
        <v>9681.6990276353554</v>
      </c>
      <c r="F97">
        <f>Portfolio!B$5*'CurrentPor-N10Unchanged'!D97</f>
        <v>52143.895533915893</v>
      </c>
      <c r="G97">
        <f>Portfolio!B$6*'CurrentPor-N10Unchanged'!E97</f>
        <v>3696.2945087936532</v>
      </c>
      <c r="H97">
        <f t="shared" si="3"/>
        <v>94457.659364733234</v>
      </c>
      <c r="I97">
        <f t="shared" si="4"/>
        <v>11.846801589112147</v>
      </c>
    </row>
    <row r="98" spans="1:9">
      <c r="A98" s="1">
        <v>39394</v>
      </c>
      <c r="B98">
        <f>(3/(1+('CurrentPor-N10Unchanged'!B98)/100)+103/POWER(1+('CurrentPor-N10Unchanged'!C98)/100,2))*100</f>
        <v>9707.5857774288397</v>
      </c>
      <c r="C98">
        <f>(3/(1+('CurrentPor-N10Unchanged'!B98+'CurrentPor-N10Unchanged'!F98)/100)+103/POWER(1+('CurrentPor-N10Unchanged'!C98+'CurrentPor-N10Unchanged'!F98)/100,2))*100</f>
        <v>9642.0686266331541</v>
      </c>
      <c r="D98">
        <f>(3/(1+('CurrentPor-N10Unchanged'!B98+'CurrentPor-N10Unchanged'!G98)/100)+103/POWER(1+('CurrentPor-N10Unchanged'!C98+'CurrentPor-N10Unchanged'!G98)/100,2))*100</f>
        <v>9603.7595254689968</v>
      </c>
      <c r="E98">
        <f>(3/(1+('CurrentPor-N10Unchanged'!B98+'CurrentPor-N10Unchanged'!H98)/100)+103/POWER(1+('CurrentPor-N10Unchanged'!C98+'CurrentPor-N10Unchanged'!H98)/100,2))*100</f>
        <v>9683.1020398709661</v>
      </c>
      <c r="F98">
        <f>Portfolio!B$5*'CurrentPor-N10Unchanged'!D98</f>
        <v>52143.895533915893</v>
      </c>
      <c r="G98">
        <f>Portfolio!B$6*'CurrentPor-N10Unchanged'!E98</f>
        <v>3696.2945087936532</v>
      </c>
      <c r="H98">
        <f t="shared" si="3"/>
        <v>94476.706012111506</v>
      </c>
      <c r="I98">
        <f t="shared" si="4"/>
        <v>7.7842504692962393</v>
      </c>
    </row>
    <row r="99" spans="1:9">
      <c r="A99" s="1">
        <v>39395</v>
      </c>
      <c r="B99">
        <f>(3/(1+('CurrentPor-N10Unchanged'!B99)/100)+103/POWER(1+('CurrentPor-N10Unchanged'!C99)/100,2))*100</f>
        <v>9707.5857774288397</v>
      </c>
      <c r="C99">
        <f>(3/(1+('CurrentPor-N10Unchanged'!B99+'CurrentPor-N10Unchanged'!F99)/100)+103/POWER(1+('CurrentPor-N10Unchanged'!C99+'CurrentPor-N10Unchanged'!F99)/100,2))*100</f>
        <v>9643.879491178941</v>
      </c>
      <c r="D99">
        <f>(3/(1+('CurrentPor-N10Unchanged'!B99+'CurrentPor-N10Unchanged'!G99)/100)+103/POWER(1+('CurrentPor-N10Unchanged'!C99+'CurrentPor-N10Unchanged'!G99)/100,2))*100</f>
        <v>9605.0283388627304</v>
      </c>
      <c r="E99">
        <f>(3/(1+('CurrentPor-N10Unchanged'!B99+'CurrentPor-N10Unchanged'!H99)/100)+103/POWER(1+('CurrentPor-N10Unchanged'!C99+'CurrentPor-N10Unchanged'!H99)/100,2))*100</f>
        <v>9683.2113773965266</v>
      </c>
      <c r="F99">
        <f>Portfolio!B$5*'CurrentPor-N10Unchanged'!D99</f>
        <v>52143.895533915893</v>
      </c>
      <c r="G99">
        <f>Portfolio!B$6*'CurrentPor-N10Unchanged'!E99</f>
        <v>3696.2945087936532</v>
      </c>
      <c r="H99">
        <f t="shared" ref="H99:H130" si="5">SUM(B99:G99)</f>
        <v>94479.895027576582</v>
      </c>
      <c r="I99">
        <f t="shared" si="4"/>
        <v>3.6340330731327413</v>
      </c>
    </row>
    <row r="100" spans="1:9">
      <c r="A100" s="1">
        <v>39398</v>
      </c>
      <c r="B100">
        <f>(3/(1+('CurrentPor-N10Unchanged'!B100)/100)+103/POWER(1+('CurrentPor-N10Unchanged'!C100)/100,2))*100</f>
        <v>9707.5857774288397</v>
      </c>
      <c r="C100">
        <f>(3/(1+('CurrentPor-N10Unchanged'!B100+'CurrentPor-N10Unchanged'!F100)/100)+103/POWER(1+('CurrentPor-N10Unchanged'!C100+'CurrentPor-N10Unchanged'!F100)/100,2))*100</f>
        <v>9642.0686266331541</v>
      </c>
      <c r="D100">
        <f>(3/(1+('CurrentPor-N10Unchanged'!B100+'CurrentPor-N10Unchanged'!G100)/100)+103/POWER(1+('CurrentPor-N10Unchanged'!C100+'CurrentPor-N10Unchanged'!G100)/100,2))*100</f>
        <v>9592.0163202746589</v>
      </c>
      <c r="E100">
        <f>(3/(1+('CurrentPor-N10Unchanged'!B100+'CurrentPor-N10Unchanged'!H100)/100)+103/POWER(1+('CurrentPor-N10Unchanged'!C100+'CurrentPor-N10Unchanged'!H100)/100,2))*100</f>
        <v>9684.1226042922844</v>
      </c>
      <c r="F100">
        <f>Portfolio!B$5*'CurrentPor-N10Unchanged'!D100</f>
        <v>52143.895533915893</v>
      </c>
      <c r="G100">
        <f>Portfolio!B$6*'CurrentPor-N10Unchanged'!E100</f>
        <v>3696.2945087936532</v>
      </c>
      <c r="H100">
        <f t="shared" si="5"/>
        <v>94465.983371338487</v>
      </c>
      <c r="I100">
        <f t="shared" si="4"/>
        <v>7.6823499409074429</v>
      </c>
    </row>
    <row r="101" spans="1:9">
      <c r="A101" s="1">
        <v>39399</v>
      </c>
      <c r="B101">
        <f>(3/(1+('CurrentPor-N10Unchanged'!B101)/100)+103/POWER(1+('CurrentPor-N10Unchanged'!C101)/100,2))*100</f>
        <v>9707.5857774288397</v>
      </c>
      <c r="C101">
        <f>(3/(1+('CurrentPor-N10Unchanged'!B101+'CurrentPor-N10Unchanged'!F101)/100)+103/POWER(1+('CurrentPor-N10Unchanged'!C101+'CurrentPor-N10Unchanged'!F101)/100,2))*100</f>
        <v>9642.0686266331541</v>
      </c>
      <c r="D101">
        <f>(3/(1+('CurrentPor-N10Unchanged'!B101+'CurrentPor-N10Unchanged'!G101)/100)+103/POWER(1+('CurrentPor-N10Unchanged'!C101+'CurrentPor-N10Unchanged'!G101)/100,2))*100</f>
        <v>9611.734677976161</v>
      </c>
      <c r="E101">
        <f>(3/(1+('CurrentPor-N10Unchanged'!B101+'CurrentPor-N10Unchanged'!H101)/100)+103/POWER(1+('CurrentPor-N10Unchanged'!C101+'CurrentPor-N10Unchanged'!H101)/100,2))*100</f>
        <v>9684.8334520784665</v>
      </c>
      <c r="F101">
        <f>Portfolio!B$5*'CurrentPor-N10Unchanged'!D101</f>
        <v>52143.895533915893</v>
      </c>
      <c r="G101">
        <f>Portfolio!B$6*'CurrentPor-N10Unchanged'!E101</f>
        <v>3696.2945087936532</v>
      </c>
      <c r="H101">
        <f t="shared" si="5"/>
        <v>94486.412576826173</v>
      </c>
      <c r="I101">
        <f t="shared" si="4"/>
        <v>27.136915985029191</v>
      </c>
    </row>
    <row r="102" spans="1:9">
      <c r="A102" s="1">
        <v>39400</v>
      </c>
      <c r="B102">
        <f>(3/(1+('CurrentPor-N10Unchanged'!B102)/100)+103/POWER(1+('CurrentPor-N10Unchanged'!C102)/100,2))*100</f>
        <v>9707.5857774288397</v>
      </c>
      <c r="C102">
        <f>(3/(1+('CurrentPor-N10Unchanged'!B102+'CurrentPor-N10Unchanged'!F102)/100)+103/POWER(1+('CurrentPor-N10Unchanged'!C102+'CurrentPor-N10Unchanged'!F102)/100,2))*100</f>
        <v>9642.0686266331541</v>
      </c>
      <c r="D102">
        <f>(3/(1+('CurrentPor-N10Unchanged'!B102+'CurrentPor-N10Unchanged'!G102)/100)+103/POWER(1+('CurrentPor-N10Unchanged'!C102+'CurrentPor-N10Unchanged'!G102)/100,2))*100</f>
        <v>9606.6387898890553</v>
      </c>
      <c r="E102">
        <f>(3/(1+('CurrentPor-N10Unchanged'!B102+'CurrentPor-N10Unchanged'!H102)/100)+103/POWER(1+('CurrentPor-N10Unchanged'!C102+'CurrentPor-N10Unchanged'!H102)/100,2))*100</f>
        <v>9684.4142257946733</v>
      </c>
      <c r="F102">
        <f>Portfolio!B$5*'CurrentPor-N10Unchanged'!D102</f>
        <v>52143.895533915893</v>
      </c>
      <c r="G102">
        <f>Portfolio!B$6*'CurrentPor-N10Unchanged'!E102</f>
        <v>3696.2945087936532</v>
      </c>
      <c r="H102">
        <f t="shared" si="5"/>
        <v>94480.897462455265</v>
      </c>
      <c r="I102">
        <f t="shared" si="4"/>
        <v>12.2940984415618</v>
      </c>
    </row>
    <row r="103" spans="1:9">
      <c r="A103" s="1">
        <v>39401</v>
      </c>
      <c r="B103">
        <f>(3/(1+('CurrentPor-N10Unchanged'!B103)/100)+103/POWER(1+('CurrentPor-N10Unchanged'!C103)/100,2))*100</f>
        <v>9707.5857774288397</v>
      </c>
      <c r="C103">
        <f>(3/(1+('CurrentPor-N10Unchanged'!B103+'CurrentPor-N10Unchanged'!F103)/100)+103/POWER(1+('CurrentPor-N10Unchanged'!C103+'CurrentPor-N10Unchanged'!F103)/100,2))*100</f>
        <v>9640.2582771647722</v>
      </c>
      <c r="D103">
        <f>(3/(1+('CurrentPor-N10Unchanged'!B103+'CurrentPor-N10Unchanged'!G103)/100)+103/POWER(1+('CurrentPor-N10Unchanged'!C103+'CurrentPor-N10Unchanged'!G103)/100,2))*100</f>
        <v>9599.2123115751165</v>
      </c>
      <c r="E103">
        <f>(3/(1+('CurrentPor-N10Unchanged'!B103+'CurrentPor-N10Unchanged'!H103)/100)+103/POWER(1+('CurrentPor-N10Unchanged'!C103+'CurrentPor-N10Unchanged'!H103)/100,2))*100</f>
        <v>9683.9950252631097</v>
      </c>
      <c r="F103">
        <f>Portfolio!B$5*'CurrentPor-N10Unchanged'!D103</f>
        <v>52143.895533915893</v>
      </c>
      <c r="G103">
        <f>Portfolio!B$6*'CurrentPor-N10Unchanged'!E103</f>
        <v>3696.2945087936532</v>
      </c>
      <c r="H103">
        <f t="shared" si="5"/>
        <v>94471.241434141382</v>
      </c>
      <c r="I103">
        <f t="shared" si="4"/>
        <v>19.90235653318814</v>
      </c>
    </row>
    <row r="104" spans="1:9">
      <c r="A104" s="1">
        <v>39402</v>
      </c>
      <c r="B104">
        <f>(3/(1+('CurrentPor-N10Unchanged'!B104)/100)+103/POWER(1+('CurrentPor-N10Unchanged'!C104)/100,2))*100</f>
        <v>9707.5857774288397</v>
      </c>
      <c r="C104">
        <f>(3/(1+('CurrentPor-N10Unchanged'!B104+'CurrentPor-N10Unchanged'!F104)/100)+103/POWER(1+('CurrentPor-N10Unchanged'!C104+'CurrentPor-N10Unchanged'!F104)/100,2))*100</f>
        <v>9638.4484425779829</v>
      </c>
      <c r="D104">
        <f>(3/(1+('CurrentPor-N10Unchanged'!B104+'CurrentPor-N10Unchanged'!G104)/100)+103/POWER(1+('CurrentPor-N10Unchanged'!C104+'CurrentPor-N10Unchanged'!G104)/100,2))*100</f>
        <v>9604.233254079445</v>
      </c>
      <c r="E104">
        <f>(3/(1+('CurrentPor-N10Unchanged'!B104+'CurrentPor-N10Unchanged'!H104)/100)+103/POWER(1+('CurrentPor-N10Unchanged'!C104+'CurrentPor-N10Unchanged'!H104)/100,2))*100</f>
        <v>9684.5235857668922</v>
      </c>
      <c r="F104">
        <f>Portfolio!B$5*'CurrentPor-N10Unchanged'!D104</f>
        <v>52143.895533915893</v>
      </c>
      <c r="G104">
        <f>Portfolio!B$6*'CurrentPor-N10Unchanged'!E104</f>
        <v>3696.2945087936532</v>
      </c>
      <c r="H104">
        <f t="shared" si="5"/>
        <v>94474.981102562713</v>
      </c>
      <c r="I104">
        <f t="shared" si="4"/>
        <v>39.467607899219729</v>
      </c>
    </row>
    <row r="105" spans="1:9">
      <c r="A105" s="1">
        <v>39405</v>
      </c>
      <c r="B105">
        <f>(3/(1+('CurrentPor-N10Unchanged'!B105)/100)+103/POWER(1+('CurrentPor-N10Unchanged'!C105)/100,2))*100</f>
        <v>9707.5857774288397</v>
      </c>
      <c r="C105">
        <f>(3/(1+('CurrentPor-N10Unchanged'!B105+'CurrentPor-N10Unchanged'!F105)/100)+103/POWER(1+('CurrentPor-N10Unchanged'!C105+'CurrentPor-N10Unchanged'!F105)/100,2))*100</f>
        <v>9640.2582771647722</v>
      </c>
      <c r="D105">
        <f>(3/(1+('CurrentPor-N10Unchanged'!B105+'CurrentPor-N10Unchanged'!G105)/100)+103/POWER(1+('CurrentPor-N10Unchanged'!C105+'CurrentPor-N10Unchanged'!G105)/100,2))*100</f>
        <v>9620.3800925193445</v>
      </c>
      <c r="E105">
        <f>(3/(1+('CurrentPor-N10Unchanged'!B105+'CurrentPor-N10Unchanged'!H105)/100)+103/POWER(1+('CurrentPor-N10Unchanged'!C105+'CurrentPor-N10Unchanged'!H105)/100,2))*100</f>
        <v>9683.7034246212697</v>
      </c>
      <c r="F105">
        <f>Portfolio!B$5*'CurrentPor-N10Unchanged'!D105</f>
        <v>52143.895533915893</v>
      </c>
      <c r="G105">
        <f>Portfolio!B$6*'CurrentPor-N10Unchanged'!E105</f>
        <v>3696.2945087936532</v>
      </c>
      <c r="H105">
        <f t="shared" si="5"/>
        <v>94492.117614443763</v>
      </c>
      <c r="I105">
        <f t="shared" si="4"/>
        <v>27.558680154412286</v>
      </c>
    </row>
    <row r="106" spans="1:9">
      <c r="A106" s="1">
        <v>39406</v>
      </c>
      <c r="B106">
        <f>(3/(1+('CurrentPor-N10Unchanged'!B106)/100)+103/POWER(1+('CurrentPor-N10Unchanged'!C106)/100,2))*100</f>
        <v>9707.5857774288397</v>
      </c>
      <c r="C106">
        <f>(3/(1+('CurrentPor-N10Unchanged'!B106+'CurrentPor-N10Unchanged'!F106)/100)+103/POWER(1+('CurrentPor-N10Unchanged'!C106+'CurrentPor-N10Unchanged'!F106)/100,2))*100</f>
        <v>9642.0686266331541</v>
      </c>
      <c r="D106">
        <f>(3/(1+('CurrentPor-N10Unchanged'!B106+'CurrentPor-N10Unchanged'!G106)/100)+103/POWER(1+('CurrentPor-N10Unchanged'!C106+'CurrentPor-N10Unchanged'!G106)/100,2))*100</f>
        <v>9618.9244570829196</v>
      </c>
      <c r="E106">
        <f>(3/(1+('CurrentPor-N10Unchanged'!B106+'CurrentPor-N10Unchanged'!H106)/100)+103/POWER(1+('CurrentPor-N10Unchanged'!C106+'CurrentPor-N10Unchanged'!H106)/100,2))*100</f>
        <v>9684.1226042922844</v>
      </c>
      <c r="F106">
        <f>Portfolio!B$5*'CurrentPor-N10Unchanged'!D106</f>
        <v>52143.895533915893</v>
      </c>
      <c r="G106">
        <f>Portfolio!B$6*'CurrentPor-N10Unchanged'!E106</f>
        <v>3696.2945087936532</v>
      </c>
      <c r="H106">
        <f t="shared" si="5"/>
        <v>94492.891508146742</v>
      </c>
      <c r="I106">
        <f t="shared" si="4"/>
        <v>31.170093326480128</v>
      </c>
    </row>
    <row r="107" spans="1:9">
      <c r="A107" s="1">
        <v>39407</v>
      </c>
      <c r="B107">
        <f>(3/(1+('CurrentPor-N10Unchanged'!B107)/100)+103/POWER(1+('CurrentPor-N10Unchanged'!C107)/100,2))*100</f>
        <v>9707.5857774288397</v>
      </c>
      <c r="C107">
        <f>(3/(1+('CurrentPor-N10Unchanged'!B107+'CurrentPor-N10Unchanged'!F107)/100)+103/POWER(1+('CurrentPor-N10Unchanged'!C107+'CurrentPor-N10Unchanged'!F107)/100,2))*100</f>
        <v>9642.0686266331541</v>
      </c>
      <c r="D107">
        <f>(3/(1+('CurrentPor-N10Unchanged'!B107+'CurrentPor-N10Unchanged'!G107)/100)+103/POWER(1+('CurrentPor-N10Unchanged'!C107+'CurrentPor-N10Unchanged'!G107)/100,2))*100</f>
        <v>9595.7413073058633</v>
      </c>
      <c r="E107">
        <f>(3/(1+('CurrentPor-N10Unchanged'!B107+'CurrentPor-N10Unchanged'!H107)/100)+103/POWER(1+('CurrentPor-N10Unchanged'!C107+'CurrentPor-N10Unchanged'!H107)/100,2))*100</f>
        <v>9683.9038981990943</v>
      </c>
      <c r="F107">
        <f>Portfolio!B$5*'CurrentPor-N10Unchanged'!D107</f>
        <v>52143.895533915893</v>
      </c>
      <c r="G107">
        <f>Portfolio!B$6*'CurrentPor-N10Unchanged'!E107</f>
        <v>3696.2945087936532</v>
      </c>
      <c r="H107">
        <f t="shared" si="5"/>
        <v>94469.489652276505</v>
      </c>
      <c r="I107">
        <f t="shared" si="4"/>
        <v>11.83028754327097</v>
      </c>
    </row>
    <row r="108" spans="1:9">
      <c r="A108" s="1">
        <v>39408</v>
      </c>
      <c r="B108">
        <f>(3/(1+('CurrentPor-N10Unchanged'!B108)/100)+103/POWER(1+('CurrentPor-N10Unchanged'!C108)/100,2))*100</f>
        <v>9707.5857774288397</v>
      </c>
      <c r="C108">
        <f>(3/(1+('CurrentPor-N10Unchanged'!B108+'CurrentPor-N10Unchanged'!F108)/100)+103/POWER(1+('CurrentPor-N10Unchanged'!C108+'CurrentPor-N10Unchanged'!F108)/100,2))*100</f>
        <v>9642.0686266331541</v>
      </c>
      <c r="D108">
        <f>(3/(1+('CurrentPor-N10Unchanged'!B108+'CurrentPor-N10Unchanged'!G108)/100)+103/POWER(1+('CurrentPor-N10Unchanged'!C108+'CurrentPor-N10Unchanged'!G108)/100,2))*100</f>
        <v>9580.228892426363</v>
      </c>
      <c r="E108">
        <f>(3/(1+('CurrentPor-N10Unchanged'!B108+'CurrentPor-N10Unchanged'!H108)/100)+103/POWER(1+('CurrentPor-N10Unchanged'!C108+'CurrentPor-N10Unchanged'!H108)/100,2))*100</f>
        <v>9684.5235857668922</v>
      </c>
      <c r="F108">
        <f>Portfolio!B$5*'CurrentPor-N10Unchanged'!D108</f>
        <v>52143.895533915893</v>
      </c>
      <c r="G108">
        <f>Portfolio!B$6*'CurrentPor-N10Unchanged'!E108</f>
        <v>3696.2945087936532</v>
      </c>
      <c r="H108">
        <f t="shared" si="5"/>
        <v>94454.596924964804</v>
      </c>
      <c r="I108">
        <f t="shared" si="4"/>
        <v>-22.109087146702223</v>
      </c>
    </row>
    <row r="109" spans="1:9">
      <c r="A109" s="1">
        <v>39409</v>
      </c>
      <c r="B109">
        <f>(3/(1+('CurrentPor-N10Unchanged'!B109)/100)+103/POWER(1+('CurrentPor-N10Unchanged'!C109)/100,2))*100</f>
        <v>9707.5857774288397</v>
      </c>
      <c r="C109">
        <f>(3/(1+('CurrentPor-N10Unchanged'!B109+'CurrentPor-N10Unchanged'!F109)/100)+103/POWER(1+('CurrentPor-N10Unchanged'!C109+'CurrentPor-N10Unchanged'!F109)/100,2))*100</f>
        <v>9643.879491178941</v>
      </c>
      <c r="D109">
        <f>(3/(1+('CurrentPor-N10Unchanged'!B109+'CurrentPor-N10Unchanged'!G109)/100)+103/POWER(1+('CurrentPor-N10Unchanged'!C109+'CurrentPor-N10Unchanged'!G109)/100,2))*100</f>
        <v>9604.516645172871</v>
      </c>
      <c r="E109">
        <f>(3/(1+('CurrentPor-N10Unchanged'!B109+'CurrentPor-N10Unchanged'!H109)/100)+103/POWER(1+('CurrentPor-N10Unchanged'!C109+'CurrentPor-N10Unchanged'!H109)/100,2))*100</f>
        <v>9685.5443789132642</v>
      </c>
      <c r="F109">
        <f>Portfolio!B$5*'CurrentPor-N10Unchanged'!D109</f>
        <v>52143.895533915893</v>
      </c>
      <c r="G109">
        <f>Portfolio!B$6*'CurrentPor-N10Unchanged'!E109</f>
        <v>3696.2945087936532</v>
      </c>
      <c r="H109">
        <f t="shared" si="5"/>
        <v>94481.716335403471</v>
      </c>
      <c r="I109">
        <f t="shared" si="4"/>
        <v>1.8213078268890968</v>
      </c>
    </row>
    <row r="110" spans="1:9">
      <c r="A110" s="1">
        <v>39412</v>
      </c>
      <c r="B110">
        <f>(3/(1+('CurrentPor-N10Unchanged'!B110)/100)+103/POWER(1+('CurrentPor-N10Unchanged'!C110)/100,2))*100</f>
        <v>9707.5857774288397</v>
      </c>
      <c r="C110">
        <f>(3/(1+('CurrentPor-N10Unchanged'!B110+'CurrentPor-N10Unchanged'!F110)/100)+103/POWER(1+('CurrentPor-N10Unchanged'!C110+'CurrentPor-N10Unchanged'!F110)/100,2))*100</f>
        <v>9638.4484425779829</v>
      </c>
      <c r="D110">
        <f>(3/(1+('CurrentPor-N10Unchanged'!B110+'CurrentPor-N10Unchanged'!G110)/100)+103/POWER(1+('CurrentPor-N10Unchanged'!C110+'CurrentPor-N10Unchanged'!G110)/100,2))*100</f>
        <v>9586.4855131027853</v>
      </c>
      <c r="E110">
        <f>(3/(1+('CurrentPor-N10Unchanged'!B110+'CurrentPor-N10Unchanged'!H110)/100)+103/POWER(1+('CurrentPor-N10Unchanged'!C110+'CurrentPor-N10Unchanged'!H110)/100,2))*100</f>
        <v>9685.3256241759664</v>
      </c>
      <c r="F110">
        <f>Portfolio!B$5*'CurrentPor-N10Unchanged'!D110</f>
        <v>52143.895533915893</v>
      </c>
      <c r="G110">
        <f>Portfolio!B$6*'CurrentPor-N10Unchanged'!E110</f>
        <v>3696.2945087936532</v>
      </c>
      <c r="H110">
        <f t="shared" si="5"/>
        <v>94458.035399995118</v>
      </c>
      <c r="I110">
        <f t="shared" si="4"/>
        <v>-7.9479713433684083</v>
      </c>
    </row>
    <row r="111" spans="1:9">
      <c r="A111" s="1">
        <v>39413</v>
      </c>
      <c r="B111">
        <f>(3/(1+('CurrentPor-N10Unchanged'!B111)/100)+103/POWER(1+('CurrentPor-N10Unchanged'!C111)/100,2))*100</f>
        <v>9707.5857774288397</v>
      </c>
      <c r="C111">
        <f>(3/(1+('CurrentPor-N10Unchanged'!B111+'CurrentPor-N10Unchanged'!F111)/100)+103/POWER(1+('CurrentPor-N10Unchanged'!C111+'CurrentPor-N10Unchanged'!F111)/100,2))*100</f>
        <v>9638.4484425779829</v>
      </c>
      <c r="D111">
        <f>(3/(1+('CurrentPor-N10Unchanged'!B111+'CurrentPor-N10Unchanged'!G111)/100)+103/POWER(1+('CurrentPor-N10Unchanged'!C111+'CurrentPor-N10Unchanged'!G111)/100,2))*100</f>
        <v>9603.1188671695036</v>
      </c>
      <c r="E111">
        <f>(3/(1+('CurrentPor-N10Unchanged'!B111+'CurrentPor-N10Unchanged'!H111)/100)+103/POWER(1+('CurrentPor-N10Unchanged'!C111+'CurrentPor-N10Unchanged'!H111)/100,2))*100</f>
        <v>9684.7969973590189</v>
      </c>
      <c r="F111">
        <f>Portfolio!B$5*'CurrentPor-N10Unchanged'!D111</f>
        <v>52143.895533915893</v>
      </c>
      <c r="G111">
        <f>Portfolio!B$6*'CurrentPor-N10Unchanged'!E111</f>
        <v>3696.2945087936532</v>
      </c>
      <c r="H111">
        <f t="shared" si="5"/>
        <v>94474.1401272449</v>
      </c>
      <c r="I111">
        <f t="shared" si="4"/>
        <v>-12.272449581272667</v>
      </c>
    </row>
    <row r="112" spans="1:9">
      <c r="A112" s="1">
        <v>39414</v>
      </c>
      <c r="B112">
        <f>(3/(1+('CurrentPor-N10Unchanged'!B112)/100)+103/POWER(1+('CurrentPor-N10Unchanged'!C112)/100,2))*100</f>
        <v>9707.5857774288397</v>
      </c>
      <c r="C112">
        <f>(3/(1+('CurrentPor-N10Unchanged'!B112+'CurrentPor-N10Unchanged'!F112)/100)+103/POWER(1+('CurrentPor-N10Unchanged'!C112+'CurrentPor-N10Unchanged'!F112)/100,2))*100</f>
        <v>9638.4484425779829</v>
      </c>
      <c r="D112">
        <f>(3/(1+('CurrentPor-N10Unchanged'!B112+'CurrentPor-N10Unchanged'!G112)/100)+103/POWER(1+('CurrentPor-N10Unchanged'!C112+'CurrentPor-N10Unchanged'!G112)/100,2))*100</f>
        <v>9604.7569095569252</v>
      </c>
      <c r="E112">
        <f>(3/(1+('CurrentPor-N10Unchanged'!B112+'CurrentPor-N10Unchanged'!H112)/100)+103/POWER(1+('CurrentPor-N10Unchanged'!C112+'CurrentPor-N10Unchanged'!H112)/100,2))*100</f>
        <v>9685.1615626001931</v>
      </c>
      <c r="F112">
        <f>Portfolio!B$5*'CurrentPor-N10Unchanged'!D112</f>
        <v>52143.895533915893</v>
      </c>
      <c r="G112">
        <f>Portfolio!B$6*'CurrentPor-N10Unchanged'!E112</f>
        <v>3696.2945087936532</v>
      </c>
      <c r="H112">
        <f t="shared" si="5"/>
        <v>94476.142734873487</v>
      </c>
      <c r="I112">
        <f t="shared" si="4"/>
        <v>-4.7547275817778427</v>
      </c>
    </row>
    <row r="113" spans="1:9">
      <c r="A113" s="1">
        <v>39415</v>
      </c>
      <c r="B113">
        <f>(3/(1+('CurrentPor-N10Unchanged'!B113)/100)+103/POWER(1+('CurrentPor-N10Unchanged'!C113)/100,2))*100</f>
        <v>9707.5857774288397</v>
      </c>
      <c r="C113">
        <f>(3/(1+('CurrentPor-N10Unchanged'!B113+'CurrentPor-N10Unchanged'!F113)/100)+103/POWER(1+('CurrentPor-N10Unchanged'!C113+'CurrentPor-N10Unchanged'!F113)/100,2))*100</f>
        <v>9640.2582771647722</v>
      </c>
      <c r="D113">
        <f>(3/(1+('CurrentPor-N10Unchanged'!B113+'CurrentPor-N10Unchanged'!G113)/100)+103/POWER(1+('CurrentPor-N10Unchanged'!C113+'CurrentPor-N10Unchanged'!G113)/100,2))*100</f>
        <v>9610.720248617843</v>
      </c>
      <c r="E113">
        <f>(3/(1+('CurrentPor-N10Unchanged'!B113+'CurrentPor-N10Unchanged'!H113)/100)+103/POWER(1+('CurrentPor-N10Unchanged'!C113+'CurrentPor-N10Unchanged'!H113)/100,2))*100</f>
        <v>9682.6282609042173</v>
      </c>
      <c r="F113">
        <f>Portfolio!B$5*'CurrentPor-N10Unchanged'!D113</f>
        <v>52143.895533915893</v>
      </c>
      <c r="G113">
        <f>Portfolio!B$6*'CurrentPor-N10Unchanged'!E113</f>
        <v>3696.2945087936532</v>
      </c>
      <c r="H113">
        <f t="shared" si="5"/>
        <v>94481.382606825209</v>
      </c>
      <c r="I113">
        <f t="shared" si="4"/>
        <v>10.141172683826881</v>
      </c>
    </row>
    <row r="114" spans="1:9">
      <c r="A114" s="1">
        <v>39416</v>
      </c>
      <c r="B114">
        <f>(3/(1+('CurrentPor-N10Unchanged'!B114)/100)+103/POWER(1+('CurrentPor-N10Unchanged'!C114)/100,2))*100</f>
        <v>9707.5857774288397</v>
      </c>
      <c r="C114">
        <f>(3/(1+('CurrentPor-N10Unchanged'!B114+'CurrentPor-N10Unchanged'!F114)/100)+103/POWER(1+('CurrentPor-N10Unchanged'!C114+'CurrentPor-N10Unchanged'!F114)/100,2))*100</f>
        <v>9642.0686266331541</v>
      </c>
      <c r="D114">
        <f>(3/(1+('CurrentPor-N10Unchanged'!B114+'CurrentPor-N10Unchanged'!G114)/100)+103/POWER(1+('CurrentPor-N10Unchanged'!C114+'CurrentPor-N10Unchanged'!G114)/100,2))*100</f>
        <v>9605.8909921301129</v>
      </c>
      <c r="E114">
        <f>(3/(1+('CurrentPor-N10Unchanged'!B114+'CurrentPor-N10Unchanged'!H114)/100)+103/POWER(1+('CurrentPor-N10Unchanged'!C114+'CurrentPor-N10Unchanged'!H114)/100,2))*100</f>
        <v>9682.6647049953754</v>
      </c>
      <c r="F114">
        <f>Portfolio!B$5*'CurrentPor-N10Unchanged'!D114</f>
        <v>52143.895533915893</v>
      </c>
      <c r="G114">
        <f>Portfolio!B$6*'CurrentPor-N10Unchanged'!E114</f>
        <v>3696.2945087936532</v>
      </c>
      <c r="H114">
        <f t="shared" si="5"/>
        <v>94478.400143897015</v>
      </c>
      <c r="I114">
        <f t="shared" si="4"/>
        <v>3.4190413343021646</v>
      </c>
    </row>
    <row r="115" spans="1:9">
      <c r="A115" s="1">
        <v>39419</v>
      </c>
      <c r="B115">
        <f>(3/(1+('CurrentPor-N10Unchanged'!B115)/100)+103/POWER(1+('CurrentPor-N10Unchanged'!C115)/100,2))*100</f>
        <v>9707.5857774288397</v>
      </c>
      <c r="C115">
        <f>(3/(1+('CurrentPor-N10Unchanged'!B115+'CurrentPor-N10Unchanged'!F115)/100)+103/POWER(1+('CurrentPor-N10Unchanged'!C115+'CurrentPor-N10Unchanged'!F115)/100,2))*100</f>
        <v>9642.0686266331541</v>
      </c>
      <c r="D115">
        <f>(3/(1+('CurrentPor-N10Unchanged'!B115+'CurrentPor-N10Unchanged'!G115)/100)+103/POWER(1+('CurrentPor-N10Unchanged'!C115+'CurrentPor-N10Unchanged'!G115)/100,2))*100</f>
        <v>9621.8591838503235</v>
      </c>
      <c r="E115">
        <f>(3/(1+('CurrentPor-N10Unchanged'!B115+'CurrentPor-N10Unchanged'!H115)/100)+103/POWER(1+('CurrentPor-N10Unchanged'!C115+'CurrentPor-N10Unchanged'!H115)/100,2))*100</f>
        <v>9683.7945488274545</v>
      </c>
      <c r="F115">
        <f>Portfolio!B$5*'CurrentPor-N10Unchanged'!D115</f>
        <v>52143.895533915893</v>
      </c>
      <c r="G115">
        <f>Portfolio!B$6*'CurrentPor-N10Unchanged'!E115</f>
        <v>3696.2945087936532</v>
      </c>
      <c r="H115">
        <f t="shared" si="5"/>
        <v>94495.498179449321</v>
      </c>
      <c r="I115">
        <f t="shared" si="4"/>
        <v>3.3805650055583101</v>
      </c>
    </row>
    <row r="116" spans="1:9">
      <c r="A116" s="1">
        <v>39420</v>
      </c>
      <c r="B116">
        <f>(3/(1+('CurrentPor-N10Unchanged'!B116)/100)+103/POWER(1+('CurrentPor-N10Unchanged'!C116)/100,2))*100</f>
        <v>9707.5857774288397</v>
      </c>
      <c r="C116">
        <f>(3/(1+('CurrentPor-N10Unchanged'!B116+'CurrentPor-N10Unchanged'!F116)/100)+103/POWER(1+('CurrentPor-N10Unchanged'!C116+'CurrentPor-N10Unchanged'!F116)/100,2))*100</f>
        <v>9642.0686266331541</v>
      </c>
      <c r="D116">
        <f>(3/(1+('CurrentPor-N10Unchanged'!B116+'CurrentPor-N10Unchanged'!G116)/100)+103/POWER(1+('CurrentPor-N10Unchanged'!C116+'CurrentPor-N10Unchanged'!G116)/100,2))*100</f>
        <v>9601.3571076738208</v>
      </c>
      <c r="E116">
        <f>(3/(1+('CurrentPor-N10Unchanged'!B116+'CurrentPor-N10Unchanged'!H116)/100)+103/POWER(1+('CurrentPor-N10Unchanged'!C116+'CurrentPor-N10Unchanged'!H116)/100,2))*100</f>
        <v>9683.8674487800654</v>
      </c>
      <c r="F116">
        <f>Portfolio!B$5*'CurrentPor-N10Unchanged'!D116</f>
        <v>52143.895533915893</v>
      </c>
      <c r="G116">
        <f>Portfolio!B$6*'CurrentPor-N10Unchanged'!E116</f>
        <v>3696.2945087936532</v>
      </c>
      <c r="H116">
        <f t="shared" si="5"/>
        <v>94475.069003225421</v>
      </c>
      <c r="I116">
        <f t="shared" si="4"/>
        <v>-17.822504921321524</v>
      </c>
    </row>
    <row r="117" spans="1:9">
      <c r="A117" s="1">
        <v>39421</v>
      </c>
      <c r="B117">
        <f>(3/(1+('CurrentPor-N10Unchanged'!B117)/100)+103/POWER(1+('CurrentPor-N10Unchanged'!C117)/100,2))*100</f>
        <v>9707.5857774288397</v>
      </c>
      <c r="C117">
        <f>(3/(1+('CurrentPor-N10Unchanged'!B117+'CurrentPor-N10Unchanged'!F117)/100)+103/POWER(1+('CurrentPor-N10Unchanged'!C117+'CurrentPor-N10Unchanged'!F117)/100,2))*100</f>
        <v>9643.879491178941</v>
      </c>
      <c r="D117">
        <f>(3/(1+('CurrentPor-N10Unchanged'!B117+'CurrentPor-N10Unchanged'!G117)/100)+103/POWER(1+('CurrentPor-N10Unchanged'!C117+'CurrentPor-N10Unchanged'!G117)/100,2))*100</f>
        <v>9599.2168648117313</v>
      </c>
      <c r="E117">
        <f>(3/(1+('CurrentPor-N10Unchanged'!B117+'CurrentPor-N10Unchanged'!H117)/100)+103/POWER(1+('CurrentPor-N10Unchanged'!C117+'CurrentPor-N10Unchanged'!H117)/100,2))*100</f>
        <v>9684.8881354165733</v>
      </c>
      <c r="F117">
        <f>Portfolio!B$5*'CurrentPor-N10Unchanged'!D117</f>
        <v>52143.895533915893</v>
      </c>
      <c r="G117">
        <f>Portfolio!B$6*'CurrentPor-N10Unchanged'!E117</f>
        <v>3696.2945087936532</v>
      </c>
      <c r="H117">
        <f t="shared" si="5"/>
        <v>94475.76031154563</v>
      </c>
      <c r="I117">
        <f t="shared" si="4"/>
        <v>6.2706592691247351</v>
      </c>
    </row>
    <row r="118" spans="1:9">
      <c r="A118" s="1">
        <v>39422</v>
      </c>
      <c r="B118">
        <f>(3/(1+('CurrentPor-N10Unchanged'!B118)/100)+103/POWER(1+('CurrentPor-N10Unchanged'!C118)/100,2))*100</f>
        <v>9707.5857774288397</v>
      </c>
      <c r="C118">
        <f>(3/(1+('CurrentPor-N10Unchanged'!B118+'CurrentPor-N10Unchanged'!F118)/100)+103/POWER(1+('CurrentPor-N10Unchanged'!C118+'CurrentPor-N10Unchanged'!F118)/100,2))*100</f>
        <v>9643.879491178941</v>
      </c>
      <c r="D118">
        <f>(3/(1+('CurrentPor-N10Unchanged'!B118+'CurrentPor-N10Unchanged'!G118)/100)+103/POWER(1+('CurrentPor-N10Unchanged'!C118+'CurrentPor-N10Unchanged'!G118)/100,2))*100</f>
        <v>9607.167874935607</v>
      </c>
      <c r="E118">
        <f>(3/(1+('CurrentPor-N10Unchanged'!B118+'CurrentPor-N10Unchanged'!H118)/100)+103/POWER(1+('CurrentPor-N10Unchanged'!C118+'CurrentPor-N10Unchanged'!H118)/100,2))*100</f>
        <v>9683.4847328690485</v>
      </c>
      <c r="F118">
        <f>Portfolio!B$5*'CurrentPor-N10Unchanged'!D118</f>
        <v>52143.895533915893</v>
      </c>
      <c r="G118">
        <f>Portfolio!B$6*'CurrentPor-N10Unchanged'!E118</f>
        <v>3696.2945087936532</v>
      </c>
      <c r="H118">
        <f t="shared" si="5"/>
        <v>94482.307919121988</v>
      </c>
      <c r="I118">
        <f t="shared" si="4"/>
        <v>27.71099415718345</v>
      </c>
    </row>
    <row r="119" spans="1:9">
      <c r="A119" s="1">
        <v>39423</v>
      </c>
      <c r="B119">
        <f>(3/(1+('CurrentPor-N10Unchanged'!B119)/100)+103/POWER(1+('CurrentPor-N10Unchanged'!C119)/100,2))*100</f>
        <v>9707.5857774288397</v>
      </c>
      <c r="C119">
        <f>(3/(1+('CurrentPor-N10Unchanged'!B119+'CurrentPor-N10Unchanged'!F119)/100)+103/POWER(1+('CurrentPor-N10Unchanged'!C119+'CurrentPor-N10Unchanged'!F119)/100,2))*100</f>
        <v>9643.879491178941</v>
      </c>
      <c r="D119">
        <f>(3/(1+('CurrentPor-N10Unchanged'!B119+'CurrentPor-N10Unchanged'!G119)/100)+103/POWER(1+('CurrentPor-N10Unchanged'!C119+'CurrentPor-N10Unchanged'!G119)/100,2))*100</f>
        <v>9599.3408121781467</v>
      </c>
      <c r="E119">
        <f>(3/(1+('CurrentPor-N10Unchanged'!B119+'CurrentPor-N10Unchanged'!H119)/100)+103/POWER(1+('CurrentPor-N10Unchanged'!C119+'CurrentPor-N10Unchanged'!H119)/100,2))*100</f>
        <v>9681.954098335942</v>
      </c>
      <c r="F119">
        <f>Portfolio!B$5*'CurrentPor-N10Unchanged'!D119</f>
        <v>52143.895533915893</v>
      </c>
      <c r="G119">
        <f>Portfolio!B$6*'CurrentPor-N10Unchanged'!E119</f>
        <v>3696.2945087936532</v>
      </c>
      <c r="H119">
        <f t="shared" si="5"/>
        <v>94472.950221831416</v>
      </c>
      <c r="I119">
        <f t="shared" si="4"/>
        <v>-8.7661135720554739</v>
      </c>
    </row>
    <row r="120" spans="1:9">
      <c r="A120" s="1">
        <v>39426</v>
      </c>
      <c r="B120">
        <f>(3/(1+('CurrentPor-N10Unchanged'!B120)/100)+103/POWER(1+('CurrentPor-N10Unchanged'!C120)/100,2))*100</f>
        <v>9707.5857774288397</v>
      </c>
      <c r="C120">
        <f>(3/(1+('CurrentPor-N10Unchanged'!B120+'CurrentPor-N10Unchanged'!F120)/100)+103/POWER(1+('CurrentPor-N10Unchanged'!C120+'CurrentPor-N10Unchanged'!F120)/100,2))*100</f>
        <v>9642.0686266331541</v>
      </c>
      <c r="D120">
        <f>(3/(1+('CurrentPor-N10Unchanged'!B120+'CurrentPor-N10Unchanged'!G120)/100)+103/POWER(1+('CurrentPor-N10Unchanged'!C120+'CurrentPor-N10Unchanged'!G120)/100,2))*100</f>
        <v>9581.9812171778321</v>
      </c>
      <c r="E120">
        <f>(3/(1+('CurrentPor-N10Unchanged'!B120+'CurrentPor-N10Unchanged'!H120)/100)+103/POWER(1+('CurrentPor-N10Unchanged'!C120+'CurrentPor-N10Unchanged'!H120)/100,2))*100</f>
        <v>9681.7901232696204</v>
      </c>
      <c r="F120">
        <f>Portfolio!B$5*'CurrentPor-N10Unchanged'!D120</f>
        <v>52143.895533915893</v>
      </c>
      <c r="G120">
        <f>Portfolio!B$6*'CurrentPor-N10Unchanged'!E120</f>
        <v>3696.2945087936532</v>
      </c>
      <c r="H120">
        <f t="shared" si="5"/>
        <v>94453.615787218994</v>
      </c>
      <c r="I120">
        <f t="shared" si="4"/>
        <v>-4.4196127761242678</v>
      </c>
    </row>
    <row r="121" spans="1:9">
      <c r="A121" s="1">
        <v>39427</v>
      </c>
      <c r="B121">
        <f>(3/(1+('CurrentPor-N10Unchanged'!B121)/100)+103/POWER(1+('CurrentPor-N10Unchanged'!C121)/100,2))*100</f>
        <v>9707.5857774288397</v>
      </c>
      <c r="C121">
        <f>(3/(1+('CurrentPor-N10Unchanged'!B121+'CurrentPor-N10Unchanged'!F121)/100)+103/POWER(1+('CurrentPor-N10Unchanged'!C121+'CurrentPor-N10Unchanged'!F121)/100,2))*100</f>
        <v>9640.2582771647722</v>
      </c>
      <c r="D121">
        <f>(3/(1+('CurrentPor-N10Unchanged'!B121+'CurrentPor-N10Unchanged'!G121)/100)+103/POWER(1+('CurrentPor-N10Unchanged'!C121+'CurrentPor-N10Unchanged'!G121)/100,2))*100</f>
        <v>9598.2009469458499</v>
      </c>
      <c r="E121">
        <f>(3/(1+('CurrentPor-N10Unchanged'!B121+'CurrentPor-N10Unchanged'!H121)/100)+103/POWER(1+('CurrentPor-N10Unchanged'!C121+'CurrentPor-N10Unchanged'!H121)/100,2))*100</f>
        <v>9683.2113773965266</v>
      </c>
      <c r="F121">
        <f>Portfolio!B$5*'CurrentPor-N10Unchanged'!D121</f>
        <v>52143.895533915893</v>
      </c>
      <c r="G121">
        <f>Portfolio!B$6*'CurrentPor-N10Unchanged'!E121</f>
        <v>3696.2945087936532</v>
      </c>
      <c r="H121">
        <f t="shared" si="5"/>
        <v>94469.446421645524</v>
      </c>
      <c r="I121">
        <f t="shared" si="4"/>
        <v>-4.693705599376699</v>
      </c>
    </row>
    <row r="122" spans="1:9">
      <c r="A122" s="1">
        <v>39428</v>
      </c>
      <c r="B122">
        <f>(3/(1+('CurrentPor-N10Unchanged'!B122)/100)+103/POWER(1+('CurrentPor-N10Unchanged'!C122)/100,2))*100</f>
        <v>9707.5857774288397</v>
      </c>
      <c r="C122">
        <f>(3/(1+('CurrentPor-N10Unchanged'!B122+'CurrentPor-N10Unchanged'!F122)/100)+103/POWER(1+('CurrentPor-N10Unchanged'!C122+'CurrentPor-N10Unchanged'!F122)/100,2))*100</f>
        <v>9640.2582771647722</v>
      </c>
      <c r="D122">
        <f>(3/(1+('CurrentPor-N10Unchanged'!B122+'CurrentPor-N10Unchanged'!G122)/100)+103/POWER(1+('CurrentPor-N10Unchanged'!C122+'CurrentPor-N10Unchanged'!G122)/100,2))*100</f>
        <v>9606.7331353113295</v>
      </c>
      <c r="E122">
        <f>(3/(1+('CurrentPor-N10Unchanged'!B122+'CurrentPor-N10Unchanged'!H122)/100)+103/POWER(1+('CurrentPor-N10Unchanged'!C122+'CurrentPor-N10Unchanged'!H122)/100,2))*100</f>
        <v>9683.7034246212697</v>
      </c>
      <c r="F122">
        <f>Portfolio!B$5*'CurrentPor-N10Unchanged'!D122</f>
        <v>52143.895533915893</v>
      </c>
      <c r="G122">
        <f>Portfolio!B$6*'CurrentPor-N10Unchanged'!E122</f>
        <v>3696.2945087936532</v>
      </c>
      <c r="H122">
        <f t="shared" si="5"/>
        <v>94478.470657235754</v>
      </c>
      <c r="I122">
        <f t="shared" si="4"/>
        <v>2.3279223622666905</v>
      </c>
    </row>
    <row r="123" spans="1:9">
      <c r="A123" s="1">
        <v>39429</v>
      </c>
      <c r="B123">
        <f>(3/(1+('CurrentPor-N10Unchanged'!B123)/100)+103/POWER(1+('CurrentPor-N10Unchanged'!C123)/100,2))*100</f>
        <v>9707.5857774288397</v>
      </c>
      <c r="C123">
        <f>(3/(1+('CurrentPor-N10Unchanged'!B123+'CurrentPor-N10Unchanged'!F123)/100)+103/POWER(1+('CurrentPor-N10Unchanged'!C123+'CurrentPor-N10Unchanged'!F123)/100,2))*100</f>
        <v>9640.2582771647722</v>
      </c>
      <c r="D123">
        <f>(3/(1+('CurrentPor-N10Unchanged'!B123+'CurrentPor-N10Unchanged'!G123)/100)+103/POWER(1+('CurrentPor-N10Unchanged'!C123+'CurrentPor-N10Unchanged'!G123)/100,2))*100</f>
        <v>9594.4438659396492</v>
      </c>
      <c r="E123">
        <f>(3/(1+('CurrentPor-N10Unchanged'!B123+'CurrentPor-N10Unchanged'!H123)/100)+103/POWER(1+('CurrentPor-N10Unchanged'!C123+'CurrentPor-N10Unchanged'!H123)/100,2))*100</f>
        <v>9684.8699087441364</v>
      </c>
      <c r="F123">
        <f>Portfolio!B$5*'CurrentPor-N10Unchanged'!D123</f>
        <v>52143.895533915893</v>
      </c>
      <c r="G123">
        <f>Portfolio!B$6*'CurrentPor-N10Unchanged'!E123</f>
        <v>3696.2945087936532</v>
      </c>
      <c r="H123">
        <f t="shared" si="5"/>
        <v>94467.347871986945</v>
      </c>
      <c r="I123">
        <f t="shared" si="4"/>
        <v>-14.03473483826383</v>
      </c>
    </row>
    <row r="124" spans="1:9">
      <c r="A124" s="1">
        <v>39430</v>
      </c>
      <c r="B124">
        <f>(3/(1+('CurrentPor-N10Unchanged'!B124)/100)+103/POWER(1+('CurrentPor-N10Unchanged'!C124)/100,2))*100</f>
        <v>9707.5857774288397</v>
      </c>
      <c r="C124">
        <f>(3/(1+('CurrentPor-N10Unchanged'!B124+'CurrentPor-N10Unchanged'!F124)/100)+103/POWER(1+('CurrentPor-N10Unchanged'!C124+'CurrentPor-N10Unchanged'!F124)/100,2))*100</f>
        <v>9638.4484425779829</v>
      </c>
      <c r="D124">
        <f>(3/(1+('CurrentPor-N10Unchanged'!B124+'CurrentPor-N10Unchanged'!G124)/100)+103/POWER(1+('CurrentPor-N10Unchanged'!C124+'CurrentPor-N10Unchanged'!G124)/100,2))*100</f>
        <v>9593.8694294002198</v>
      </c>
      <c r="E124">
        <f>(3/(1+('CurrentPor-N10Unchanged'!B124+'CurrentPor-N10Unchanged'!H124)/100)+103/POWER(1+('CurrentPor-N10Unchanged'!C124+'CurrentPor-N10Unchanged'!H124)/100,2))*100</f>
        <v>9684.3959987351082</v>
      </c>
      <c r="F124">
        <f>Portfolio!B$5*'CurrentPor-N10Unchanged'!D124</f>
        <v>52143.895533915893</v>
      </c>
      <c r="G124">
        <f>Portfolio!B$6*'CurrentPor-N10Unchanged'!E124</f>
        <v>3696.2945087936532</v>
      </c>
      <c r="H124">
        <f t="shared" si="5"/>
        <v>94464.489690851697</v>
      </c>
      <c r="I124">
        <f t="shared" si="4"/>
        <v>-13.910453045318718</v>
      </c>
    </row>
    <row r="125" spans="1:9">
      <c r="A125" s="1">
        <v>39433</v>
      </c>
      <c r="B125">
        <f>(3/(1+('CurrentPor-N10Unchanged'!B125)/100)+103/POWER(1+('CurrentPor-N10Unchanged'!C125)/100,2))*100</f>
        <v>9707.5857774288397</v>
      </c>
      <c r="C125">
        <f>(3/(1+('CurrentPor-N10Unchanged'!B125+'CurrentPor-N10Unchanged'!F125)/100)+103/POWER(1+('CurrentPor-N10Unchanged'!C125+'CurrentPor-N10Unchanged'!F125)/100,2))*100</f>
        <v>9638.4484425779829</v>
      </c>
      <c r="D125">
        <f>(3/(1+('CurrentPor-N10Unchanged'!B125+'CurrentPor-N10Unchanged'!G125)/100)+103/POWER(1+('CurrentPor-N10Unchanged'!C125+'CurrentPor-N10Unchanged'!G125)/100,2))*100</f>
        <v>9590.7310198603318</v>
      </c>
      <c r="E125">
        <f>(3/(1+('CurrentPor-N10Unchanged'!B125+'CurrentPor-N10Unchanged'!H125)/100)+103/POWER(1+('CurrentPor-N10Unchanged'!C125+'CurrentPor-N10Unchanged'!H125)/100,2))*100</f>
        <v>9682.3185014697392</v>
      </c>
      <c r="F125">
        <f>Portfolio!B$5*'CurrentPor-N10Unchanged'!D125</f>
        <v>52143.895533915893</v>
      </c>
      <c r="G125">
        <f>Portfolio!B$6*'CurrentPor-N10Unchanged'!E125</f>
        <v>3696.2945087936532</v>
      </c>
      <c r="H125">
        <f t="shared" si="5"/>
        <v>94459.27378404644</v>
      </c>
      <c r="I125">
        <f t="shared" si="4"/>
        <v>-36.224395402881783</v>
      </c>
    </row>
    <row r="126" spans="1:9">
      <c r="A126" s="1">
        <v>39434</v>
      </c>
      <c r="B126">
        <f>(3/(1+('CurrentPor-N10Unchanged'!B126)/100)+103/POWER(1+('CurrentPor-N10Unchanged'!C126)/100,2))*100</f>
        <v>9707.5857774288397</v>
      </c>
      <c r="C126">
        <f>(3/(1+('CurrentPor-N10Unchanged'!B126+'CurrentPor-N10Unchanged'!F126)/100)+103/POWER(1+('CurrentPor-N10Unchanged'!C126+'CurrentPor-N10Unchanged'!F126)/100,2))*100</f>
        <v>9640.2582771647722</v>
      </c>
      <c r="D126">
        <f>(3/(1+('CurrentPor-N10Unchanged'!B126+'CurrentPor-N10Unchanged'!G126)/100)+103/POWER(1+('CurrentPor-N10Unchanged'!C126+'CurrentPor-N10Unchanged'!G126)/100,2))*100</f>
        <v>9591.7529996003213</v>
      </c>
      <c r="E126">
        <f>(3/(1+('CurrentPor-N10Unchanged'!B126+'CurrentPor-N10Unchanged'!H126)/100)+103/POWER(1+('CurrentPor-N10Unchanged'!C126+'CurrentPor-N10Unchanged'!H126)/100,2))*100</f>
        <v>9680.5877703046626</v>
      </c>
      <c r="F126">
        <f>Portfolio!B$5*'CurrentPor-N10Unchanged'!D126</f>
        <v>52143.895533915893</v>
      </c>
      <c r="G126">
        <f>Portfolio!B$6*'CurrentPor-N10Unchanged'!E126</f>
        <v>3696.2945087936532</v>
      </c>
      <c r="H126">
        <f t="shared" si="5"/>
        <v>94460.374867208142</v>
      </c>
      <c r="I126">
        <f t="shared" si="4"/>
        <v>-14.694136017278652</v>
      </c>
    </row>
    <row r="127" spans="1:9">
      <c r="A127" s="1">
        <v>39435</v>
      </c>
      <c r="B127">
        <f>(3/(1+('CurrentPor-N10Unchanged'!B127)/100)+103/POWER(1+('CurrentPor-N10Unchanged'!C127)/100,2))*100</f>
        <v>9707.5857774288397</v>
      </c>
      <c r="C127">
        <f>(3/(1+('CurrentPor-N10Unchanged'!B127+'CurrentPor-N10Unchanged'!F127)/100)+103/POWER(1+('CurrentPor-N10Unchanged'!C127+'CurrentPor-N10Unchanged'!F127)/100,2))*100</f>
        <v>9640.2582771647722</v>
      </c>
      <c r="D127">
        <f>(3/(1+('CurrentPor-N10Unchanged'!B127+'CurrentPor-N10Unchanged'!G127)/100)+103/POWER(1+('CurrentPor-N10Unchanged'!C127+'CurrentPor-N10Unchanged'!G127)/100,2))*100</f>
        <v>9604.0602304754975</v>
      </c>
      <c r="E127">
        <f>(3/(1+('CurrentPor-N10Unchanged'!B127+'CurrentPor-N10Unchanged'!H127)/100)+103/POWER(1+('CurrentPor-N10Unchanged'!C127+'CurrentPor-N10Unchanged'!H127)/100,2))*100</f>
        <v>9681.7901232696204</v>
      </c>
      <c r="F127">
        <f>Portfolio!B$5*'CurrentPor-N10Unchanged'!D127</f>
        <v>52143.895533915893</v>
      </c>
      <c r="G127">
        <f>Portfolio!B$6*'CurrentPor-N10Unchanged'!E127</f>
        <v>3696.2945087936532</v>
      </c>
      <c r="H127">
        <f t="shared" si="5"/>
        <v>94473.884451048274</v>
      </c>
      <c r="I127">
        <f t="shared" si="4"/>
        <v>-1.8758604973554611</v>
      </c>
    </row>
    <row r="128" spans="1:9">
      <c r="A128" s="1">
        <v>39436</v>
      </c>
      <c r="B128">
        <f>(3/(1+('CurrentPor-N10Unchanged'!B128)/100)+103/POWER(1+('CurrentPor-N10Unchanged'!C128)/100,2))*100</f>
        <v>9707.5857774288397</v>
      </c>
      <c r="C128">
        <f>(3/(1+('CurrentPor-N10Unchanged'!B128+'CurrentPor-N10Unchanged'!F128)/100)+103/POWER(1+('CurrentPor-N10Unchanged'!C128+'CurrentPor-N10Unchanged'!F128)/100,2))*100</f>
        <v>9638.4484425779829</v>
      </c>
      <c r="D128">
        <f>(3/(1+('CurrentPor-N10Unchanged'!B128+'CurrentPor-N10Unchanged'!G128)/100)+103/POWER(1+('CurrentPor-N10Unchanged'!C128+'CurrentPor-N10Unchanged'!G128)/100,2))*100</f>
        <v>9593.5743069351101</v>
      </c>
      <c r="E128">
        <f>(3/(1+('CurrentPor-N10Unchanged'!B128+'CurrentPor-N10Unchanged'!H128)/100)+103/POWER(1+('CurrentPor-N10Unchanged'!C128+'CurrentPor-N10Unchanged'!H128)/100,2))*100</f>
        <v>9684.6694031322149</v>
      </c>
      <c r="F128">
        <f>Portfolio!B$5*'CurrentPor-N10Unchanged'!D128</f>
        <v>52143.895533915893</v>
      </c>
      <c r="G128">
        <f>Portfolio!B$6*'CurrentPor-N10Unchanged'!E128</f>
        <v>3696.2945087936532</v>
      </c>
      <c r="H128">
        <f t="shared" si="5"/>
        <v>94464.467972783692</v>
      </c>
      <c r="I128">
        <f t="shared" si="4"/>
        <v>-17.839946338295704</v>
      </c>
    </row>
    <row r="129" spans="1:9">
      <c r="A129" s="1">
        <v>39437</v>
      </c>
      <c r="B129">
        <f>(3/(1+('CurrentPor-N10Unchanged'!B129)/100)+103/POWER(1+('CurrentPor-N10Unchanged'!C129)/100,2))*100</f>
        <v>9707.5857774288397</v>
      </c>
      <c r="C129">
        <f>(3/(1+('CurrentPor-N10Unchanged'!B129+'CurrentPor-N10Unchanged'!F129)/100)+103/POWER(1+('CurrentPor-N10Unchanged'!C129+'CurrentPor-N10Unchanged'!F129)/100,2))*100</f>
        <v>9636.6391226770629</v>
      </c>
      <c r="D129">
        <f>(3/(1+('CurrentPor-N10Unchanged'!B129+'CurrentPor-N10Unchanged'!G129)/100)+103/POWER(1+('CurrentPor-N10Unchanged'!C129+'CurrentPor-N10Unchanged'!G129)/100,2))*100</f>
        <v>9615.9542959949868</v>
      </c>
      <c r="E129">
        <f>(3/(1+('CurrentPor-N10Unchanged'!B129+'CurrentPor-N10Unchanged'!H129)/100)+103/POWER(1+('CurrentPor-N10Unchanged'!C129+'CurrentPor-N10Unchanged'!H129)/100,2))*100</f>
        <v>9683.594076940919</v>
      </c>
      <c r="F129">
        <f>Portfolio!B$5*'CurrentPor-N10Unchanged'!D129</f>
        <v>52143.895533915893</v>
      </c>
      <c r="G129">
        <f>Portfolio!B$6*'CurrentPor-N10Unchanged'!E129</f>
        <v>3696.2945087936532</v>
      </c>
      <c r="H129">
        <f t="shared" si="5"/>
        <v>94483.963315751345</v>
      </c>
      <c r="I129">
        <f t="shared" si="4"/>
        <v>11.013093919929815</v>
      </c>
    </row>
    <row r="130" spans="1:9">
      <c r="A130" s="1">
        <v>39440</v>
      </c>
      <c r="B130">
        <f>(3/(1+('CurrentPor-N10Unchanged'!B130)/100)+103/POWER(1+('CurrentPor-N10Unchanged'!C130)/100,2))*100</f>
        <v>9707.5857774288397</v>
      </c>
      <c r="C130">
        <f>(3/(1+('CurrentPor-N10Unchanged'!B130+'CurrentPor-N10Unchanged'!F130)/100)+103/POWER(1+('CurrentPor-N10Unchanged'!C130+'CurrentPor-N10Unchanged'!F130)/100,2))*100</f>
        <v>9636.6391226770629</v>
      </c>
      <c r="D130">
        <f>(3/(1+('CurrentPor-N10Unchanged'!B130+'CurrentPor-N10Unchanged'!G130)/100)+103/POWER(1+('CurrentPor-N10Unchanged'!C130+'CurrentPor-N10Unchanged'!G130)/100,2))*100</f>
        <v>9604.4626392167083</v>
      </c>
      <c r="E130">
        <f>(3/(1+('CurrentPor-N10Unchanged'!B130+'CurrentPor-N10Unchanged'!H130)/100)+103/POWER(1+('CurrentPor-N10Unchanged'!C130+'CurrentPor-N10Unchanged'!H130)/100,2))*100</f>
        <v>9683.0291486470051</v>
      </c>
      <c r="F130">
        <f>Portfolio!B$5*'CurrentPor-N10Unchanged'!D130</f>
        <v>52143.895533915893</v>
      </c>
      <c r="G130">
        <f>Portfolio!B$6*'CurrentPor-N10Unchanged'!E130</f>
        <v>3696.2945087936532</v>
      </c>
      <c r="H130">
        <f t="shared" si="5"/>
        <v>94471.906730679155</v>
      </c>
      <c r="I130">
        <f t="shared" si="4"/>
        <v>18.290943460160634</v>
      </c>
    </row>
    <row r="131" spans="1:9">
      <c r="A131" s="1">
        <v>39441</v>
      </c>
      <c r="B131">
        <f>(3/(1+('CurrentPor-N10Unchanged'!B131)/100)+103/POWER(1+('CurrentPor-N10Unchanged'!C131)/100,2))*100</f>
        <v>9707.5857774288397</v>
      </c>
      <c r="C131">
        <f>(3/(1+('CurrentPor-N10Unchanged'!B131+'CurrentPor-N10Unchanged'!F131)/100)+103/POWER(1+('CurrentPor-N10Unchanged'!C131+'CurrentPor-N10Unchanged'!F131)/100,2))*100</f>
        <v>9638.4484425779829</v>
      </c>
      <c r="D131">
        <f>(3/(1+('CurrentPor-N10Unchanged'!B131+'CurrentPor-N10Unchanged'!G131)/100)+103/POWER(1+('CurrentPor-N10Unchanged'!C131+'CurrentPor-N10Unchanged'!G131)/100,2))*100</f>
        <v>9607.1139099875763</v>
      </c>
      <c r="E131">
        <f>(3/(1+('CurrentPor-N10Unchanged'!B131+'CurrentPor-N10Unchanged'!H131)/100)+103/POWER(1+('CurrentPor-N10Unchanged'!C131+'CurrentPor-N10Unchanged'!H131)/100,2))*100</f>
        <v>9683.3753889296495</v>
      </c>
      <c r="F131">
        <f>Portfolio!B$5*'CurrentPor-N10Unchanged'!D131</f>
        <v>52143.895533915893</v>
      </c>
      <c r="G131">
        <f>Portfolio!B$6*'CurrentPor-N10Unchanged'!E131</f>
        <v>3696.2945087936532</v>
      </c>
      <c r="H131">
        <f t="shared" ref="H131:H162" si="6">SUM(B131:G131)</f>
        <v>94476.713561633602</v>
      </c>
      <c r="I131">
        <f t="shared" si="4"/>
        <v>7.2671399880782701</v>
      </c>
    </row>
    <row r="132" spans="1:9">
      <c r="A132" s="1">
        <v>39442</v>
      </c>
      <c r="B132">
        <f>(3/(1+('CurrentPor-N10Unchanged'!B132)/100)+103/POWER(1+('CurrentPor-N10Unchanged'!C132)/100,2))*100</f>
        <v>9707.5857774288397</v>
      </c>
      <c r="C132">
        <f>(3/(1+('CurrentPor-N10Unchanged'!B132+'CurrentPor-N10Unchanged'!F132)/100)+103/POWER(1+('CurrentPor-N10Unchanged'!C132+'CurrentPor-N10Unchanged'!F132)/100,2))*100</f>
        <v>9638.4484425779829</v>
      </c>
      <c r="D132">
        <f>(3/(1+('CurrentPor-N10Unchanged'!B132+'CurrentPor-N10Unchanged'!G132)/100)+103/POWER(1+('CurrentPor-N10Unchanged'!C132+'CurrentPor-N10Unchanged'!G132)/100,2))*100</f>
        <v>9597.3097298767407</v>
      </c>
      <c r="E132">
        <f>(3/(1+('CurrentPor-N10Unchanged'!B132+'CurrentPor-N10Unchanged'!H132)/100)+103/POWER(1+('CurrentPor-N10Unchanged'!C132+'CurrentPor-N10Unchanged'!H132)/100,2))*100</f>
        <v>9682.755812656851</v>
      </c>
      <c r="F132">
        <f>Portfolio!B$5*'CurrentPor-N10Unchanged'!D132</f>
        <v>52143.895533915893</v>
      </c>
      <c r="G132">
        <f>Portfolio!B$6*'CurrentPor-N10Unchanged'!E132</f>
        <v>3696.2945087936532</v>
      </c>
      <c r="H132">
        <f t="shared" si="6"/>
        <v>94466.289805249951</v>
      </c>
      <c r="I132">
        <f t="shared" si="4"/>
        <v>-12.180851985802292</v>
      </c>
    </row>
    <row r="133" spans="1:9">
      <c r="A133" s="1">
        <v>39443</v>
      </c>
      <c r="B133">
        <f>(3/(1+('CurrentPor-N10Unchanged'!B133)/100)+103/POWER(1+('CurrentPor-N10Unchanged'!C133)/100,2))*100</f>
        <v>9707.5857774288397</v>
      </c>
      <c r="C133">
        <f>(3/(1+('CurrentPor-N10Unchanged'!B133+'CurrentPor-N10Unchanged'!F133)/100)+103/POWER(1+('CurrentPor-N10Unchanged'!C133+'CurrentPor-N10Unchanged'!F133)/100,2))*100</f>
        <v>9631.2142491337127</v>
      </c>
      <c r="D133">
        <f>(3/(1+('CurrentPor-N10Unchanged'!B133+'CurrentPor-N10Unchanged'!G133)/100)+103/POWER(1+('CurrentPor-N10Unchanged'!C133+'CurrentPor-N10Unchanged'!G133)/100,2))*100</f>
        <v>9609.6940714917473</v>
      </c>
      <c r="E133">
        <f>(3/(1+('CurrentPor-N10Unchanged'!B133+'CurrentPor-N10Unchanged'!H133)/100)+103/POWER(1+('CurrentPor-N10Unchanged'!C133+'CurrentPor-N10Unchanged'!H133)/100,2))*100</f>
        <v>9682.2456191808233</v>
      </c>
      <c r="F133">
        <f>Portfolio!B$5*'CurrentPor-N10Unchanged'!D133</f>
        <v>52143.895533915893</v>
      </c>
      <c r="G133">
        <f>Portfolio!B$6*'CurrentPor-N10Unchanged'!E133</f>
        <v>3696.2945087936532</v>
      </c>
      <c r="H133">
        <f t="shared" si="6"/>
        <v>94470.929759944673</v>
      </c>
      <c r="I133">
        <f t="shared" si="4"/>
        <v>3.5818879577273037</v>
      </c>
    </row>
    <row r="134" spans="1:9">
      <c r="A134" s="1">
        <v>39444</v>
      </c>
      <c r="B134">
        <f>(3/(1+('CurrentPor-N10Unchanged'!B134)/100)+103/POWER(1+('CurrentPor-N10Unchanged'!C134)/100,2))*100</f>
        <v>9707.5857774288397</v>
      </c>
      <c r="C134">
        <f>(3/(1+('CurrentPor-N10Unchanged'!B134+'CurrentPor-N10Unchanged'!F134)/100)+103/POWER(1+('CurrentPor-N10Unchanged'!C134+'CurrentPor-N10Unchanged'!F134)/100,2))*100</f>
        <v>9631.2142491337127</v>
      </c>
      <c r="D134">
        <f>(3/(1+('CurrentPor-N10Unchanged'!B134+'CurrentPor-N10Unchanged'!G134)/100)+103/POWER(1+('CurrentPor-N10Unchanged'!C134+'CurrentPor-N10Unchanged'!G134)/100,2))*100</f>
        <v>9602.7745050467329</v>
      </c>
      <c r="E134">
        <f>(3/(1+('CurrentPor-N10Unchanged'!B134+'CurrentPor-N10Unchanged'!H134)/100)+103/POWER(1+('CurrentPor-N10Unchanged'!C134+'CurrentPor-N10Unchanged'!H134)/100,2))*100</f>
        <v>9682.3002803851778</v>
      </c>
      <c r="F134">
        <f>Portfolio!B$5*'CurrentPor-N10Unchanged'!D134</f>
        <v>52143.895533915893</v>
      </c>
      <c r="G134">
        <f>Portfolio!B$6*'CurrentPor-N10Unchanged'!E134</f>
        <v>3696.2945087936532</v>
      </c>
      <c r="H134">
        <f t="shared" si="6"/>
        <v>94464.064854704018</v>
      </c>
      <c r="I134">
        <f t="shared" si="4"/>
        <v>-0.42483614767843392</v>
      </c>
    </row>
    <row r="135" spans="1:9">
      <c r="A135" s="1">
        <v>39447</v>
      </c>
      <c r="B135">
        <f>(3/(1+('CurrentPor-N10Unchanged'!B135)/100)+103/POWER(1+('CurrentPor-N10Unchanged'!C135)/100,2))*100</f>
        <v>9707.5857774288397</v>
      </c>
      <c r="C135">
        <f>(3/(1+('CurrentPor-N10Unchanged'!B135+'CurrentPor-N10Unchanged'!F135)/100)+103/POWER(1+('CurrentPor-N10Unchanged'!C135+'CurrentPor-N10Unchanged'!F135)/100,2))*100</f>
        <v>9629.4069860209238</v>
      </c>
      <c r="D135">
        <f>(3/(1+('CurrentPor-N10Unchanged'!B135+'CurrentPor-N10Unchanged'!G135)/100)+103/POWER(1+('CurrentPor-N10Unchanged'!C135+'CurrentPor-N10Unchanged'!G135)/100,2))*100</f>
        <v>9593.0970046067578</v>
      </c>
      <c r="E135">
        <f>(3/(1+('CurrentPor-N10Unchanged'!B135+'CurrentPor-N10Unchanged'!H135)/100)+103/POWER(1+('CurrentPor-N10Unchanged'!C135+'CurrentPor-N10Unchanged'!H135)/100,2))*100</f>
        <v>9682.6282609042173</v>
      </c>
      <c r="F135">
        <f>Portfolio!B$5*'CurrentPor-N10Unchanged'!D135</f>
        <v>52143.895533915893</v>
      </c>
      <c r="G135">
        <f>Portfolio!B$6*'CurrentPor-N10Unchanged'!E135</f>
        <v>3696.2945087936532</v>
      </c>
      <c r="H135">
        <f t="shared" si="6"/>
        <v>94452.908071670288</v>
      </c>
      <c r="I135">
        <f t="shared" si="4"/>
        <v>-6.3657123761513503</v>
      </c>
    </row>
    <row r="136" spans="1:9">
      <c r="A136" s="1">
        <v>39448</v>
      </c>
      <c r="B136">
        <f>(3/(1+('CurrentPor-N10Unchanged'!B136)/100)+103/POWER(1+('CurrentPor-N10Unchanged'!C136)/100,2))*100</f>
        <v>9707.5857774288397</v>
      </c>
      <c r="C136">
        <f>(3/(1+('CurrentPor-N10Unchanged'!B136+'CurrentPor-N10Unchanged'!F136)/100)+103/POWER(1+('CurrentPor-N10Unchanged'!C136+'CurrentPor-N10Unchanged'!F136)/100,2))*100</f>
        <v>9631.2142491337127</v>
      </c>
      <c r="D136">
        <f>(3/(1+('CurrentPor-N10Unchanged'!B136+'CurrentPor-N10Unchanged'!G136)/100)+103/POWER(1+('CurrentPor-N10Unchanged'!C136+'CurrentPor-N10Unchanged'!G136)/100,2))*100</f>
        <v>9592.9984301086824</v>
      </c>
      <c r="E136">
        <f>(3/(1+('CurrentPor-N10Unchanged'!B136+'CurrentPor-N10Unchanged'!H136)/100)+103/POWER(1+('CurrentPor-N10Unchanged'!C136+'CurrentPor-N10Unchanged'!H136)/100,2))*100</f>
        <v>9683.739873105038</v>
      </c>
      <c r="F136">
        <f>Portfolio!B$5*'CurrentPor-N10Unchanged'!D136</f>
        <v>52143.895533915893</v>
      </c>
      <c r="G136">
        <f>Portfolio!B$6*'CurrentPor-N10Unchanged'!E136</f>
        <v>3696.2945087936532</v>
      </c>
      <c r="H136">
        <f t="shared" si="6"/>
        <v>94455.728372485813</v>
      </c>
      <c r="I136">
        <f t="shared" si="4"/>
        <v>-4.646494722328498</v>
      </c>
    </row>
    <row r="137" spans="1:9">
      <c r="A137" s="1">
        <v>39449</v>
      </c>
      <c r="B137">
        <f>(3/(1+('CurrentPor-N10Unchanged'!B137)/100)+103/POWER(1+('CurrentPor-N10Unchanged'!C137)/100,2))*100</f>
        <v>9707.5857774288397</v>
      </c>
      <c r="C137">
        <f>(3/(1+('CurrentPor-N10Unchanged'!B137+'CurrentPor-N10Unchanged'!F137)/100)+103/POWER(1+('CurrentPor-N10Unchanged'!C137+'CurrentPor-N10Unchanged'!F137)/100,2))*100</f>
        <v>9629.4069860209238</v>
      </c>
      <c r="D137">
        <f>(3/(1+('CurrentPor-N10Unchanged'!B137+'CurrentPor-N10Unchanged'!G137)/100)+103/POWER(1+('CurrentPor-N10Unchanged'!C137+'CurrentPor-N10Unchanged'!G137)/100,2))*100</f>
        <v>9605.7658854391539</v>
      </c>
      <c r="E137">
        <f>(3/(1+('CurrentPor-N10Unchanged'!B137+'CurrentPor-N10Unchanged'!H137)/100)+103/POWER(1+('CurrentPor-N10Unchanged'!C137+'CurrentPor-N10Unchanged'!H137)/100,2))*100</f>
        <v>9684.1590569043819</v>
      </c>
      <c r="F137">
        <f>Portfolio!B$5*'CurrentPor-N10Unchanged'!D137</f>
        <v>52143.895533915893</v>
      </c>
      <c r="G137">
        <f>Portfolio!B$6*'CurrentPor-N10Unchanged'!E137</f>
        <v>3696.2945087936532</v>
      </c>
      <c r="H137">
        <f t="shared" si="6"/>
        <v>94467.107748502851</v>
      </c>
      <c r="I137">
        <f t="shared" si="4"/>
        <v>-6.7767025454231771</v>
      </c>
    </row>
    <row r="138" spans="1:9">
      <c r="A138" s="1">
        <v>39450</v>
      </c>
      <c r="B138">
        <f>(3/(1+('CurrentPor-N10Unchanged'!B138)/100)+103/POWER(1+('CurrentPor-N10Unchanged'!C138)/100,2))*100</f>
        <v>9707.5857774288397</v>
      </c>
      <c r="C138">
        <f>(3/(1+('CurrentPor-N10Unchanged'!B138+'CurrentPor-N10Unchanged'!F138)/100)+103/POWER(1+('CurrentPor-N10Unchanged'!C138+'CurrentPor-N10Unchanged'!F138)/100,2))*100</f>
        <v>9638.4484425779829</v>
      </c>
      <c r="D138">
        <f>(3/(1+('CurrentPor-N10Unchanged'!B138+'CurrentPor-N10Unchanged'!G138)/100)+103/POWER(1+('CurrentPor-N10Unchanged'!C138+'CurrentPor-N10Unchanged'!G138)/100,2))*100</f>
        <v>9603.1750789171438</v>
      </c>
      <c r="E138">
        <f>(3/(1+('CurrentPor-N10Unchanged'!B138+'CurrentPor-N10Unchanged'!H138)/100)+103/POWER(1+('CurrentPor-N10Unchanged'!C138+'CurrentPor-N10Unchanged'!H138)/100,2))*100</f>
        <v>9682.1545170539957</v>
      </c>
      <c r="F138">
        <f>Portfolio!B$5*'CurrentPor-N10Unchanged'!D138</f>
        <v>52143.895533915893</v>
      </c>
      <c r="G138">
        <f>Portfolio!B$6*'CurrentPor-N10Unchanged'!E138</f>
        <v>3696.2945087936532</v>
      </c>
      <c r="H138">
        <f t="shared" si="6"/>
        <v>94471.553858687519</v>
      </c>
      <c r="I138">
        <f t="shared" si="4"/>
        <v>7.0858859038271476</v>
      </c>
    </row>
    <row r="139" spans="1:9">
      <c r="A139" s="1">
        <v>39451</v>
      </c>
      <c r="B139">
        <f>(3/(1+('CurrentPor-N10Unchanged'!B139)/100)+103/POWER(1+('CurrentPor-N10Unchanged'!C139)/100,2))*100</f>
        <v>9707.5857774288397</v>
      </c>
      <c r="C139">
        <f>(3/(1+('CurrentPor-N10Unchanged'!B139+'CurrentPor-N10Unchanged'!F139)/100)+103/POWER(1+('CurrentPor-N10Unchanged'!C139+'CurrentPor-N10Unchanged'!F139)/100,2))*100</f>
        <v>9640.2582771647722</v>
      </c>
      <c r="D139">
        <f>(3/(1+('CurrentPor-N10Unchanged'!B139+'CurrentPor-N10Unchanged'!G139)/100)+103/POWER(1+('CurrentPor-N10Unchanged'!C139+'CurrentPor-N10Unchanged'!G139)/100,2))*100</f>
        <v>9592.95319154563</v>
      </c>
      <c r="E139">
        <f>(3/(1+('CurrentPor-N10Unchanged'!B139+'CurrentPor-N10Unchanged'!H139)/100)+103/POWER(1+('CurrentPor-N10Unchanged'!C139+'CurrentPor-N10Unchanged'!H139)/100,2))*100</f>
        <v>9678.6571906891168</v>
      </c>
      <c r="F139">
        <f>Portfolio!B$5*'CurrentPor-N10Unchanged'!D139</f>
        <v>52143.895533915893</v>
      </c>
      <c r="G139">
        <f>Portfolio!B$6*'CurrentPor-N10Unchanged'!E139</f>
        <v>3696.2945087936532</v>
      </c>
      <c r="H139">
        <f t="shared" si="6"/>
        <v>94459.644479537907</v>
      </c>
      <c r="I139">
        <f t="shared" si="4"/>
        <v>-24.318836213438772</v>
      </c>
    </row>
    <row r="140" spans="1:9">
      <c r="A140" s="1">
        <v>39454</v>
      </c>
      <c r="B140">
        <f>(3/(1+('CurrentPor-N10Unchanged'!B140)/100)+103/POWER(1+('CurrentPor-N10Unchanged'!C140)/100,2))*100</f>
        <v>9707.5857774288397</v>
      </c>
      <c r="C140">
        <f>(3/(1+('CurrentPor-N10Unchanged'!B140+'CurrentPor-N10Unchanged'!F140)/100)+103/POWER(1+('CurrentPor-N10Unchanged'!C140+'CurrentPor-N10Unchanged'!F140)/100,2))*100</f>
        <v>9638.4484425779829</v>
      </c>
      <c r="D140">
        <f>(3/(1+('CurrentPor-N10Unchanged'!B140+'CurrentPor-N10Unchanged'!G140)/100)+103/POWER(1+('CurrentPor-N10Unchanged'!C140+'CurrentPor-N10Unchanged'!G140)/100,2))*100</f>
        <v>9590.5436465270923</v>
      </c>
      <c r="E140">
        <f>(3/(1+('CurrentPor-N10Unchanged'!B140+'CurrentPor-N10Unchanged'!H140)/100)+103/POWER(1+('CurrentPor-N10Unchanged'!C140+'CurrentPor-N10Unchanged'!H140)/100,2))*100</f>
        <v>9681.3346598198714</v>
      </c>
      <c r="F140">
        <f>Portfolio!B$5*'CurrentPor-N10Unchanged'!D140</f>
        <v>52143.895533915893</v>
      </c>
      <c r="G140">
        <f>Portfolio!B$6*'CurrentPor-N10Unchanged'!E140</f>
        <v>3696.2945087936532</v>
      </c>
      <c r="H140">
        <f t="shared" si="6"/>
        <v>94458.10256906334</v>
      </c>
      <c r="I140">
        <f t="shared" si="4"/>
        <v>-13.804161615815246</v>
      </c>
    </row>
    <row r="141" spans="1:9">
      <c r="A141" s="1">
        <v>39455</v>
      </c>
      <c r="B141">
        <f>(3/(1+('CurrentPor-N10Unchanged'!B141)/100)+103/POWER(1+('CurrentPor-N10Unchanged'!C141)/100,2))*100</f>
        <v>9707.5857774288397</v>
      </c>
      <c r="C141">
        <f>(3/(1+('CurrentPor-N10Unchanged'!B141+'CurrentPor-N10Unchanged'!F141)/100)+103/POWER(1+('CurrentPor-N10Unchanged'!C141+'CurrentPor-N10Unchanged'!F141)/100,2))*100</f>
        <v>9638.4484425779829</v>
      </c>
      <c r="D141">
        <f>(3/(1+('CurrentPor-N10Unchanged'!B141+'CurrentPor-N10Unchanged'!G141)/100)+103/POWER(1+('CurrentPor-N10Unchanged'!C141+'CurrentPor-N10Unchanged'!G141)/100,2))*100</f>
        <v>9597.9619523323472</v>
      </c>
      <c r="E141">
        <f>(3/(1+('CurrentPor-N10Unchanged'!B141+'CurrentPor-N10Unchanged'!H141)/100)+103/POWER(1+('CurrentPor-N10Unchanged'!C141+'CurrentPor-N10Unchanged'!H141)/100,2))*100</f>
        <v>9682.0087570471096</v>
      </c>
      <c r="F141">
        <f>Portfolio!B$5*'CurrentPor-N10Unchanged'!D141</f>
        <v>52143.895533915893</v>
      </c>
      <c r="G141">
        <f>Portfolio!B$6*'CurrentPor-N10Unchanged'!E141</f>
        <v>3696.2945087936532</v>
      </c>
      <c r="H141">
        <f t="shared" si="6"/>
        <v>94466.194972095822</v>
      </c>
      <c r="I141">
        <f t="shared" si="4"/>
        <v>-10.518589537779917</v>
      </c>
    </row>
    <row r="142" spans="1:9">
      <c r="A142" s="1">
        <v>39456</v>
      </c>
      <c r="B142">
        <f>(3/(1+('CurrentPor-N10Unchanged'!B142)/100)+103/POWER(1+('CurrentPor-N10Unchanged'!C142)/100,2))*100</f>
        <v>9707.5857774288397</v>
      </c>
      <c r="C142">
        <f>(3/(1+('CurrentPor-N10Unchanged'!B142+'CurrentPor-N10Unchanged'!F142)/100)+103/POWER(1+('CurrentPor-N10Unchanged'!C142+'CurrentPor-N10Unchanged'!F142)/100,2))*100</f>
        <v>9640.2582771647722</v>
      </c>
      <c r="D142">
        <f>(3/(1+('CurrentPor-N10Unchanged'!B142+'CurrentPor-N10Unchanged'!G142)/100)+103/POWER(1+('CurrentPor-N10Unchanged'!C142+'CurrentPor-N10Unchanged'!G142)/100,2))*100</f>
        <v>9601.8037275358856</v>
      </c>
      <c r="E142">
        <f>(3/(1+('CurrentPor-N10Unchanged'!B142+'CurrentPor-N10Unchanged'!H142)/100)+103/POWER(1+('CurrentPor-N10Unchanged'!C142+'CurrentPor-N10Unchanged'!H142)/100,2))*100</f>
        <v>9681.5897159781507</v>
      </c>
      <c r="F142">
        <f>Portfolio!B$5*'CurrentPor-N10Unchanged'!D142</f>
        <v>52143.895533915893</v>
      </c>
      <c r="G142">
        <f>Portfolio!B$6*'CurrentPor-N10Unchanged'!E142</f>
        <v>3696.2945087936532</v>
      </c>
      <c r="H142">
        <f t="shared" si="6"/>
        <v>94471.427540817196</v>
      </c>
      <c r="I142">
        <f t="shared" ref="I142:I187" si="7">H142-H132</f>
        <v>5.1377355672448175</v>
      </c>
    </row>
    <row r="143" spans="1:9">
      <c r="A143" s="1">
        <v>39457</v>
      </c>
      <c r="B143">
        <f>(3/(1+('CurrentPor-N10Unchanged'!B143)/100)+103/POWER(1+('CurrentPor-N10Unchanged'!C143)/100,2))*100</f>
        <v>9707.5857774288397</v>
      </c>
      <c r="C143">
        <f>(3/(1+('CurrentPor-N10Unchanged'!B143+'CurrentPor-N10Unchanged'!F143)/100)+103/POWER(1+('CurrentPor-N10Unchanged'!C143+'CurrentPor-N10Unchanged'!F143)/100,2))*100</f>
        <v>9640.2582771647722</v>
      </c>
      <c r="D143">
        <f>(3/(1+('CurrentPor-N10Unchanged'!B143+'CurrentPor-N10Unchanged'!G143)/100)+103/POWER(1+('CurrentPor-N10Unchanged'!C143+'CurrentPor-N10Unchanged'!G143)/100,2))*100</f>
        <v>9592.9156680648466</v>
      </c>
      <c r="E143">
        <f>(3/(1+('CurrentPor-N10Unchanged'!B143+'CurrentPor-N10Unchanged'!H143)/100)+103/POWER(1+('CurrentPor-N10Unchanged'!C143+'CurrentPor-N10Unchanged'!H143)/100,2))*100</f>
        <v>9681.0431805243425</v>
      </c>
      <c r="F143">
        <f>Portfolio!B$5*'CurrentPor-N10Unchanged'!D143</f>
        <v>52143.895533915893</v>
      </c>
      <c r="G143">
        <f>Portfolio!B$6*'CurrentPor-N10Unchanged'!E143</f>
        <v>3696.2945087936532</v>
      </c>
      <c r="H143">
        <f t="shared" si="6"/>
        <v>94461.992945892343</v>
      </c>
      <c r="I143">
        <f t="shared" si="7"/>
        <v>-8.9368140523292823</v>
      </c>
    </row>
    <row r="144" spans="1:9">
      <c r="A144" s="1">
        <v>39458</v>
      </c>
      <c r="B144">
        <f>(3/(1+('CurrentPor-N10Unchanged'!B144)/100)+103/POWER(1+('CurrentPor-N10Unchanged'!C144)/100,2))*100</f>
        <v>9707.5857774288397</v>
      </c>
      <c r="C144">
        <f>(3/(1+('CurrentPor-N10Unchanged'!B144+'CurrentPor-N10Unchanged'!F144)/100)+103/POWER(1+('CurrentPor-N10Unchanged'!C144+'CurrentPor-N10Unchanged'!F144)/100,2))*100</f>
        <v>9640.2582771647722</v>
      </c>
      <c r="D144">
        <f>(3/(1+('CurrentPor-N10Unchanged'!B144+'CurrentPor-N10Unchanged'!G144)/100)+103/POWER(1+('CurrentPor-N10Unchanged'!C144+'CurrentPor-N10Unchanged'!G144)/100,2))*100</f>
        <v>9592.8315612080532</v>
      </c>
      <c r="E144">
        <f>(3/(1+('CurrentPor-N10Unchanged'!B144+'CurrentPor-N10Unchanged'!H144)/100)+103/POWER(1+('CurrentPor-N10Unchanged'!C144+'CurrentPor-N10Unchanged'!H144)/100,2))*100</f>
        <v>9682.4824900929671</v>
      </c>
      <c r="F144">
        <f>Portfolio!B$5*'CurrentPor-N10Unchanged'!D144</f>
        <v>52143.895533915893</v>
      </c>
      <c r="G144">
        <f>Portfolio!B$6*'CurrentPor-N10Unchanged'!E144</f>
        <v>3696.2945087936532</v>
      </c>
      <c r="H144">
        <f t="shared" si="6"/>
        <v>94463.348148604186</v>
      </c>
      <c r="I144">
        <f t="shared" si="7"/>
        <v>-0.71670609983266331</v>
      </c>
    </row>
    <row r="145" spans="1:9">
      <c r="A145" s="1">
        <v>39461</v>
      </c>
      <c r="B145">
        <f>(3/(1+('CurrentPor-N10Unchanged'!B145)/100)+103/POWER(1+('CurrentPor-N10Unchanged'!C145)/100,2))*100</f>
        <v>9707.5857774288397</v>
      </c>
      <c r="C145">
        <f>(3/(1+('CurrentPor-N10Unchanged'!B145+'CurrentPor-N10Unchanged'!F145)/100)+103/POWER(1+('CurrentPor-N10Unchanged'!C145+'CurrentPor-N10Unchanged'!F145)/100,2))*100</f>
        <v>9638.4484425779829</v>
      </c>
      <c r="D145">
        <f>(3/(1+('CurrentPor-N10Unchanged'!B145+'CurrentPor-N10Unchanged'!G145)/100)+103/POWER(1+('CurrentPor-N10Unchanged'!C145+'CurrentPor-N10Unchanged'!G145)/100,2))*100</f>
        <v>9595.5621573486842</v>
      </c>
      <c r="E145">
        <f>(3/(1+('CurrentPor-N10Unchanged'!B145+'CurrentPor-N10Unchanged'!H145)/100)+103/POWER(1+('CurrentPor-N10Unchanged'!C145+'CurrentPor-N10Unchanged'!H145)/100,2))*100</f>
        <v>9682.5007116969864</v>
      </c>
      <c r="F145">
        <f>Portfolio!B$5*'CurrentPor-N10Unchanged'!D145</f>
        <v>52143.895533915893</v>
      </c>
      <c r="G145">
        <f>Portfolio!B$6*'CurrentPor-N10Unchanged'!E145</f>
        <v>3696.2945087936532</v>
      </c>
      <c r="H145">
        <f t="shared" si="6"/>
        <v>94464.287131762045</v>
      </c>
      <c r="I145">
        <f t="shared" si="7"/>
        <v>11.379060091756401</v>
      </c>
    </row>
    <row r="146" spans="1:9">
      <c r="A146" s="1">
        <v>39462</v>
      </c>
      <c r="B146">
        <f>(3/(1+('CurrentPor-N10Unchanged'!B146)/100)+103/POWER(1+('CurrentPor-N10Unchanged'!C146)/100,2))*100</f>
        <v>9707.5857774288397</v>
      </c>
      <c r="C146">
        <f>(3/(1+('CurrentPor-N10Unchanged'!B146+'CurrentPor-N10Unchanged'!F146)/100)+103/POWER(1+('CurrentPor-N10Unchanged'!C146+'CurrentPor-N10Unchanged'!F146)/100,2))*100</f>
        <v>9638.4484425779829</v>
      </c>
      <c r="D146">
        <f>(3/(1+('CurrentPor-N10Unchanged'!B146+'CurrentPor-N10Unchanged'!G146)/100)+103/POWER(1+('CurrentPor-N10Unchanged'!C146+'CurrentPor-N10Unchanged'!G146)/100,2))*100</f>
        <v>9596.7480418199193</v>
      </c>
      <c r="E146">
        <f>(3/(1+('CurrentPor-N10Unchanged'!B146+'CurrentPor-N10Unchanged'!H146)/100)+103/POWER(1+('CurrentPor-N10Unchanged'!C146+'CurrentPor-N10Unchanged'!H146)/100,2))*100</f>
        <v>9683.0655932861519</v>
      </c>
      <c r="F146">
        <f>Portfolio!B$5*'CurrentPor-N10Unchanged'!D146</f>
        <v>52143.895533915893</v>
      </c>
      <c r="G146">
        <f>Portfolio!B$6*'CurrentPor-N10Unchanged'!E146</f>
        <v>3696.2945087936532</v>
      </c>
      <c r="H146">
        <f t="shared" si="6"/>
        <v>94466.037897822447</v>
      </c>
      <c r="I146">
        <f t="shared" si="7"/>
        <v>10.309525336633669</v>
      </c>
    </row>
    <row r="147" spans="1:9">
      <c r="A147" s="1">
        <v>39463</v>
      </c>
      <c r="B147">
        <f>(3/(1+('CurrentPor-N10Unchanged'!B147)/100)+103/POWER(1+('CurrentPor-N10Unchanged'!C147)/100,2))*100</f>
        <v>9707.5857774288397</v>
      </c>
      <c r="C147">
        <f>(3/(1+('CurrentPor-N10Unchanged'!B147+'CurrentPor-N10Unchanged'!F147)/100)+103/POWER(1+('CurrentPor-N10Unchanged'!C147+'CurrentPor-N10Unchanged'!F147)/100,2))*100</f>
        <v>9638.4484425779829</v>
      </c>
      <c r="D147">
        <f>(3/(1+('CurrentPor-N10Unchanged'!B147+'CurrentPor-N10Unchanged'!G147)/100)+103/POWER(1+('CurrentPor-N10Unchanged'!C147+'CurrentPor-N10Unchanged'!G147)/100,2))*100</f>
        <v>9598.2428418131494</v>
      </c>
      <c r="E147">
        <f>(3/(1+('CurrentPor-N10Unchanged'!B147+'CurrentPor-N10Unchanged'!H147)/100)+103/POWER(1+('CurrentPor-N10Unchanged'!C147+'CurrentPor-N10Unchanged'!H147)/100,2))*100</f>
        <v>9682.3185014697392</v>
      </c>
      <c r="F147">
        <f>Portfolio!B$5*'CurrentPor-N10Unchanged'!D147</f>
        <v>52143.895533915893</v>
      </c>
      <c r="G147">
        <f>Portfolio!B$6*'CurrentPor-N10Unchanged'!E147</f>
        <v>3696.2945087936532</v>
      </c>
      <c r="H147">
        <f t="shared" si="6"/>
        <v>94466.785605999263</v>
      </c>
      <c r="I147">
        <f t="shared" si="7"/>
        <v>-0.32214250358811114</v>
      </c>
    </row>
    <row r="148" spans="1:9">
      <c r="A148" s="1">
        <v>39464</v>
      </c>
      <c r="B148">
        <f>(3/(1+('CurrentPor-N10Unchanged'!B148)/100)+103/POWER(1+('CurrentPor-N10Unchanged'!C148)/100,2))*100</f>
        <v>9707.5857774288397</v>
      </c>
      <c r="C148">
        <f>(3/(1+('CurrentPor-N10Unchanged'!B148+'CurrentPor-N10Unchanged'!F148)/100)+103/POWER(1+('CurrentPor-N10Unchanged'!C148+'CurrentPor-N10Unchanged'!F148)/100,2))*100</f>
        <v>9634.8303172663855</v>
      </c>
      <c r="D148">
        <f>(3/(1+('CurrentPor-N10Unchanged'!B148+'CurrentPor-N10Unchanged'!G148)/100)+103/POWER(1+('CurrentPor-N10Unchanged'!C148+'CurrentPor-N10Unchanged'!G148)/100,2))*100</f>
        <v>9579.7448049340383</v>
      </c>
      <c r="E148">
        <f>(3/(1+('CurrentPor-N10Unchanged'!B148+'CurrentPor-N10Unchanged'!H148)/100)+103/POWER(1+('CurrentPor-N10Unchanged'!C148+'CurrentPor-N10Unchanged'!H148)/100,2))*100</f>
        <v>9682.9562582542785</v>
      </c>
      <c r="F148">
        <f>Portfolio!B$5*'CurrentPor-N10Unchanged'!D148</f>
        <v>52143.895533915893</v>
      </c>
      <c r="G148">
        <f>Portfolio!B$6*'CurrentPor-N10Unchanged'!E148</f>
        <v>3696.2945087936532</v>
      </c>
      <c r="H148">
        <f t="shared" si="6"/>
        <v>94445.307200593088</v>
      </c>
      <c r="I148">
        <f t="shared" si="7"/>
        <v>-26.246658094431041</v>
      </c>
    </row>
    <row r="149" spans="1:9">
      <c r="A149" s="1">
        <v>39465</v>
      </c>
      <c r="B149">
        <f>(3/(1+('CurrentPor-N10Unchanged'!B149)/100)+103/POWER(1+('CurrentPor-N10Unchanged'!C149)/100,2))*100</f>
        <v>9707.5857774288397</v>
      </c>
      <c r="C149">
        <f>(3/(1+('CurrentPor-N10Unchanged'!B149+'CurrentPor-N10Unchanged'!F149)/100)+103/POWER(1+('CurrentPor-N10Unchanged'!C149+'CurrentPor-N10Unchanged'!F149)/100,2))*100</f>
        <v>9633.0220261504182</v>
      </c>
      <c r="D149">
        <f>(3/(1+('CurrentPor-N10Unchanged'!B149+'CurrentPor-N10Unchanged'!G149)/100)+103/POWER(1+('CurrentPor-N10Unchanged'!C149+'CurrentPor-N10Unchanged'!G149)/100,2))*100</f>
        <v>9606.2032974685899</v>
      </c>
      <c r="E149">
        <f>(3/(1+('CurrentPor-N10Unchanged'!B149+'CurrentPor-N10Unchanged'!H149)/100)+103/POWER(1+('CurrentPor-N10Unchanged'!C149+'CurrentPor-N10Unchanged'!H149)/100,2))*100</f>
        <v>9681.1889185102937</v>
      </c>
      <c r="F149">
        <f>Portfolio!B$5*'CurrentPor-N10Unchanged'!D149</f>
        <v>52143.895533915893</v>
      </c>
      <c r="G149">
        <f>Portfolio!B$6*'CurrentPor-N10Unchanged'!E149</f>
        <v>3696.2945087936532</v>
      </c>
      <c r="H149">
        <f t="shared" si="6"/>
        <v>94468.190062267691</v>
      </c>
      <c r="I149">
        <f t="shared" si="7"/>
        <v>8.5455827297846554</v>
      </c>
    </row>
    <row r="150" spans="1:9">
      <c r="A150" s="1">
        <v>39468</v>
      </c>
      <c r="B150">
        <f>(3/(1+('CurrentPor-N10Unchanged'!B150)/100)+103/POWER(1+('CurrentPor-N10Unchanged'!C150)/100,2))*100</f>
        <v>9707.5857774288397</v>
      </c>
      <c r="C150">
        <f>(3/(1+('CurrentPor-N10Unchanged'!B150+'CurrentPor-N10Unchanged'!F150)/100)+103/POWER(1+('CurrentPor-N10Unchanged'!C150+'CurrentPor-N10Unchanged'!F150)/100,2))*100</f>
        <v>9634.8303172663855</v>
      </c>
      <c r="D150">
        <f>(3/(1+('CurrentPor-N10Unchanged'!B150+'CurrentPor-N10Unchanged'!G150)/100)+103/POWER(1+('CurrentPor-N10Unchanged'!C150+'CurrentPor-N10Unchanged'!G150)/100,2))*100</f>
        <v>9600.6024648327857</v>
      </c>
      <c r="E150">
        <f>(3/(1+('CurrentPor-N10Unchanged'!B150+'CurrentPor-N10Unchanged'!H150)/100)+103/POWER(1+('CurrentPor-N10Unchanged'!C150+'CurrentPor-N10Unchanged'!H150)/100,2))*100</f>
        <v>9681.1160491018709</v>
      </c>
      <c r="F150">
        <f>Portfolio!B$5*'CurrentPor-N10Unchanged'!D150</f>
        <v>52143.895533915893</v>
      </c>
      <c r="G150">
        <f>Portfolio!B$6*'CurrentPor-N10Unchanged'!E150</f>
        <v>3696.2945087936532</v>
      </c>
      <c r="H150">
        <f t="shared" si="6"/>
        <v>94464.324651339441</v>
      </c>
      <c r="I150">
        <f t="shared" si="7"/>
        <v>6.2220822761009913</v>
      </c>
    </row>
    <row r="151" spans="1:9">
      <c r="A151" s="1">
        <v>39469</v>
      </c>
      <c r="B151">
        <f>(3/(1+('CurrentPor-N10Unchanged'!B151)/100)+103/POWER(1+('CurrentPor-N10Unchanged'!C151)/100,2))*100</f>
        <v>9707.5857774288397</v>
      </c>
      <c r="C151">
        <f>(3/(1+('CurrentPor-N10Unchanged'!B151+'CurrentPor-N10Unchanged'!F151)/100)+103/POWER(1+('CurrentPor-N10Unchanged'!C151+'CurrentPor-N10Unchanged'!F151)/100,2))*100</f>
        <v>9629.4069860209238</v>
      </c>
      <c r="D151">
        <f>(3/(1+('CurrentPor-N10Unchanged'!B151+'CurrentPor-N10Unchanged'!G151)/100)+103/POWER(1+('CurrentPor-N10Unchanged'!C151+'CurrentPor-N10Unchanged'!G151)/100,2))*100</f>
        <v>9603.5700485732868</v>
      </c>
      <c r="E151">
        <f>(3/(1+('CurrentPor-N10Unchanged'!B151+'CurrentPor-N10Unchanged'!H151)/100)+103/POWER(1+('CurrentPor-N10Unchanged'!C151+'CurrentPor-N10Unchanged'!H151)/100,2))*100</f>
        <v>9681.2253543947754</v>
      </c>
      <c r="F151">
        <f>Portfolio!B$5*'CurrentPor-N10Unchanged'!D151</f>
        <v>52143.895533915893</v>
      </c>
      <c r="G151">
        <f>Portfolio!B$6*'CurrentPor-N10Unchanged'!E151</f>
        <v>3696.2945087936532</v>
      </c>
      <c r="H151">
        <f t="shared" si="6"/>
        <v>94461.978209127381</v>
      </c>
      <c r="I151">
        <f t="shared" si="7"/>
        <v>-4.2167629684408894</v>
      </c>
    </row>
    <row r="152" spans="1:9">
      <c r="A152" s="1">
        <v>39470</v>
      </c>
      <c r="B152">
        <f>(3/(1+('CurrentPor-N10Unchanged'!B152)/100)+103/POWER(1+('CurrentPor-N10Unchanged'!C152)/100,2))*100</f>
        <v>9707.5857774288397</v>
      </c>
      <c r="C152">
        <f>(3/(1+('CurrentPor-N10Unchanged'!B152+'CurrentPor-N10Unchanged'!F152)/100)+103/POWER(1+('CurrentPor-N10Unchanged'!C152+'CurrentPor-N10Unchanged'!F152)/100,2))*100</f>
        <v>9622.1830687052025</v>
      </c>
      <c r="D152">
        <f>(3/(1+('CurrentPor-N10Unchanged'!B152+'CurrentPor-N10Unchanged'!G152)/100)+103/POWER(1+('CurrentPor-N10Unchanged'!C152+'CurrentPor-N10Unchanged'!G152)/100,2))*100</f>
        <v>9597.6154154921751</v>
      </c>
      <c r="E152">
        <f>(3/(1+('CurrentPor-N10Unchanged'!B152+'CurrentPor-N10Unchanged'!H152)/100)+103/POWER(1+('CurrentPor-N10Unchanged'!C152+'CurrentPor-N10Unchanged'!H152)/100,2))*100</f>
        <v>9680.6788500996772</v>
      </c>
      <c r="F152">
        <f>Portfolio!B$5*'CurrentPor-N10Unchanged'!D152</f>
        <v>52143.895533915893</v>
      </c>
      <c r="G152">
        <f>Portfolio!B$6*'CurrentPor-N10Unchanged'!E152</f>
        <v>3696.2945087936532</v>
      </c>
      <c r="H152">
        <f t="shared" si="6"/>
        <v>94448.253154435442</v>
      </c>
      <c r="I152">
        <f t="shared" si="7"/>
        <v>-23.17438638175372</v>
      </c>
    </row>
    <row r="153" spans="1:9">
      <c r="A153" s="1">
        <v>39471</v>
      </c>
      <c r="B153">
        <f>(3/(1+('CurrentPor-N10Unchanged'!B153)/100)+103/POWER(1+('CurrentPor-N10Unchanged'!C153)/100,2))*100</f>
        <v>9707.5857774288397</v>
      </c>
      <c r="C153">
        <f>(3/(1+('CurrentPor-N10Unchanged'!B153+'CurrentPor-N10Unchanged'!F153)/100)+103/POWER(1+('CurrentPor-N10Unchanged'!C153+'CurrentPor-N10Unchanged'!F153)/100,2))*100</f>
        <v>9625.7940007261659</v>
      </c>
      <c r="D153">
        <f>(3/(1+('CurrentPor-N10Unchanged'!B153+'CurrentPor-N10Unchanged'!G153)/100)+103/POWER(1+('CurrentPor-N10Unchanged'!C153+'CurrentPor-N10Unchanged'!G153)/100,2))*100</f>
        <v>9585.6662410424724</v>
      </c>
      <c r="E153">
        <f>(3/(1+('CurrentPor-N10Unchanged'!B153+'CurrentPor-N10Unchanged'!H153)/100)+103/POWER(1+('CurrentPor-N10Unchanged'!C153+'CurrentPor-N10Unchanged'!H153)/100,2))*100</f>
        <v>9682.4824900929671</v>
      </c>
      <c r="F153">
        <f>Portfolio!B$5*'CurrentPor-N10Unchanged'!D153</f>
        <v>52143.895533915893</v>
      </c>
      <c r="G153">
        <f>Portfolio!B$6*'CurrentPor-N10Unchanged'!E153</f>
        <v>3696.2945087936532</v>
      </c>
      <c r="H153">
        <f t="shared" si="6"/>
        <v>94441.718551999991</v>
      </c>
      <c r="I153">
        <f t="shared" si="7"/>
        <v>-20.274393892352236</v>
      </c>
    </row>
    <row r="154" spans="1:9">
      <c r="A154" s="1">
        <v>39472</v>
      </c>
      <c r="B154">
        <f>(3/(1+('CurrentPor-N10Unchanged'!B154)/100)+103/POWER(1+('CurrentPor-N10Unchanged'!C154)/100,2))*100</f>
        <v>9707.5857774288397</v>
      </c>
      <c r="C154">
        <f>(3/(1+('CurrentPor-N10Unchanged'!B154+'CurrentPor-N10Unchanged'!F154)/100)+103/POWER(1+('CurrentPor-N10Unchanged'!C154+'CurrentPor-N10Unchanged'!F154)/100,2))*100</f>
        <v>9623.98827815396</v>
      </c>
      <c r="D154">
        <f>(3/(1+('CurrentPor-N10Unchanged'!B154+'CurrentPor-N10Unchanged'!G154)/100)+103/POWER(1+('CurrentPor-N10Unchanged'!C154+'CurrentPor-N10Unchanged'!G154)/100,2))*100</f>
        <v>9597.1922474597613</v>
      </c>
      <c r="E154">
        <f>(3/(1+('CurrentPor-N10Unchanged'!B154+'CurrentPor-N10Unchanged'!H154)/100)+103/POWER(1+('CurrentPor-N10Unchanged'!C154+'CurrentPor-N10Unchanged'!H154)/100,2))*100</f>
        <v>9681.2982250495716</v>
      </c>
      <c r="F154">
        <f>Portfolio!B$5*'CurrentPor-N10Unchanged'!D154</f>
        <v>52143.895533915893</v>
      </c>
      <c r="G154">
        <f>Portfolio!B$6*'CurrentPor-N10Unchanged'!E154</f>
        <v>3696.2945087936532</v>
      </c>
      <c r="H154">
        <f t="shared" si="6"/>
        <v>94450.254570801684</v>
      </c>
      <c r="I154">
        <f t="shared" si="7"/>
        <v>-13.093577802501386</v>
      </c>
    </row>
    <row r="155" spans="1:9">
      <c r="A155" s="1">
        <v>39475</v>
      </c>
      <c r="B155">
        <f>(3/(1+('CurrentPor-N10Unchanged'!B155)/100)+103/POWER(1+('CurrentPor-N10Unchanged'!C155)/100,2))*100</f>
        <v>9707.5857774288397</v>
      </c>
      <c r="C155">
        <f>(3/(1+('CurrentPor-N10Unchanged'!B155+'CurrentPor-N10Unchanged'!F155)/100)+103/POWER(1+('CurrentPor-N10Unchanged'!C155+'CurrentPor-N10Unchanged'!F155)/100,2))*100</f>
        <v>9625.7940007261659</v>
      </c>
      <c r="D155">
        <f>(3/(1+('CurrentPor-N10Unchanged'!B155+'CurrentPor-N10Unchanged'!G155)/100)+103/POWER(1+('CurrentPor-N10Unchanged'!C155+'CurrentPor-N10Unchanged'!G155)/100,2))*100</f>
        <v>9583.1501190318959</v>
      </c>
      <c r="E155">
        <f>(3/(1+('CurrentPor-N10Unchanged'!B155+'CurrentPor-N10Unchanged'!H155)/100)+103/POWER(1+('CurrentPor-N10Unchanged'!C155+'CurrentPor-N10Unchanged'!H155)/100,2))*100</f>
        <v>9681.2800068736287</v>
      </c>
      <c r="F155">
        <f>Portfolio!B$5*'CurrentPor-N10Unchanged'!D155</f>
        <v>52143.895533915893</v>
      </c>
      <c r="G155">
        <f>Portfolio!B$6*'CurrentPor-N10Unchanged'!E155</f>
        <v>3696.2945087936532</v>
      </c>
      <c r="H155">
        <f t="shared" si="6"/>
        <v>94437.999946770084</v>
      </c>
      <c r="I155">
        <f t="shared" si="7"/>
        <v>-26.287184991961112</v>
      </c>
    </row>
    <row r="156" spans="1:9">
      <c r="A156" s="1">
        <v>39476</v>
      </c>
      <c r="B156">
        <f>(3/(1+('CurrentPor-N10Unchanged'!B156)/100)+103/POWER(1+('CurrentPor-N10Unchanged'!C156)/100,2))*100</f>
        <v>9707.5857774288397</v>
      </c>
      <c r="C156">
        <f>(3/(1+('CurrentPor-N10Unchanged'!B156+'CurrentPor-N10Unchanged'!F156)/100)+103/POWER(1+('CurrentPor-N10Unchanged'!C156+'CurrentPor-N10Unchanged'!F156)/100,2))*100</f>
        <v>9627.6002366167941</v>
      </c>
      <c r="D156">
        <f>(3/(1+('CurrentPor-N10Unchanged'!B156+'CurrentPor-N10Unchanged'!G156)/100)+103/POWER(1+('CurrentPor-N10Unchanged'!C156+'CurrentPor-N10Unchanged'!G156)/100,2))*100</f>
        <v>9591.4492405190867</v>
      </c>
      <c r="E156">
        <f>(3/(1+('CurrentPor-N10Unchanged'!B156+'CurrentPor-N10Unchanged'!H156)/100)+103/POWER(1+('CurrentPor-N10Unchanged'!C156+'CurrentPor-N10Unchanged'!H156)/100,2))*100</f>
        <v>9681.4257502605342</v>
      </c>
      <c r="F156">
        <f>Portfolio!B$5*'CurrentPor-N10Unchanged'!D156</f>
        <v>52143.895533915893</v>
      </c>
      <c r="G156">
        <f>Portfolio!B$6*'CurrentPor-N10Unchanged'!E156</f>
        <v>3696.2945087936532</v>
      </c>
      <c r="H156">
        <f t="shared" si="6"/>
        <v>94448.25104753481</v>
      </c>
      <c r="I156">
        <f t="shared" si="7"/>
        <v>-17.786850287637208</v>
      </c>
    </row>
    <row r="157" spans="1:9">
      <c r="A157" s="1">
        <v>39477</v>
      </c>
      <c r="B157">
        <f>(3/(1+('CurrentPor-N10Unchanged'!B157)/100)+103/POWER(1+('CurrentPor-N10Unchanged'!C157)/100,2))*100</f>
        <v>9707.5857774288397</v>
      </c>
      <c r="C157">
        <f>(3/(1+('CurrentPor-N10Unchanged'!B157+'CurrentPor-N10Unchanged'!F157)/100)+103/POWER(1+('CurrentPor-N10Unchanged'!C157+'CurrentPor-N10Unchanged'!F157)/100,2))*100</f>
        <v>9634.8303172663855</v>
      </c>
      <c r="D157">
        <f>(3/(1+('CurrentPor-N10Unchanged'!B157+'CurrentPor-N10Unchanged'!G157)/100)+103/POWER(1+('CurrentPor-N10Unchanged'!C157+'CurrentPor-N10Unchanged'!G157)/100,2))*100</f>
        <v>9585.3150119342426</v>
      </c>
      <c r="E157">
        <f>(3/(1+('CurrentPor-N10Unchanged'!B157+'CurrentPor-N10Unchanged'!H157)/100)+103/POWER(1+('CurrentPor-N10Unchanged'!C157+'CurrentPor-N10Unchanged'!H157)/100,2))*100</f>
        <v>9682.3549437946931</v>
      </c>
      <c r="F157">
        <f>Portfolio!B$5*'CurrentPor-N10Unchanged'!D157</f>
        <v>52143.895533915893</v>
      </c>
      <c r="G157">
        <f>Portfolio!B$6*'CurrentPor-N10Unchanged'!E157</f>
        <v>3696.2945087936532</v>
      </c>
      <c r="H157">
        <f t="shared" si="6"/>
        <v>94450.276093133696</v>
      </c>
      <c r="I157">
        <f t="shared" si="7"/>
        <v>-16.509512865566649</v>
      </c>
    </row>
    <row r="158" spans="1:9">
      <c r="A158" s="1">
        <v>39478</v>
      </c>
      <c r="B158">
        <f>(3/(1+('CurrentPor-N10Unchanged'!B158)/100)+103/POWER(1+('CurrentPor-N10Unchanged'!C158)/100,2))*100</f>
        <v>9707.5857774288397</v>
      </c>
      <c r="C158">
        <f>(3/(1+('CurrentPor-N10Unchanged'!B158+'CurrentPor-N10Unchanged'!F158)/100)+103/POWER(1+('CurrentPor-N10Unchanged'!C158+'CurrentPor-N10Unchanged'!F158)/100,2))*100</f>
        <v>9636.6391226770629</v>
      </c>
      <c r="D158">
        <f>(3/(1+('CurrentPor-N10Unchanged'!B158+'CurrentPor-N10Unchanged'!G158)/100)+103/POWER(1+('CurrentPor-N10Unchanged'!C158+'CurrentPor-N10Unchanged'!G158)/100,2))*100</f>
        <v>9589.328558094252</v>
      </c>
      <c r="E158">
        <f>(3/(1+('CurrentPor-N10Unchanged'!B158+'CurrentPor-N10Unchanged'!H158)/100)+103/POWER(1+('CurrentPor-N10Unchanged'!C158+'CurrentPor-N10Unchanged'!H158)/100,2))*100</f>
        <v>9683.739873105038</v>
      </c>
      <c r="F158">
        <f>Portfolio!B$5*'CurrentPor-N10Unchanged'!D158</f>
        <v>52143.895533915893</v>
      </c>
      <c r="G158">
        <f>Portfolio!B$6*'CurrentPor-N10Unchanged'!E158</f>
        <v>3696.2945087936532</v>
      </c>
      <c r="H158">
        <f t="shared" si="6"/>
        <v>94457.48337401473</v>
      </c>
      <c r="I158">
        <f t="shared" si="7"/>
        <v>12.176173421641579</v>
      </c>
    </row>
    <row r="159" spans="1:9">
      <c r="A159" s="1">
        <v>39479</v>
      </c>
      <c r="B159">
        <f>(3/(1+('CurrentPor-N10Unchanged'!B159)/100)+103/POWER(1+('CurrentPor-N10Unchanged'!C159)/100,2))*100</f>
        <v>9707.5857774288397</v>
      </c>
      <c r="C159">
        <f>(3/(1+('CurrentPor-N10Unchanged'!B159+'CurrentPor-N10Unchanged'!F159)/100)+103/POWER(1+('CurrentPor-N10Unchanged'!C159+'CurrentPor-N10Unchanged'!F159)/100,2))*100</f>
        <v>9638.4484425779829</v>
      </c>
      <c r="D159">
        <f>(3/(1+('CurrentPor-N10Unchanged'!B159+'CurrentPor-N10Unchanged'!G159)/100)+103/POWER(1+('CurrentPor-N10Unchanged'!C159+'CurrentPor-N10Unchanged'!G159)/100,2))*100</f>
        <v>9601.7982107596163</v>
      </c>
      <c r="E159">
        <f>(3/(1+('CurrentPor-N10Unchanged'!B159+'CurrentPor-N10Unchanged'!H159)/100)+103/POWER(1+('CurrentPor-N10Unchanged'!C159+'CurrentPor-N10Unchanged'!H159)/100,2))*100</f>
        <v>9683.5029573304655</v>
      </c>
      <c r="F159">
        <f>Portfolio!B$5*'CurrentPor-N10Unchanged'!D159</f>
        <v>52143.895533915893</v>
      </c>
      <c r="G159">
        <f>Portfolio!B$6*'CurrentPor-N10Unchanged'!E159</f>
        <v>3696.2945087936532</v>
      </c>
      <c r="H159">
        <f t="shared" si="6"/>
        <v>94471.525430806447</v>
      </c>
      <c r="I159">
        <f t="shared" si="7"/>
        <v>3.3353685387555743</v>
      </c>
    </row>
    <row r="160" spans="1:9">
      <c r="A160" s="1">
        <v>39482</v>
      </c>
      <c r="B160">
        <f>(3/(1+('CurrentPor-N10Unchanged'!B160)/100)+103/POWER(1+('CurrentPor-N10Unchanged'!C160)/100,2))*100</f>
        <v>9707.5857774288397</v>
      </c>
      <c r="C160">
        <f>(3/(1+('CurrentPor-N10Unchanged'!B160+'CurrentPor-N10Unchanged'!F160)/100)+103/POWER(1+('CurrentPor-N10Unchanged'!C160+'CurrentPor-N10Unchanged'!F160)/100,2))*100</f>
        <v>9638.4484425779829</v>
      </c>
      <c r="D160">
        <f>(3/(1+('CurrentPor-N10Unchanged'!B160+'CurrentPor-N10Unchanged'!G160)/100)+103/POWER(1+('CurrentPor-N10Unchanged'!C160+'CurrentPor-N10Unchanged'!G160)/100,2))*100</f>
        <v>9601.3179423393958</v>
      </c>
      <c r="E160">
        <f>(3/(1+('CurrentPor-N10Unchanged'!B160+'CurrentPor-N10Unchanged'!H160)/100)+103/POWER(1+('CurrentPor-N10Unchanged'!C160+'CurrentPor-N10Unchanged'!H160)/100,2))*100</f>
        <v>9683.4118372809407</v>
      </c>
      <c r="F160">
        <f>Portfolio!B$5*'CurrentPor-N10Unchanged'!D160</f>
        <v>52143.895533915893</v>
      </c>
      <c r="G160">
        <f>Portfolio!B$6*'CurrentPor-N10Unchanged'!E160</f>
        <v>3696.2945087936532</v>
      </c>
      <c r="H160">
        <f t="shared" si="6"/>
        <v>94470.9540423367</v>
      </c>
      <c r="I160">
        <f t="shared" si="7"/>
        <v>6.6293909972591791</v>
      </c>
    </row>
    <row r="161" spans="1:9">
      <c r="A161" s="1">
        <v>39483</v>
      </c>
      <c r="B161">
        <f>(3/(1+('CurrentPor-N10Unchanged'!B161)/100)+103/POWER(1+('CurrentPor-N10Unchanged'!C161)/100,2))*100</f>
        <v>9707.5857774288397</v>
      </c>
      <c r="C161">
        <f>(3/(1+('CurrentPor-N10Unchanged'!B161+'CurrentPor-N10Unchanged'!F161)/100)+103/POWER(1+('CurrentPor-N10Unchanged'!C161+'CurrentPor-N10Unchanged'!F161)/100,2))*100</f>
        <v>9638.4484425779829</v>
      </c>
      <c r="D161">
        <f>(3/(1+('CurrentPor-N10Unchanged'!B161+'CurrentPor-N10Unchanged'!G161)/100)+103/POWER(1+('CurrentPor-N10Unchanged'!C161+'CurrentPor-N10Unchanged'!G161)/100,2))*100</f>
        <v>9601.9975188898134</v>
      </c>
      <c r="E161">
        <f>(3/(1+('CurrentPor-N10Unchanged'!B161+'CurrentPor-N10Unchanged'!H161)/100)+103/POWER(1+('CurrentPor-N10Unchanged'!C161+'CurrentPor-N10Unchanged'!H161)/100,2))*100</f>
        <v>9684.2501876058432</v>
      </c>
      <c r="F161">
        <f>Portfolio!B$5*'CurrentPor-N10Unchanged'!D161</f>
        <v>52143.895533915893</v>
      </c>
      <c r="G161">
        <f>Portfolio!B$6*'CurrentPor-N10Unchanged'!E161</f>
        <v>3696.2945087936532</v>
      </c>
      <c r="H161">
        <f t="shared" si="6"/>
        <v>94472.471969212027</v>
      </c>
      <c r="I161">
        <f t="shared" si="7"/>
        <v>10.493760084646055</v>
      </c>
    </row>
    <row r="162" spans="1:9">
      <c r="A162" s="1">
        <v>39484</v>
      </c>
      <c r="B162">
        <f>(3/(1+('CurrentPor-N10Unchanged'!B162)/100)+103/POWER(1+('CurrentPor-N10Unchanged'!C162)/100,2))*100</f>
        <v>9707.5857774288397</v>
      </c>
      <c r="C162">
        <f>(3/(1+('CurrentPor-N10Unchanged'!B162+'CurrentPor-N10Unchanged'!F162)/100)+103/POWER(1+('CurrentPor-N10Unchanged'!C162+'CurrentPor-N10Unchanged'!F162)/100,2))*100</f>
        <v>9640.2582771647722</v>
      </c>
      <c r="D162">
        <f>(3/(1+('CurrentPor-N10Unchanged'!B162+'CurrentPor-N10Unchanged'!G162)/100)+103/POWER(1+('CurrentPor-N10Unchanged'!C162+'CurrentPor-N10Unchanged'!G162)/100,2))*100</f>
        <v>9596.7568168842481</v>
      </c>
      <c r="E162">
        <f>(3/(1+('CurrentPor-N10Unchanged'!B162+'CurrentPor-N10Unchanged'!H162)/100)+103/POWER(1+('CurrentPor-N10Unchanged'!C162+'CurrentPor-N10Unchanged'!H162)/100,2))*100</f>
        <v>9683.8309978308025</v>
      </c>
      <c r="F162">
        <f>Portfolio!B$5*'CurrentPor-N10Unchanged'!D162</f>
        <v>52143.895533915893</v>
      </c>
      <c r="G162">
        <f>Portfolio!B$6*'CurrentPor-N10Unchanged'!E162</f>
        <v>3696.2945087936532</v>
      </c>
      <c r="H162">
        <f t="shared" si="6"/>
        <v>94468.621912018207</v>
      </c>
      <c r="I162">
        <f t="shared" si="7"/>
        <v>20.368757582764374</v>
      </c>
    </row>
    <row r="163" spans="1:9">
      <c r="A163" s="1">
        <v>39485</v>
      </c>
      <c r="B163">
        <f>(3/(1+('CurrentPor-N10Unchanged'!B163)/100)+103/POWER(1+('CurrentPor-N10Unchanged'!C163)/100,2))*100</f>
        <v>9707.5857774288397</v>
      </c>
      <c r="C163">
        <f>(3/(1+('CurrentPor-N10Unchanged'!B163+'CurrentPor-N10Unchanged'!F163)/100)+103/POWER(1+('CurrentPor-N10Unchanged'!C163+'CurrentPor-N10Unchanged'!F163)/100,2))*100</f>
        <v>9634.8303172663855</v>
      </c>
      <c r="D163">
        <f>(3/(1+('CurrentPor-N10Unchanged'!B163+'CurrentPor-N10Unchanged'!G163)/100)+103/POWER(1+('CurrentPor-N10Unchanged'!C163+'CurrentPor-N10Unchanged'!G163)/100,2))*100</f>
        <v>9593.2860701476184</v>
      </c>
      <c r="E163">
        <f>(3/(1+('CurrentPor-N10Unchanged'!B163+'CurrentPor-N10Unchanged'!H163)/100)+103/POWER(1+('CurrentPor-N10Unchanged'!C163+'CurrentPor-N10Unchanged'!H163)/100,2))*100</f>
        <v>9681.4257502605342</v>
      </c>
      <c r="F163">
        <f>Portfolio!B$5*'CurrentPor-N10Unchanged'!D163</f>
        <v>52143.895533915893</v>
      </c>
      <c r="G163">
        <f>Portfolio!B$6*'CurrentPor-N10Unchanged'!E163</f>
        <v>3696.2945087936532</v>
      </c>
      <c r="H163">
        <f t="shared" ref="H163:H187" si="8">SUM(B163:G163)</f>
        <v>94457.31795781292</v>
      </c>
      <c r="I163">
        <f t="shared" si="7"/>
        <v>15.599405812929035</v>
      </c>
    </row>
    <row r="164" spans="1:9">
      <c r="A164" s="1">
        <v>39486</v>
      </c>
      <c r="B164">
        <f>(3/(1+('CurrentPor-N10Unchanged'!B164)/100)+103/POWER(1+('CurrentPor-N10Unchanged'!C164)/100,2))*100</f>
        <v>9707.5857774288397</v>
      </c>
      <c r="C164">
        <f>(3/(1+('CurrentPor-N10Unchanged'!B164+'CurrentPor-N10Unchanged'!F164)/100)+103/POWER(1+('CurrentPor-N10Unchanged'!C164+'CurrentPor-N10Unchanged'!F164)/100,2))*100</f>
        <v>9634.8303172663855</v>
      </c>
      <c r="D164">
        <f>(3/(1+('CurrentPor-N10Unchanged'!B164+'CurrentPor-N10Unchanged'!G164)/100)+103/POWER(1+('CurrentPor-N10Unchanged'!C164+'CurrentPor-N10Unchanged'!G164)/100,2))*100</f>
        <v>9597.0295239138231</v>
      </c>
      <c r="E164">
        <f>(3/(1+('CurrentPor-N10Unchanged'!B164+'CurrentPor-N10Unchanged'!H164)/100)+103/POWER(1+('CurrentPor-N10Unchanged'!C164+'CurrentPor-N10Unchanged'!H164)/100,2))*100</f>
        <v>9677.7467427287811</v>
      </c>
      <c r="F164">
        <f>Portfolio!B$5*'CurrentPor-N10Unchanged'!D164</f>
        <v>52143.895533915893</v>
      </c>
      <c r="G164">
        <f>Portfolio!B$6*'CurrentPor-N10Unchanged'!E164</f>
        <v>3696.2945087936532</v>
      </c>
      <c r="H164">
        <f t="shared" si="8"/>
        <v>94457.382404047385</v>
      </c>
      <c r="I164">
        <f t="shared" si="7"/>
        <v>7.1278332457004581</v>
      </c>
    </row>
    <row r="165" spans="1:9">
      <c r="A165" s="1">
        <v>39489</v>
      </c>
      <c r="B165">
        <f>(3/(1+('CurrentPor-N10Unchanged'!B165)/100)+103/POWER(1+('CurrentPor-N10Unchanged'!C165)/100,2))*100</f>
        <v>9707.5857774288397</v>
      </c>
      <c r="C165">
        <f>(3/(1+('CurrentPor-N10Unchanged'!B165+'CurrentPor-N10Unchanged'!F165)/100)+103/POWER(1+('CurrentPor-N10Unchanged'!C165+'CurrentPor-N10Unchanged'!F165)/100,2))*100</f>
        <v>9634.8303172663855</v>
      </c>
      <c r="D165">
        <f>(3/(1+('CurrentPor-N10Unchanged'!B165+'CurrentPor-N10Unchanged'!G165)/100)+103/POWER(1+('CurrentPor-N10Unchanged'!C165+'CurrentPor-N10Unchanged'!G165)/100,2))*100</f>
        <v>9591.2353080564626</v>
      </c>
      <c r="E165">
        <f>(3/(1+('CurrentPor-N10Unchanged'!B165+'CurrentPor-N10Unchanged'!H165)/100)+103/POWER(1+('CurrentPor-N10Unchanged'!C165+'CurrentPor-N10Unchanged'!H165)/100,2))*100</f>
        <v>9678.3294139205445</v>
      </c>
      <c r="F165">
        <f>Portfolio!B$5*'CurrentPor-N10Unchanged'!D165</f>
        <v>52143.895533915893</v>
      </c>
      <c r="G165">
        <f>Portfolio!B$6*'CurrentPor-N10Unchanged'!E165</f>
        <v>3696.2945087936532</v>
      </c>
      <c r="H165">
        <f t="shared" si="8"/>
        <v>94452.170859381789</v>
      </c>
      <c r="I165">
        <f t="shared" si="7"/>
        <v>14.170912611705717</v>
      </c>
    </row>
    <row r="166" spans="1:9">
      <c r="A166" s="1">
        <v>39490</v>
      </c>
      <c r="B166">
        <f>(3/(1+('CurrentPor-N10Unchanged'!B166)/100)+103/POWER(1+('CurrentPor-N10Unchanged'!C166)/100,2))*100</f>
        <v>9707.5857774288397</v>
      </c>
      <c r="C166">
        <f>(3/(1+('CurrentPor-N10Unchanged'!B166+'CurrentPor-N10Unchanged'!F166)/100)+103/POWER(1+('CurrentPor-N10Unchanged'!C166+'CurrentPor-N10Unchanged'!F166)/100,2))*100</f>
        <v>9634.8303172663855</v>
      </c>
      <c r="D166">
        <f>(3/(1+('CurrentPor-N10Unchanged'!B166+'CurrentPor-N10Unchanged'!G166)/100)+103/POWER(1+('CurrentPor-N10Unchanged'!C166+'CurrentPor-N10Unchanged'!G166)/100,2))*100</f>
        <v>9603.818716326834</v>
      </c>
      <c r="E166">
        <f>(3/(1+('CurrentPor-N10Unchanged'!B166+'CurrentPor-N10Unchanged'!H166)/100)+103/POWER(1+('CurrentPor-N10Unchanged'!C166+'CurrentPor-N10Unchanged'!H166)/100,2))*100</f>
        <v>9679.8591821495302</v>
      </c>
      <c r="F166">
        <f>Portfolio!B$5*'CurrentPor-N10Unchanged'!D166</f>
        <v>52143.895533915893</v>
      </c>
      <c r="G166">
        <f>Portfolio!B$6*'CurrentPor-N10Unchanged'!E166</f>
        <v>3696.2945087936532</v>
      </c>
      <c r="H166">
        <f t="shared" si="8"/>
        <v>94466.284035881137</v>
      </c>
      <c r="I166">
        <f t="shared" si="7"/>
        <v>18.032988346327329</v>
      </c>
    </row>
    <row r="167" spans="1:9">
      <c r="A167" s="1">
        <v>39491</v>
      </c>
      <c r="B167">
        <f>(3/(1+('CurrentPor-N10Unchanged'!B167)/100)+103/POWER(1+('CurrentPor-N10Unchanged'!C167)/100,2))*100</f>
        <v>9707.5857774288397</v>
      </c>
      <c r="C167">
        <f>(3/(1+('CurrentPor-N10Unchanged'!B167+'CurrentPor-N10Unchanged'!F167)/100)+103/POWER(1+('CurrentPor-N10Unchanged'!C167+'CurrentPor-N10Unchanged'!F167)/100,2))*100</f>
        <v>9633.0220261504182</v>
      </c>
      <c r="D167">
        <f>(3/(1+('CurrentPor-N10Unchanged'!B167+'CurrentPor-N10Unchanged'!G167)/100)+103/POWER(1+('CurrentPor-N10Unchanged'!C167+'CurrentPor-N10Unchanged'!G167)/100,2))*100</f>
        <v>9601.2690624786501</v>
      </c>
      <c r="E167">
        <f>(3/(1+('CurrentPor-N10Unchanged'!B167+'CurrentPor-N10Unchanged'!H167)/100)+103/POWER(1+('CurrentPor-N10Unchanged'!C167+'CurrentPor-N10Unchanged'!H167)/100,2))*100</f>
        <v>9680.2416810069553</v>
      </c>
      <c r="F167">
        <f>Portfolio!B$5*'CurrentPor-N10Unchanged'!D167</f>
        <v>52143.895533915893</v>
      </c>
      <c r="G167">
        <f>Portfolio!B$6*'CurrentPor-N10Unchanged'!E167</f>
        <v>3696.2945087936532</v>
      </c>
      <c r="H167">
        <f t="shared" si="8"/>
        <v>94462.308589774417</v>
      </c>
      <c r="I167">
        <f t="shared" si="7"/>
        <v>12.032496640720638</v>
      </c>
    </row>
    <row r="168" spans="1:9">
      <c r="A168" s="1">
        <v>39492</v>
      </c>
      <c r="B168">
        <f>(3/(1+('CurrentPor-N10Unchanged'!B168)/100)+103/POWER(1+('CurrentPor-N10Unchanged'!C168)/100,2))*100</f>
        <v>9707.5857774288397</v>
      </c>
      <c r="C168">
        <f>(3/(1+('CurrentPor-N10Unchanged'!B168+'CurrentPor-N10Unchanged'!F168)/100)+103/POWER(1+('CurrentPor-N10Unchanged'!C168+'CurrentPor-N10Unchanged'!F168)/100,2))*100</f>
        <v>9640.2582771647722</v>
      </c>
      <c r="D168">
        <f>(3/(1+('CurrentPor-N10Unchanged'!B168+'CurrentPor-N10Unchanged'!G168)/100)+103/POWER(1+('CurrentPor-N10Unchanged'!C168+'CurrentPor-N10Unchanged'!G168)/100,2))*100</f>
        <v>9599.5328865609517</v>
      </c>
      <c r="E168">
        <f>(3/(1+('CurrentPor-N10Unchanged'!B168+'CurrentPor-N10Unchanged'!H168)/100)+103/POWER(1+('CurrentPor-N10Unchanged'!C168+'CurrentPor-N10Unchanged'!H168)/100,2))*100</f>
        <v>9675.9990479662356</v>
      </c>
      <c r="F168">
        <f>Portfolio!B$5*'CurrentPor-N10Unchanged'!D168</f>
        <v>52143.895533915893</v>
      </c>
      <c r="G168">
        <f>Portfolio!B$6*'CurrentPor-N10Unchanged'!E168</f>
        <v>3696.2945087936532</v>
      </c>
      <c r="H168">
        <f t="shared" si="8"/>
        <v>94463.566031830342</v>
      </c>
      <c r="I168">
        <f t="shared" si="7"/>
        <v>6.0826578156120377</v>
      </c>
    </row>
    <row r="169" spans="1:9">
      <c r="A169" s="1">
        <v>39493</v>
      </c>
      <c r="B169">
        <f>(3/(1+('CurrentPor-N10Unchanged'!B169)/100)+103/POWER(1+('CurrentPor-N10Unchanged'!C169)/100,2))*100</f>
        <v>9707.5857774288397</v>
      </c>
      <c r="C169">
        <f>(3/(1+('CurrentPor-N10Unchanged'!B169+'CurrentPor-N10Unchanged'!F169)/100)+103/POWER(1+('CurrentPor-N10Unchanged'!C169+'CurrentPor-N10Unchanged'!F169)/100,2))*100</f>
        <v>9642.0686266331541</v>
      </c>
      <c r="D169">
        <f>(3/(1+('CurrentPor-N10Unchanged'!B169+'CurrentPor-N10Unchanged'!G169)/100)+103/POWER(1+('CurrentPor-N10Unchanged'!C169+'CurrentPor-N10Unchanged'!G169)/100,2))*100</f>
        <v>9596.2856929428399</v>
      </c>
      <c r="E169">
        <f>(3/(1+('CurrentPor-N10Unchanged'!B169+'CurrentPor-N10Unchanged'!H169)/100)+103/POWER(1+('CurrentPor-N10Unchanged'!C169+'CurrentPor-N10Unchanged'!H169)/100,2))*100</f>
        <v>9672.5050890457296</v>
      </c>
      <c r="F169">
        <f>Portfolio!B$5*'CurrentPor-N10Unchanged'!D169</f>
        <v>52143.895533915893</v>
      </c>
      <c r="G169">
        <f>Portfolio!B$6*'CurrentPor-N10Unchanged'!E169</f>
        <v>3696.2945087936532</v>
      </c>
      <c r="H169">
        <f t="shared" si="8"/>
        <v>94458.635228760104</v>
      </c>
      <c r="I169">
        <f t="shared" si="7"/>
        <v>-12.890202046342893</v>
      </c>
    </row>
    <row r="170" spans="1:9">
      <c r="A170" s="1">
        <v>39496</v>
      </c>
      <c r="B170">
        <f>(3/(1+('CurrentPor-N10Unchanged'!B170)/100)+103/POWER(1+('CurrentPor-N10Unchanged'!C170)/100,2))*100</f>
        <v>9707.5857774288397</v>
      </c>
      <c r="C170">
        <f>(3/(1+('CurrentPor-N10Unchanged'!B170+'CurrentPor-N10Unchanged'!F170)/100)+103/POWER(1+('CurrentPor-N10Unchanged'!C170+'CurrentPor-N10Unchanged'!F170)/100,2))*100</f>
        <v>9645.6908709980435</v>
      </c>
      <c r="D170">
        <f>(3/(1+('CurrentPor-N10Unchanged'!B170+'CurrentPor-N10Unchanged'!G170)/100)+103/POWER(1+('CurrentPor-N10Unchanged'!C170+'CurrentPor-N10Unchanged'!G170)/100,2))*100</f>
        <v>9589.9931499623963</v>
      </c>
      <c r="E170">
        <f>(3/(1+('CurrentPor-N10Unchanged'!B170+'CurrentPor-N10Unchanged'!H170)/100)+103/POWER(1+('CurrentPor-N10Unchanged'!C170+'CurrentPor-N10Unchanged'!H170)/100,2))*100</f>
        <v>9674.0152636029943</v>
      </c>
      <c r="F170">
        <f>Portfolio!B$5*'CurrentPor-N10Unchanged'!D170</f>
        <v>52143.895533915893</v>
      </c>
      <c r="G170">
        <f>Portfolio!B$6*'CurrentPor-N10Unchanged'!E170</f>
        <v>3696.2945087936532</v>
      </c>
      <c r="H170">
        <f t="shared" si="8"/>
        <v>94457.475104701822</v>
      </c>
      <c r="I170">
        <f t="shared" si="7"/>
        <v>-13.478937634878093</v>
      </c>
    </row>
    <row r="171" spans="1:9">
      <c r="A171" s="1">
        <v>39497</v>
      </c>
      <c r="B171">
        <f>(3/(1+('CurrentPor-N10Unchanged'!B171)/100)+103/POWER(1+('CurrentPor-N10Unchanged'!C171)/100,2))*100</f>
        <v>9707.5857774288397</v>
      </c>
      <c r="C171">
        <f>(3/(1+('CurrentPor-N10Unchanged'!B171+'CurrentPor-N10Unchanged'!F171)/100)+103/POWER(1+('CurrentPor-N10Unchanged'!C171+'CurrentPor-N10Unchanged'!F171)/100,2))*100</f>
        <v>9647.5027662864559</v>
      </c>
      <c r="D171">
        <f>(3/(1+('CurrentPor-N10Unchanged'!B171+'CurrentPor-N10Unchanged'!G171)/100)+103/POWER(1+('CurrentPor-N10Unchanged'!C171+'CurrentPor-N10Unchanged'!G171)/100,2))*100</f>
        <v>9597.4343629947107</v>
      </c>
      <c r="E171">
        <f>(3/(1+('CurrentPor-N10Unchanged'!B171+'CurrentPor-N10Unchanged'!H171)/100)+103/POWER(1+('CurrentPor-N10Unchanged'!C171+'CurrentPor-N10Unchanged'!H171)/100,2))*100</f>
        <v>9674.3610174584901</v>
      </c>
      <c r="F171">
        <f>Portfolio!B$5*'CurrentPor-N10Unchanged'!D171</f>
        <v>52143.895533915893</v>
      </c>
      <c r="G171">
        <f>Portfolio!B$6*'CurrentPor-N10Unchanged'!E171</f>
        <v>3696.2945087936532</v>
      </c>
      <c r="H171">
        <f t="shared" si="8"/>
        <v>94467.073966878044</v>
      </c>
      <c r="I171">
        <f t="shared" si="7"/>
        <v>-5.3980023339827312</v>
      </c>
    </row>
    <row r="172" spans="1:9">
      <c r="A172" s="1">
        <v>39498</v>
      </c>
      <c r="B172">
        <f>(3/(1+('CurrentPor-N10Unchanged'!B172)/100)+103/POWER(1+('CurrentPor-N10Unchanged'!C172)/100,2))*100</f>
        <v>9707.5857774288397</v>
      </c>
      <c r="C172">
        <f>(3/(1+('CurrentPor-N10Unchanged'!B172+'CurrentPor-N10Unchanged'!F172)/100)+103/POWER(1+('CurrentPor-N10Unchanged'!C172+'CurrentPor-N10Unchanged'!F172)/100,2))*100</f>
        <v>9645.6908709980435</v>
      </c>
      <c r="D172">
        <f>(3/(1+('CurrentPor-N10Unchanged'!B172+'CurrentPor-N10Unchanged'!G172)/100)+103/POWER(1+('CurrentPor-N10Unchanged'!C172+'CurrentPor-N10Unchanged'!G172)/100,2))*100</f>
        <v>9588.0556703680959</v>
      </c>
      <c r="E172">
        <f>(3/(1+('CurrentPor-N10Unchanged'!B172+'CurrentPor-N10Unchanged'!H172)/100)+103/POWER(1+('CurrentPor-N10Unchanged'!C172+'CurrentPor-N10Unchanged'!H172)/100,2))*100</f>
        <v>9674.7431854966417</v>
      </c>
      <c r="F172">
        <f>Portfolio!B$5*'CurrentPor-N10Unchanged'!D172</f>
        <v>52143.895533915893</v>
      </c>
      <c r="G172">
        <f>Portfolio!B$6*'CurrentPor-N10Unchanged'!E172</f>
        <v>3696.2945087936532</v>
      </c>
      <c r="H172">
        <f t="shared" si="8"/>
        <v>94456.265547001167</v>
      </c>
      <c r="I172">
        <f t="shared" si="7"/>
        <v>-12.356365017039934</v>
      </c>
    </row>
    <row r="173" spans="1:9">
      <c r="A173" s="1">
        <v>39499</v>
      </c>
      <c r="B173">
        <f>(3/(1+('CurrentPor-N10Unchanged'!B173)/100)+103/POWER(1+('CurrentPor-N10Unchanged'!C173)/100,2))*100</f>
        <v>9707.5857774288397</v>
      </c>
      <c r="C173">
        <f>(3/(1+('CurrentPor-N10Unchanged'!B173+'CurrentPor-N10Unchanged'!F173)/100)+103/POWER(1+('CurrentPor-N10Unchanged'!C173+'CurrentPor-N10Unchanged'!F173)/100,2))*100</f>
        <v>9645.6908709980435</v>
      </c>
      <c r="D173">
        <f>(3/(1+('CurrentPor-N10Unchanged'!B173+'CurrentPor-N10Unchanged'!G173)/100)+103/POWER(1+('CurrentPor-N10Unchanged'!C173+'CurrentPor-N10Unchanged'!G173)/100,2))*100</f>
        <v>9601.5192982912249</v>
      </c>
      <c r="E173">
        <f>(3/(1+('CurrentPor-N10Unchanged'!B173+'CurrentPor-N10Unchanged'!H173)/100)+103/POWER(1+('CurrentPor-N10Unchanged'!C173+'CurrentPor-N10Unchanged'!H173)/100,2))*100</f>
        <v>9678.9485628995772</v>
      </c>
      <c r="F173">
        <f>Portfolio!B$5*'CurrentPor-N10Unchanged'!D173</f>
        <v>52143.895533915893</v>
      </c>
      <c r="G173">
        <f>Portfolio!B$6*'CurrentPor-N10Unchanged'!E173</f>
        <v>3696.2945087936532</v>
      </c>
      <c r="H173">
        <f t="shared" si="8"/>
        <v>94473.934552327235</v>
      </c>
      <c r="I173">
        <f t="shared" si="7"/>
        <v>16.616594514314784</v>
      </c>
    </row>
    <row r="174" spans="1:9">
      <c r="A174" s="1">
        <v>39500</v>
      </c>
      <c r="B174">
        <f>(3/(1+('CurrentPor-N10Unchanged'!B174)/100)+103/POWER(1+('CurrentPor-N10Unchanged'!C174)/100,2))*100</f>
        <v>9707.5857774288397</v>
      </c>
      <c r="C174">
        <f>(3/(1+('CurrentPor-N10Unchanged'!B174+'CurrentPor-N10Unchanged'!F174)/100)+103/POWER(1+('CurrentPor-N10Unchanged'!C174+'CurrentPor-N10Unchanged'!F174)/100,2))*100</f>
        <v>9647.5027662864559</v>
      </c>
      <c r="D174">
        <f>(3/(1+('CurrentPor-N10Unchanged'!B174+'CurrentPor-N10Unchanged'!G174)/100)+103/POWER(1+('CurrentPor-N10Unchanged'!C174+'CurrentPor-N10Unchanged'!G174)/100,2))*100</f>
        <v>9602.0150861927086</v>
      </c>
      <c r="E174">
        <f>(3/(1+('CurrentPor-N10Unchanged'!B174+'CurrentPor-N10Unchanged'!H174)/100)+103/POWER(1+('CurrentPor-N10Unchanged'!C174+'CurrentPor-N10Unchanged'!H174)/100,2))*100</f>
        <v>9678.4386715537785</v>
      </c>
      <c r="F174">
        <f>Portfolio!B$5*'CurrentPor-N10Unchanged'!D174</f>
        <v>52143.895533915893</v>
      </c>
      <c r="G174">
        <f>Portfolio!B$6*'CurrentPor-N10Unchanged'!E174</f>
        <v>3696.2945087936532</v>
      </c>
      <c r="H174">
        <f t="shared" si="8"/>
        <v>94475.732344171323</v>
      </c>
      <c r="I174">
        <f t="shared" si="7"/>
        <v>18.349940123938723</v>
      </c>
    </row>
    <row r="175" spans="1:9">
      <c r="A175" s="1">
        <v>39503</v>
      </c>
      <c r="B175">
        <f>(3/(1+('CurrentPor-N10Unchanged'!B175)/100)+103/POWER(1+('CurrentPor-N10Unchanged'!C175)/100,2))*100</f>
        <v>9707.5857774288397</v>
      </c>
      <c r="C175">
        <f>(3/(1+('CurrentPor-N10Unchanged'!B175+'CurrentPor-N10Unchanged'!F175)/100)+103/POWER(1+('CurrentPor-N10Unchanged'!C175+'CurrentPor-N10Unchanged'!F175)/100,2))*100</f>
        <v>9651.1281040556933</v>
      </c>
      <c r="D175">
        <f>(3/(1+('CurrentPor-N10Unchanged'!B175+'CurrentPor-N10Unchanged'!G175)/100)+103/POWER(1+('CurrentPor-N10Unchanged'!C175+'CurrentPor-N10Unchanged'!G175)/100,2))*100</f>
        <v>9604.4913975121763</v>
      </c>
      <c r="E175">
        <f>(3/(1+('CurrentPor-N10Unchanged'!B175+'CurrentPor-N10Unchanged'!H175)/100)+103/POWER(1+('CurrentPor-N10Unchanged'!C175+'CurrentPor-N10Unchanged'!H175)/100,2))*100</f>
        <v>9679.5313437128316</v>
      </c>
      <c r="F175">
        <f>Portfolio!B$5*'CurrentPor-N10Unchanged'!D175</f>
        <v>52143.895533915893</v>
      </c>
      <c r="G175">
        <f>Portfolio!B$6*'CurrentPor-N10Unchanged'!E175</f>
        <v>3696.2945087936532</v>
      </c>
      <c r="H175">
        <f t="shared" si="8"/>
        <v>94482.926665419072</v>
      </c>
      <c r="I175">
        <f t="shared" si="7"/>
        <v>30.755806037283037</v>
      </c>
    </row>
    <row r="176" spans="1:9">
      <c r="A176" s="1">
        <v>39504</v>
      </c>
      <c r="B176">
        <f>(3/(1+('CurrentPor-N10Unchanged'!B176)/100)+103/POWER(1+('CurrentPor-N10Unchanged'!C176)/100,2))*100</f>
        <v>9707.5857774288397</v>
      </c>
      <c r="C176">
        <f>(3/(1+('CurrentPor-N10Unchanged'!B176+'CurrentPor-N10Unchanged'!F176)/100)+103/POWER(1+('CurrentPor-N10Unchanged'!C176+'CurrentPor-N10Unchanged'!F176)/100,2))*100</f>
        <v>9649.3151772402762</v>
      </c>
      <c r="D176">
        <f>(3/(1+('CurrentPor-N10Unchanged'!B176+'CurrentPor-N10Unchanged'!G176)/100)+103/POWER(1+('CurrentPor-N10Unchanged'!C176+'CurrentPor-N10Unchanged'!G176)/100,2))*100</f>
        <v>9582.6105389378336</v>
      </c>
      <c r="E176">
        <f>(3/(1+('CurrentPor-N10Unchanged'!B176+'CurrentPor-N10Unchanged'!H176)/100)+103/POWER(1+('CurrentPor-N10Unchanged'!C176+'CurrentPor-N10Unchanged'!H176)/100,2))*100</f>
        <v>9680.1506074427598</v>
      </c>
      <c r="F176">
        <f>Portfolio!B$5*'CurrentPor-N10Unchanged'!D176</f>
        <v>52143.895533915893</v>
      </c>
      <c r="G176">
        <f>Portfolio!B$6*'CurrentPor-N10Unchanged'!E176</f>
        <v>3696.2945087936532</v>
      </c>
      <c r="H176">
        <f t="shared" si="8"/>
        <v>94459.852143759257</v>
      </c>
      <c r="I176">
        <f t="shared" si="7"/>
        <v>-6.4318921218800824</v>
      </c>
    </row>
    <row r="177" spans="1:9">
      <c r="A177" s="1">
        <v>39505</v>
      </c>
      <c r="B177">
        <f>(3/(1+('CurrentPor-N10Unchanged'!B177)/100)+103/POWER(1+('CurrentPor-N10Unchanged'!C177)/100,2))*100</f>
        <v>9707.5857774288397</v>
      </c>
      <c r="C177">
        <f>(3/(1+('CurrentPor-N10Unchanged'!B177+'CurrentPor-N10Unchanged'!F177)/100)+103/POWER(1+('CurrentPor-N10Unchanged'!C177+'CurrentPor-N10Unchanged'!F177)/100,2))*100</f>
        <v>9649.3151772402762</v>
      </c>
      <c r="D177">
        <f>(3/(1+('CurrentPor-N10Unchanged'!B177+'CurrentPor-N10Unchanged'!G177)/100)+103/POWER(1+('CurrentPor-N10Unchanged'!C177+'CurrentPor-N10Unchanged'!G177)/100,2))*100</f>
        <v>9615.4896586602463</v>
      </c>
      <c r="E177">
        <f>(3/(1+('CurrentPor-N10Unchanged'!B177+'CurrentPor-N10Unchanged'!H177)/100)+103/POWER(1+('CurrentPor-N10Unchanged'!C177+'CurrentPor-N10Unchanged'!H177)/100,2))*100</f>
        <v>9680.8063629512781</v>
      </c>
      <c r="F177">
        <f>Portfolio!B$5*'CurrentPor-N10Unchanged'!D177</f>
        <v>52143.895533915893</v>
      </c>
      <c r="G177">
        <f>Portfolio!B$6*'CurrentPor-N10Unchanged'!E177</f>
        <v>3696.2945087936532</v>
      </c>
      <c r="H177">
        <f t="shared" si="8"/>
        <v>94493.387018990179</v>
      </c>
      <c r="I177">
        <f t="shared" si="7"/>
        <v>31.078429215762299</v>
      </c>
    </row>
    <row r="178" spans="1:9">
      <c r="A178" s="1">
        <v>39506</v>
      </c>
      <c r="B178">
        <f>(3/(1+('CurrentPor-N10Unchanged'!B178)/100)+103/POWER(1+('CurrentPor-N10Unchanged'!C178)/100,2))*100</f>
        <v>9707.5857774288397</v>
      </c>
      <c r="C178">
        <f>(3/(1+('CurrentPor-N10Unchanged'!B178+'CurrentPor-N10Unchanged'!F178)/100)+103/POWER(1+('CurrentPor-N10Unchanged'!C178+'CurrentPor-N10Unchanged'!F178)/100,2))*100</f>
        <v>9651.1281040556933</v>
      </c>
      <c r="D178">
        <f>(3/(1+('CurrentPor-N10Unchanged'!B178+'CurrentPor-N10Unchanged'!G178)/100)+103/POWER(1+('CurrentPor-N10Unchanged'!C178+'CurrentPor-N10Unchanged'!G178)/100,2))*100</f>
        <v>9597.8964400579171</v>
      </c>
      <c r="E178">
        <f>(3/(1+('CurrentPor-N10Unchanged'!B178+'CurrentPor-N10Unchanged'!H178)/100)+103/POWER(1+('CurrentPor-N10Unchanged'!C178+'CurrentPor-N10Unchanged'!H178)/100,2))*100</f>
        <v>9680.788146177485</v>
      </c>
      <c r="F178">
        <f>Portfolio!B$5*'CurrentPor-N10Unchanged'!D178</f>
        <v>52143.895533915893</v>
      </c>
      <c r="G178">
        <f>Portfolio!B$6*'CurrentPor-N10Unchanged'!E178</f>
        <v>3696.2945087936532</v>
      </c>
      <c r="H178">
        <f t="shared" si="8"/>
        <v>94477.588510429487</v>
      </c>
      <c r="I178">
        <f t="shared" si="7"/>
        <v>14.022478599144961</v>
      </c>
    </row>
    <row r="179" spans="1:9">
      <c r="A179" s="1">
        <v>39507</v>
      </c>
      <c r="B179">
        <f>(3/(1+('CurrentPor-N10Unchanged'!B179)/100)+103/POWER(1+('CurrentPor-N10Unchanged'!C179)/100,2))*100</f>
        <v>9707.5857774288397</v>
      </c>
      <c r="C179">
        <f>(3/(1+('CurrentPor-N10Unchanged'!B179+'CurrentPor-N10Unchanged'!F179)/100)+103/POWER(1+('CurrentPor-N10Unchanged'!C179+'CurrentPor-N10Unchanged'!F179)/100,2))*100</f>
        <v>9652.9415469289834</v>
      </c>
      <c r="D179">
        <f>(3/(1+('CurrentPor-N10Unchanged'!B179+'CurrentPor-N10Unchanged'!G179)/100)+103/POWER(1+('CurrentPor-N10Unchanged'!C179+'CurrentPor-N10Unchanged'!G179)/100,2))*100</f>
        <v>9591.6438731449743</v>
      </c>
      <c r="E179">
        <f>(3/(1+('CurrentPor-N10Unchanged'!B179+'CurrentPor-N10Unchanged'!H179)/100)+103/POWER(1+('CurrentPor-N10Unchanged'!C179+'CurrentPor-N10Unchanged'!H179)/100,2))*100</f>
        <v>9682.9562582542785</v>
      </c>
      <c r="F179">
        <f>Portfolio!B$5*'CurrentPor-N10Unchanged'!D179</f>
        <v>52143.895533915893</v>
      </c>
      <c r="G179">
        <f>Portfolio!B$6*'CurrentPor-N10Unchanged'!E179</f>
        <v>3696.2945087936532</v>
      </c>
      <c r="H179">
        <f t="shared" si="8"/>
        <v>94475.317498466611</v>
      </c>
      <c r="I179">
        <f t="shared" si="7"/>
        <v>16.682269706507213</v>
      </c>
    </row>
    <row r="180" spans="1:9">
      <c r="A180" s="1">
        <v>39510</v>
      </c>
      <c r="B180">
        <f>(3/(1+('CurrentPor-N10Unchanged'!B180)/100)+103/POWER(1+('CurrentPor-N10Unchanged'!C180)/100,2))*100</f>
        <v>9707.5857774288397</v>
      </c>
      <c r="C180">
        <f>(3/(1+('CurrentPor-N10Unchanged'!B180+'CurrentPor-N10Unchanged'!F180)/100)+103/POWER(1+('CurrentPor-N10Unchanged'!C180+'CurrentPor-N10Unchanged'!F180)/100,2))*100</f>
        <v>9652.9415469289834</v>
      </c>
      <c r="D180">
        <f>(3/(1+('CurrentPor-N10Unchanged'!B180+'CurrentPor-N10Unchanged'!G180)/100)+103/POWER(1+('CurrentPor-N10Unchanged'!C180+'CurrentPor-N10Unchanged'!G180)/100,2))*100</f>
        <v>9602.6036785744218</v>
      </c>
      <c r="E180">
        <f>(3/(1+('CurrentPor-N10Unchanged'!B180+'CurrentPor-N10Unchanged'!H180)/100)+103/POWER(1+('CurrentPor-N10Unchanged'!C180+'CurrentPor-N10Unchanged'!H180)/100,2))*100</f>
        <v>9682.9562582542785</v>
      </c>
      <c r="F180">
        <f>Portfolio!B$5*'CurrentPor-N10Unchanged'!D180</f>
        <v>52143.895533915893</v>
      </c>
      <c r="G180">
        <f>Portfolio!B$6*'CurrentPor-N10Unchanged'!E180</f>
        <v>3696.2945087936532</v>
      </c>
      <c r="H180">
        <f t="shared" si="8"/>
        <v>94486.277303896059</v>
      </c>
      <c r="I180">
        <f t="shared" si="7"/>
        <v>28.802199194236891</v>
      </c>
    </row>
    <row r="181" spans="1:9">
      <c r="A181" s="1">
        <v>39511</v>
      </c>
      <c r="B181">
        <f>(3/(1+('CurrentPor-N10Unchanged'!B181)/100)+103/POWER(1+('CurrentPor-N10Unchanged'!C181)/100,2))*100</f>
        <v>9707.5857774288397</v>
      </c>
      <c r="C181">
        <f>(3/(1+('CurrentPor-N10Unchanged'!B181+'CurrentPor-N10Unchanged'!F181)/100)+103/POWER(1+('CurrentPor-N10Unchanged'!C181+'CurrentPor-N10Unchanged'!F181)/100,2))*100</f>
        <v>9652.9415469289834</v>
      </c>
      <c r="D181">
        <f>(3/(1+('CurrentPor-N10Unchanged'!B181+'CurrentPor-N10Unchanged'!G181)/100)+103/POWER(1+('CurrentPor-N10Unchanged'!C181+'CurrentPor-N10Unchanged'!G181)/100,2))*100</f>
        <v>9606.8862764337082</v>
      </c>
      <c r="E181">
        <f>(3/(1+('CurrentPor-N10Unchanged'!B181+'CurrentPor-N10Unchanged'!H181)/100)+103/POWER(1+('CurrentPor-N10Unchanged'!C181+'CurrentPor-N10Unchanged'!H181)/100,2))*100</f>
        <v>9683.4300615345237</v>
      </c>
      <c r="F181">
        <f>Portfolio!B$5*'CurrentPor-N10Unchanged'!D181</f>
        <v>52143.895533915893</v>
      </c>
      <c r="G181">
        <f>Portfolio!B$6*'CurrentPor-N10Unchanged'!E181</f>
        <v>3696.2945087936532</v>
      </c>
      <c r="H181">
        <f t="shared" si="8"/>
        <v>94491.033705035603</v>
      </c>
      <c r="I181">
        <f t="shared" si="7"/>
        <v>23.959738157558604</v>
      </c>
    </row>
    <row r="182" spans="1:9">
      <c r="A182" s="1">
        <v>39512</v>
      </c>
      <c r="B182">
        <f>(3/(1+('CurrentPor-N10Unchanged'!B182)/100)+103/POWER(1+('CurrentPor-N10Unchanged'!C182)/100,2))*100</f>
        <v>9707.5857774288397</v>
      </c>
      <c r="C182">
        <f>(3/(1+('CurrentPor-N10Unchanged'!B182+'CurrentPor-N10Unchanged'!F182)/100)+103/POWER(1+('CurrentPor-N10Unchanged'!C182+'CurrentPor-N10Unchanged'!F182)/100,2))*100</f>
        <v>9647.5027662864559</v>
      </c>
      <c r="D182">
        <f>(3/(1+('CurrentPor-N10Unchanged'!B182+'CurrentPor-N10Unchanged'!G182)/100)+103/POWER(1+('CurrentPor-N10Unchanged'!C182+'CurrentPor-N10Unchanged'!G182)/100,2))*100</f>
        <v>9600.5729960441913</v>
      </c>
      <c r="E182">
        <f>(3/(1+('CurrentPor-N10Unchanged'!B182+'CurrentPor-N10Unchanged'!H182)/100)+103/POWER(1+('CurrentPor-N10Unchanged'!C182+'CurrentPor-N10Unchanged'!H182)/100,2))*100</f>
        <v>9683.8492232794542</v>
      </c>
      <c r="F182">
        <f>Portfolio!B$5*'CurrentPor-N10Unchanged'!D182</f>
        <v>52143.895533915893</v>
      </c>
      <c r="G182">
        <f>Portfolio!B$6*'CurrentPor-N10Unchanged'!E182</f>
        <v>3696.2945087936532</v>
      </c>
      <c r="H182">
        <f t="shared" si="8"/>
        <v>94479.700805748493</v>
      </c>
      <c r="I182">
        <f t="shared" si="7"/>
        <v>23.435258747325861</v>
      </c>
    </row>
    <row r="183" spans="1:9">
      <c r="A183" s="1">
        <v>39513</v>
      </c>
      <c r="B183">
        <f>(3/(1+('CurrentPor-N10Unchanged'!B183)/100)+103/POWER(1+('CurrentPor-N10Unchanged'!C183)/100,2))*100</f>
        <v>9707.5857774288397</v>
      </c>
      <c r="C183">
        <f>(3/(1+('CurrentPor-N10Unchanged'!B183+'CurrentPor-N10Unchanged'!F183)/100)+103/POWER(1+('CurrentPor-N10Unchanged'!C183+'CurrentPor-N10Unchanged'!F183)/100,2))*100</f>
        <v>9649.3151772402762</v>
      </c>
      <c r="D183">
        <f>(3/(1+('CurrentPor-N10Unchanged'!B183+'CurrentPor-N10Unchanged'!G183)/100)+103/POWER(1+('CurrentPor-N10Unchanged'!C183+'CurrentPor-N10Unchanged'!G183)/100,2))*100</f>
        <v>9597.5780764416104</v>
      </c>
      <c r="E183">
        <f>(3/(1+('CurrentPor-N10Unchanged'!B183+'CurrentPor-N10Unchanged'!H183)/100)+103/POWER(1+('CurrentPor-N10Unchanged'!C183+'CurrentPor-N10Unchanged'!H183)/100,2))*100</f>
        <v>9682.755812656851</v>
      </c>
      <c r="F183">
        <f>Portfolio!B$5*'CurrentPor-N10Unchanged'!D183</f>
        <v>52143.895533915893</v>
      </c>
      <c r="G183">
        <f>Portfolio!B$6*'CurrentPor-N10Unchanged'!E183</f>
        <v>3696.2945087936532</v>
      </c>
      <c r="H183">
        <f t="shared" si="8"/>
        <v>94477.424886477122</v>
      </c>
      <c r="I183">
        <f t="shared" si="7"/>
        <v>3.4903341498866212</v>
      </c>
    </row>
    <row r="184" spans="1:9">
      <c r="A184" s="1">
        <v>39514</v>
      </c>
      <c r="B184">
        <f>(3/(1+('CurrentPor-N10Unchanged'!B184)/100)+103/POWER(1+('CurrentPor-N10Unchanged'!C184)/100,2))*100</f>
        <v>9707.5857774288397</v>
      </c>
      <c r="C184">
        <f>(3/(1+('CurrentPor-N10Unchanged'!B184+'CurrentPor-N10Unchanged'!F184)/100)+103/POWER(1+('CurrentPor-N10Unchanged'!C184+'CurrentPor-N10Unchanged'!F184)/100,2))*100</f>
        <v>9649.3151772402762</v>
      </c>
      <c r="D184">
        <f>(3/(1+('CurrentPor-N10Unchanged'!B184+'CurrentPor-N10Unchanged'!G184)/100)+103/POWER(1+('CurrentPor-N10Unchanged'!C184+'CurrentPor-N10Unchanged'!G184)/100,2))*100</f>
        <v>9605.658322180685</v>
      </c>
      <c r="E184">
        <f>(3/(1+('CurrentPor-N10Unchanged'!B184+'CurrentPor-N10Unchanged'!H184)/100)+103/POWER(1+('CurrentPor-N10Unchanged'!C184+'CurrentPor-N10Unchanged'!H184)/100,2))*100</f>
        <v>9683.0838165525784</v>
      </c>
      <c r="F184">
        <f>Portfolio!B$5*'CurrentPor-N10Unchanged'!D184</f>
        <v>52143.895533915893</v>
      </c>
      <c r="G184">
        <f>Portfolio!B$6*'CurrentPor-N10Unchanged'!E184</f>
        <v>3696.2945087936532</v>
      </c>
      <c r="H184">
        <f t="shared" si="8"/>
        <v>94485.833136111934</v>
      </c>
      <c r="I184">
        <f t="shared" si="7"/>
        <v>10.100791940611089</v>
      </c>
    </row>
    <row r="185" spans="1:9">
      <c r="A185" s="1">
        <v>39517</v>
      </c>
      <c r="B185">
        <f>(3/(1+('CurrentPor-N10Unchanged'!B185)/100)+103/POWER(1+('CurrentPor-N10Unchanged'!C185)/100,2))*100</f>
        <v>9707.5857774288397</v>
      </c>
      <c r="C185">
        <f>(3/(1+('CurrentPor-N10Unchanged'!B185+'CurrentPor-N10Unchanged'!F185)/100)+103/POWER(1+('CurrentPor-N10Unchanged'!C185+'CurrentPor-N10Unchanged'!F185)/100,2))*100</f>
        <v>9643.879491178941</v>
      </c>
      <c r="D185">
        <f>(3/(1+('CurrentPor-N10Unchanged'!B185+'CurrentPor-N10Unchanged'!G185)/100)+103/POWER(1+('CurrentPor-N10Unchanged'!C185+'CurrentPor-N10Unchanged'!G185)/100,2))*100</f>
        <v>9592.7074768612092</v>
      </c>
      <c r="E185">
        <f>(3/(1+('CurrentPor-N10Unchanged'!B185+'CurrentPor-N10Unchanged'!H185)/100)+103/POWER(1+('CurrentPor-N10Unchanged'!C185+'CurrentPor-N10Unchanged'!H185)/100,2))*100</f>
        <v>9684.8516803853108</v>
      </c>
      <c r="F185">
        <f>Portfolio!B$5*'CurrentPor-N10Unchanged'!D185</f>
        <v>52143.895533915893</v>
      </c>
      <c r="G185">
        <f>Portfolio!B$6*'CurrentPor-N10Unchanged'!E185</f>
        <v>3696.2945087936532</v>
      </c>
      <c r="H185">
        <f t="shared" si="8"/>
        <v>94469.214468563849</v>
      </c>
      <c r="I185">
        <f t="shared" si="7"/>
        <v>-13.712196855223738</v>
      </c>
    </row>
    <row r="186" spans="1:9">
      <c r="A186" s="1">
        <v>39518</v>
      </c>
      <c r="B186">
        <f>(3/(1+('CurrentPor-N10Unchanged'!B186)/100)+103/POWER(1+('CurrentPor-N10Unchanged'!C186)/100,2))*100</f>
        <v>9707.5857774288397</v>
      </c>
      <c r="C186">
        <f>(3/(1+('CurrentPor-N10Unchanged'!B186+'CurrentPor-N10Unchanged'!F186)/100)+103/POWER(1+('CurrentPor-N10Unchanged'!C186+'CurrentPor-N10Unchanged'!F186)/100,2))*100</f>
        <v>9645.6908709980435</v>
      </c>
      <c r="D186">
        <f>(3/(1+('CurrentPor-N10Unchanged'!B186+'CurrentPor-N10Unchanged'!G186)/100)+103/POWER(1+('CurrentPor-N10Unchanged'!C186+'CurrentPor-N10Unchanged'!G186)/100,2))*100</f>
        <v>9593.1008892286372</v>
      </c>
      <c r="E186">
        <f>(3/(1+('CurrentPor-N10Unchanged'!B186+'CurrentPor-N10Unchanged'!H186)/100)+103/POWER(1+('CurrentPor-N10Unchanged'!C186+'CurrentPor-N10Unchanged'!H186)/100,2))*100</f>
        <v>9684.9063638793396</v>
      </c>
      <c r="F186">
        <f>Portfolio!B$5*'CurrentPor-N10Unchanged'!D186</f>
        <v>52143.895533915893</v>
      </c>
      <c r="G186">
        <f>Portfolio!B$6*'CurrentPor-N10Unchanged'!E186</f>
        <v>3696.2945087936532</v>
      </c>
      <c r="H186">
        <f t="shared" si="8"/>
        <v>94471.473944244412</v>
      </c>
      <c r="I186">
        <f t="shared" si="7"/>
        <v>11.621800485154381</v>
      </c>
    </row>
    <row r="187" spans="1:9">
      <c r="A187" s="1">
        <v>39519</v>
      </c>
      <c r="B187">
        <f>(3/(1+('CurrentPor-N10Unchanged'!B187)/100)+103/POWER(1+('CurrentPor-N10Unchanged'!C187)/100,2))*100</f>
        <v>9707.5857774288397</v>
      </c>
      <c r="C187">
        <f>(3/(1+('CurrentPor-N10Unchanged'!B187+'CurrentPor-N10Unchanged'!F187)/100)+103/POWER(1+('CurrentPor-N10Unchanged'!C187+'CurrentPor-N10Unchanged'!F187)/100,2))*100</f>
        <v>9645.6908709980435</v>
      </c>
      <c r="D187">
        <f>(3/(1+('CurrentPor-N10Unchanged'!B187+'CurrentPor-N10Unchanged'!G187)/100)+103/POWER(1+('CurrentPor-N10Unchanged'!C187+'CurrentPor-N10Unchanged'!G187)/100,2))*100</f>
        <v>9598.7985397152024</v>
      </c>
      <c r="E187">
        <f>(3/(1+('CurrentPor-N10Unchanged'!B187+'CurrentPor-N10Unchanged'!H187)/100)+103/POWER(1+('CurrentPor-N10Unchanged'!C187+'CurrentPor-N10Unchanged'!H187)/100,2))*100</f>
        <v>9685.6902195630955</v>
      </c>
      <c r="F187">
        <f>Portfolio!B$5*'CurrentPor-N10Unchanged'!D187</f>
        <v>52143.895533915893</v>
      </c>
      <c r="G187">
        <f>Portfolio!B$6*'CurrentPor-N10Unchanged'!E187</f>
        <v>3696.2945087936532</v>
      </c>
      <c r="H187">
        <f t="shared" si="8"/>
        <v>94477.955450414738</v>
      </c>
      <c r="I187">
        <f t="shared" si="7"/>
        <v>-15.431568575440906</v>
      </c>
    </row>
    <row r="188" spans="1:9">
      <c r="A188" s="1">
        <v>39520</v>
      </c>
      <c r="B188">
        <f>(3/(1+('CurrentPor-N10Unchanged'!B188)/100)+103/POWER(1+('CurrentPor-N10Unchanged'!C188)/100,2))*100</f>
        <v>9707.5857774288397</v>
      </c>
      <c r="C188">
        <f>(3/(1+('CurrentPor-N10Unchanged'!B188+'CurrentPor-N10Unchanged'!F188)/100)+103/POWER(1+('CurrentPor-N10Unchanged'!C188+'CurrentPor-N10Unchanged'!F188)/100,2))*100</f>
        <v>9615.7805495236717</v>
      </c>
      <c r="D188">
        <f>(3/(1+('CurrentPor-N10Unchanged'!B188+'CurrentPor-N10Unchanged'!G188)/100)+103/POWER(1+('CurrentPor-N10Unchanged'!C188+'CurrentPor-N10Unchanged'!G188)/100,2))*100</f>
        <v>9590.1817309480939</v>
      </c>
      <c r="E188">
        <f>(3/(1+('CurrentPor-N10Unchanged'!B188+'CurrentPor-N10Unchanged'!H188)/100)+103/POWER(1+('CurrentPor-N10Unchanged'!C188+'CurrentPor-N10Unchanged'!H188)/100,2))*100</f>
        <v>9589.2580894582061</v>
      </c>
      <c r="F188">
        <f>Portfolio!B$5*'CurrentPor-N10Unchanged'!D188</f>
        <v>52143.895533915893</v>
      </c>
      <c r="G188">
        <f>Portfolio!B$6*'CurrentPor-N10Unchanged'!E188</f>
        <v>3696.2945087936532</v>
      </c>
      <c r="H188">
        <f t="shared" ref="H188:H251" si="9">SUM(B188:G188)</f>
        <v>94342.99619006837</v>
      </c>
      <c r="I188">
        <f t="shared" ref="I188:I251" si="10">H188-H178</f>
        <v>-134.59232036111644</v>
      </c>
    </row>
    <row r="189" spans="1:9">
      <c r="A189" s="1">
        <v>39521</v>
      </c>
      <c r="B189">
        <f>(3/(1+('CurrentPor-N10Unchanged'!B189)/100)+103/POWER(1+('CurrentPor-N10Unchanged'!C189)/100,2))*100</f>
        <v>9707.5857774288397</v>
      </c>
      <c r="C189">
        <f>(3/(1+('CurrentPor-N10Unchanged'!B189+'CurrentPor-N10Unchanged'!F189)/100)+103/POWER(1+('CurrentPor-N10Unchanged'!C189+'CurrentPor-N10Unchanged'!F189)/100,2))*100</f>
        <v>9620.9078823508898</v>
      </c>
      <c r="D189">
        <f>(3/(1+('CurrentPor-N10Unchanged'!B189+'CurrentPor-N10Unchanged'!G189)/100)+103/POWER(1+('CurrentPor-N10Unchanged'!C189+'CurrentPor-N10Unchanged'!G189)/100,2))*100</f>
        <v>9607.9960403492314</v>
      </c>
      <c r="E189">
        <f>(3/(1+('CurrentPor-N10Unchanged'!B189+'CurrentPor-N10Unchanged'!H189)/100)+103/POWER(1+('CurrentPor-N10Unchanged'!C189+'CurrentPor-N10Unchanged'!H189)/100,2))*100</f>
        <v>9597.6060240066054</v>
      </c>
      <c r="F189">
        <f>Portfolio!B$5*'CurrentPor-N10Unchanged'!D189</f>
        <v>52143.895533915893</v>
      </c>
      <c r="G189">
        <f>Portfolio!B$6*'CurrentPor-N10Unchanged'!E189</f>
        <v>3696.2945087936532</v>
      </c>
      <c r="H189">
        <f t="shared" si="9"/>
        <v>94374.285766845103</v>
      </c>
      <c r="I189">
        <f t="shared" si="10"/>
        <v>-101.03173162150779</v>
      </c>
    </row>
    <row r="190" spans="1:9">
      <c r="A190" s="1">
        <v>39524</v>
      </c>
      <c r="B190">
        <f>(3/(1+('CurrentPor-N10Unchanged'!B190)/100)+103/POWER(1+('CurrentPor-N10Unchanged'!C190)/100,2))*100</f>
        <v>9707.5857774288397</v>
      </c>
      <c r="C190">
        <f>(3/(1+('CurrentPor-N10Unchanged'!B190+'CurrentPor-N10Unchanged'!F190)/100)+103/POWER(1+('CurrentPor-N10Unchanged'!C190+'CurrentPor-N10Unchanged'!F190)/100,2))*100</f>
        <v>9630.2502994429942</v>
      </c>
      <c r="D190">
        <f>(3/(1+('CurrentPor-N10Unchanged'!B190+'CurrentPor-N10Unchanged'!G190)/100)+103/POWER(1+('CurrentPor-N10Unchanged'!C190+'CurrentPor-N10Unchanged'!G190)/100,2))*100</f>
        <v>9621.6701289741068</v>
      </c>
      <c r="E190">
        <f>(3/(1+('CurrentPor-N10Unchanged'!B190+'CurrentPor-N10Unchanged'!H190)/100)+103/POWER(1+('CurrentPor-N10Unchanged'!C190+'CurrentPor-N10Unchanged'!H190)/100,2))*100</f>
        <v>9597.8361216698795</v>
      </c>
      <c r="F190">
        <f>Portfolio!B$5*'CurrentPor-N10Unchanged'!D190</f>
        <v>52143.895533915893</v>
      </c>
      <c r="G190">
        <f>Portfolio!B$6*'CurrentPor-N10Unchanged'!E190</f>
        <v>3696.2945087936532</v>
      </c>
      <c r="H190">
        <f t="shared" si="9"/>
        <v>94397.532370225366</v>
      </c>
      <c r="I190">
        <f t="shared" si="10"/>
        <v>-88.744933670692262</v>
      </c>
    </row>
    <row r="191" spans="1:9">
      <c r="A191" s="1">
        <v>39525</v>
      </c>
      <c r="B191">
        <f>(3/(1+('CurrentPor-N10Unchanged'!B191)/100)+103/POWER(1+('CurrentPor-N10Unchanged'!C191)/100,2))*100</f>
        <v>9707.5857774288397</v>
      </c>
      <c r="C191">
        <f>(3/(1+('CurrentPor-N10Unchanged'!B191+'CurrentPor-N10Unchanged'!F191)/100)+103/POWER(1+('CurrentPor-N10Unchanged'!C191+'CurrentPor-N10Unchanged'!F191)/100,2))*100</f>
        <v>9622.0915448849573</v>
      </c>
      <c r="D191">
        <f>(3/(1+('CurrentPor-N10Unchanged'!B191+'CurrentPor-N10Unchanged'!G191)/100)+103/POWER(1+('CurrentPor-N10Unchanged'!C191+'CurrentPor-N10Unchanged'!G191)/100,2))*100</f>
        <v>9586.9481289768737</v>
      </c>
      <c r="E191">
        <f>(3/(1+('CurrentPor-N10Unchanged'!B191+'CurrentPor-N10Unchanged'!H191)/100)+103/POWER(1+('CurrentPor-N10Unchanged'!C191+'CurrentPor-N10Unchanged'!H191)/100,2))*100</f>
        <v>9579.5719024089885</v>
      </c>
      <c r="F191">
        <f>Portfolio!B$5*'CurrentPor-N10Unchanged'!D191</f>
        <v>52143.895533915893</v>
      </c>
      <c r="G191">
        <f>Portfolio!B$6*'CurrentPor-N10Unchanged'!E191</f>
        <v>3696.2945087936532</v>
      </c>
      <c r="H191">
        <f t="shared" si="9"/>
        <v>94336.387396409205</v>
      </c>
      <c r="I191">
        <f t="shared" si="10"/>
        <v>-154.64630862639751</v>
      </c>
    </row>
    <row r="192" spans="1:9">
      <c r="A192" s="1">
        <v>39526</v>
      </c>
      <c r="B192">
        <f>(3/(1+('CurrentPor-N10Unchanged'!B192)/100)+103/POWER(1+('CurrentPor-N10Unchanged'!C192)/100,2))*100</f>
        <v>9707.5857774288397</v>
      </c>
      <c r="C192">
        <f>(3/(1+('CurrentPor-N10Unchanged'!B192+'CurrentPor-N10Unchanged'!F192)/100)+103/POWER(1+('CurrentPor-N10Unchanged'!C192+'CurrentPor-N10Unchanged'!F192)/100,2))*100</f>
        <v>9604.8777910313256</v>
      </c>
      <c r="D192">
        <f>(3/(1+('CurrentPor-N10Unchanged'!B192+'CurrentPor-N10Unchanged'!G192)/100)+103/POWER(1+('CurrentPor-N10Unchanged'!C192+'CurrentPor-N10Unchanged'!G192)/100,2))*100</f>
        <v>9594.7333797965803</v>
      </c>
      <c r="E192">
        <f>(3/(1+('CurrentPor-N10Unchanged'!B192+'CurrentPor-N10Unchanged'!H192)/100)+103/POWER(1+('CurrentPor-N10Unchanged'!C192+'CurrentPor-N10Unchanged'!H192)/100,2))*100</f>
        <v>9580.9411701051649</v>
      </c>
      <c r="F192">
        <f>Portfolio!B$5*'CurrentPor-N10Unchanged'!D192</f>
        <v>52143.895533915893</v>
      </c>
      <c r="G192">
        <f>Portfolio!B$6*'CurrentPor-N10Unchanged'!E192</f>
        <v>3696.2945087936532</v>
      </c>
      <c r="H192">
        <f t="shared" si="9"/>
        <v>94328.328161071462</v>
      </c>
      <c r="I192">
        <f t="shared" si="10"/>
        <v>-151.37264467703062</v>
      </c>
    </row>
    <row r="193" spans="1:9">
      <c r="A193" s="1">
        <v>39527</v>
      </c>
      <c r="B193">
        <f>(3/(1+('CurrentPor-N10Unchanged'!B193)/100)+103/POWER(1+('CurrentPor-N10Unchanged'!C193)/100,2))*100</f>
        <v>9707.5857774288397</v>
      </c>
      <c r="C193">
        <f>(3/(1+('CurrentPor-N10Unchanged'!B193+'CurrentPor-N10Unchanged'!F193)/100)+103/POWER(1+('CurrentPor-N10Unchanged'!C193+'CurrentPor-N10Unchanged'!F193)/100,2))*100</f>
        <v>9618.4941170887578</v>
      </c>
      <c r="D193">
        <f>(3/(1+('CurrentPor-N10Unchanged'!B193+'CurrentPor-N10Unchanged'!G193)/100)+103/POWER(1+('CurrentPor-N10Unchanged'!C193+'CurrentPor-N10Unchanged'!G193)/100,2))*100</f>
        <v>9599.05985436841</v>
      </c>
      <c r="E193">
        <f>(3/(1+('CurrentPor-N10Unchanged'!B193+'CurrentPor-N10Unchanged'!H193)/100)+103/POWER(1+('CurrentPor-N10Unchanged'!C193+'CurrentPor-N10Unchanged'!H193)/100,2))*100</f>
        <v>9566.9783808950415</v>
      </c>
      <c r="F193">
        <f>Portfolio!B$5*'CurrentPor-N10Unchanged'!D193</f>
        <v>52143.895533915893</v>
      </c>
      <c r="G193">
        <f>Portfolio!B$6*'CurrentPor-N10Unchanged'!E193</f>
        <v>3696.2945087936532</v>
      </c>
      <c r="H193">
        <f t="shared" si="9"/>
        <v>94332.308172490593</v>
      </c>
      <c r="I193">
        <f t="shared" si="10"/>
        <v>-145.11671398652834</v>
      </c>
    </row>
    <row r="194" spans="1:9">
      <c r="A194" s="1">
        <v>39528</v>
      </c>
      <c r="B194">
        <f>(3/(1+('CurrentPor-N10Unchanged'!B194)/100)+103/POWER(1+('CurrentPor-N10Unchanged'!C194)/100,2))*100</f>
        <v>9707.5857774288397</v>
      </c>
      <c r="C194">
        <f>(3/(1+('CurrentPor-N10Unchanged'!B194+'CurrentPor-N10Unchanged'!F194)/100)+103/POWER(1+('CurrentPor-N10Unchanged'!C194+'CurrentPor-N10Unchanged'!F194)/100,2))*100</f>
        <v>9618.6530191148013</v>
      </c>
      <c r="D194">
        <f>(3/(1+('CurrentPor-N10Unchanged'!B194+'CurrentPor-N10Unchanged'!G194)/100)+103/POWER(1+('CurrentPor-N10Unchanged'!C194+'CurrentPor-N10Unchanged'!G194)/100,2))*100</f>
        <v>9590.4055045641071</v>
      </c>
      <c r="E194">
        <f>(3/(1+('CurrentPor-N10Unchanged'!B194+'CurrentPor-N10Unchanged'!H194)/100)+103/POWER(1+('CurrentPor-N10Unchanged'!C194+'CurrentPor-N10Unchanged'!H194)/100,2))*100</f>
        <v>9595.1066468859244</v>
      </c>
      <c r="F194">
        <f>Portfolio!B$5*'CurrentPor-N10Unchanged'!D194</f>
        <v>52143.895533915893</v>
      </c>
      <c r="G194">
        <f>Portfolio!B$6*'CurrentPor-N10Unchanged'!E194</f>
        <v>3696.2945087936532</v>
      </c>
      <c r="H194">
        <f t="shared" si="9"/>
        <v>94351.94099070321</v>
      </c>
      <c r="I194">
        <f t="shared" si="10"/>
        <v>-133.8921454087249</v>
      </c>
    </row>
    <row r="195" spans="1:9">
      <c r="A195" s="1">
        <v>39531</v>
      </c>
      <c r="B195">
        <f>(3/(1+('CurrentPor-N10Unchanged'!B195)/100)+103/POWER(1+('CurrentPor-N10Unchanged'!C195)/100,2))*100</f>
        <v>9707.5857774288397</v>
      </c>
      <c r="C195">
        <f>(3/(1+('CurrentPor-N10Unchanged'!B195+'CurrentPor-N10Unchanged'!F195)/100)+103/POWER(1+('CurrentPor-N10Unchanged'!C195+'CurrentPor-N10Unchanged'!F195)/100,2))*100</f>
        <v>9616.6602475254622</v>
      </c>
      <c r="D195">
        <f>(3/(1+('CurrentPor-N10Unchanged'!B195+'CurrentPor-N10Unchanged'!G195)/100)+103/POWER(1+('CurrentPor-N10Unchanged'!C195+'CurrentPor-N10Unchanged'!G195)/100,2))*100</f>
        <v>9593.5253254041691</v>
      </c>
      <c r="E195">
        <f>(3/(1+('CurrentPor-N10Unchanged'!B195+'CurrentPor-N10Unchanged'!H195)/100)+103/POWER(1+('CurrentPor-N10Unchanged'!C195+'CurrentPor-N10Unchanged'!H195)/100,2))*100</f>
        <v>9597.8818766610057</v>
      </c>
      <c r="F195">
        <f>Portfolio!B$5*'CurrentPor-N10Unchanged'!D195</f>
        <v>52143.895533915893</v>
      </c>
      <c r="G195">
        <f>Portfolio!B$6*'CurrentPor-N10Unchanged'!E195</f>
        <v>3696.2945087936532</v>
      </c>
      <c r="H195">
        <f t="shared" si="9"/>
        <v>94355.843269729026</v>
      </c>
      <c r="I195">
        <f t="shared" si="10"/>
        <v>-113.37119883482228</v>
      </c>
    </row>
    <row r="196" spans="1:9">
      <c r="A196" s="1">
        <v>39532</v>
      </c>
      <c r="B196">
        <f>(3/(1+('CurrentPor-N10Unchanged'!B196)/100)+103/POWER(1+('CurrentPor-N10Unchanged'!C196)/100,2))*100</f>
        <v>9707.5857774288397</v>
      </c>
      <c r="C196">
        <f>(3/(1+('CurrentPor-N10Unchanged'!B196+'CurrentPor-N10Unchanged'!F196)/100)+103/POWER(1+('CurrentPor-N10Unchanged'!C196+'CurrentPor-N10Unchanged'!F196)/100,2))*100</f>
        <v>9618.2678044066288</v>
      </c>
      <c r="D196">
        <f>(3/(1+('CurrentPor-N10Unchanged'!B196+'CurrentPor-N10Unchanged'!G196)/100)+103/POWER(1+('CurrentPor-N10Unchanged'!C196+'CurrentPor-N10Unchanged'!G196)/100,2))*100</f>
        <v>9607.3842468240164</v>
      </c>
      <c r="E196">
        <f>(3/(1+('CurrentPor-N10Unchanged'!B196+'CurrentPor-N10Unchanged'!H196)/100)+103/POWER(1+('CurrentPor-N10Unchanged'!C196+'CurrentPor-N10Unchanged'!H196)/100,2))*100</f>
        <v>9593.512268056651</v>
      </c>
      <c r="F196">
        <f>Portfolio!B$5*'CurrentPor-N10Unchanged'!D196</f>
        <v>52143.895533915893</v>
      </c>
      <c r="G196">
        <f>Portfolio!B$6*'CurrentPor-N10Unchanged'!E196</f>
        <v>3696.2945087936532</v>
      </c>
      <c r="H196">
        <f t="shared" si="9"/>
        <v>94366.940139425686</v>
      </c>
      <c r="I196">
        <f t="shared" si="10"/>
        <v>-104.53380481872591</v>
      </c>
    </row>
    <row r="197" spans="1:9">
      <c r="A197" s="1">
        <v>39533</v>
      </c>
      <c r="B197">
        <f>(3/(1+('CurrentPor-N10Unchanged'!B197)/100)+103/POWER(1+('CurrentPor-N10Unchanged'!C197)/100,2))*100</f>
        <v>9707.5857774288397</v>
      </c>
      <c r="C197">
        <f>(3/(1+('CurrentPor-N10Unchanged'!B197+'CurrentPor-N10Unchanged'!F197)/100)+103/POWER(1+('CurrentPor-N10Unchanged'!C197+'CurrentPor-N10Unchanged'!F197)/100,2))*100</f>
        <v>9605.5362628314106</v>
      </c>
      <c r="D197">
        <f>(3/(1+('CurrentPor-N10Unchanged'!B197+'CurrentPor-N10Unchanged'!G197)/100)+103/POWER(1+('CurrentPor-N10Unchanged'!C197+'CurrentPor-N10Unchanged'!G197)/100,2))*100</f>
        <v>9594.2827526639267</v>
      </c>
      <c r="E197">
        <f>(3/(1+('CurrentPor-N10Unchanged'!B197+'CurrentPor-N10Unchanged'!H197)/100)+103/POWER(1+('CurrentPor-N10Unchanged'!C197+'CurrentPor-N10Unchanged'!H197)/100,2))*100</f>
        <v>9605.8240799477662</v>
      </c>
      <c r="F197">
        <f>Portfolio!B$5*'CurrentPor-N10Unchanged'!D197</f>
        <v>52143.895533915893</v>
      </c>
      <c r="G197">
        <f>Portfolio!B$6*'CurrentPor-N10Unchanged'!E197</f>
        <v>3696.2945087936532</v>
      </c>
      <c r="H197">
        <f t="shared" si="9"/>
        <v>94353.418915581482</v>
      </c>
      <c r="I197">
        <f t="shared" si="10"/>
        <v>-124.53653483325616</v>
      </c>
    </row>
    <row r="198" spans="1:9">
      <c r="A198" s="1">
        <v>39534</v>
      </c>
      <c r="B198">
        <f>(3/(1+('CurrentPor-N10Unchanged'!B198)/100)+103/POWER(1+('CurrentPor-N10Unchanged'!C198)/100,2))*100</f>
        <v>9707.5857774288397</v>
      </c>
      <c r="C198">
        <f>(3/(1+('CurrentPor-N10Unchanged'!B198+'CurrentPor-N10Unchanged'!F198)/100)+103/POWER(1+('CurrentPor-N10Unchanged'!C198+'CurrentPor-N10Unchanged'!F198)/100,2))*100</f>
        <v>9602.9170972186002</v>
      </c>
      <c r="D198">
        <f>(3/(1+('CurrentPor-N10Unchanged'!B198+'CurrentPor-N10Unchanged'!G198)/100)+103/POWER(1+('CurrentPor-N10Unchanged'!C198+'CurrentPor-N10Unchanged'!G198)/100,2))*100</f>
        <v>9605.4231600387629</v>
      </c>
      <c r="E198">
        <f>(3/(1+('CurrentPor-N10Unchanged'!B198+'CurrentPor-N10Unchanged'!H198)/100)+103/POWER(1+('CurrentPor-N10Unchanged'!C198+'CurrentPor-N10Unchanged'!H198)/100,2))*100</f>
        <v>9574.2395176244208</v>
      </c>
      <c r="F198">
        <f>Portfolio!B$5*'CurrentPor-N10Unchanged'!D198</f>
        <v>52143.895533915893</v>
      </c>
      <c r="G198">
        <f>Portfolio!B$6*'CurrentPor-N10Unchanged'!E198</f>
        <v>3696.2945087936532</v>
      </c>
      <c r="H198">
        <f t="shared" si="9"/>
        <v>94330.35559502017</v>
      </c>
      <c r="I198">
        <f t="shared" si="10"/>
        <v>-12.640595048200339</v>
      </c>
    </row>
    <row r="199" spans="1:9">
      <c r="A199" s="1">
        <v>39535</v>
      </c>
      <c r="B199">
        <f>(3/(1+('CurrentPor-N10Unchanged'!B199)/100)+103/POWER(1+('CurrentPor-N10Unchanged'!C199)/100,2))*100</f>
        <v>9707.5857774288397</v>
      </c>
      <c r="C199">
        <f>(3/(1+('CurrentPor-N10Unchanged'!B199+'CurrentPor-N10Unchanged'!F199)/100)+103/POWER(1+('CurrentPor-N10Unchanged'!C199+'CurrentPor-N10Unchanged'!F199)/100,2))*100</f>
        <v>9618.4272731057499</v>
      </c>
      <c r="D199">
        <f>(3/(1+('CurrentPor-N10Unchanged'!B199+'CurrentPor-N10Unchanged'!G199)/100)+103/POWER(1+('CurrentPor-N10Unchanged'!C199+'CurrentPor-N10Unchanged'!G199)/100,2))*100</f>
        <v>9600.4432844289277</v>
      </c>
      <c r="E199">
        <f>(3/(1+('CurrentPor-N10Unchanged'!B199+'CurrentPor-N10Unchanged'!H199)/100)+103/POWER(1+('CurrentPor-N10Unchanged'!C199+'CurrentPor-N10Unchanged'!H199)/100,2))*100</f>
        <v>9604.3289785749912</v>
      </c>
      <c r="F199">
        <f>Portfolio!B$5*'CurrentPor-N10Unchanged'!D199</f>
        <v>52143.895533915893</v>
      </c>
      <c r="G199">
        <f>Portfolio!B$6*'CurrentPor-N10Unchanged'!E199</f>
        <v>3696.2945087936532</v>
      </c>
      <c r="H199">
        <f t="shared" si="9"/>
        <v>94370.975356248062</v>
      </c>
      <c r="I199">
        <f t="shared" si="10"/>
        <v>-3.3104105970414821</v>
      </c>
    </row>
    <row r="200" spans="1:9">
      <c r="A200" s="1">
        <v>39538</v>
      </c>
      <c r="B200">
        <f>(3/(1+('CurrentPor-N10Unchanged'!B200)/100)+103/POWER(1+('CurrentPor-N10Unchanged'!C200)/100,2))*100</f>
        <v>9707.5857774288397</v>
      </c>
      <c r="C200">
        <f>(3/(1+('CurrentPor-N10Unchanged'!B200+'CurrentPor-N10Unchanged'!F200)/100)+103/POWER(1+('CurrentPor-N10Unchanged'!C200+'CurrentPor-N10Unchanged'!F200)/100,2))*100</f>
        <v>9607.2964471079758</v>
      </c>
      <c r="D200">
        <f>(3/(1+('CurrentPor-N10Unchanged'!B200+'CurrentPor-N10Unchanged'!G200)/100)+103/POWER(1+('CurrentPor-N10Unchanged'!C200+'CurrentPor-N10Unchanged'!G200)/100,2))*100</f>
        <v>9591.3128444723789</v>
      </c>
      <c r="E200">
        <f>(3/(1+('CurrentPor-N10Unchanged'!B200+'CurrentPor-N10Unchanged'!H200)/100)+103/POWER(1+('CurrentPor-N10Unchanged'!C200+'CurrentPor-N10Unchanged'!H200)/100,2))*100</f>
        <v>9584.0197129333137</v>
      </c>
      <c r="F200">
        <f>Portfolio!B$5*'CurrentPor-N10Unchanged'!D200</f>
        <v>52143.895533915893</v>
      </c>
      <c r="G200">
        <f>Portfolio!B$6*'CurrentPor-N10Unchanged'!E200</f>
        <v>3696.2945087936532</v>
      </c>
      <c r="H200">
        <f t="shared" si="9"/>
        <v>94330.40482465204</v>
      </c>
      <c r="I200">
        <f t="shared" si="10"/>
        <v>-67.127545573326643</v>
      </c>
    </row>
    <row r="201" spans="1:9">
      <c r="A201" s="1">
        <v>39539</v>
      </c>
      <c r="B201">
        <f>(3/(1+('CurrentPor-N10Unchanged'!B201)/100)+103/POWER(1+('CurrentPor-N10Unchanged'!C201)/100,2))*100</f>
        <v>9707.5857774288397</v>
      </c>
      <c r="C201">
        <f>(3/(1+('CurrentPor-N10Unchanged'!B201+'CurrentPor-N10Unchanged'!F201)/100)+103/POWER(1+('CurrentPor-N10Unchanged'!C201+'CurrentPor-N10Unchanged'!F201)/100,2))*100</f>
        <v>9611.9652374203906</v>
      </c>
      <c r="D201">
        <f>(3/(1+('CurrentPor-N10Unchanged'!B201+'CurrentPor-N10Unchanged'!G201)/100)+103/POWER(1+('CurrentPor-N10Unchanged'!C201+'CurrentPor-N10Unchanged'!G201)/100,2))*100</f>
        <v>9601.9283451545634</v>
      </c>
      <c r="E201">
        <f>(3/(1+('CurrentPor-N10Unchanged'!B201+'CurrentPor-N10Unchanged'!H201)/100)+103/POWER(1+('CurrentPor-N10Unchanged'!C201+'CurrentPor-N10Unchanged'!H201)/100,2))*100</f>
        <v>9596.2826920747411</v>
      </c>
      <c r="F201">
        <f>Portfolio!B$5*'CurrentPor-N10Unchanged'!D201</f>
        <v>52143.895533915893</v>
      </c>
      <c r="G201">
        <f>Portfolio!B$6*'CurrentPor-N10Unchanged'!E201</f>
        <v>3696.2945087936532</v>
      </c>
      <c r="H201">
        <f t="shared" si="9"/>
        <v>94357.952094788081</v>
      </c>
      <c r="I201">
        <f t="shared" si="10"/>
        <v>21.564698378875619</v>
      </c>
    </row>
    <row r="202" spans="1:9">
      <c r="A202" s="1">
        <v>39540</v>
      </c>
      <c r="B202">
        <f>(3/(1+('CurrentPor-N10Unchanged'!B202)/100)+103/POWER(1+('CurrentPor-N10Unchanged'!C202)/100,2))*100</f>
        <v>9707.5857774288397</v>
      </c>
      <c r="C202">
        <f>(3/(1+('CurrentPor-N10Unchanged'!B202+'CurrentPor-N10Unchanged'!F202)/100)+103/POWER(1+('CurrentPor-N10Unchanged'!C202+'CurrentPor-N10Unchanged'!F202)/100,2))*100</f>
        <v>9612.4899112358598</v>
      </c>
      <c r="D202">
        <f>(3/(1+('CurrentPor-N10Unchanged'!B202+'CurrentPor-N10Unchanged'!G202)/100)+103/POWER(1+('CurrentPor-N10Unchanged'!C202+'CurrentPor-N10Unchanged'!G202)/100,2))*100</f>
        <v>9594.2588089714263</v>
      </c>
      <c r="E202">
        <f>(3/(1+('CurrentPor-N10Unchanged'!B202+'CurrentPor-N10Unchanged'!H202)/100)+103/POWER(1+('CurrentPor-N10Unchanged'!C202+'CurrentPor-N10Unchanged'!H202)/100,2))*100</f>
        <v>9566.297220702867</v>
      </c>
      <c r="F202">
        <f>Portfolio!B$5*'CurrentPor-N10Unchanged'!D202</f>
        <v>52143.895533915893</v>
      </c>
      <c r="G202">
        <f>Portfolio!B$6*'CurrentPor-N10Unchanged'!E202</f>
        <v>3696.2945087936532</v>
      </c>
      <c r="H202">
        <f t="shared" si="9"/>
        <v>94320.821761048544</v>
      </c>
      <c r="I202">
        <f t="shared" si="10"/>
        <v>-7.50640002291766</v>
      </c>
    </row>
    <row r="203" spans="1:9">
      <c r="A203" s="1">
        <v>39541</v>
      </c>
      <c r="B203">
        <f>(3/(1+('CurrentPor-N10Unchanged'!B203)/100)+103/POWER(1+('CurrentPor-N10Unchanged'!C203)/100,2))*100</f>
        <v>9707.5857774288397</v>
      </c>
      <c r="C203">
        <f>(3/(1+('CurrentPor-N10Unchanged'!B203+'CurrentPor-N10Unchanged'!F203)/100)+103/POWER(1+('CurrentPor-N10Unchanged'!C203+'CurrentPor-N10Unchanged'!F203)/100,2))*100</f>
        <v>9634.9718358118935</v>
      </c>
      <c r="D203">
        <f>(3/(1+('CurrentPor-N10Unchanged'!B203+'CurrentPor-N10Unchanged'!G203)/100)+103/POWER(1+('CurrentPor-N10Unchanged'!C203+'CurrentPor-N10Unchanged'!G203)/100,2))*100</f>
        <v>9617.3713605007088</v>
      </c>
      <c r="E203">
        <f>(3/(1+('CurrentPor-N10Unchanged'!B203+'CurrentPor-N10Unchanged'!H203)/100)+103/POWER(1+('CurrentPor-N10Unchanged'!C203+'CurrentPor-N10Unchanged'!H203)/100,2))*100</f>
        <v>9583.3199530551301</v>
      </c>
      <c r="F203">
        <f>Portfolio!B$5*'CurrentPor-N10Unchanged'!D203</f>
        <v>52143.895533915893</v>
      </c>
      <c r="G203">
        <f>Portfolio!B$6*'CurrentPor-N10Unchanged'!E203</f>
        <v>3696.2945087936532</v>
      </c>
      <c r="H203">
        <f t="shared" si="9"/>
        <v>94383.438969506125</v>
      </c>
      <c r="I203">
        <f t="shared" si="10"/>
        <v>51.130797015532153</v>
      </c>
    </row>
    <row r="204" spans="1:9">
      <c r="A204" s="1">
        <v>39542</v>
      </c>
      <c r="B204">
        <f>(3/(1+('CurrentPor-N10Unchanged'!B204)/100)+103/POWER(1+('CurrentPor-N10Unchanged'!C204)/100,2))*100</f>
        <v>9707.5857774288397</v>
      </c>
      <c r="C204">
        <f>(3/(1+('CurrentPor-N10Unchanged'!B204+'CurrentPor-N10Unchanged'!F204)/100)+103/POWER(1+('CurrentPor-N10Unchanged'!C204+'CurrentPor-N10Unchanged'!F204)/100,2))*100</f>
        <v>9607.2524405912227</v>
      </c>
      <c r="D204">
        <f>(3/(1+('CurrentPor-N10Unchanged'!B204+'CurrentPor-N10Unchanged'!G204)/100)+103/POWER(1+('CurrentPor-N10Unchanged'!C204+'CurrentPor-N10Unchanged'!G204)/100,2))*100</f>
        <v>9585.304414453818</v>
      </c>
      <c r="E204">
        <f>(3/(1+('CurrentPor-N10Unchanged'!B204+'CurrentPor-N10Unchanged'!H204)/100)+103/POWER(1+('CurrentPor-N10Unchanged'!C204+'CurrentPor-N10Unchanged'!H204)/100,2))*100</f>
        <v>9589.3712012098749</v>
      </c>
      <c r="F204">
        <f>Portfolio!B$5*'CurrentPor-N10Unchanged'!D204</f>
        <v>52143.895533915893</v>
      </c>
      <c r="G204">
        <f>Portfolio!B$6*'CurrentPor-N10Unchanged'!E204</f>
        <v>3696.2945087936532</v>
      </c>
      <c r="H204">
        <f t="shared" si="9"/>
        <v>94329.703876393294</v>
      </c>
      <c r="I204">
        <f t="shared" si="10"/>
        <v>-22.237114309915341</v>
      </c>
    </row>
    <row r="205" spans="1:9">
      <c r="A205" s="1">
        <v>39545</v>
      </c>
      <c r="B205">
        <f>(3/(1+('CurrentPor-N10Unchanged'!B205)/100)+103/POWER(1+('CurrentPor-N10Unchanged'!C205)/100,2))*100</f>
        <v>9707.5857774288397</v>
      </c>
      <c r="C205">
        <f>(3/(1+('CurrentPor-N10Unchanged'!B205+'CurrentPor-N10Unchanged'!F205)/100)+103/POWER(1+('CurrentPor-N10Unchanged'!C205+'CurrentPor-N10Unchanged'!F205)/100,2))*100</f>
        <v>9620.8865531484171</v>
      </c>
      <c r="D205">
        <f>(3/(1+('CurrentPor-N10Unchanged'!B205+'CurrentPor-N10Unchanged'!G205)/100)+103/POWER(1+('CurrentPor-N10Unchanged'!C205+'CurrentPor-N10Unchanged'!G205)/100,2))*100</f>
        <v>9599.6951239519767</v>
      </c>
      <c r="E205">
        <f>(3/(1+('CurrentPor-N10Unchanged'!B205+'CurrentPor-N10Unchanged'!H205)/100)+103/POWER(1+('CurrentPor-N10Unchanged'!C205+'CurrentPor-N10Unchanged'!H205)/100,2))*100</f>
        <v>9594.5449984779607</v>
      </c>
      <c r="F205">
        <f>Portfolio!B$5*'CurrentPor-N10Unchanged'!D205</f>
        <v>52143.895533915893</v>
      </c>
      <c r="G205">
        <f>Portfolio!B$6*'CurrentPor-N10Unchanged'!E205</f>
        <v>3696.2945087936532</v>
      </c>
      <c r="H205">
        <f t="shared" si="9"/>
        <v>94362.902495716742</v>
      </c>
      <c r="I205">
        <f t="shared" si="10"/>
        <v>7.059225987715763</v>
      </c>
    </row>
    <row r="206" spans="1:9">
      <c r="A206" s="1">
        <v>39546</v>
      </c>
      <c r="B206">
        <f>(3/(1+('CurrentPor-N10Unchanged'!B206)/100)+103/POWER(1+('CurrentPor-N10Unchanged'!C206)/100,2))*100</f>
        <v>9707.5857774288397</v>
      </c>
      <c r="C206">
        <f>(3/(1+('CurrentPor-N10Unchanged'!B206+'CurrentPor-N10Unchanged'!F206)/100)+103/POWER(1+('CurrentPor-N10Unchanged'!C206+'CurrentPor-N10Unchanged'!F206)/100,2))*100</f>
        <v>9608.5974006193392</v>
      </c>
      <c r="D206">
        <f>(3/(1+('CurrentPor-N10Unchanged'!B206+'CurrentPor-N10Unchanged'!G206)/100)+103/POWER(1+('CurrentPor-N10Unchanged'!C206+'CurrentPor-N10Unchanged'!G206)/100,2))*100</f>
        <v>9603.2688926107458</v>
      </c>
      <c r="E206">
        <f>(3/(1+('CurrentPor-N10Unchanged'!B206+'CurrentPor-N10Unchanged'!H206)/100)+103/POWER(1+('CurrentPor-N10Unchanged'!C206+'CurrentPor-N10Unchanged'!H206)/100,2))*100</f>
        <v>9574.3661645693555</v>
      </c>
      <c r="F206">
        <f>Portfolio!B$5*'CurrentPor-N10Unchanged'!D206</f>
        <v>52143.895533915893</v>
      </c>
      <c r="G206">
        <f>Portfolio!B$6*'CurrentPor-N10Unchanged'!E206</f>
        <v>3696.2945087936532</v>
      </c>
      <c r="H206">
        <f t="shared" si="9"/>
        <v>94334.008277937828</v>
      </c>
      <c r="I206">
        <f t="shared" si="10"/>
        <v>-32.931861487857532</v>
      </c>
    </row>
    <row r="207" spans="1:9">
      <c r="A207" s="1">
        <v>39547</v>
      </c>
      <c r="B207">
        <f>(3/(1+('CurrentPor-N10Unchanged'!B207)/100)+103/POWER(1+('CurrentPor-N10Unchanged'!C207)/100,2))*100</f>
        <v>9707.5857774288397</v>
      </c>
      <c r="C207">
        <f>(3/(1+('CurrentPor-N10Unchanged'!B207+'CurrentPor-N10Unchanged'!F207)/100)+103/POWER(1+('CurrentPor-N10Unchanged'!C207+'CurrentPor-N10Unchanged'!F207)/100,2))*100</f>
        <v>9599.8640055385313</v>
      </c>
      <c r="D207">
        <f>(3/(1+('CurrentPor-N10Unchanged'!B207+'CurrentPor-N10Unchanged'!G207)/100)+103/POWER(1+('CurrentPor-N10Unchanged'!C207+'CurrentPor-N10Unchanged'!G207)/100,2))*100</f>
        <v>9602.8867591751532</v>
      </c>
      <c r="E207">
        <f>(3/(1+('CurrentPor-N10Unchanged'!B207+'CurrentPor-N10Unchanged'!H207)/100)+103/POWER(1+('CurrentPor-N10Unchanged'!C207+'CurrentPor-N10Unchanged'!H207)/100,2))*100</f>
        <v>9580.8463983977254</v>
      </c>
      <c r="F207">
        <f>Portfolio!B$5*'CurrentPor-N10Unchanged'!D207</f>
        <v>52143.895533915893</v>
      </c>
      <c r="G207">
        <f>Portfolio!B$6*'CurrentPor-N10Unchanged'!E207</f>
        <v>3696.2945087936532</v>
      </c>
      <c r="H207">
        <f t="shared" si="9"/>
        <v>94331.372983249807</v>
      </c>
      <c r="I207">
        <f t="shared" si="10"/>
        <v>-22.045932331675431</v>
      </c>
    </row>
    <row r="208" spans="1:9">
      <c r="A208" s="1">
        <v>39548</v>
      </c>
      <c r="B208">
        <f>(3/(1+('CurrentPor-N10Unchanged'!B208)/100)+103/POWER(1+('CurrentPor-N10Unchanged'!C208)/100,2))*100</f>
        <v>9707.5857774288397</v>
      </c>
      <c r="C208">
        <f>(3/(1+('CurrentPor-N10Unchanged'!B208+'CurrentPor-N10Unchanged'!F208)/100)+103/POWER(1+('CurrentPor-N10Unchanged'!C208+'CurrentPor-N10Unchanged'!F208)/100,2))*100</f>
        <v>9630.8652929256277</v>
      </c>
      <c r="D208">
        <f>(3/(1+('CurrentPor-N10Unchanged'!B208+'CurrentPor-N10Unchanged'!G208)/100)+103/POWER(1+('CurrentPor-N10Unchanged'!C208+'CurrentPor-N10Unchanged'!G208)/100,2))*100</f>
        <v>9598.3119700894895</v>
      </c>
      <c r="E208">
        <f>(3/(1+('CurrentPor-N10Unchanged'!B208+'CurrentPor-N10Unchanged'!H208)/100)+103/POWER(1+('CurrentPor-N10Unchanged'!C208+'CurrentPor-N10Unchanged'!H208)/100,2))*100</f>
        <v>9560.0837518491226</v>
      </c>
      <c r="F208">
        <f>Portfolio!B$5*'CurrentPor-N10Unchanged'!D208</f>
        <v>52143.895533915893</v>
      </c>
      <c r="G208">
        <f>Portfolio!B$6*'CurrentPor-N10Unchanged'!E208</f>
        <v>3696.2945087936532</v>
      </c>
      <c r="H208">
        <f t="shared" si="9"/>
        <v>94337.036835002626</v>
      </c>
      <c r="I208">
        <f t="shared" si="10"/>
        <v>6.681239982455736</v>
      </c>
    </row>
    <row r="209" spans="1:9">
      <c r="A209" s="1">
        <v>39549</v>
      </c>
      <c r="B209">
        <f>(3/(1+('CurrentPor-N10Unchanged'!B209)/100)+103/POWER(1+('CurrentPor-N10Unchanged'!C209)/100,2))*100</f>
        <v>9707.5857774288397</v>
      </c>
      <c r="C209">
        <f>(3/(1+('CurrentPor-N10Unchanged'!B209+'CurrentPor-N10Unchanged'!F209)/100)+103/POWER(1+('CurrentPor-N10Unchanged'!C209+'CurrentPor-N10Unchanged'!F209)/100,2))*100</f>
        <v>9612.6044470489542</v>
      </c>
      <c r="D209">
        <f>(3/(1+('CurrentPor-N10Unchanged'!B209+'CurrentPor-N10Unchanged'!G209)/100)+103/POWER(1+('CurrentPor-N10Unchanged'!C209+'CurrentPor-N10Unchanged'!G209)/100,2))*100</f>
        <v>9601.4820896872588</v>
      </c>
      <c r="E209">
        <f>(3/(1+('CurrentPor-N10Unchanged'!B209+'CurrentPor-N10Unchanged'!H209)/100)+103/POWER(1+('CurrentPor-N10Unchanged'!C209+'CurrentPor-N10Unchanged'!H209)/100,2))*100</f>
        <v>9580.2486579575962</v>
      </c>
      <c r="F209">
        <f>Portfolio!B$5*'CurrentPor-N10Unchanged'!D209</f>
        <v>52143.895533915893</v>
      </c>
      <c r="G209">
        <f>Portfolio!B$6*'CurrentPor-N10Unchanged'!E209</f>
        <v>3696.2945087936532</v>
      </c>
      <c r="H209">
        <f t="shared" si="9"/>
        <v>94342.11101483219</v>
      </c>
      <c r="I209">
        <f t="shared" si="10"/>
        <v>-28.864341415872332</v>
      </c>
    </row>
    <row r="210" spans="1:9">
      <c r="A210" s="1">
        <v>39552</v>
      </c>
      <c r="B210">
        <f>(3/(1+('CurrentPor-N10Unchanged'!B210)/100)+103/POWER(1+('CurrentPor-N10Unchanged'!C210)/100,2))*100</f>
        <v>9707.5857774288397</v>
      </c>
      <c r="C210">
        <f>(3/(1+('CurrentPor-N10Unchanged'!B210+'CurrentPor-N10Unchanged'!F210)/100)+103/POWER(1+('CurrentPor-N10Unchanged'!C210+'CurrentPor-N10Unchanged'!F210)/100,2))*100</f>
        <v>9617.1492774703656</v>
      </c>
      <c r="D210">
        <f>(3/(1+('CurrentPor-N10Unchanged'!B210+'CurrentPor-N10Unchanged'!G210)/100)+103/POWER(1+('CurrentPor-N10Unchanged'!C210+'CurrentPor-N10Unchanged'!G210)/100,2))*100</f>
        <v>9594.4735986264932</v>
      </c>
      <c r="E210">
        <f>(3/(1+('CurrentPor-N10Unchanged'!B210+'CurrentPor-N10Unchanged'!H210)/100)+103/POWER(1+('CurrentPor-N10Unchanged'!C210+'CurrentPor-N10Unchanged'!H210)/100,2))*100</f>
        <v>9582.5568860344702</v>
      </c>
      <c r="F210">
        <f>Portfolio!B$5*'CurrentPor-N10Unchanged'!D210</f>
        <v>52143.895533915893</v>
      </c>
      <c r="G210">
        <f>Portfolio!B$6*'CurrentPor-N10Unchanged'!E210</f>
        <v>3696.2945087936532</v>
      </c>
      <c r="H210">
        <f t="shared" si="9"/>
        <v>94341.955582269715</v>
      </c>
      <c r="I210">
        <f t="shared" si="10"/>
        <v>11.550757617675117</v>
      </c>
    </row>
    <row r="211" spans="1:9">
      <c r="A211" s="1">
        <v>39553</v>
      </c>
      <c r="B211">
        <f>(3/(1+('CurrentPor-N10Unchanged'!B211)/100)+103/POWER(1+('CurrentPor-N10Unchanged'!C211)/100,2))*100</f>
        <v>9707.5857774288397</v>
      </c>
      <c r="C211">
        <f>(3/(1+('CurrentPor-N10Unchanged'!B211+'CurrentPor-N10Unchanged'!F211)/100)+103/POWER(1+('CurrentPor-N10Unchanged'!C211+'CurrentPor-N10Unchanged'!F211)/100,2))*100</f>
        <v>9602.6260318446148</v>
      </c>
      <c r="D211">
        <f>(3/(1+('CurrentPor-N10Unchanged'!B211+'CurrentPor-N10Unchanged'!G211)/100)+103/POWER(1+('CurrentPor-N10Unchanged'!C211+'CurrentPor-N10Unchanged'!G211)/100,2))*100</f>
        <v>9607.7607332794487</v>
      </c>
      <c r="E211">
        <f>(3/(1+('CurrentPor-N10Unchanged'!B211+'CurrentPor-N10Unchanged'!H211)/100)+103/POWER(1+('CurrentPor-N10Unchanged'!C211+'CurrentPor-N10Unchanged'!H211)/100,2))*100</f>
        <v>9588.2605122606528</v>
      </c>
      <c r="F211">
        <f>Portfolio!B$5*'CurrentPor-N10Unchanged'!D211</f>
        <v>52143.895533915893</v>
      </c>
      <c r="G211">
        <f>Portfolio!B$6*'CurrentPor-N10Unchanged'!E211</f>
        <v>3696.2945087936532</v>
      </c>
      <c r="H211">
        <f t="shared" si="9"/>
        <v>94346.423097523104</v>
      </c>
      <c r="I211">
        <f t="shared" si="10"/>
        <v>-11.528997264977079</v>
      </c>
    </row>
    <row r="212" spans="1:9">
      <c r="A212" s="1">
        <v>39554</v>
      </c>
      <c r="B212">
        <f>(3/(1+('CurrentPor-N10Unchanged'!B212)/100)+103/POWER(1+('CurrentPor-N10Unchanged'!C212)/100,2))*100</f>
        <v>9707.5857774288397</v>
      </c>
      <c r="C212">
        <f>(3/(1+('CurrentPor-N10Unchanged'!B212+'CurrentPor-N10Unchanged'!F212)/100)+103/POWER(1+('CurrentPor-N10Unchanged'!C212+'CurrentPor-N10Unchanged'!F212)/100,2))*100</f>
        <v>9603.9165430369176</v>
      </c>
      <c r="D212">
        <f>(3/(1+('CurrentPor-N10Unchanged'!B212+'CurrentPor-N10Unchanged'!G212)/100)+103/POWER(1+('CurrentPor-N10Unchanged'!C212+'CurrentPor-N10Unchanged'!G212)/100,2))*100</f>
        <v>9599.8710065448122</v>
      </c>
      <c r="E212">
        <f>(3/(1+('CurrentPor-N10Unchanged'!B212+'CurrentPor-N10Unchanged'!H212)/100)+103/POWER(1+('CurrentPor-N10Unchanged'!C212+'CurrentPor-N10Unchanged'!H212)/100,2))*100</f>
        <v>9588.9558904481692</v>
      </c>
      <c r="F212">
        <f>Portfolio!B$5*'CurrentPor-N10Unchanged'!D212</f>
        <v>52143.895533915893</v>
      </c>
      <c r="G212">
        <f>Portfolio!B$6*'CurrentPor-N10Unchanged'!E212</f>
        <v>3696.2945087936532</v>
      </c>
      <c r="H212">
        <f t="shared" si="9"/>
        <v>94340.519260168279</v>
      </c>
      <c r="I212">
        <f t="shared" si="10"/>
        <v>19.697499119734857</v>
      </c>
    </row>
    <row r="213" spans="1:9">
      <c r="A213" s="1">
        <v>39555</v>
      </c>
      <c r="B213">
        <f>(3/(1+('CurrentPor-N10Unchanged'!B213)/100)+103/POWER(1+('CurrentPor-N10Unchanged'!C213)/100,2))*100</f>
        <v>9707.5857774288397</v>
      </c>
      <c r="C213">
        <f>(3/(1+('CurrentPor-N10Unchanged'!B213+'CurrentPor-N10Unchanged'!F213)/100)+103/POWER(1+('CurrentPor-N10Unchanged'!C213+'CurrentPor-N10Unchanged'!F213)/100,2))*100</f>
        <v>9612.662726576189</v>
      </c>
      <c r="D213">
        <f>(3/(1+('CurrentPor-N10Unchanged'!B213+'CurrentPor-N10Unchanged'!G213)/100)+103/POWER(1+('CurrentPor-N10Unchanged'!C213+'CurrentPor-N10Unchanged'!G213)/100,2))*100</f>
        <v>9592.362474861151</v>
      </c>
      <c r="E213">
        <f>(3/(1+('CurrentPor-N10Unchanged'!B213+'CurrentPor-N10Unchanged'!H213)/100)+103/POWER(1+('CurrentPor-N10Unchanged'!C213+'CurrentPor-N10Unchanged'!H213)/100,2))*100</f>
        <v>9598.4157720027233</v>
      </c>
      <c r="F213">
        <f>Portfolio!B$5*'CurrentPor-N10Unchanged'!D213</f>
        <v>52143.895533915893</v>
      </c>
      <c r="G213">
        <f>Portfolio!B$6*'CurrentPor-N10Unchanged'!E213</f>
        <v>3696.2945087936532</v>
      </c>
      <c r="H213">
        <f t="shared" si="9"/>
        <v>94351.216793578453</v>
      </c>
      <c r="I213">
        <f t="shared" si="10"/>
        <v>-32.222175927672652</v>
      </c>
    </row>
    <row r="214" spans="1:9">
      <c r="A214" s="1">
        <v>39556</v>
      </c>
      <c r="B214">
        <f>(3/(1+('CurrentPor-N10Unchanged'!B214)/100)+103/POWER(1+('CurrentPor-N10Unchanged'!C214)/100,2))*100</f>
        <v>9707.5857774288397</v>
      </c>
      <c r="C214">
        <f>(3/(1+('CurrentPor-N10Unchanged'!B214+'CurrentPor-N10Unchanged'!F214)/100)+103/POWER(1+('CurrentPor-N10Unchanged'!C214+'CurrentPor-N10Unchanged'!F214)/100,2))*100</f>
        <v>9601.5948043760964</v>
      </c>
      <c r="D214">
        <f>(3/(1+('CurrentPor-N10Unchanged'!B214+'CurrentPor-N10Unchanged'!G214)/100)+103/POWER(1+('CurrentPor-N10Unchanged'!C214+'CurrentPor-N10Unchanged'!G214)/100,2))*100</f>
        <v>9596.5130751926426</v>
      </c>
      <c r="E214">
        <f>(3/(1+('CurrentPor-N10Unchanged'!B214+'CurrentPor-N10Unchanged'!H214)/100)+103/POWER(1+('CurrentPor-N10Unchanged'!C214+'CurrentPor-N10Unchanged'!H214)/100,2))*100</f>
        <v>9574.0016744813965</v>
      </c>
      <c r="F214">
        <f>Portfolio!B$5*'CurrentPor-N10Unchanged'!D214</f>
        <v>52143.895533915893</v>
      </c>
      <c r="G214">
        <f>Portfolio!B$6*'CurrentPor-N10Unchanged'!E214</f>
        <v>3696.2945087936532</v>
      </c>
      <c r="H214">
        <f t="shared" si="9"/>
        <v>94319.885374188525</v>
      </c>
      <c r="I214">
        <f t="shared" si="10"/>
        <v>-9.8185022047691746</v>
      </c>
    </row>
    <row r="215" spans="1:9">
      <c r="A215" s="1">
        <v>39559</v>
      </c>
      <c r="B215">
        <f>(3/(1+('CurrentPor-N10Unchanged'!B215)/100)+103/POWER(1+('CurrentPor-N10Unchanged'!C215)/100,2))*100</f>
        <v>9707.5857774288397</v>
      </c>
      <c r="C215">
        <f>(3/(1+('CurrentPor-N10Unchanged'!B215+'CurrentPor-N10Unchanged'!F215)/100)+103/POWER(1+('CurrentPor-N10Unchanged'!C215+'CurrentPor-N10Unchanged'!F215)/100,2))*100</f>
        <v>9618.3490104269604</v>
      </c>
      <c r="D215">
        <f>(3/(1+('CurrentPor-N10Unchanged'!B215+'CurrentPor-N10Unchanged'!G215)/100)+103/POWER(1+('CurrentPor-N10Unchanged'!C215+'CurrentPor-N10Unchanged'!G215)/100,2))*100</f>
        <v>9600.0751206636287</v>
      </c>
      <c r="E215">
        <f>(3/(1+('CurrentPor-N10Unchanged'!B215+'CurrentPor-N10Unchanged'!H215)/100)+103/POWER(1+('CurrentPor-N10Unchanged'!C215+'CurrentPor-N10Unchanged'!H215)/100,2))*100</f>
        <v>9578.8215550486748</v>
      </c>
      <c r="F215">
        <f>Portfolio!B$5*'CurrentPor-N10Unchanged'!D215</f>
        <v>52143.895533915893</v>
      </c>
      <c r="G215">
        <f>Portfolio!B$6*'CurrentPor-N10Unchanged'!E215</f>
        <v>3696.2945087936532</v>
      </c>
      <c r="H215">
        <f t="shared" si="9"/>
        <v>94345.021506277641</v>
      </c>
      <c r="I215">
        <f t="shared" si="10"/>
        <v>-17.88098943910154</v>
      </c>
    </row>
    <row r="216" spans="1:9">
      <c r="A216" s="1">
        <v>39560</v>
      </c>
      <c r="B216">
        <f>(3/(1+('CurrentPor-N10Unchanged'!B216)/100)+103/POWER(1+('CurrentPor-N10Unchanged'!C216)/100,2))*100</f>
        <v>9707.5857774288397</v>
      </c>
      <c r="C216">
        <f>(3/(1+('CurrentPor-N10Unchanged'!B216+'CurrentPor-N10Unchanged'!F216)/100)+103/POWER(1+('CurrentPor-N10Unchanged'!C216+'CurrentPor-N10Unchanged'!F216)/100,2))*100</f>
        <v>9621.2766411232387</v>
      </c>
      <c r="D216">
        <f>(3/(1+('CurrentPor-N10Unchanged'!B216+'CurrentPor-N10Unchanged'!G216)/100)+103/POWER(1+('CurrentPor-N10Unchanged'!C216+'CurrentPor-N10Unchanged'!G216)/100,2))*100</f>
        <v>9574.8708815213213</v>
      </c>
      <c r="E216">
        <f>(3/(1+('CurrentPor-N10Unchanged'!B216+'CurrentPor-N10Unchanged'!H216)/100)+103/POWER(1+('CurrentPor-N10Unchanged'!C216+'CurrentPor-N10Unchanged'!H216)/100,2))*100</f>
        <v>9571.338688744112</v>
      </c>
      <c r="F216">
        <f>Portfolio!B$5*'CurrentPor-N10Unchanged'!D216</f>
        <v>52143.895533915893</v>
      </c>
      <c r="G216">
        <f>Portfolio!B$6*'CurrentPor-N10Unchanged'!E216</f>
        <v>3696.2945087936532</v>
      </c>
      <c r="H216">
        <f t="shared" si="9"/>
        <v>94315.262031527061</v>
      </c>
      <c r="I216">
        <f t="shared" si="10"/>
        <v>-18.746246410766616</v>
      </c>
    </row>
    <row r="217" spans="1:9">
      <c r="A217" s="1">
        <v>39561</v>
      </c>
      <c r="B217">
        <f>(3/(1+('CurrentPor-N10Unchanged'!B217)/100)+103/POWER(1+('CurrentPor-N10Unchanged'!C217)/100,2))*100</f>
        <v>9707.5857774288397</v>
      </c>
      <c r="C217">
        <f>(3/(1+('CurrentPor-N10Unchanged'!B217+'CurrentPor-N10Unchanged'!F217)/100)+103/POWER(1+('CurrentPor-N10Unchanged'!C217+'CurrentPor-N10Unchanged'!F217)/100,2))*100</f>
        <v>9616.906275521902</v>
      </c>
      <c r="D217">
        <f>(3/(1+('CurrentPor-N10Unchanged'!B217+'CurrentPor-N10Unchanged'!G217)/100)+103/POWER(1+('CurrentPor-N10Unchanged'!C217+'CurrentPor-N10Unchanged'!G217)/100,2))*100</f>
        <v>9609.0113978747941</v>
      </c>
      <c r="E217">
        <f>(3/(1+('CurrentPor-N10Unchanged'!B217+'CurrentPor-N10Unchanged'!H217)/100)+103/POWER(1+('CurrentPor-N10Unchanged'!C217+'CurrentPor-N10Unchanged'!H217)/100,2))*100</f>
        <v>9564.9972332803336</v>
      </c>
      <c r="F217">
        <f>Portfolio!B$5*'CurrentPor-N10Unchanged'!D217</f>
        <v>52143.895533915893</v>
      </c>
      <c r="G217">
        <f>Portfolio!B$6*'CurrentPor-N10Unchanged'!E217</f>
        <v>3696.2945087936532</v>
      </c>
      <c r="H217">
        <f t="shared" si="9"/>
        <v>94338.690726815417</v>
      </c>
      <c r="I217">
        <f t="shared" si="10"/>
        <v>7.3177435656107264</v>
      </c>
    </row>
    <row r="218" spans="1:9">
      <c r="A218" s="1">
        <v>39562</v>
      </c>
      <c r="B218">
        <f>(3/(1+('CurrentPor-N10Unchanged'!B218)/100)+103/POWER(1+('CurrentPor-N10Unchanged'!C218)/100,2))*100</f>
        <v>9707.5857774288397</v>
      </c>
      <c r="C218">
        <f>(3/(1+('CurrentPor-N10Unchanged'!B218+'CurrentPor-N10Unchanged'!F218)/100)+103/POWER(1+('CurrentPor-N10Unchanged'!C218+'CurrentPor-N10Unchanged'!F218)/100,2))*100</f>
        <v>9615.5278471715155</v>
      </c>
      <c r="D218">
        <f>(3/(1+('CurrentPor-N10Unchanged'!B218+'CurrentPor-N10Unchanged'!G218)/100)+103/POWER(1+('CurrentPor-N10Unchanged'!C218+'CurrentPor-N10Unchanged'!G218)/100,2))*100</f>
        <v>9587.1688829250379</v>
      </c>
      <c r="E218">
        <f>(3/(1+('CurrentPor-N10Unchanged'!B218+'CurrentPor-N10Unchanged'!H218)/100)+103/POWER(1+('CurrentPor-N10Unchanged'!C218+'CurrentPor-N10Unchanged'!H218)/100,2))*100</f>
        <v>9568.3619975594156</v>
      </c>
      <c r="F218">
        <f>Portfolio!B$5*'CurrentPor-N10Unchanged'!D218</f>
        <v>52143.895533915893</v>
      </c>
      <c r="G218">
        <f>Portfolio!B$6*'CurrentPor-N10Unchanged'!E218</f>
        <v>3696.2945087936532</v>
      </c>
      <c r="H218">
        <f t="shared" si="9"/>
        <v>94318.834547794366</v>
      </c>
      <c r="I218">
        <f t="shared" si="10"/>
        <v>-18.202287208259804</v>
      </c>
    </row>
    <row r="219" spans="1:9">
      <c r="A219" s="1">
        <v>39563</v>
      </c>
      <c r="B219">
        <f>(3/(1+('CurrentPor-N10Unchanged'!B219)/100)+103/POWER(1+('CurrentPor-N10Unchanged'!C219)/100,2))*100</f>
        <v>9707.5857774288397</v>
      </c>
      <c r="C219">
        <f>(3/(1+('CurrentPor-N10Unchanged'!B219+'CurrentPor-N10Unchanged'!F219)/100)+103/POWER(1+('CurrentPor-N10Unchanged'!C219+'CurrentPor-N10Unchanged'!F219)/100,2))*100</f>
        <v>9618.1345271876089</v>
      </c>
      <c r="D219">
        <f>(3/(1+('CurrentPor-N10Unchanged'!B219+'CurrentPor-N10Unchanged'!G219)/100)+103/POWER(1+('CurrentPor-N10Unchanged'!C219+'CurrentPor-N10Unchanged'!G219)/100,2))*100</f>
        <v>9612.3992999632464</v>
      </c>
      <c r="E219">
        <f>(3/(1+('CurrentPor-N10Unchanged'!B219+'CurrentPor-N10Unchanged'!H219)/100)+103/POWER(1+('CurrentPor-N10Unchanged'!C219+'CurrentPor-N10Unchanged'!H219)/100,2))*100</f>
        <v>9583.07679334557</v>
      </c>
      <c r="F219">
        <f>Portfolio!B$5*'CurrentPor-N10Unchanged'!D219</f>
        <v>52143.895533915893</v>
      </c>
      <c r="G219">
        <f>Portfolio!B$6*'CurrentPor-N10Unchanged'!E219</f>
        <v>3696.2945087936532</v>
      </c>
      <c r="H219">
        <f t="shared" si="9"/>
        <v>94361.386440634815</v>
      </c>
      <c r="I219">
        <f t="shared" si="10"/>
        <v>19.27542580262525</v>
      </c>
    </row>
    <row r="220" spans="1:9">
      <c r="A220" s="1">
        <v>39566</v>
      </c>
      <c r="B220">
        <f>(3/(1+('CurrentPor-N10Unchanged'!B220)/100)+103/POWER(1+('CurrentPor-N10Unchanged'!C220)/100,2))*100</f>
        <v>9707.5857774288397</v>
      </c>
      <c r="C220">
        <f>(3/(1+('CurrentPor-N10Unchanged'!B220+'CurrentPor-N10Unchanged'!F220)/100)+103/POWER(1+('CurrentPor-N10Unchanged'!C220+'CurrentPor-N10Unchanged'!F220)/100,2))*100</f>
        <v>9617.6570355676286</v>
      </c>
      <c r="D220">
        <f>(3/(1+('CurrentPor-N10Unchanged'!B220+'CurrentPor-N10Unchanged'!G220)/100)+103/POWER(1+('CurrentPor-N10Unchanged'!C220+'CurrentPor-N10Unchanged'!G220)/100,2))*100</f>
        <v>9618.824973961664</v>
      </c>
      <c r="E220">
        <f>(3/(1+('CurrentPor-N10Unchanged'!B220+'CurrentPor-N10Unchanged'!H220)/100)+103/POWER(1+('CurrentPor-N10Unchanged'!C220+'CurrentPor-N10Unchanged'!H220)/100,2))*100</f>
        <v>9589.0555331349078</v>
      </c>
      <c r="F220">
        <f>Portfolio!B$5*'CurrentPor-N10Unchanged'!D220</f>
        <v>52143.895533915893</v>
      </c>
      <c r="G220">
        <f>Portfolio!B$6*'CurrentPor-N10Unchanged'!E220</f>
        <v>3696.2945087936532</v>
      </c>
      <c r="H220">
        <f t="shared" si="9"/>
        <v>94373.313362802583</v>
      </c>
      <c r="I220">
        <f t="shared" si="10"/>
        <v>31.357780532867764</v>
      </c>
    </row>
    <row r="221" spans="1:9">
      <c r="A221" s="1">
        <v>39567</v>
      </c>
      <c r="B221">
        <f>(3/(1+('CurrentPor-N10Unchanged'!B221)/100)+103/POWER(1+('CurrentPor-N10Unchanged'!C221)/100,2))*100</f>
        <v>9707.5857774288397</v>
      </c>
      <c r="C221">
        <f>(3/(1+('CurrentPor-N10Unchanged'!B221+'CurrentPor-N10Unchanged'!F221)/100)+103/POWER(1+('CurrentPor-N10Unchanged'!C221+'CurrentPor-N10Unchanged'!F221)/100,2))*100</f>
        <v>9606.0162111308819</v>
      </c>
      <c r="D221">
        <f>(3/(1+('CurrentPor-N10Unchanged'!B221+'CurrentPor-N10Unchanged'!G221)/100)+103/POWER(1+('CurrentPor-N10Unchanged'!C221+'CurrentPor-N10Unchanged'!G221)/100,2))*100</f>
        <v>9601.6160256959756</v>
      </c>
      <c r="E221">
        <f>(3/(1+('CurrentPor-N10Unchanged'!B221+'CurrentPor-N10Unchanged'!H221)/100)+103/POWER(1+('CurrentPor-N10Unchanged'!C221+'CurrentPor-N10Unchanged'!H221)/100,2))*100</f>
        <v>9602.1762351557063</v>
      </c>
      <c r="F221">
        <f>Portfolio!B$5*'CurrentPor-N10Unchanged'!D221</f>
        <v>52143.895533915893</v>
      </c>
      <c r="G221">
        <f>Portfolio!B$6*'CurrentPor-N10Unchanged'!E221</f>
        <v>3696.2945087936532</v>
      </c>
      <c r="H221">
        <f t="shared" si="9"/>
        <v>94357.584292120941</v>
      </c>
      <c r="I221">
        <f t="shared" si="10"/>
        <v>11.161194597836584</v>
      </c>
    </row>
    <row r="222" spans="1:9">
      <c r="A222" s="1">
        <v>39568</v>
      </c>
      <c r="B222">
        <f>(3/(1+('CurrentPor-N10Unchanged'!B222)/100)+103/POWER(1+('CurrentPor-N10Unchanged'!C222)/100,2))*100</f>
        <v>9707.5857774288397</v>
      </c>
      <c r="C222">
        <f>(3/(1+('CurrentPor-N10Unchanged'!B222+'CurrentPor-N10Unchanged'!F222)/100)+103/POWER(1+('CurrentPor-N10Unchanged'!C222+'CurrentPor-N10Unchanged'!F222)/100,2))*100</f>
        <v>9605.3545427884947</v>
      </c>
      <c r="D222">
        <f>(3/(1+('CurrentPor-N10Unchanged'!B222+'CurrentPor-N10Unchanged'!G222)/100)+103/POWER(1+('CurrentPor-N10Unchanged'!C222+'CurrentPor-N10Unchanged'!G222)/100,2))*100</f>
        <v>9603.2604147304446</v>
      </c>
      <c r="E222">
        <f>(3/(1+('CurrentPor-N10Unchanged'!B222+'CurrentPor-N10Unchanged'!H222)/100)+103/POWER(1+('CurrentPor-N10Unchanged'!C222+'CurrentPor-N10Unchanged'!H222)/100,2))*100</f>
        <v>9579.9676664463095</v>
      </c>
      <c r="F222">
        <f>Portfolio!B$5*'CurrentPor-N10Unchanged'!D222</f>
        <v>52143.895533915893</v>
      </c>
      <c r="G222">
        <f>Portfolio!B$6*'CurrentPor-N10Unchanged'!E222</f>
        <v>3696.2945087936532</v>
      </c>
      <c r="H222">
        <f t="shared" si="9"/>
        <v>94336.358444103636</v>
      </c>
      <c r="I222">
        <f t="shared" si="10"/>
        <v>-4.1608160646428587</v>
      </c>
    </row>
    <row r="223" spans="1:9">
      <c r="A223" s="1">
        <v>39569</v>
      </c>
      <c r="B223">
        <f>(3/(1+('CurrentPor-N10Unchanged'!B223)/100)+103/POWER(1+('CurrentPor-N10Unchanged'!C223)/100,2))*100</f>
        <v>9707.5857774288397</v>
      </c>
      <c r="C223">
        <f>(3/(1+('CurrentPor-N10Unchanged'!B223+'CurrentPor-N10Unchanged'!F223)/100)+103/POWER(1+('CurrentPor-N10Unchanged'!C223+'CurrentPor-N10Unchanged'!F223)/100,2))*100</f>
        <v>9617.7010763719591</v>
      </c>
      <c r="D223">
        <f>(3/(1+('CurrentPor-N10Unchanged'!B223+'CurrentPor-N10Unchanged'!G223)/100)+103/POWER(1+('CurrentPor-N10Unchanged'!C223+'CurrentPor-N10Unchanged'!G223)/100,2))*100</f>
        <v>9592.9199905162041</v>
      </c>
      <c r="E223">
        <f>(3/(1+('CurrentPor-N10Unchanged'!B223+'CurrentPor-N10Unchanged'!H223)/100)+103/POWER(1+('CurrentPor-N10Unchanged'!C223+'CurrentPor-N10Unchanged'!H223)/100,2))*100</f>
        <v>9580.1346776542978</v>
      </c>
      <c r="F223">
        <f>Portfolio!B$5*'CurrentPor-N10Unchanged'!D223</f>
        <v>52143.895533915893</v>
      </c>
      <c r="G223">
        <f>Portfolio!B$6*'CurrentPor-N10Unchanged'!E223</f>
        <v>3696.2945087936532</v>
      </c>
      <c r="H223">
        <f t="shared" si="9"/>
        <v>94338.531564680845</v>
      </c>
      <c r="I223">
        <f t="shared" si="10"/>
        <v>-12.685228897607885</v>
      </c>
    </row>
    <row r="224" spans="1:9">
      <c r="A224" s="1">
        <v>39570</v>
      </c>
      <c r="B224">
        <f>(3/(1+('CurrentPor-N10Unchanged'!B224)/100)+103/POWER(1+('CurrentPor-N10Unchanged'!C224)/100,2))*100</f>
        <v>9707.5857774288397</v>
      </c>
      <c r="C224">
        <f>(3/(1+('CurrentPor-N10Unchanged'!B224+'CurrentPor-N10Unchanged'!F224)/100)+103/POWER(1+('CurrentPor-N10Unchanged'!C224+'CurrentPor-N10Unchanged'!F224)/100,2))*100</f>
        <v>9610.9157877357793</v>
      </c>
      <c r="D224">
        <f>(3/(1+('CurrentPor-N10Unchanged'!B224+'CurrentPor-N10Unchanged'!G224)/100)+103/POWER(1+('CurrentPor-N10Unchanged'!C224+'CurrentPor-N10Unchanged'!G224)/100,2))*100</f>
        <v>9599.7539439954089</v>
      </c>
      <c r="E224">
        <f>(3/(1+('CurrentPor-N10Unchanged'!B224+'CurrentPor-N10Unchanged'!H224)/100)+103/POWER(1+('CurrentPor-N10Unchanged'!C224+'CurrentPor-N10Unchanged'!H224)/100,2))*100</f>
        <v>9575.7117053808579</v>
      </c>
      <c r="F224">
        <f>Portfolio!B$5*'CurrentPor-N10Unchanged'!D224</f>
        <v>52143.895533915893</v>
      </c>
      <c r="G224">
        <f>Portfolio!B$6*'CurrentPor-N10Unchanged'!E224</f>
        <v>3696.2945087936532</v>
      </c>
      <c r="H224">
        <f t="shared" si="9"/>
        <v>94334.157257250423</v>
      </c>
      <c r="I224">
        <f t="shared" si="10"/>
        <v>14.271883061897825</v>
      </c>
    </row>
    <row r="225" spans="1:9">
      <c r="A225" s="1">
        <v>39573</v>
      </c>
      <c r="B225">
        <f>(3/(1+('CurrentPor-N10Unchanged'!B225)/100)+103/POWER(1+('CurrentPor-N10Unchanged'!C225)/100,2))*100</f>
        <v>9707.5857774288397</v>
      </c>
      <c r="C225">
        <f>(3/(1+('CurrentPor-N10Unchanged'!B225+'CurrentPor-N10Unchanged'!F225)/100)+103/POWER(1+('CurrentPor-N10Unchanged'!C225+'CurrentPor-N10Unchanged'!F225)/100,2))*100</f>
        <v>9621.9859377504836</v>
      </c>
      <c r="D225">
        <f>(3/(1+('CurrentPor-N10Unchanged'!B225+'CurrentPor-N10Unchanged'!G225)/100)+103/POWER(1+('CurrentPor-N10Unchanged'!C225+'CurrentPor-N10Unchanged'!G225)/100,2))*100</f>
        <v>9600.1719729848392</v>
      </c>
      <c r="E225">
        <f>(3/(1+('CurrentPor-N10Unchanged'!B225+'CurrentPor-N10Unchanged'!H225)/100)+103/POWER(1+('CurrentPor-N10Unchanged'!C225+'CurrentPor-N10Unchanged'!H225)/100,2))*100</f>
        <v>9586.7872422010187</v>
      </c>
      <c r="F225">
        <f>Portfolio!B$5*'CurrentPor-N10Unchanged'!D225</f>
        <v>52143.895533915893</v>
      </c>
      <c r="G225">
        <f>Portfolio!B$6*'CurrentPor-N10Unchanged'!E225</f>
        <v>3696.2945087936532</v>
      </c>
      <c r="H225">
        <f t="shared" si="9"/>
        <v>94356.720973074727</v>
      </c>
      <c r="I225">
        <f t="shared" si="10"/>
        <v>11.699466797086643</v>
      </c>
    </row>
    <row r="226" spans="1:9">
      <c r="A226" s="1">
        <v>39574</v>
      </c>
      <c r="B226">
        <f>(3/(1+('CurrentPor-N10Unchanged'!B226)/100)+103/POWER(1+('CurrentPor-N10Unchanged'!C226)/100,2))*100</f>
        <v>9707.5857774288397</v>
      </c>
      <c r="C226">
        <f>(3/(1+('CurrentPor-N10Unchanged'!B226+'CurrentPor-N10Unchanged'!F226)/100)+103/POWER(1+('CurrentPor-N10Unchanged'!C226+'CurrentPor-N10Unchanged'!F226)/100,2))*100</f>
        <v>9609.5511586294324</v>
      </c>
      <c r="D226">
        <f>(3/(1+('CurrentPor-N10Unchanged'!B226+'CurrentPor-N10Unchanged'!G226)/100)+103/POWER(1+('CurrentPor-N10Unchanged'!C226+'CurrentPor-N10Unchanged'!G226)/100,2))*100</f>
        <v>9597.8051680672215</v>
      </c>
      <c r="E226">
        <f>(3/(1+('CurrentPor-N10Unchanged'!B226+'CurrentPor-N10Unchanged'!H226)/100)+103/POWER(1+('CurrentPor-N10Unchanged'!C226+'CurrentPor-N10Unchanged'!H226)/100,2))*100</f>
        <v>9589.0739632985569</v>
      </c>
      <c r="F226">
        <f>Portfolio!B$5*'CurrentPor-N10Unchanged'!D226</f>
        <v>52143.895533915893</v>
      </c>
      <c r="G226">
        <f>Portfolio!B$6*'CurrentPor-N10Unchanged'!E226</f>
        <v>3696.2945087936532</v>
      </c>
      <c r="H226">
        <f t="shared" si="9"/>
        <v>94344.206110133586</v>
      </c>
      <c r="I226">
        <f t="shared" si="10"/>
        <v>28.944078606524272</v>
      </c>
    </row>
    <row r="227" spans="1:9">
      <c r="A227" s="1">
        <v>39575</v>
      </c>
      <c r="B227">
        <f>(3/(1+('CurrentPor-N10Unchanged'!B227)/100)+103/POWER(1+('CurrentPor-N10Unchanged'!C227)/100,2))*100</f>
        <v>9707.5857774288397</v>
      </c>
      <c r="C227">
        <f>(3/(1+('CurrentPor-N10Unchanged'!B227+'CurrentPor-N10Unchanged'!F227)/100)+103/POWER(1+('CurrentPor-N10Unchanged'!C227+'CurrentPor-N10Unchanged'!F227)/100,2))*100</f>
        <v>9600.4849750547073</v>
      </c>
      <c r="D227">
        <f>(3/(1+('CurrentPor-N10Unchanged'!B227+'CurrentPor-N10Unchanged'!G227)/100)+103/POWER(1+('CurrentPor-N10Unchanged'!C227+'CurrentPor-N10Unchanged'!G227)/100,2))*100</f>
        <v>9609.1248870239269</v>
      </c>
      <c r="E227">
        <f>(3/(1+('CurrentPor-N10Unchanged'!B227+'CurrentPor-N10Unchanged'!H227)/100)+103/POWER(1+('CurrentPor-N10Unchanged'!C227+'CurrentPor-N10Unchanged'!H227)/100,2))*100</f>
        <v>9592.5744248146493</v>
      </c>
      <c r="F227">
        <f>Portfolio!B$5*'CurrentPor-N10Unchanged'!D227</f>
        <v>52143.895533915893</v>
      </c>
      <c r="G227">
        <f>Portfolio!B$6*'CurrentPor-N10Unchanged'!E227</f>
        <v>3696.2945087936532</v>
      </c>
      <c r="H227">
        <f t="shared" si="9"/>
        <v>94349.960107031671</v>
      </c>
      <c r="I227">
        <f t="shared" si="10"/>
        <v>11.269380216253921</v>
      </c>
    </row>
    <row r="228" spans="1:9">
      <c r="A228" s="1">
        <v>39576</v>
      </c>
      <c r="B228">
        <f>(3/(1+('CurrentPor-N10Unchanged'!B228)/100)+103/POWER(1+('CurrentPor-N10Unchanged'!C228)/100,2))*100</f>
        <v>9707.5857774288397</v>
      </c>
      <c r="C228">
        <f>(3/(1+('CurrentPor-N10Unchanged'!B228+'CurrentPor-N10Unchanged'!F228)/100)+103/POWER(1+('CurrentPor-N10Unchanged'!C228+'CurrentPor-N10Unchanged'!F228)/100,2))*100</f>
        <v>9616.6987850668447</v>
      </c>
      <c r="D228">
        <f>(3/(1+('CurrentPor-N10Unchanged'!B228+'CurrentPor-N10Unchanged'!G228)/100)+103/POWER(1+('CurrentPor-N10Unchanged'!C228+'CurrentPor-N10Unchanged'!G228)/100,2))*100</f>
        <v>9612.9573344534037</v>
      </c>
      <c r="E228">
        <f>(3/(1+('CurrentPor-N10Unchanged'!B228+'CurrentPor-N10Unchanged'!H228)/100)+103/POWER(1+('CurrentPor-N10Unchanged'!C228+'CurrentPor-N10Unchanged'!H228)/100,2))*100</f>
        <v>9608.1366977708349</v>
      </c>
      <c r="F228">
        <f>Portfolio!B$5*'CurrentPor-N10Unchanged'!D228</f>
        <v>52143.895533915893</v>
      </c>
      <c r="G228">
        <f>Portfolio!B$6*'CurrentPor-N10Unchanged'!E228</f>
        <v>3696.2945087936532</v>
      </c>
      <c r="H228">
        <f t="shared" si="9"/>
        <v>94385.568637429475</v>
      </c>
      <c r="I228">
        <f t="shared" si="10"/>
        <v>66.73408963510883</v>
      </c>
    </row>
    <row r="229" spans="1:9">
      <c r="A229" s="1">
        <v>39577</v>
      </c>
      <c r="B229">
        <f>(3/(1+('CurrentPor-N10Unchanged'!B229)/100)+103/POWER(1+('CurrentPor-N10Unchanged'!C229)/100,2))*100</f>
        <v>9707.5857774288397</v>
      </c>
      <c r="C229">
        <f>(3/(1+('CurrentPor-N10Unchanged'!B229+'CurrentPor-N10Unchanged'!F229)/100)+103/POWER(1+('CurrentPor-N10Unchanged'!C229+'CurrentPor-N10Unchanged'!F229)/100,2))*100</f>
        <v>9613.3823110330104</v>
      </c>
      <c r="D229">
        <f>(3/(1+('CurrentPor-N10Unchanged'!B229+'CurrentPor-N10Unchanged'!G229)/100)+103/POWER(1+('CurrentPor-N10Unchanged'!C229+'CurrentPor-N10Unchanged'!G229)/100,2))*100</f>
        <v>9592.4972756452225</v>
      </c>
      <c r="E229">
        <f>(3/(1+('CurrentPor-N10Unchanged'!B229+'CurrentPor-N10Unchanged'!H229)/100)+103/POWER(1+('CurrentPor-N10Unchanged'!C229+'CurrentPor-N10Unchanged'!H229)/100,2))*100</f>
        <v>9604.3911890708969</v>
      </c>
      <c r="F229">
        <f>Portfolio!B$5*'CurrentPor-N10Unchanged'!D229</f>
        <v>52143.895533915893</v>
      </c>
      <c r="G229">
        <f>Portfolio!B$6*'CurrentPor-N10Unchanged'!E229</f>
        <v>3696.2945087936532</v>
      </c>
      <c r="H229">
        <f t="shared" si="9"/>
        <v>94358.046595887514</v>
      </c>
      <c r="I229">
        <f t="shared" si="10"/>
        <v>-3.3398447473009583</v>
      </c>
    </row>
    <row r="230" spans="1:9">
      <c r="A230" s="1">
        <v>39580</v>
      </c>
      <c r="B230">
        <f>(3/(1+('CurrentPor-N10Unchanged'!B230)/100)+103/POWER(1+('CurrentPor-N10Unchanged'!C230)/100,2))*100</f>
        <v>9707.5857774288397</v>
      </c>
      <c r="C230">
        <f>(3/(1+('CurrentPor-N10Unchanged'!B230+'CurrentPor-N10Unchanged'!F230)/100)+103/POWER(1+('CurrentPor-N10Unchanged'!C230+'CurrentPor-N10Unchanged'!F230)/100,2))*100</f>
        <v>9610.3148162799589</v>
      </c>
      <c r="D230">
        <f>(3/(1+('CurrentPor-N10Unchanged'!B230+'CurrentPor-N10Unchanged'!G230)/100)+103/POWER(1+('CurrentPor-N10Unchanged'!C230+'CurrentPor-N10Unchanged'!G230)/100,2))*100</f>
        <v>9578.105454624294</v>
      </c>
      <c r="E230">
        <f>(3/(1+('CurrentPor-N10Unchanged'!B230+'CurrentPor-N10Unchanged'!H230)/100)+103/POWER(1+('CurrentPor-N10Unchanged'!C230+'CurrentPor-N10Unchanged'!H230)/100,2))*100</f>
        <v>9579.7086211593887</v>
      </c>
      <c r="F230">
        <f>Portfolio!B$5*'CurrentPor-N10Unchanged'!D230</f>
        <v>52143.895533915893</v>
      </c>
      <c r="G230">
        <f>Portfolio!B$6*'CurrentPor-N10Unchanged'!E230</f>
        <v>3696.2945087936532</v>
      </c>
      <c r="H230">
        <f t="shared" si="9"/>
        <v>94315.904712202027</v>
      </c>
      <c r="I230">
        <f t="shared" si="10"/>
        <v>-57.40865060055512</v>
      </c>
    </row>
    <row r="231" spans="1:9">
      <c r="A231" s="1">
        <v>39581</v>
      </c>
      <c r="B231">
        <f>(3/(1+('CurrentPor-N10Unchanged'!B231)/100)+103/POWER(1+('CurrentPor-N10Unchanged'!C231)/100,2))*100</f>
        <v>9707.5857774288397</v>
      </c>
      <c r="C231">
        <f>(3/(1+('CurrentPor-N10Unchanged'!B231+'CurrentPor-N10Unchanged'!F231)/100)+103/POWER(1+('CurrentPor-N10Unchanged'!C231+'CurrentPor-N10Unchanged'!F231)/100,2))*100</f>
        <v>9609.2894436580409</v>
      </c>
      <c r="D231">
        <f>(3/(1+('CurrentPor-N10Unchanged'!B231+'CurrentPor-N10Unchanged'!G231)/100)+103/POWER(1+('CurrentPor-N10Unchanged'!C231+'CurrentPor-N10Unchanged'!G231)/100,2))*100</f>
        <v>9595.3554930720566</v>
      </c>
      <c r="E231">
        <f>(3/(1+('CurrentPor-N10Unchanged'!B231+'CurrentPor-N10Unchanged'!H231)/100)+103/POWER(1+('CurrentPor-N10Unchanged'!C231+'CurrentPor-N10Unchanged'!H231)/100,2))*100</f>
        <v>9601.3268974643361</v>
      </c>
      <c r="F231">
        <f>Portfolio!B$5*'CurrentPor-N10Unchanged'!D231</f>
        <v>52143.895533915893</v>
      </c>
      <c r="G231">
        <f>Portfolio!B$6*'CurrentPor-N10Unchanged'!E231</f>
        <v>3696.2945087936532</v>
      </c>
      <c r="H231">
        <f t="shared" si="9"/>
        <v>94353.747654332808</v>
      </c>
      <c r="I231">
        <f t="shared" si="10"/>
        <v>-3.8366377881320659</v>
      </c>
    </row>
    <row r="232" spans="1:9">
      <c r="A232" s="1">
        <v>39582</v>
      </c>
      <c r="B232">
        <f>(3/(1+('CurrentPor-N10Unchanged'!B232)/100)+103/POWER(1+('CurrentPor-N10Unchanged'!C232)/100,2))*100</f>
        <v>9707.5857774288397</v>
      </c>
      <c r="C232">
        <f>(3/(1+('CurrentPor-N10Unchanged'!B232+'CurrentPor-N10Unchanged'!F232)/100)+103/POWER(1+('CurrentPor-N10Unchanged'!C232+'CurrentPor-N10Unchanged'!F232)/100,2))*100</f>
        <v>9617.1018104964878</v>
      </c>
      <c r="D232">
        <f>(3/(1+('CurrentPor-N10Unchanged'!B232+'CurrentPor-N10Unchanged'!G232)/100)+103/POWER(1+('CurrentPor-N10Unchanged'!C232+'CurrentPor-N10Unchanged'!G232)/100,2))*100</f>
        <v>9609.6272170161847</v>
      </c>
      <c r="E232">
        <f>(3/(1+('CurrentPor-N10Unchanged'!B232+'CurrentPor-N10Unchanged'!H232)/100)+103/POWER(1+('CurrentPor-N10Unchanged'!C232+'CurrentPor-N10Unchanged'!H232)/100,2))*100</f>
        <v>9581.9690737215078</v>
      </c>
      <c r="F232">
        <f>Portfolio!B$5*'CurrentPor-N10Unchanged'!D232</f>
        <v>52143.895533915893</v>
      </c>
      <c r="G232">
        <f>Portfolio!B$6*'CurrentPor-N10Unchanged'!E232</f>
        <v>3696.2945087936532</v>
      </c>
      <c r="H232">
        <f t="shared" si="9"/>
        <v>94356.473921372555</v>
      </c>
      <c r="I232">
        <f t="shared" si="10"/>
        <v>20.115477268918767</v>
      </c>
    </row>
    <row r="233" spans="1:9">
      <c r="A233" s="1">
        <v>39583</v>
      </c>
      <c r="B233">
        <f>(3/(1+('CurrentPor-N10Unchanged'!B233)/100)+103/POWER(1+('CurrentPor-N10Unchanged'!C233)/100,2))*100</f>
        <v>9707.5857774288397</v>
      </c>
      <c r="C233">
        <f>(3/(1+('CurrentPor-N10Unchanged'!B233+'CurrentPor-N10Unchanged'!F233)/100)+103/POWER(1+('CurrentPor-N10Unchanged'!C233+'CurrentPor-N10Unchanged'!F233)/100,2))*100</f>
        <v>9610.4889415979742</v>
      </c>
      <c r="D233">
        <f>(3/(1+('CurrentPor-N10Unchanged'!B233+'CurrentPor-N10Unchanged'!G233)/100)+103/POWER(1+('CurrentPor-N10Unchanged'!C233+'CurrentPor-N10Unchanged'!G233)/100,2))*100</f>
        <v>9590.5172816951799</v>
      </c>
      <c r="E233">
        <f>(3/(1+('CurrentPor-N10Unchanged'!B233+'CurrentPor-N10Unchanged'!H233)/100)+103/POWER(1+('CurrentPor-N10Unchanged'!C233+'CurrentPor-N10Unchanged'!H233)/100,2))*100</f>
        <v>9569.2267198995778</v>
      </c>
      <c r="F233">
        <f>Portfolio!B$5*'CurrentPor-N10Unchanged'!D233</f>
        <v>52143.895533915893</v>
      </c>
      <c r="G233">
        <f>Portfolio!B$6*'CurrentPor-N10Unchanged'!E233</f>
        <v>3696.2945087936532</v>
      </c>
      <c r="H233">
        <f t="shared" si="9"/>
        <v>94318.00876333112</v>
      </c>
      <c r="I233">
        <f t="shared" si="10"/>
        <v>-20.522801349725341</v>
      </c>
    </row>
    <row r="234" spans="1:9">
      <c r="A234" s="1">
        <v>39584</v>
      </c>
      <c r="B234">
        <f>(3/(1+('CurrentPor-N10Unchanged'!B234)/100)+103/POWER(1+('CurrentPor-N10Unchanged'!C234)/100,2))*100</f>
        <v>9707.5857774288397</v>
      </c>
      <c r="C234">
        <f>(3/(1+('CurrentPor-N10Unchanged'!B234+'CurrentPor-N10Unchanged'!F234)/100)+103/POWER(1+('CurrentPor-N10Unchanged'!C234+'CurrentPor-N10Unchanged'!F234)/100,2))*100</f>
        <v>9621.1739891568268</v>
      </c>
      <c r="D234">
        <f>(3/(1+('CurrentPor-N10Unchanged'!B234+'CurrentPor-N10Unchanged'!G234)/100)+103/POWER(1+('CurrentPor-N10Unchanged'!C234+'CurrentPor-N10Unchanged'!G234)/100,2))*100</f>
        <v>9597.9623464855722</v>
      </c>
      <c r="E234">
        <f>(3/(1+('CurrentPor-N10Unchanged'!B234+'CurrentPor-N10Unchanged'!H234)/100)+103/POWER(1+('CurrentPor-N10Unchanged'!C234+'CurrentPor-N10Unchanged'!H234)/100,2))*100</f>
        <v>9581.4267616700872</v>
      </c>
      <c r="F234">
        <f>Portfolio!B$5*'CurrentPor-N10Unchanged'!D234</f>
        <v>52143.895533915893</v>
      </c>
      <c r="G234">
        <f>Portfolio!B$6*'CurrentPor-N10Unchanged'!E234</f>
        <v>3696.2945087936532</v>
      </c>
      <c r="H234">
        <f t="shared" si="9"/>
        <v>94348.338917450863</v>
      </c>
      <c r="I234">
        <f t="shared" si="10"/>
        <v>14.181660200440092</v>
      </c>
    </row>
    <row r="235" spans="1:9">
      <c r="A235" s="1">
        <v>39587</v>
      </c>
      <c r="B235">
        <f>(3/(1+('CurrentPor-N10Unchanged'!B235)/100)+103/POWER(1+('CurrentPor-N10Unchanged'!C235)/100,2))*100</f>
        <v>9707.5857774288397</v>
      </c>
      <c r="C235">
        <f>(3/(1+('CurrentPor-N10Unchanged'!B235+'CurrentPor-N10Unchanged'!F235)/100)+103/POWER(1+('CurrentPor-N10Unchanged'!C235+'CurrentPor-N10Unchanged'!F235)/100,2))*100</f>
        <v>9610.7119523746369</v>
      </c>
      <c r="D235">
        <f>(3/(1+('CurrentPor-N10Unchanged'!B235+'CurrentPor-N10Unchanged'!G235)/100)+103/POWER(1+('CurrentPor-N10Unchanged'!C235+'CurrentPor-N10Unchanged'!G235)/100,2))*100</f>
        <v>9592.122274024674</v>
      </c>
      <c r="E235">
        <f>(3/(1+('CurrentPor-N10Unchanged'!B235+'CurrentPor-N10Unchanged'!H235)/100)+103/POWER(1+('CurrentPor-N10Unchanged'!C235+'CurrentPor-N10Unchanged'!H235)/100,2))*100</f>
        <v>9595.6029597249562</v>
      </c>
      <c r="F235">
        <f>Portfolio!B$5*'CurrentPor-N10Unchanged'!D235</f>
        <v>52143.895533915893</v>
      </c>
      <c r="G235">
        <f>Portfolio!B$6*'CurrentPor-N10Unchanged'!E235</f>
        <v>3696.2945087936532</v>
      </c>
      <c r="H235">
        <f t="shared" si="9"/>
        <v>94346.213006262653</v>
      </c>
      <c r="I235">
        <f t="shared" si="10"/>
        <v>-10.507966812074301</v>
      </c>
    </row>
    <row r="236" spans="1:9">
      <c r="A236" s="1">
        <v>39588</v>
      </c>
      <c r="B236">
        <f>(3/(1+('CurrentPor-N10Unchanged'!B236)/100)+103/POWER(1+('CurrentPor-N10Unchanged'!C236)/100,2))*100</f>
        <v>9707.5857774288397</v>
      </c>
      <c r="C236">
        <f>(3/(1+('CurrentPor-N10Unchanged'!B236+'CurrentPor-N10Unchanged'!F236)/100)+103/POWER(1+('CurrentPor-N10Unchanged'!C236+'CurrentPor-N10Unchanged'!F236)/100,2))*100</f>
        <v>9624.0740918768715</v>
      </c>
      <c r="D236">
        <f>(3/(1+('CurrentPor-N10Unchanged'!B236+'CurrentPor-N10Unchanged'!G236)/100)+103/POWER(1+('CurrentPor-N10Unchanged'!C236+'CurrentPor-N10Unchanged'!G236)/100,2))*100</f>
        <v>9595.5558428866134</v>
      </c>
      <c r="E236">
        <f>(3/(1+('CurrentPor-N10Unchanged'!B236+'CurrentPor-N10Unchanged'!H236)/100)+103/POWER(1+('CurrentPor-N10Unchanged'!C236+'CurrentPor-N10Unchanged'!H236)/100,2))*100</f>
        <v>9579.699866358982</v>
      </c>
      <c r="F236">
        <f>Portfolio!B$5*'CurrentPor-N10Unchanged'!D236</f>
        <v>52143.895533915893</v>
      </c>
      <c r="G236">
        <f>Portfolio!B$6*'CurrentPor-N10Unchanged'!E236</f>
        <v>3696.2945087936532</v>
      </c>
      <c r="H236">
        <f t="shared" si="9"/>
        <v>94347.105621260853</v>
      </c>
      <c r="I236">
        <f t="shared" si="10"/>
        <v>2.8995111272670329</v>
      </c>
    </row>
    <row r="237" spans="1:9">
      <c r="A237" s="1">
        <v>39589</v>
      </c>
      <c r="B237">
        <f>(3/(1+('CurrentPor-N10Unchanged'!B237)/100)+103/POWER(1+('CurrentPor-N10Unchanged'!C237)/100,2))*100</f>
        <v>9707.5857774288397</v>
      </c>
      <c r="C237">
        <f>(3/(1+('CurrentPor-N10Unchanged'!B237+'CurrentPor-N10Unchanged'!F237)/100)+103/POWER(1+('CurrentPor-N10Unchanged'!C237+'CurrentPor-N10Unchanged'!F237)/100,2))*100</f>
        <v>9624.9180801302864</v>
      </c>
      <c r="D237">
        <f>(3/(1+('CurrentPor-N10Unchanged'!B237+'CurrentPor-N10Unchanged'!G237)/100)+103/POWER(1+('CurrentPor-N10Unchanged'!C237+'CurrentPor-N10Unchanged'!G237)/100,2))*100</f>
        <v>9573.6898972544241</v>
      </c>
      <c r="E237">
        <f>(3/(1+('CurrentPor-N10Unchanged'!B237+'CurrentPor-N10Unchanged'!H237)/100)+103/POWER(1+('CurrentPor-N10Unchanged'!C237+'CurrentPor-N10Unchanged'!H237)/100,2))*100</f>
        <v>9570.9461275553749</v>
      </c>
      <c r="F237">
        <f>Portfolio!B$5*'CurrentPor-N10Unchanged'!D237</f>
        <v>52143.895533915893</v>
      </c>
      <c r="G237">
        <f>Portfolio!B$6*'CurrentPor-N10Unchanged'!E237</f>
        <v>3696.2945087936532</v>
      </c>
      <c r="H237">
        <f t="shared" si="9"/>
        <v>94317.329925078462</v>
      </c>
      <c r="I237">
        <f t="shared" si="10"/>
        <v>-32.630181953209103</v>
      </c>
    </row>
    <row r="238" spans="1:9">
      <c r="A238" s="1">
        <v>39590</v>
      </c>
      <c r="B238">
        <f>(3/(1+('CurrentPor-N10Unchanged'!B238)/100)+103/POWER(1+('CurrentPor-N10Unchanged'!C238)/100,2))*100</f>
        <v>9707.5857774288397</v>
      </c>
      <c r="C238">
        <f>(3/(1+('CurrentPor-N10Unchanged'!B238+'CurrentPor-N10Unchanged'!F238)/100)+103/POWER(1+('CurrentPor-N10Unchanged'!C238+'CurrentPor-N10Unchanged'!F238)/100,2))*100</f>
        <v>9599.4296730716196</v>
      </c>
      <c r="D238">
        <f>(3/(1+('CurrentPor-N10Unchanged'!B238+'CurrentPor-N10Unchanged'!G238)/100)+103/POWER(1+('CurrentPor-N10Unchanged'!C238+'CurrentPor-N10Unchanged'!G238)/100,2))*100</f>
        <v>9606.626461151207</v>
      </c>
      <c r="E238">
        <f>(3/(1+('CurrentPor-N10Unchanged'!B238+'CurrentPor-N10Unchanged'!H238)/100)+103/POWER(1+('CurrentPor-N10Unchanged'!C238+'CurrentPor-N10Unchanged'!H238)/100,2))*100</f>
        <v>9573.4998134274629</v>
      </c>
      <c r="F238">
        <f>Portfolio!B$5*'CurrentPor-N10Unchanged'!D238</f>
        <v>52143.895533915893</v>
      </c>
      <c r="G238">
        <f>Portfolio!B$6*'CurrentPor-N10Unchanged'!E238</f>
        <v>3696.2945087936532</v>
      </c>
      <c r="H238">
        <f t="shared" si="9"/>
        <v>94327.331767788681</v>
      </c>
      <c r="I238">
        <f t="shared" si="10"/>
        <v>-58.236869640793884</v>
      </c>
    </row>
    <row r="239" spans="1:9">
      <c r="A239" s="1">
        <v>39591</v>
      </c>
      <c r="B239">
        <f>(3/(1+('CurrentPor-N10Unchanged'!B239)/100)+103/POWER(1+('CurrentPor-N10Unchanged'!C239)/100,2))*100</f>
        <v>9707.5857774288397</v>
      </c>
      <c r="C239">
        <f>(3/(1+('CurrentPor-N10Unchanged'!B239+'CurrentPor-N10Unchanged'!F239)/100)+103/POWER(1+('CurrentPor-N10Unchanged'!C239+'CurrentPor-N10Unchanged'!F239)/100,2))*100</f>
        <v>9610.1684700564056</v>
      </c>
      <c r="D239">
        <f>(3/(1+('CurrentPor-N10Unchanged'!B239+'CurrentPor-N10Unchanged'!G239)/100)+103/POWER(1+('CurrentPor-N10Unchanged'!C239+'CurrentPor-N10Unchanged'!G239)/100,2))*100</f>
        <v>9606.6661210218208</v>
      </c>
      <c r="E239">
        <f>(3/(1+('CurrentPor-N10Unchanged'!B239+'CurrentPor-N10Unchanged'!H239)/100)+103/POWER(1+('CurrentPor-N10Unchanged'!C239+'CurrentPor-N10Unchanged'!H239)/100,2))*100</f>
        <v>9542.1363574169991</v>
      </c>
      <c r="F239">
        <f>Portfolio!B$5*'CurrentPor-N10Unchanged'!D239</f>
        <v>52143.895533915893</v>
      </c>
      <c r="G239">
        <f>Portfolio!B$6*'CurrentPor-N10Unchanged'!E239</f>
        <v>3696.2945087936532</v>
      </c>
      <c r="H239">
        <f t="shared" si="9"/>
        <v>94306.746768633602</v>
      </c>
      <c r="I239">
        <f t="shared" si="10"/>
        <v>-51.299827253911644</v>
      </c>
    </row>
    <row r="240" spans="1:9">
      <c r="A240" s="1">
        <v>39594</v>
      </c>
      <c r="B240">
        <f>(3/(1+('CurrentPor-N10Unchanged'!B240)/100)+103/POWER(1+('CurrentPor-N10Unchanged'!C240)/100,2))*100</f>
        <v>9707.5857774288397</v>
      </c>
      <c r="C240">
        <f>(3/(1+('CurrentPor-N10Unchanged'!B240+'CurrentPor-N10Unchanged'!F240)/100)+103/POWER(1+('CurrentPor-N10Unchanged'!C240+'CurrentPor-N10Unchanged'!F240)/100,2))*100</f>
        <v>9618.99459687116</v>
      </c>
      <c r="D240">
        <f>(3/(1+('CurrentPor-N10Unchanged'!B240+'CurrentPor-N10Unchanged'!G240)/100)+103/POWER(1+('CurrentPor-N10Unchanged'!C240+'CurrentPor-N10Unchanged'!G240)/100,2))*100</f>
        <v>9587.7124416595288</v>
      </c>
      <c r="E240">
        <f>(3/(1+('CurrentPor-N10Unchanged'!B240+'CurrentPor-N10Unchanged'!H240)/100)+103/POWER(1+('CurrentPor-N10Unchanged'!C240+'CurrentPor-N10Unchanged'!H240)/100,2))*100</f>
        <v>9588.3540548551664</v>
      </c>
      <c r="F240">
        <f>Portfolio!B$5*'CurrentPor-N10Unchanged'!D240</f>
        <v>52143.895533915893</v>
      </c>
      <c r="G240">
        <f>Portfolio!B$6*'CurrentPor-N10Unchanged'!E240</f>
        <v>3696.2945087936532</v>
      </c>
      <c r="H240">
        <f t="shared" si="9"/>
        <v>94342.836913524239</v>
      </c>
      <c r="I240">
        <f t="shared" si="10"/>
        <v>26.932201322211768</v>
      </c>
    </row>
    <row r="241" spans="1:9">
      <c r="A241" s="1">
        <v>39595</v>
      </c>
      <c r="B241">
        <f>(3/(1+('CurrentPor-N10Unchanged'!B241)/100)+103/POWER(1+('CurrentPor-N10Unchanged'!C241)/100,2))*100</f>
        <v>9707.5857774288397</v>
      </c>
      <c r="C241">
        <f>(3/(1+('CurrentPor-N10Unchanged'!B241+'CurrentPor-N10Unchanged'!F241)/100)+103/POWER(1+('CurrentPor-N10Unchanged'!C241+'CurrentPor-N10Unchanged'!F241)/100,2))*100</f>
        <v>9613.9033937767072</v>
      </c>
      <c r="D241">
        <f>(3/(1+('CurrentPor-N10Unchanged'!B241+'CurrentPor-N10Unchanged'!G241)/100)+103/POWER(1+('CurrentPor-N10Unchanged'!C241+'CurrentPor-N10Unchanged'!G241)/100,2))*100</f>
        <v>9598.3868747017186</v>
      </c>
      <c r="E241">
        <f>(3/(1+('CurrentPor-N10Unchanged'!B241+'CurrentPor-N10Unchanged'!H241)/100)+103/POWER(1+('CurrentPor-N10Unchanged'!C241+'CurrentPor-N10Unchanged'!H241)/100,2))*100</f>
        <v>9591.8349539607079</v>
      </c>
      <c r="F241">
        <f>Portfolio!B$5*'CurrentPor-N10Unchanged'!D241</f>
        <v>52143.895533915893</v>
      </c>
      <c r="G241">
        <f>Portfolio!B$6*'CurrentPor-N10Unchanged'!E241</f>
        <v>3696.2945087936532</v>
      </c>
      <c r="H241">
        <f t="shared" si="9"/>
        <v>94351.90104257752</v>
      </c>
      <c r="I241">
        <f t="shared" si="10"/>
        <v>-1.8466117552889045</v>
      </c>
    </row>
    <row r="242" spans="1:9">
      <c r="A242" s="1">
        <v>39596</v>
      </c>
      <c r="B242">
        <f>(3/(1+('CurrentPor-N10Unchanged'!B242)/100)+103/POWER(1+('CurrentPor-N10Unchanged'!C242)/100,2))*100</f>
        <v>9707.5857774288397</v>
      </c>
      <c r="C242">
        <f>(3/(1+('CurrentPor-N10Unchanged'!B242+'CurrentPor-N10Unchanged'!F242)/100)+103/POWER(1+('CurrentPor-N10Unchanged'!C242+'CurrentPor-N10Unchanged'!F242)/100,2))*100</f>
        <v>9625.4161334138735</v>
      </c>
      <c r="D242">
        <f>(3/(1+('CurrentPor-N10Unchanged'!B242+'CurrentPor-N10Unchanged'!G242)/100)+103/POWER(1+('CurrentPor-N10Unchanged'!C242+'CurrentPor-N10Unchanged'!G242)/100,2))*100</f>
        <v>9599.1313625298044</v>
      </c>
      <c r="E242">
        <f>(3/(1+('CurrentPor-N10Unchanged'!B242+'CurrentPor-N10Unchanged'!H242)/100)+103/POWER(1+('CurrentPor-N10Unchanged'!C242+'CurrentPor-N10Unchanged'!H242)/100,2))*100</f>
        <v>9588.7917258984944</v>
      </c>
      <c r="F242">
        <f>Portfolio!B$5*'CurrentPor-N10Unchanged'!D242</f>
        <v>52143.895533915893</v>
      </c>
      <c r="G242">
        <f>Portfolio!B$6*'CurrentPor-N10Unchanged'!E242</f>
        <v>3696.2945087936532</v>
      </c>
      <c r="H242">
        <f t="shared" si="9"/>
        <v>94361.115041980564</v>
      </c>
      <c r="I242">
        <f t="shared" si="10"/>
        <v>4.6411206080083502</v>
      </c>
    </row>
    <row r="243" spans="1:9">
      <c r="A243" s="1">
        <v>39597</v>
      </c>
      <c r="B243">
        <f>(3/(1+('CurrentPor-N10Unchanged'!B243)/100)+103/POWER(1+('CurrentPor-N10Unchanged'!C243)/100,2))*100</f>
        <v>9707.5857774288397</v>
      </c>
      <c r="C243">
        <f>(3/(1+('CurrentPor-N10Unchanged'!B243+'CurrentPor-N10Unchanged'!F243)/100)+103/POWER(1+('CurrentPor-N10Unchanged'!C243+'CurrentPor-N10Unchanged'!F243)/100,2))*100</f>
        <v>9612.5836003423738</v>
      </c>
      <c r="D243">
        <f>(3/(1+('CurrentPor-N10Unchanged'!B243+'CurrentPor-N10Unchanged'!G243)/100)+103/POWER(1+('CurrentPor-N10Unchanged'!C243+'CurrentPor-N10Unchanged'!G243)/100,2))*100</f>
        <v>9604.9633613182559</v>
      </c>
      <c r="E243">
        <f>(3/(1+('CurrentPor-N10Unchanged'!B243+'CurrentPor-N10Unchanged'!H243)/100)+103/POWER(1+('CurrentPor-N10Unchanged'!C243+'CurrentPor-N10Unchanged'!H243)/100,2))*100</f>
        <v>9570.1156985625712</v>
      </c>
      <c r="F243">
        <f>Portfolio!B$5*'CurrentPor-N10Unchanged'!D243</f>
        <v>52143.895533915893</v>
      </c>
      <c r="G243">
        <f>Portfolio!B$6*'CurrentPor-N10Unchanged'!E243</f>
        <v>3696.2945087936532</v>
      </c>
      <c r="H243">
        <f t="shared" si="9"/>
        <v>94335.438480361598</v>
      </c>
      <c r="I243">
        <f t="shared" si="10"/>
        <v>17.429717030478059</v>
      </c>
    </row>
    <row r="244" spans="1:9">
      <c r="A244" s="1">
        <v>39598</v>
      </c>
      <c r="B244">
        <f>(3/(1+('CurrentPor-N10Unchanged'!B244)/100)+103/POWER(1+('CurrentPor-N10Unchanged'!C244)/100,2))*100</f>
        <v>9707.5857774288397</v>
      </c>
      <c r="C244">
        <f>(3/(1+('CurrentPor-N10Unchanged'!B244+'CurrentPor-N10Unchanged'!F244)/100)+103/POWER(1+('CurrentPor-N10Unchanged'!C244+'CurrentPor-N10Unchanged'!F244)/100,2))*100</f>
        <v>9610.7949022363537</v>
      </c>
      <c r="D244">
        <f>(3/(1+('CurrentPor-N10Unchanged'!B244+'CurrentPor-N10Unchanged'!G244)/100)+103/POWER(1+('CurrentPor-N10Unchanged'!C244+'CurrentPor-N10Unchanged'!G244)/100,2))*100</f>
        <v>9611.590742659404</v>
      </c>
      <c r="E244">
        <f>(3/(1+('CurrentPor-N10Unchanged'!B244+'CurrentPor-N10Unchanged'!H244)/100)+103/POWER(1+('CurrentPor-N10Unchanged'!C244+'CurrentPor-N10Unchanged'!H244)/100,2))*100</f>
        <v>9572.6075377841116</v>
      </c>
      <c r="F244">
        <f>Portfolio!B$5*'CurrentPor-N10Unchanged'!D244</f>
        <v>52143.895533915893</v>
      </c>
      <c r="G244">
        <f>Portfolio!B$6*'CurrentPor-N10Unchanged'!E244</f>
        <v>3696.2945087936532</v>
      </c>
      <c r="H244">
        <f t="shared" si="9"/>
        <v>94342.769002818255</v>
      </c>
      <c r="I244">
        <f t="shared" si="10"/>
        <v>-5.5699146326078335</v>
      </c>
    </row>
    <row r="245" spans="1:9">
      <c r="A245" s="1">
        <v>39601</v>
      </c>
      <c r="B245">
        <f>(3/(1+('CurrentPor-N10Unchanged'!B245)/100)+103/POWER(1+('CurrentPor-N10Unchanged'!C245)/100,2))*100</f>
        <v>9707.5857774288397</v>
      </c>
      <c r="C245">
        <f>(3/(1+('CurrentPor-N10Unchanged'!B245+'CurrentPor-N10Unchanged'!F245)/100)+103/POWER(1+('CurrentPor-N10Unchanged'!C245+'CurrentPor-N10Unchanged'!F245)/100,2))*100</f>
        <v>9618.2044676139903</v>
      </c>
      <c r="D245">
        <f>(3/(1+('CurrentPor-N10Unchanged'!B245+'CurrentPor-N10Unchanged'!G245)/100)+103/POWER(1+('CurrentPor-N10Unchanged'!C245+'CurrentPor-N10Unchanged'!G245)/100,2))*100</f>
        <v>9598.5911506667453</v>
      </c>
      <c r="E245">
        <f>(3/(1+('CurrentPor-N10Unchanged'!B245+'CurrentPor-N10Unchanged'!H245)/100)+103/POWER(1+('CurrentPor-N10Unchanged'!C245+'CurrentPor-N10Unchanged'!H245)/100,2))*100</f>
        <v>9590.569955629373</v>
      </c>
      <c r="F245">
        <f>Portfolio!B$5*'CurrentPor-N10Unchanged'!D245</f>
        <v>52143.895533915893</v>
      </c>
      <c r="G245">
        <f>Portfolio!B$6*'CurrentPor-N10Unchanged'!E245</f>
        <v>3696.2945087936532</v>
      </c>
      <c r="H245">
        <f t="shared" si="9"/>
        <v>94355.141394048493</v>
      </c>
      <c r="I245">
        <f t="shared" si="10"/>
        <v>8.9283877858397318</v>
      </c>
    </row>
    <row r="246" spans="1:9">
      <c r="A246" s="1">
        <v>39602</v>
      </c>
      <c r="B246">
        <f>(3/(1+('CurrentPor-N10Unchanged'!B246)/100)+103/POWER(1+('CurrentPor-N10Unchanged'!C246)/100,2))*100</f>
        <v>9707.5857774288397</v>
      </c>
      <c r="C246">
        <f>(3/(1+('CurrentPor-N10Unchanged'!B246+'CurrentPor-N10Unchanged'!F246)/100)+103/POWER(1+('CurrentPor-N10Unchanged'!C246+'CurrentPor-N10Unchanged'!F246)/100,2))*100</f>
        <v>9612.3421398179962</v>
      </c>
      <c r="D246">
        <f>(3/(1+('CurrentPor-N10Unchanged'!B246+'CurrentPor-N10Unchanged'!G246)/100)+103/POWER(1+('CurrentPor-N10Unchanged'!C246+'CurrentPor-N10Unchanged'!G246)/100,2))*100</f>
        <v>9589.6233012548473</v>
      </c>
      <c r="E246">
        <f>(3/(1+('CurrentPor-N10Unchanged'!B246+'CurrentPor-N10Unchanged'!H246)/100)+103/POWER(1+('CurrentPor-N10Unchanged'!C246+'CurrentPor-N10Unchanged'!H246)/100,2))*100</f>
        <v>9591.6073825056264</v>
      </c>
      <c r="F246">
        <f>Portfolio!B$5*'CurrentPor-N10Unchanged'!D246</f>
        <v>52143.895533915893</v>
      </c>
      <c r="G246">
        <f>Portfolio!B$6*'CurrentPor-N10Unchanged'!E246</f>
        <v>3696.2945087936532</v>
      </c>
      <c r="H246">
        <f t="shared" si="9"/>
        <v>94341.348643716861</v>
      </c>
      <c r="I246">
        <f t="shared" si="10"/>
        <v>-5.7569775439915247</v>
      </c>
    </row>
    <row r="247" spans="1:9">
      <c r="A247" s="1">
        <v>39603</v>
      </c>
      <c r="B247">
        <f>(3/(1+('CurrentPor-N10Unchanged'!B247)/100)+103/POWER(1+('CurrentPor-N10Unchanged'!C247)/100,2))*100</f>
        <v>9707.5857774288397</v>
      </c>
      <c r="C247">
        <f>(3/(1+('CurrentPor-N10Unchanged'!B247+'CurrentPor-N10Unchanged'!F247)/100)+103/POWER(1+('CurrentPor-N10Unchanged'!C247+'CurrentPor-N10Unchanged'!F247)/100,2))*100</f>
        <v>9617.0693947829204</v>
      </c>
      <c r="D247">
        <f>(3/(1+('CurrentPor-N10Unchanged'!B247+'CurrentPor-N10Unchanged'!G247)/100)+103/POWER(1+('CurrentPor-N10Unchanged'!C247+'CurrentPor-N10Unchanged'!G247)/100,2))*100</f>
        <v>9606.1838073545041</v>
      </c>
      <c r="E247">
        <f>(3/(1+('CurrentPor-N10Unchanged'!B247+'CurrentPor-N10Unchanged'!H247)/100)+103/POWER(1+('CurrentPor-N10Unchanged'!C247+'CurrentPor-N10Unchanged'!H247)/100,2))*100</f>
        <v>9591.4190622700244</v>
      </c>
      <c r="F247">
        <f>Portfolio!B$5*'CurrentPor-N10Unchanged'!D247</f>
        <v>52143.895533915893</v>
      </c>
      <c r="G247">
        <f>Portfolio!B$6*'CurrentPor-N10Unchanged'!E247</f>
        <v>3696.2945087936532</v>
      </c>
      <c r="H247">
        <f t="shared" si="9"/>
        <v>94362.448084545831</v>
      </c>
      <c r="I247">
        <f t="shared" si="10"/>
        <v>45.118159467368969</v>
      </c>
    </row>
    <row r="248" spans="1:9">
      <c r="A248" s="1">
        <v>39604</v>
      </c>
      <c r="B248">
        <f>(3/(1+('CurrentPor-N10Unchanged'!B248)/100)+103/POWER(1+('CurrentPor-N10Unchanged'!C248)/100,2))*100</f>
        <v>9707.5857774288397</v>
      </c>
      <c r="C248">
        <f>(3/(1+('CurrentPor-N10Unchanged'!B248+'CurrentPor-N10Unchanged'!F248)/100)+103/POWER(1+('CurrentPor-N10Unchanged'!C248+'CurrentPor-N10Unchanged'!F248)/100,2))*100</f>
        <v>9600.6055538915498</v>
      </c>
      <c r="D248">
        <f>(3/(1+('CurrentPor-N10Unchanged'!B248+'CurrentPor-N10Unchanged'!G248)/100)+103/POWER(1+('CurrentPor-N10Unchanged'!C248+'CurrentPor-N10Unchanged'!G248)/100,2))*100</f>
        <v>9600.3996326312554</v>
      </c>
      <c r="E248">
        <f>(3/(1+('CurrentPor-N10Unchanged'!B248+'CurrentPor-N10Unchanged'!H248)/100)+103/POWER(1+('CurrentPor-N10Unchanged'!C248+'CurrentPor-N10Unchanged'!H248)/100,2))*100</f>
        <v>9589.8730168927523</v>
      </c>
      <c r="F248">
        <f>Portfolio!B$5*'CurrentPor-N10Unchanged'!D248</f>
        <v>52143.895533915893</v>
      </c>
      <c r="G248">
        <f>Portfolio!B$6*'CurrentPor-N10Unchanged'!E248</f>
        <v>3696.2945087936532</v>
      </c>
      <c r="H248">
        <f t="shared" si="9"/>
        <v>94338.654023553943</v>
      </c>
      <c r="I248">
        <f t="shared" si="10"/>
        <v>11.322255765262526</v>
      </c>
    </row>
    <row r="249" spans="1:9">
      <c r="A249" s="1">
        <v>39605</v>
      </c>
      <c r="B249">
        <f>(3/(1+('CurrentPor-N10Unchanged'!B249)/100)+103/POWER(1+('CurrentPor-N10Unchanged'!C249)/100,2))*100</f>
        <v>9707.5857774288397</v>
      </c>
      <c r="C249">
        <f>(3/(1+('CurrentPor-N10Unchanged'!B249+'CurrentPor-N10Unchanged'!F249)/100)+103/POWER(1+('CurrentPor-N10Unchanged'!C249+'CurrentPor-N10Unchanged'!F249)/100,2))*100</f>
        <v>9615.4336965359762</v>
      </c>
      <c r="D249">
        <f>(3/(1+('CurrentPor-N10Unchanged'!B249+'CurrentPor-N10Unchanged'!G249)/100)+103/POWER(1+('CurrentPor-N10Unchanged'!C249+'CurrentPor-N10Unchanged'!G249)/100,2))*100</f>
        <v>9592.2508943256871</v>
      </c>
      <c r="E249">
        <f>(3/(1+('CurrentPor-N10Unchanged'!B249+'CurrentPor-N10Unchanged'!H249)/100)+103/POWER(1+('CurrentPor-N10Unchanged'!C249+'CurrentPor-N10Unchanged'!H249)/100,2))*100</f>
        <v>9602.2079674607048</v>
      </c>
      <c r="F249">
        <f>Portfolio!B$5*'CurrentPor-N10Unchanged'!D249</f>
        <v>52143.895533915893</v>
      </c>
      <c r="G249">
        <f>Portfolio!B$6*'CurrentPor-N10Unchanged'!E249</f>
        <v>3696.2945087936532</v>
      </c>
      <c r="H249">
        <f t="shared" si="9"/>
        <v>94357.668378460745</v>
      </c>
      <c r="I249">
        <f t="shared" si="10"/>
        <v>50.921609827142674</v>
      </c>
    </row>
    <row r="250" spans="1:9">
      <c r="A250" s="1">
        <v>39608</v>
      </c>
      <c r="B250">
        <f>(3/(1+('CurrentPor-N10Unchanged'!B250)/100)+103/POWER(1+('CurrentPor-N10Unchanged'!C250)/100,2))*100</f>
        <v>9707.5857774288397</v>
      </c>
      <c r="C250">
        <f>(3/(1+('CurrentPor-N10Unchanged'!B250+'CurrentPor-N10Unchanged'!F250)/100)+103/POWER(1+('CurrentPor-N10Unchanged'!C250+'CurrentPor-N10Unchanged'!F250)/100,2))*100</f>
        <v>9619.5479803123617</v>
      </c>
      <c r="D250">
        <f>(3/(1+('CurrentPor-N10Unchanged'!B250+'CurrentPor-N10Unchanged'!G250)/100)+103/POWER(1+('CurrentPor-N10Unchanged'!C250+'CurrentPor-N10Unchanged'!G250)/100,2))*100</f>
        <v>9591.4939918914934</v>
      </c>
      <c r="E250">
        <f>(3/(1+('CurrentPor-N10Unchanged'!B250+'CurrentPor-N10Unchanged'!H250)/100)+103/POWER(1+('CurrentPor-N10Unchanged'!C250+'CurrentPor-N10Unchanged'!H250)/100,2))*100</f>
        <v>9576.0937379574352</v>
      </c>
      <c r="F250">
        <f>Portfolio!B$5*'CurrentPor-N10Unchanged'!D250</f>
        <v>52143.895533915893</v>
      </c>
      <c r="G250">
        <f>Portfolio!B$6*'CurrentPor-N10Unchanged'!E250</f>
        <v>3696.2945087936532</v>
      </c>
      <c r="H250">
        <f t="shared" si="9"/>
        <v>94334.911530299665</v>
      </c>
      <c r="I250">
        <f t="shared" si="10"/>
        <v>-7.9253832245740341</v>
      </c>
    </row>
    <row r="251" spans="1:9">
      <c r="A251" s="1">
        <v>39609</v>
      </c>
      <c r="B251">
        <f>(3/(1+('CurrentPor-N10Unchanged'!B251)/100)+103/POWER(1+('CurrentPor-N10Unchanged'!C251)/100,2))*100</f>
        <v>9707.5857774288397</v>
      </c>
      <c r="C251">
        <f>(3/(1+('CurrentPor-N10Unchanged'!B251+'CurrentPor-N10Unchanged'!F251)/100)+103/POWER(1+('CurrentPor-N10Unchanged'!C251+'CurrentPor-N10Unchanged'!F251)/100,2))*100</f>
        <v>9623.7893664719759</v>
      </c>
      <c r="D251">
        <f>(3/(1+('CurrentPor-N10Unchanged'!B251+'CurrentPor-N10Unchanged'!G251)/100)+103/POWER(1+('CurrentPor-N10Unchanged'!C251+'CurrentPor-N10Unchanged'!G251)/100,2))*100</f>
        <v>9602.5404212290723</v>
      </c>
      <c r="E251">
        <f>(3/(1+('CurrentPor-N10Unchanged'!B251+'CurrentPor-N10Unchanged'!H251)/100)+103/POWER(1+('CurrentPor-N10Unchanged'!C251+'CurrentPor-N10Unchanged'!H251)/100,2))*100</f>
        <v>9595.9490514904428</v>
      </c>
      <c r="F251">
        <f>Portfolio!B$5*'CurrentPor-N10Unchanged'!D251</f>
        <v>52143.895533915893</v>
      </c>
      <c r="G251">
        <f>Portfolio!B$6*'CurrentPor-N10Unchanged'!E251</f>
        <v>3696.2945087936532</v>
      </c>
      <c r="H251">
        <f t="shared" si="9"/>
        <v>94370.054659329879</v>
      </c>
      <c r="I251">
        <f t="shared" si="10"/>
        <v>18.153616752359085</v>
      </c>
    </row>
    <row r="252" spans="1:9">
      <c r="A252" s="1">
        <v>39610</v>
      </c>
      <c r="B252">
        <f>(3/(1+('CurrentPor-N10Unchanged'!B252)/100)+103/POWER(1+('CurrentPor-N10Unchanged'!C252)/100,2))*100</f>
        <v>9707.5857774288397</v>
      </c>
      <c r="C252">
        <f>(3/(1+('CurrentPor-N10Unchanged'!B252+'CurrentPor-N10Unchanged'!F252)/100)+103/POWER(1+('CurrentPor-N10Unchanged'!C252+'CurrentPor-N10Unchanged'!F252)/100,2))*100</f>
        <v>9610.633976005116</v>
      </c>
      <c r="D252">
        <f>(3/(1+('CurrentPor-N10Unchanged'!B252+'CurrentPor-N10Unchanged'!G252)/100)+103/POWER(1+('CurrentPor-N10Unchanged'!C252+'CurrentPor-N10Unchanged'!G252)/100,2))*100</f>
        <v>9611.4827681820207</v>
      </c>
      <c r="E252">
        <f>(3/(1+('CurrentPor-N10Unchanged'!B252+'CurrentPor-N10Unchanged'!H252)/100)+103/POWER(1+('CurrentPor-N10Unchanged'!C252+'CurrentPor-N10Unchanged'!H252)/100,2))*100</f>
        <v>9584.8250213334341</v>
      </c>
      <c r="F252">
        <f>Portfolio!B$5*'CurrentPor-N10Unchanged'!D252</f>
        <v>52143.895533915893</v>
      </c>
      <c r="G252">
        <f>Portfolio!B$6*'CurrentPor-N10Unchanged'!E252</f>
        <v>3696.2945087936532</v>
      </c>
      <c r="H252">
        <f t="shared" ref="H252:H263" si="11">SUM(B252:G252)</f>
        <v>94354.71758565896</v>
      </c>
      <c r="I252">
        <f t="shared" ref="I252:I263" si="12">H252-H242</f>
        <v>-6.3974563216033857</v>
      </c>
    </row>
    <row r="253" spans="1:9">
      <c r="A253" s="1">
        <v>39611</v>
      </c>
      <c r="B253">
        <f>(3/(1+('CurrentPor-N10Unchanged'!B253)/100)+103/POWER(1+('CurrentPor-N10Unchanged'!C253)/100,2))*100</f>
        <v>9707.5857774288397</v>
      </c>
      <c r="C253">
        <f>(3/(1+('CurrentPor-N10Unchanged'!B253+'CurrentPor-N10Unchanged'!F253)/100)+103/POWER(1+('CurrentPor-N10Unchanged'!C253+'CurrentPor-N10Unchanged'!F253)/100,2))*100</f>
        <v>9615.9279564686349</v>
      </c>
      <c r="D253">
        <f>(3/(1+('CurrentPor-N10Unchanged'!B253+'CurrentPor-N10Unchanged'!G253)/100)+103/POWER(1+('CurrentPor-N10Unchanged'!C253+'CurrentPor-N10Unchanged'!G253)/100,2))*100</f>
        <v>9609.5384354515227</v>
      </c>
      <c r="E253">
        <f>(3/(1+('CurrentPor-N10Unchanged'!B253+'CurrentPor-N10Unchanged'!H253)/100)+103/POWER(1+('CurrentPor-N10Unchanged'!C253+'CurrentPor-N10Unchanged'!H253)/100,2))*100</f>
        <v>9585.8814055839593</v>
      </c>
      <c r="F253">
        <f>Portfolio!B$5*'CurrentPor-N10Unchanged'!D253</f>
        <v>52143.895533915893</v>
      </c>
      <c r="G253">
        <f>Portfolio!B$6*'CurrentPor-N10Unchanged'!E253</f>
        <v>3696.2945087936532</v>
      </c>
      <c r="H253">
        <f t="shared" si="11"/>
        <v>94359.123617642501</v>
      </c>
      <c r="I253">
        <f t="shared" si="12"/>
        <v>23.685137280903291</v>
      </c>
    </row>
    <row r="254" spans="1:9">
      <c r="A254" s="1">
        <v>39612</v>
      </c>
      <c r="B254">
        <f>(3/(1+('CurrentPor-N10Unchanged'!B254)/100)+103/POWER(1+('CurrentPor-N10Unchanged'!C254)/100,2))*100</f>
        <v>9707.5857774288397</v>
      </c>
      <c r="C254">
        <f>(3/(1+('CurrentPor-N10Unchanged'!B254+'CurrentPor-N10Unchanged'!F254)/100)+103/POWER(1+('CurrentPor-N10Unchanged'!C254+'CurrentPor-N10Unchanged'!F254)/100,2))*100</f>
        <v>9623.3326860959278</v>
      </c>
      <c r="D254">
        <f>(3/(1+('CurrentPor-N10Unchanged'!B254+'CurrentPor-N10Unchanged'!G254)/100)+103/POWER(1+('CurrentPor-N10Unchanged'!C254+'CurrentPor-N10Unchanged'!G254)/100,2))*100</f>
        <v>9604.2406206722244</v>
      </c>
      <c r="E254">
        <f>(3/(1+('CurrentPor-N10Unchanged'!B254+'CurrentPor-N10Unchanged'!H254)/100)+103/POWER(1+('CurrentPor-N10Unchanged'!C254+'CurrentPor-N10Unchanged'!H254)/100,2))*100</f>
        <v>9588.5699250861398</v>
      </c>
      <c r="F254">
        <f>Portfolio!B$5*'CurrentPor-N10Unchanged'!D254</f>
        <v>52143.895533915893</v>
      </c>
      <c r="G254">
        <f>Portfolio!B$6*'CurrentPor-N10Unchanged'!E254</f>
        <v>3696.2945087936532</v>
      </c>
      <c r="H254">
        <f t="shared" si="11"/>
        <v>94363.919051992678</v>
      </c>
      <c r="I254">
        <f t="shared" si="12"/>
        <v>21.150049174422747</v>
      </c>
    </row>
    <row r="255" spans="1:9">
      <c r="A255" s="1">
        <v>39615</v>
      </c>
      <c r="B255">
        <f>(3/(1+('CurrentPor-N10Unchanged'!B255)/100)+103/POWER(1+('CurrentPor-N10Unchanged'!C255)/100,2))*100</f>
        <v>9707.5857774288397</v>
      </c>
      <c r="C255">
        <f>(3/(1+('CurrentPor-N10Unchanged'!B255+'CurrentPor-N10Unchanged'!F255)/100)+103/POWER(1+('CurrentPor-N10Unchanged'!C255+'CurrentPor-N10Unchanged'!F255)/100,2))*100</f>
        <v>9604.2657882432613</v>
      </c>
      <c r="D255">
        <f>(3/(1+('CurrentPor-N10Unchanged'!B255+'CurrentPor-N10Unchanged'!G255)/100)+103/POWER(1+('CurrentPor-N10Unchanged'!C255+'CurrentPor-N10Unchanged'!G255)/100,2))*100</f>
        <v>9588.4035454696404</v>
      </c>
      <c r="E255">
        <f>(3/(1+('CurrentPor-N10Unchanged'!B255+'CurrentPor-N10Unchanged'!H255)/100)+103/POWER(1+('CurrentPor-N10Unchanged'!C255+'CurrentPor-N10Unchanged'!H255)/100,2))*100</f>
        <v>9599.3574296519437</v>
      </c>
      <c r="F255">
        <f>Portfolio!B$5*'CurrentPor-N10Unchanged'!D255</f>
        <v>52143.895533915893</v>
      </c>
      <c r="G255">
        <f>Portfolio!B$6*'CurrentPor-N10Unchanged'!E255</f>
        <v>3696.2945087936532</v>
      </c>
      <c r="H255">
        <f t="shared" si="11"/>
        <v>94339.802583503231</v>
      </c>
      <c r="I255">
        <f t="shared" si="12"/>
        <v>-15.338810545261367</v>
      </c>
    </row>
    <row r="256" spans="1:9">
      <c r="A256" s="1">
        <v>39616</v>
      </c>
      <c r="B256">
        <f>(3/(1+('CurrentPor-N10Unchanged'!B256)/100)+103/POWER(1+('CurrentPor-N10Unchanged'!C256)/100,2))*100</f>
        <v>9707.5857774288397</v>
      </c>
      <c r="C256">
        <f>(3/(1+('CurrentPor-N10Unchanged'!B256+'CurrentPor-N10Unchanged'!F256)/100)+103/POWER(1+('CurrentPor-N10Unchanged'!C256+'CurrentPor-N10Unchanged'!F256)/100,2))*100</f>
        <v>9632.1282890499697</v>
      </c>
      <c r="D256">
        <f>(3/(1+('CurrentPor-N10Unchanged'!B256+'CurrentPor-N10Unchanged'!G256)/100)+103/POWER(1+('CurrentPor-N10Unchanged'!C256+'CurrentPor-N10Unchanged'!G256)/100,2))*100</f>
        <v>9603.4229415018126</v>
      </c>
      <c r="E256">
        <f>(3/(1+('CurrentPor-N10Unchanged'!B256+'CurrentPor-N10Unchanged'!H256)/100)+103/POWER(1+('CurrentPor-N10Unchanged'!C256+'CurrentPor-N10Unchanged'!H256)/100,2))*100</f>
        <v>9575.0325397319502</v>
      </c>
      <c r="F256">
        <f>Portfolio!B$5*'CurrentPor-N10Unchanged'!D256</f>
        <v>52143.895533915893</v>
      </c>
      <c r="G256">
        <f>Portfolio!B$6*'CurrentPor-N10Unchanged'!E256</f>
        <v>3696.2945087936532</v>
      </c>
      <c r="H256">
        <f t="shared" si="11"/>
        <v>94358.359590422129</v>
      </c>
      <c r="I256">
        <f t="shared" si="12"/>
        <v>17.010946705267997</v>
      </c>
    </row>
    <row r="257" spans="1:9">
      <c r="A257" s="1">
        <v>39617</v>
      </c>
      <c r="B257">
        <f>(3/(1+('CurrentPor-N10Unchanged'!B257)/100)+103/POWER(1+('CurrentPor-N10Unchanged'!C257)/100,2))*100</f>
        <v>9707.5857774288397</v>
      </c>
      <c r="C257">
        <f>(3/(1+('CurrentPor-N10Unchanged'!B257+'CurrentPor-N10Unchanged'!F257)/100)+103/POWER(1+('CurrentPor-N10Unchanged'!C257+'CurrentPor-N10Unchanged'!F257)/100,2))*100</f>
        <v>9622.5217019527081</v>
      </c>
      <c r="D257">
        <f>(3/(1+('CurrentPor-N10Unchanged'!B257+'CurrentPor-N10Unchanged'!G257)/100)+103/POWER(1+('CurrentPor-N10Unchanged'!C257+'CurrentPor-N10Unchanged'!G257)/100,2))*100</f>
        <v>9588.8351424397151</v>
      </c>
      <c r="E257">
        <f>(3/(1+('CurrentPor-N10Unchanged'!B257+'CurrentPor-N10Unchanged'!H257)/100)+103/POWER(1+('CurrentPor-N10Unchanged'!C257+'CurrentPor-N10Unchanged'!H257)/100,2))*100</f>
        <v>9588.4765331043127</v>
      </c>
      <c r="F257">
        <f>Portfolio!B$5*'CurrentPor-N10Unchanged'!D257</f>
        <v>52143.895533915893</v>
      </c>
      <c r="G257">
        <f>Portfolio!B$6*'CurrentPor-N10Unchanged'!E257</f>
        <v>3696.2945087936532</v>
      </c>
      <c r="H257">
        <f t="shared" si="11"/>
        <v>94347.609197635116</v>
      </c>
      <c r="I257">
        <f t="shared" si="12"/>
        <v>-14.838886910714791</v>
      </c>
    </row>
    <row r="258" spans="1:9">
      <c r="A258" s="1">
        <v>39618</v>
      </c>
      <c r="B258">
        <f>(3/(1+('CurrentPor-N10Unchanged'!B258)/100)+103/POWER(1+('CurrentPor-N10Unchanged'!C258)/100,2))*100</f>
        <v>9707.5857774288397</v>
      </c>
      <c r="C258">
        <f>(3/(1+('CurrentPor-N10Unchanged'!B258+'CurrentPor-N10Unchanged'!F258)/100)+103/POWER(1+('CurrentPor-N10Unchanged'!C258+'CurrentPor-N10Unchanged'!F258)/100,2))*100</f>
        <v>9590.3351335122534</v>
      </c>
      <c r="D258">
        <f>(3/(1+('CurrentPor-N10Unchanged'!B258+'CurrentPor-N10Unchanged'!G258)/100)+103/POWER(1+('CurrentPor-N10Unchanged'!C258+'CurrentPor-N10Unchanged'!G258)/100,2))*100</f>
        <v>9607.1313346841762</v>
      </c>
      <c r="E258">
        <f>(3/(1+('CurrentPor-N10Unchanged'!B258+'CurrentPor-N10Unchanged'!H258)/100)+103/POWER(1+('CurrentPor-N10Unchanged'!C258+'CurrentPor-N10Unchanged'!H258)/100,2))*100</f>
        <v>9566.6513597430076</v>
      </c>
      <c r="F258">
        <f>Portfolio!B$5*'CurrentPor-N10Unchanged'!D258</f>
        <v>52143.895533915893</v>
      </c>
      <c r="G258">
        <f>Portfolio!B$6*'CurrentPor-N10Unchanged'!E258</f>
        <v>3696.2945087936532</v>
      </c>
      <c r="H258">
        <f t="shared" si="11"/>
        <v>94311.893648077821</v>
      </c>
      <c r="I258">
        <f t="shared" si="12"/>
        <v>-26.760375476122135</v>
      </c>
    </row>
    <row r="259" spans="1:9">
      <c r="A259" s="1">
        <v>39619</v>
      </c>
      <c r="B259">
        <f>(3/(1+('CurrentPor-N10Unchanged'!B259)/100)+103/POWER(1+('CurrentPor-N10Unchanged'!C259)/100,2))*100</f>
        <v>9707.5857774288397</v>
      </c>
      <c r="C259">
        <f>(3/(1+('CurrentPor-N10Unchanged'!B259+'CurrentPor-N10Unchanged'!F259)/100)+103/POWER(1+('CurrentPor-N10Unchanged'!C259+'CurrentPor-N10Unchanged'!F259)/100,2))*100</f>
        <v>9608.4377057397214</v>
      </c>
      <c r="D259">
        <f>(3/(1+('CurrentPor-N10Unchanged'!B259+'CurrentPor-N10Unchanged'!G259)/100)+103/POWER(1+('CurrentPor-N10Unchanged'!C259+'CurrentPor-N10Unchanged'!G259)/100,2))*100</f>
        <v>9598.2751818665038</v>
      </c>
      <c r="E259">
        <f>(3/(1+('CurrentPor-N10Unchanged'!B259+'CurrentPor-N10Unchanged'!H259)/100)+103/POWER(1+('CurrentPor-N10Unchanged'!C259+'CurrentPor-N10Unchanged'!H259)/100,2))*100</f>
        <v>9567.6461248609321</v>
      </c>
      <c r="F259">
        <f>Portfolio!B$5*'CurrentPor-N10Unchanged'!D259</f>
        <v>52143.895533915893</v>
      </c>
      <c r="G259">
        <f>Portfolio!B$6*'CurrentPor-N10Unchanged'!E259</f>
        <v>3696.2945087936532</v>
      </c>
      <c r="H259">
        <f t="shared" si="11"/>
        <v>94322.134832605545</v>
      </c>
      <c r="I259">
        <f t="shared" si="12"/>
        <v>-35.533545855199918</v>
      </c>
    </row>
    <row r="260" spans="1:9">
      <c r="A260" s="1">
        <v>39622</v>
      </c>
      <c r="B260">
        <f>(3/(1+('CurrentPor-N10Unchanged'!B260)/100)+103/POWER(1+('CurrentPor-N10Unchanged'!C260)/100,2))*100</f>
        <v>9707.5857774288397</v>
      </c>
      <c r="C260">
        <f>(3/(1+('CurrentPor-N10Unchanged'!B260+'CurrentPor-N10Unchanged'!F260)/100)+103/POWER(1+('CurrentPor-N10Unchanged'!C260+'CurrentPor-N10Unchanged'!F260)/100,2))*100</f>
        <v>9620.7821578899184</v>
      </c>
      <c r="D260">
        <f>(3/(1+('CurrentPor-N10Unchanged'!B260+'CurrentPor-N10Unchanged'!G260)/100)+103/POWER(1+('CurrentPor-N10Unchanged'!C260+'CurrentPor-N10Unchanged'!G260)/100,2))*100</f>
        <v>9593.4446853727804</v>
      </c>
      <c r="E260">
        <f>(3/(1+('CurrentPor-N10Unchanged'!B260+'CurrentPor-N10Unchanged'!H260)/100)+103/POWER(1+('CurrentPor-N10Unchanged'!C260+'CurrentPor-N10Unchanged'!H260)/100,2))*100</f>
        <v>9576.146416414138</v>
      </c>
      <c r="F260">
        <f>Portfolio!B$5*'CurrentPor-N10Unchanged'!D260</f>
        <v>52143.895533915893</v>
      </c>
      <c r="G260">
        <f>Portfolio!B$6*'CurrentPor-N10Unchanged'!E260</f>
        <v>3696.2945087936532</v>
      </c>
      <c r="H260">
        <f t="shared" si="11"/>
        <v>94338.149079815223</v>
      </c>
      <c r="I260">
        <f t="shared" si="12"/>
        <v>3.2375495155574754</v>
      </c>
    </row>
    <row r="261" spans="1:9">
      <c r="A261" s="1">
        <v>39623</v>
      </c>
      <c r="B261">
        <f>(3/(1+('CurrentPor-N10Unchanged'!B261)/100)+103/POWER(1+('CurrentPor-N10Unchanged'!C261)/100,2))*100</f>
        <v>9707.5857774288397</v>
      </c>
      <c r="C261">
        <f>(3/(1+('CurrentPor-N10Unchanged'!B261+'CurrentPor-N10Unchanged'!F261)/100)+103/POWER(1+('CurrentPor-N10Unchanged'!C261+'CurrentPor-N10Unchanged'!F261)/100,2))*100</f>
        <v>9606.4001904745892</v>
      </c>
      <c r="D261">
        <f>(3/(1+('CurrentPor-N10Unchanged'!B261+'CurrentPor-N10Unchanged'!G261)/100)+103/POWER(1+('CurrentPor-N10Unchanged'!C261+'CurrentPor-N10Unchanged'!G261)/100,2))*100</f>
        <v>9589.7878952367464</v>
      </c>
      <c r="E261">
        <f>(3/(1+('CurrentPor-N10Unchanged'!B261+'CurrentPor-N10Unchanged'!H261)/100)+103/POWER(1+('CurrentPor-N10Unchanged'!C261+'CurrentPor-N10Unchanged'!H261)/100,2))*100</f>
        <v>9597.7681175900307</v>
      </c>
      <c r="F261">
        <f>Portfolio!B$5*'CurrentPor-N10Unchanged'!D261</f>
        <v>52143.895533915893</v>
      </c>
      <c r="G261">
        <f>Portfolio!B$6*'CurrentPor-N10Unchanged'!E261</f>
        <v>3696.2945087936532</v>
      </c>
      <c r="H261">
        <f t="shared" si="11"/>
        <v>94341.732023439748</v>
      </c>
      <c r="I261">
        <f t="shared" si="12"/>
        <v>-28.322635890130186</v>
      </c>
    </row>
    <row r="262" spans="1:9">
      <c r="A262" s="1">
        <v>39624</v>
      </c>
      <c r="B262">
        <f>(3/(1+('CurrentPor-N10Unchanged'!B262)/100)+103/POWER(1+('CurrentPor-N10Unchanged'!C262)/100,2))*100</f>
        <v>9707.5857774288397</v>
      </c>
      <c r="C262">
        <f>(3/(1+('CurrentPor-N10Unchanged'!B262+'CurrentPor-N10Unchanged'!F262)/100)+103/POWER(1+('CurrentPor-N10Unchanged'!C262+'CurrentPor-N10Unchanged'!F262)/100,2))*100</f>
        <v>9607.7873276791779</v>
      </c>
      <c r="D262">
        <f>(3/(1+('CurrentPor-N10Unchanged'!B262+'CurrentPor-N10Unchanged'!G262)/100)+103/POWER(1+('CurrentPor-N10Unchanged'!C262+'CurrentPor-N10Unchanged'!G262)/100,2))*100</f>
        <v>9572.2538466841106</v>
      </c>
      <c r="E262">
        <f>(3/(1+('CurrentPor-N10Unchanged'!B262+'CurrentPor-N10Unchanged'!H262)/100)+103/POWER(1+('CurrentPor-N10Unchanged'!C262+'CurrentPor-N10Unchanged'!H262)/100,2))*100</f>
        <v>9581.1661296490092</v>
      </c>
      <c r="F262">
        <f>Portfolio!B$5*'CurrentPor-N10Unchanged'!D262</f>
        <v>52143.895533915893</v>
      </c>
      <c r="G262">
        <f>Portfolio!B$6*'CurrentPor-N10Unchanged'!E262</f>
        <v>3696.2945087936532</v>
      </c>
      <c r="H262">
        <f t="shared" si="11"/>
        <v>94308.983124150691</v>
      </c>
      <c r="I262">
        <f t="shared" si="12"/>
        <v>-45.734461508269305</v>
      </c>
    </row>
    <row r="263" spans="1:9">
      <c r="A263" s="1">
        <v>39625</v>
      </c>
      <c r="B263">
        <f>(3/(1+('CurrentPor-N10Unchanged'!B263)/100)+103/POWER(1+('CurrentPor-N10Unchanged'!C263)/100,2))*100</f>
        <v>9707.5857774288397</v>
      </c>
      <c r="C263">
        <f>(3/(1+('CurrentPor-N10Unchanged'!B263+'CurrentPor-N10Unchanged'!F263)/100)+103/POWER(1+('CurrentPor-N10Unchanged'!C263+'CurrentPor-N10Unchanged'!F263)/100,2))*100</f>
        <v>9599.903241215392</v>
      </c>
      <c r="D263">
        <f>(3/(1+('CurrentPor-N10Unchanged'!B263+'CurrentPor-N10Unchanged'!G263)/100)+103/POWER(1+('CurrentPor-N10Unchanged'!C263+'CurrentPor-N10Unchanged'!G263)/100,2))*100</f>
        <v>9591.1646952462615</v>
      </c>
      <c r="E263">
        <f>(3/(1+('CurrentPor-N10Unchanged'!B263+'CurrentPor-N10Unchanged'!H263)/100)+103/POWER(1+('CurrentPor-N10Unchanged'!C263+'CurrentPor-N10Unchanged'!H263)/100,2))*100</f>
        <v>9593.7302485209475</v>
      </c>
      <c r="F263">
        <f>Portfolio!B$5*'CurrentPor-N10Unchanged'!D263</f>
        <v>52143.895533915893</v>
      </c>
      <c r="G263">
        <f>Portfolio!B$6*'CurrentPor-N10Unchanged'!E263</f>
        <v>3696.2945087936532</v>
      </c>
      <c r="H263">
        <f t="shared" si="11"/>
        <v>94332.574005120987</v>
      </c>
      <c r="I263">
        <f t="shared" si="12"/>
        <v>-26.549612521514064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5055-F982-4C32-8F53-E60F50FE4EB4}">
  <dimension ref="A1:K263"/>
  <sheetViews>
    <sheetView tabSelected="1" topLeftCell="B1" workbookViewId="0">
      <selection activeCell="A3" sqref="A3:A26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26</v>
      </c>
      <c r="C1" t="s">
        <v>27</v>
      </c>
      <c r="D1" t="s">
        <v>28</v>
      </c>
      <c r="E1" t="s">
        <v>31</v>
      </c>
      <c r="F1" t="s">
        <v>26</v>
      </c>
      <c r="G1" t="s">
        <v>26</v>
      </c>
    </row>
    <row r="2" spans="1:11">
      <c r="B2" t="s">
        <v>18</v>
      </c>
      <c r="C2" t="s">
        <v>19</v>
      </c>
      <c r="D2" t="s">
        <v>7</v>
      </c>
      <c r="E2" t="s">
        <v>29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33</v>
      </c>
    </row>
    <row r="3" spans="1:11">
      <c r="A3" s="1">
        <v>39261</v>
      </c>
      <c r="B3">
        <f>(3/(1+('CurrentFact-N10,20Unchanged'!B3)/100)+103/POWER(1+('CurrentFact-N10,20Unchanged'!C3)/100,2))*100</f>
        <v>9707.5857774288397</v>
      </c>
      <c r="C3">
        <f>(3/(1+('CurrentFact-N10,20Unchanged'!B3+'CurrentFact-N10,20Unchanged'!F3)/100)+103/POWER(1+('CurrentFact-N10,20Unchanged'!C3+'CurrentFact-N10,20Unchanged'!F3)/100,2))*100</f>
        <v>9614.9673582483465</v>
      </c>
      <c r="D3">
        <f>(3/(1+('CurrentFact-N10,20Unchanged'!B3+'CurrentFact-N10,20Unchanged'!G3)/100)+103/POWER(1+('CurrentFact-N10,20Unchanged'!C3+'CurrentFact-N10,20Unchanged'!G3)/100,2))*100</f>
        <v>9601.2395558122898</v>
      </c>
      <c r="E3">
        <f>(3/(1+('CurrentFact-N10,20Unchanged'!B3+'CurrentFact-N10,20Unchanged'!H3)/100)+103/POWER(1+('CurrentFact-N10,20Unchanged'!C3+'CurrentFact-N10,20Unchanged'!H3)/100,2))*100</f>
        <v>9676.6907857653259</v>
      </c>
      <c r="F3">
        <f>Portfolio!B$5*'CurrentFact-N10,20Unchanged'!D3</f>
        <v>52143.895533915893</v>
      </c>
      <c r="G3">
        <f>Portfolio!B$6*'CurrentFact-N10,20Unchanged'!E3</f>
        <v>3696.2945087936532</v>
      </c>
      <c r="H3">
        <f t="shared" ref="H3:H34" si="0">SUM(B3:G3)</f>
        <v>94440.673519964359</v>
      </c>
      <c r="J3" s="3">
        <f>_xlfn.PERCENTILE.INC(I13:I263, 0.025)</f>
        <v>-82.564129556772968</v>
      </c>
      <c r="K3">
        <f>AVERAGEIF(I13:I263, "&lt;="&amp;J3,I13:I263)</f>
        <v>-102.83546639993854</v>
      </c>
    </row>
    <row r="4" spans="1:11">
      <c r="A4" s="1">
        <v>39262</v>
      </c>
      <c r="B4">
        <f>(3/(1+('CurrentFact-N10,20Unchanged'!B4)/100)+103/POWER(1+('CurrentFact-N10,20Unchanged'!C4)/100,2))*100</f>
        <v>9707.5857774288397</v>
      </c>
      <c r="C4">
        <f>(3/(1+('CurrentFact-N10,20Unchanged'!B4+'CurrentFact-N10,20Unchanged'!F4)/100)+103/POWER(1+('CurrentFact-N10,20Unchanged'!C4+'CurrentFact-N10,20Unchanged'!F4)/100,2))*100</f>
        <v>9614.9673582483465</v>
      </c>
      <c r="D4">
        <f>(3/(1+('CurrentFact-N10,20Unchanged'!B4+'CurrentFact-N10,20Unchanged'!G4)/100)+103/POWER(1+('CurrentFact-N10,20Unchanged'!C4+'CurrentFact-N10,20Unchanged'!G4)/100,2))*100</f>
        <v>9586.753643287564</v>
      </c>
      <c r="E4">
        <f>(3/(1+('CurrentFact-N10,20Unchanged'!B4+'CurrentFact-N10,20Unchanged'!H4)/100)+103/POWER(1+('CurrentFact-N10,20Unchanged'!C4+'CurrentFact-N10,20Unchanged'!H4)/100,2))*100</f>
        <v>9676.5087411427976</v>
      </c>
      <c r="F4">
        <f>Portfolio!B$5*'CurrentFact-N10,20Unchanged'!D4</f>
        <v>52143.895533915893</v>
      </c>
      <c r="G4">
        <f>Portfolio!B$6*'CurrentFact-N10,20Unchanged'!E4</f>
        <v>3696.2945087936532</v>
      </c>
      <c r="H4">
        <f t="shared" si="0"/>
        <v>94426.005562817096</v>
      </c>
    </row>
    <row r="5" spans="1:11">
      <c r="A5" s="1">
        <v>39265</v>
      </c>
      <c r="B5">
        <f>(3/(1+('CurrentFact-N10,20Unchanged'!B5)/100)+103/POWER(1+('CurrentFact-N10,20Unchanged'!C5)/100,2))*100</f>
        <v>9707.5857774288397</v>
      </c>
      <c r="C5">
        <f>(3/(1+('CurrentFact-N10,20Unchanged'!B5+'CurrentFact-N10,20Unchanged'!F5)/100)+103/POWER(1+('CurrentFact-N10,20Unchanged'!C5+'CurrentFact-N10,20Unchanged'!F5)/100,2))*100</f>
        <v>9614.9673582483465</v>
      </c>
      <c r="D5">
        <f>(3/(1+('CurrentFact-N10,20Unchanged'!B5+'CurrentFact-N10,20Unchanged'!G5)/100)+103/POWER(1+('CurrentFact-N10,20Unchanged'!C5+'CurrentFact-N10,20Unchanged'!G5)/100,2))*100</f>
        <v>9603.4629610150168</v>
      </c>
      <c r="E5">
        <f>(3/(1+('CurrentFact-N10,20Unchanged'!B5+'CurrentFact-N10,20Unchanged'!H5)/100)+103/POWER(1+('CurrentFact-N10,20Unchanged'!C5+'CurrentFact-N10,20Unchanged'!H5)/100,2))*100</f>
        <v>9676.3449057655907</v>
      </c>
      <c r="F5">
        <f>Portfolio!B$5*'CurrentFact-N10,20Unchanged'!D5</f>
        <v>52143.895533915893</v>
      </c>
      <c r="G5">
        <f>Portfolio!B$6*'CurrentFact-N10,20Unchanged'!E5</f>
        <v>3696.2945087936532</v>
      </c>
      <c r="H5">
        <f t="shared" si="0"/>
        <v>94442.551045167347</v>
      </c>
    </row>
    <row r="6" spans="1:11">
      <c r="A6" s="1">
        <v>39266</v>
      </c>
      <c r="B6">
        <f>(3/(1+('CurrentFact-N10,20Unchanged'!B6)/100)+103/POWER(1+('CurrentFact-N10,20Unchanged'!C6)/100,2))*100</f>
        <v>9707.5857774288397</v>
      </c>
      <c r="C6">
        <f>(3/(1+('CurrentFact-N10,20Unchanged'!B6+'CurrentFact-N10,20Unchanged'!F6)/100)+103/POWER(1+('CurrentFact-N10,20Unchanged'!C6+'CurrentFact-N10,20Unchanged'!F6)/100,2))*100</f>
        <v>9614.9673582483465</v>
      </c>
      <c r="D6">
        <f>(3/(1+('CurrentFact-N10,20Unchanged'!B6+'CurrentFact-N10,20Unchanged'!G6)/100)+103/POWER(1+('CurrentFact-N10,20Unchanged'!C6+'CurrentFact-N10,20Unchanged'!G6)/100,2))*100</f>
        <v>9607.0114786197646</v>
      </c>
      <c r="E6">
        <f>(3/(1+('CurrentFact-N10,20Unchanged'!B6+'CurrentFact-N10,20Unchanged'!H6)/100)+103/POWER(1+('CurrentFact-N10,20Unchanged'!C6+'CurrentFact-N10,20Unchanged'!H6)/100,2))*100</f>
        <v>9674.761385040998</v>
      </c>
      <c r="F6">
        <f>Portfolio!B$5*'CurrentFact-N10,20Unchanged'!D6</f>
        <v>52143.895533915893</v>
      </c>
      <c r="G6">
        <f>Portfolio!B$6*'CurrentFact-N10,20Unchanged'!E6</f>
        <v>3696.2945087936532</v>
      </c>
      <c r="H6">
        <f t="shared" si="0"/>
        <v>94444.5160420475</v>
      </c>
    </row>
    <row r="7" spans="1:11">
      <c r="A7" s="1">
        <v>39267</v>
      </c>
      <c r="B7">
        <f>(3/(1+('CurrentFact-N10,20Unchanged'!B7)/100)+103/POWER(1+('CurrentFact-N10,20Unchanged'!C7)/100,2))*100</f>
        <v>9707.5857774288397</v>
      </c>
      <c r="C7">
        <f>(3/(1+('CurrentFact-N10,20Unchanged'!B7+'CurrentFact-N10,20Unchanged'!F7)/100)+103/POWER(1+('CurrentFact-N10,20Unchanged'!C7+'CurrentFact-N10,20Unchanged'!F7)/100,2))*100</f>
        <v>9614.9673582483465</v>
      </c>
      <c r="D7">
        <f>(3/(1+('CurrentFact-N10,20Unchanged'!B7+'CurrentFact-N10,20Unchanged'!G7)/100)+103/POWER(1+('CurrentFact-N10,20Unchanged'!C7+'CurrentFact-N10,20Unchanged'!G7)/100,2))*100</f>
        <v>9580.3056214308926</v>
      </c>
      <c r="E7">
        <f>(3/(1+('CurrentFact-N10,20Unchanged'!B7+'CurrentFact-N10,20Unchanged'!H7)/100)+103/POWER(1+('CurrentFact-N10,20Unchanged'!C7+'CurrentFact-N10,20Unchanged'!H7)/100,2))*100</f>
        <v>9676.8000136403025</v>
      </c>
      <c r="F7">
        <f>Portfolio!B$5*'CurrentFact-N10,20Unchanged'!D7</f>
        <v>52143.895533915893</v>
      </c>
      <c r="G7">
        <f>Portfolio!B$6*'CurrentFact-N10,20Unchanged'!E7</f>
        <v>3696.2945087936532</v>
      </c>
      <c r="H7">
        <f t="shared" si="0"/>
        <v>94419.848813457938</v>
      </c>
    </row>
    <row r="8" spans="1:11">
      <c r="A8" s="1">
        <v>39268</v>
      </c>
      <c r="B8">
        <f>(3/(1+('CurrentFact-N10,20Unchanged'!B8)/100)+103/POWER(1+('CurrentFact-N10,20Unchanged'!C8)/100,2))*100</f>
        <v>9707.5857774288397</v>
      </c>
      <c r="C8">
        <f>(3/(1+('CurrentFact-N10,20Unchanged'!B8+'CurrentFact-N10,20Unchanged'!F8)/100)+103/POWER(1+('CurrentFact-N10,20Unchanged'!C8+'CurrentFact-N10,20Unchanged'!F8)/100,2))*100</f>
        <v>9614.9673582483465</v>
      </c>
      <c r="D8">
        <f>(3/(1+('CurrentFact-N10,20Unchanged'!B8+'CurrentFact-N10,20Unchanged'!G8)/100)+103/POWER(1+('CurrentFact-N10,20Unchanged'!C8+'CurrentFact-N10,20Unchanged'!G8)/100,2))*100</f>
        <v>9582.0863699912024</v>
      </c>
      <c r="E8">
        <f>(3/(1+('CurrentFact-N10,20Unchanged'!B8+'CurrentFact-N10,20Unchanged'!H8)/100)+103/POWER(1+('CurrentFact-N10,20Unchanged'!C8+'CurrentFact-N10,20Unchanged'!H8)/100,2))*100</f>
        <v>9676.1810780625983</v>
      </c>
      <c r="F8">
        <f>Portfolio!B$5*'CurrentFact-N10,20Unchanged'!D8</f>
        <v>52143.895533915893</v>
      </c>
      <c r="G8">
        <f>Portfolio!B$6*'CurrentFact-N10,20Unchanged'!E8</f>
        <v>3696.2945087936532</v>
      </c>
      <c r="H8">
        <f t="shared" si="0"/>
        <v>94421.010626440533</v>
      </c>
    </row>
    <row r="9" spans="1:11">
      <c r="A9" s="1">
        <v>39269</v>
      </c>
      <c r="B9">
        <f>(3/(1+('CurrentFact-N10,20Unchanged'!B9)/100)+103/POWER(1+('CurrentFact-N10,20Unchanged'!C9)/100,2))*100</f>
        <v>9707.5857774288397</v>
      </c>
      <c r="C9">
        <f>(3/(1+('CurrentFact-N10,20Unchanged'!B9+'CurrentFact-N10,20Unchanged'!F9)/100)+103/POWER(1+('CurrentFact-N10,20Unchanged'!C9+'CurrentFact-N10,20Unchanged'!F9)/100,2))*100</f>
        <v>9614.9673582483465</v>
      </c>
      <c r="D9">
        <f>(3/(1+('CurrentFact-N10,20Unchanged'!B9+'CurrentFact-N10,20Unchanged'!G9)/100)+103/POWER(1+('CurrentFact-N10,20Unchanged'!C9+'CurrentFact-N10,20Unchanged'!G9)/100,2))*100</f>
        <v>9594.9699164194662</v>
      </c>
      <c r="E9">
        <f>(3/(1+('CurrentFact-N10,20Unchanged'!B9+'CurrentFact-N10,20Unchanged'!H9)/100)+103/POWER(1+('CurrentFact-N10,20Unchanged'!C9+'CurrentFact-N10,20Unchanged'!H9)/100,2))*100</f>
        <v>9673.7787046826343</v>
      </c>
      <c r="F9">
        <f>Portfolio!B$5*'CurrentFact-N10,20Unchanged'!D9</f>
        <v>52143.895533915893</v>
      </c>
      <c r="G9">
        <f>Portfolio!B$6*'CurrentFact-N10,20Unchanged'!E9</f>
        <v>3696.2945087936532</v>
      </c>
      <c r="H9">
        <f t="shared" si="0"/>
        <v>94431.491799488838</v>
      </c>
    </row>
    <row r="10" spans="1:11">
      <c r="A10" s="1">
        <v>39272</v>
      </c>
      <c r="B10">
        <f>(3/(1+('CurrentFact-N10,20Unchanged'!B10)/100)+103/POWER(1+('CurrentFact-N10,20Unchanged'!C10)/100,2))*100</f>
        <v>9707.5857774288397</v>
      </c>
      <c r="C10">
        <f>(3/(1+('CurrentFact-N10,20Unchanged'!B10+'CurrentFact-N10,20Unchanged'!F10)/100)+103/POWER(1+('CurrentFact-N10,20Unchanged'!C10+'CurrentFact-N10,20Unchanged'!F10)/100,2))*100</f>
        <v>9614.9673582483465</v>
      </c>
      <c r="D10">
        <f>(3/(1+('CurrentFact-N10,20Unchanged'!B10+'CurrentFact-N10,20Unchanged'!G10)/100)+103/POWER(1+('CurrentFact-N10,20Unchanged'!C10+'CurrentFact-N10,20Unchanged'!G10)/100,2))*100</f>
        <v>9593.3699457073908</v>
      </c>
      <c r="E10">
        <f>(3/(1+('CurrentFact-N10,20Unchanged'!B10+'CurrentFact-N10,20Unchanged'!H10)/100)+103/POWER(1+('CurrentFact-N10,20Unchanged'!C10+'CurrentFact-N10,20Unchanged'!H10)/100,2))*100</f>
        <v>9671.0498348775582</v>
      </c>
      <c r="F10">
        <f>Portfolio!B$5*'CurrentFact-N10,20Unchanged'!D10</f>
        <v>52143.895533915893</v>
      </c>
      <c r="G10">
        <f>Portfolio!B$6*'CurrentFact-N10,20Unchanged'!E10</f>
        <v>3696.2945087936532</v>
      </c>
      <c r="H10">
        <f t="shared" si="0"/>
        <v>94427.16295897169</v>
      </c>
    </row>
    <row r="11" spans="1:11">
      <c r="A11" s="1">
        <v>39273</v>
      </c>
      <c r="B11">
        <f>(3/(1+('CurrentFact-N10,20Unchanged'!B11)/100)+103/POWER(1+('CurrentFact-N10,20Unchanged'!C11)/100,2))*100</f>
        <v>9707.5857774288397</v>
      </c>
      <c r="C11">
        <f>(3/(1+('CurrentFact-N10,20Unchanged'!B11+'CurrentFact-N10,20Unchanged'!F11)/100)+103/POWER(1+('CurrentFact-N10,20Unchanged'!C11+'CurrentFact-N10,20Unchanged'!F11)/100,2))*100</f>
        <v>9614.9673582483465</v>
      </c>
      <c r="D11">
        <f>(3/(1+('CurrentFact-N10,20Unchanged'!B11+'CurrentFact-N10,20Unchanged'!G11)/100)+103/POWER(1+('CurrentFact-N10,20Unchanged'!C11+'CurrentFact-N10,20Unchanged'!G11)/100,2))*100</f>
        <v>9596.8685689189988</v>
      </c>
      <c r="E11">
        <f>(3/(1+('CurrentFact-N10,20Unchanged'!B11+'CurrentFact-N10,20Unchanged'!H11)/100)+103/POWER(1+('CurrentFact-N10,20Unchanged'!C11+'CurrentFact-N10,20Unchanged'!H11)/100,2))*100</f>
        <v>9672.6688259421371</v>
      </c>
      <c r="F11">
        <f>Portfolio!B$5*'CurrentFact-N10,20Unchanged'!D11</f>
        <v>52143.895533915893</v>
      </c>
      <c r="G11">
        <f>Portfolio!B$6*'CurrentFact-N10,20Unchanged'!E11</f>
        <v>3696.2945087936532</v>
      </c>
      <c r="H11">
        <f t="shared" si="0"/>
        <v>94432.280573247874</v>
      </c>
    </row>
    <row r="12" spans="1:11">
      <c r="A12" s="1">
        <v>39274</v>
      </c>
      <c r="B12">
        <f>(3/(1+('CurrentFact-N10,20Unchanged'!B12)/100)+103/POWER(1+('CurrentFact-N10,20Unchanged'!C12)/100,2))*100</f>
        <v>9707.5857774288397</v>
      </c>
      <c r="C12">
        <f>(3/(1+('CurrentFact-N10,20Unchanged'!B12+'CurrentFact-N10,20Unchanged'!F12)/100)+103/POWER(1+('CurrentFact-N10,20Unchanged'!C12+'CurrentFact-N10,20Unchanged'!F12)/100,2))*100</f>
        <v>9614.9673582483465</v>
      </c>
      <c r="D12">
        <f>(3/(1+('CurrentFact-N10,20Unchanged'!B12+'CurrentFact-N10,20Unchanged'!G12)/100)+103/POWER(1+('CurrentFact-N10,20Unchanged'!C12+'CurrentFact-N10,20Unchanged'!G12)/100,2))*100</f>
        <v>9593.7415131480611</v>
      </c>
      <c r="E12">
        <f>(3/(1+('CurrentFact-N10,20Unchanged'!B12+'CurrentFact-N10,20Unchanged'!H12)/100)+103/POWER(1+('CurrentFact-N10,20Unchanged'!C12+'CurrentFact-N10,20Unchanged'!H12)/100,2))*100</f>
        <v>9674.8341802658124</v>
      </c>
      <c r="F12">
        <f>Portfolio!B$5*'CurrentFact-N10,20Unchanged'!D12</f>
        <v>52143.895533915893</v>
      </c>
      <c r="G12">
        <f>Portfolio!B$6*'CurrentFact-N10,20Unchanged'!E12</f>
        <v>3696.2945087936532</v>
      </c>
      <c r="H12">
        <f t="shared" si="0"/>
        <v>94431.318871800613</v>
      </c>
    </row>
    <row r="13" spans="1:11">
      <c r="A13" s="1">
        <v>39275</v>
      </c>
      <c r="B13">
        <f>(3/(1+('CurrentFact-N10,20Unchanged'!B13)/100)+103/POWER(1+('CurrentFact-N10,20Unchanged'!C13)/100,2))*100</f>
        <v>9707.5857774288397</v>
      </c>
      <c r="C13">
        <f>(3/(1+('CurrentFact-N10,20Unchanged'!B13+'CurrentFact-N10,20Unchanged'!F13)/100)+103/POWER(1+('CurrentFact-N10,20Unchanged'!C13+'CurrentFact-N10,20Unchanged'!F13)/100,2))*100</f>
        <v>9614.9673582483465</v>
      </c>
      <c r="D13">
        <f>(3/(1+('CurrentFact-N10,20Unchanged'!B13+'CurrentFact-N10,20Unchanged'!G13)/100)+103/POWER(1+('CurrentFact-N10,20Unchanged'!C13+'CurrentFact-N10,20Unchanged'!G13)/100,2))*100</f>
        <v>9583.1352871394211</v>
      </c>
      <c r="E13">
        <f>(3/(1+('CurrentFact-N10,20Unchanged'!B13+'CurrentFact-N10,20Unchanged'!H13)/100)+103/POWER(1+('CurrentFact-N10,20Unchanged'!C13+'CurrentFact-N10,20Unchanged'!H13)/100,2))*100</f>
        <v>9679.0214075942895</v>
      </c>
      <c r="F13">
        <f>Portfolio!B$5*'CurrentFact-N10,20Unchanged'!D13</f>
        <v>52143.895533915893</v>
      </c>
      <c r="G13">
        <f>Portfolio!B$6*'CurrentFact-N10,20Unchanged'!E13</f>
        <v>3696.2945087936532</v>
      </c>
      <c r="H13">
        <f t="shared" si="0"/>
        <v>94424.899873120448</v>
      </c>
      <c r="I13">
        <f>H13-H3</f>
        <v>-15.773646843910683</v>
      </c>
    </row>
    <row r="14" spans="1:11">
      <c r="A14" s="1">
        <v>39276</v>
      </c>
      <c r="B14">
        <f>(3/(1+('CurrentFact-N10,20Unchanged'!B14)/100)+103/POWER(1+('CurrentFact-N10,20Unchanged'!C14)/100,2))*100</f>
        <v>9707.5857774288397</v>
      </c>
      <c r="C14">
        <f>(3/(1+('CurrentFact-N10,20Unchanged'!B14+'CurrentFact-N10,20Unchanged'!F14)/100)+103/POWER(1+('CurrentFact-N10,20Unchanged'!C14+'CurrentFact-N10,20Unchanged'!F14)/100,2))*100</f>
        <v>9614.9673582483465</v>
      </c>
      <c r="D14">
        <f>(3/(1+('CurrentFact-N10,20Unchanged'!B14+'CurrentFact-N10,20Unchanged'!G14)/100)+103/POWER(1+('CurrentFact-N10,20Unchanged'!C14+'CurrentFact-N10,20Unchanged'!G14)/100,2))*100</f>
        <v>9608.4612314889109</v>
      </c>
      <c r="E14">
        <f>(3/(1+('CurrentFact-N10,20Unchanged'!B14+'CurrentFact-N10,20Unchanged'!H14)/100)+103/POWER(1+('CurrentFact-N10,20Unchanged'!C14+'CurrentFact-N10,20Unchanged'!H14)/100,2))*100</f>
        <v>9680.9338783473122</v>
      </c>
      <c r="F14">
        <f>Portfolio!B$5*'CurrentFact-N10,20Unchanged'!D14</f>
        <v>52143.895533915893</v>
      </c>
      <c r="G14">
        <f>Portfolio!B$6*'CurrentFact-N10,20Unchanged'!E14</f>
        <v>3696.2945087936532</v>
      </c>
      <c r="H14">
        <f t="shared" si="0"/>
        <v>94452.138288222952</v>
      </c>
      <c r="I14">
        <f t="shared" ref="I14:I77" si="1">H14-H4</f>
        <v>26.132725405856036</v>
      </c>
    </row>
    <row r="15" spans="1:11">
      <c r="A15" s="1">
        <v>39279</v>
      </c>
      <c r="B15">
        <f>(3/(1+('CurrentFact-N10,20Unchanged'!B15)/100)+103/POWER(1+('CurrentFact-N10,20Unchanged'!C15)/100,2))*100</f>
        <v>9707.5857774288397</v>
      </c>
      <c r="C15">
        <f>(3/(1+('CurrentFact-N10,20Unchanged'!B15+'CurrentFact-N10,20Unchanged'!F15)/100)+103/POWER(1+('CurrentFact-N10,20Unchanged'!C15+'CurrentFact-N10,20Unchanged'!F15)/100,2))*100</f>
        <v>9614.9673582483465</v>
      </c>
      <c r="D15">
        <f>(3/(1+('CurrentFact-N10,20Unchanged'!B15+'CurrentFact-N10,20Unchanged'!G15)/100)+103/POWER(1+('CurrentFact-N10,20Unchanged'!C15+'CurrentFact-N10,20Unchanged'!G15)/100,2))*100</f>
        <v>9605.5320342821306</v>
      </c>
      <c r="E15">
        <f>(3/(1+('CurrentFact-N10,20Unchanged'!B15+'CurrentFact-N10,20Unchanged'!H15)/100)+103/POWER(1+('CurrentFact-N10,20Unchanged'!C15+'CurrentFact-N10,20Unchanged'!H15)/100,2))*100</f>
        <v>9680.6970665619065</v>
      </c>
      <c r="F15">
        <f>Portfolio!B$5*'CurrentFact-N10,20Unchanged'!D15</f>
        <v>52143.895533915893</v>
      </c>
      <c r="G15">
        <f>Portfolio!B$6*'CurrentFact-N10,20Unchanged'!E15</f>
        <v>3696.2945087936532</v>
      </c>
      <c r="H15">
        <f t="shared" si="0"/>
        <v>94448.972279230773</v>
      </c>
      <c r="I15">
        <f t="shared" si="1"/>
        <v>6.4212340634257998</v>
      </c>
    </row>
    <row r="16" spans="1:11">
      <c r="A16" s="1">
        <v>39280</v>
      </c>
      <c r="B16">
        <f>(3/(1+('CurrentFact-N10,20Unchanged'!B16)/100)+103/POWER(1+('CurrentFact-N10,20Unchanged'!C16)/100,2))*100</f>
        <v>9707.5857774288397</v>
      </c>
      <c r="C16">
        <f>(3/(1+('CurrentFact-N10,20Unchanged'!B16+'CurrentFact-N10,20Unchanged'!F16)/100)+103/POWER(1+('CurrentFact-N10,20Unchanged'!C16+'CurrentFact-N10,20Unchanged'!F16)/100,2))*100</f>
        <v>9614.9673582483465</v>
      </c>
      <c r="D16">
        <f>(3/(1+('CurrentFact-N10,20Unchanged'!B16+'CurrentFact-N10,20Unchanged'!G16)/100)+103/POWER(1+('CurrentFact-N10,20Unchanged'!C16+'CurrentFact-N10,20Unchanged'!G16)/100,2))*100</f>
        <v>9595.4362388343052</v>
      </c>
      <c r="E16">
        <f>(3/(1+('CurrentFact-N10,20Unchanged'!B16+'CurrentFact-N10,20Unchanged'!H16)/100)+103/POWER(1+('CurrentFact-N10,20Unchanged'!C16+'CurrentFact-N10,20Unchanged'!H16)/100,2))*100</f>
        <v>9682.0998570962529</v>
      </c>
      <c r="F16">
        <f>Portfolio!B$5*'CurrentFact-N10,20Unchanged'!D16</f>
        <v>52143.895533915893</v>
      </c>
      <c r="G16">
        <f>Portfolio!B$6*'CurrentFact-N10,20Unchanged'!E16</f>
        <v>3696.2945087936532</v>
      </c>
      <c r="H16">
        <f t="shared" si="0"/>
        <v>94440.27927431729</v>
      </c>
      <c r="I16">
        <f t="shared" si="1"/>
        <v>-4.2367677302099764</v>
      </c>
    </row>
    <row r="17" spans="1:9">
      <c r="A17" s="1">
        <v>39281</v>
      </c>
      <c r="B17">
        <f>(3/(1+('CurrentFact-N10,20Unchanged'!B17)/100)+103/POWER(1+('CurrentFact-N10,20Unchanged'!C17)/100,2))*100</f>
        <v>9707.5857774288397</v>
      </c>
      <c r="C17">
        <f>(3/(1+('CurrentFact-N10,20Unchanged'!B17+'CurrentFact-N10,20Unchanged'!F17)/100)+103/POWER(1+('CurrentFact-N10,20Unchanged'!C17+'CurrentFact-N10,20Unchanged'!F17)/100,2))*100</f>
        <v>9614.9673582483465</v>
      </c>
      <c r="D17">
        <f>(3/(1+('CurrentFact-N10,20Unchanged'!B17+'CurrentFact-N10,20Unchanged'!G17)/100)+103/POWER(1+('CurrentFact-N10,20Unchanged'!C17+'CurrentFact-N10,20Unchanged'!G17)/100,2))*100</f>
        <v>9607.924067800639</v>
      </c>
      <c r="E17">
        <f>(3/(1+('CurrentFact-N10,20Unchanged'!B17+'CurrentFact-N10,20Unchanged'!H17)/100)+103/POWER(1+('CurrentFact-N10,20Unchanged'!C17+'CurrentFact-N10,20Unchanged'!H17)/100,2))*100</f>
        <v>9682.136298174546</v>
      </c>
      <c r="F17">
        <f>Portfolio!B$5*'CurrentFact-N10,20Unchanged'!D17</f>
        <v>52143.895533915893</v>
      </c>
      <c r="G17">
        <f>Portfolio!B$6*'CurrentFact-N10,20Unchanged'!E17</f>
        <v>3696.2945087936532</v>
      </c>
      <c r="H17">
        <f t="shared" si="0"/>
        <v>94452.803544361916</v>
      </c>
      <c r="I17">
        <f t="shared" si="1"/>
        <v>32.954730903977179</v>
      </c>
    </row>
    <row r="18" spans="1:9">
      <c r="A18" s="1">
        <v>39282</v>
      </c>
      <c r="B18">
        <f>(3/(1+('CurrentFact-N10,20Unchanged'!B18)/100)+103/POWER(1+('CurrentFact-N10,20Unchanged'!C18)/100,2))*100</f>
        <v>9707.5857774288397</v>
      </c>
      <c r="C18">
        <f>(3/(1+('CurrentFact-N10,20Unchanged'!B18+'CurrentFact-N10,20Unchanged'!F18)/100)+103/POWER(1+('CurrentFact-N10,20Unchanged'!C18+'CurrentFact-N10,20Unchanged'!F18)/100,2))*100</f>
        <v>9614.9673582483465</v>
      </c>
      <c r="D18">
        <f>(3/(1+('CurrentFact-N10,20Unchanged'!B18+'CurrentFact-N10,20Unchanged'!G18)/100)+103/POWER(1+('CurrentFact-N10,20Unchanged'!C18+'CurrentFact-N10,20Unchanged'!G18)/100,2))*100</f>
        <v>9603.7417214293109</v>
      </c>
      <c r="E18">
        <f>(3/(1+('CurrentFact-N10,20Unchanged'!B18+'CurrentFact-N10,20Unchanged'!H18)/100)+103/POWER(1+('CurrentFact-N10,20Unchanged'!C18+'CurrentFact-N10,20Unchanged'!H18)/100,2))*100</f>
        <v>9680.1870356704276</v>
      </c>
      <c r="F18">
        <f>Portfolio!B$5*'CurrentFact-N10,20Unchanged'!D18</f>
        <v>52143.895533915893</v>
      </c>
      <c r="G18">
        <f>Portfolio!B$6*'CurrentFact-N10,20Unchanged'!E18</f>
        <v>3696.2945087936532</v>
      </c>
      <c r="H18">
        <f t="shared" si="0"/>
        <v>94446.671935486462</v>
      </c>
      <c r="I18">
        <f t="shared" si="1"/>
        <v>25.661309045928647</v>
      </c>
    </row>
    <row r="19" spans="1:9">
      <c r="A19" s="1">
        <v>39283</v>
      </c>
      <c r="B19">
        <f>(3/(1+('CurrentFact-N10,20Unchanged'!B19)/100)+103/POWER(1+('CurrentFact-N10,20Unchanged'!C19)/100,2))*100</f>
        <v>9707.5857774288397</v>
      </c>
      <c r="C19">
        <f>(3/(1+('CurrentFact-N10,20Unchanged'!B19+'CurrentFact-N10,20Unchanged'!F19)/100)+103/POWER(1+('CurrentFact-N10,20Unchanged'!C19+'CurrentFact-N10,20Unchanged'!F19)/100,2))*100</f>
        <v>9614.9673582483465</v>
      </c>
      <c r="D19">
        <f>(3/(1+('CurrentFact-N10,20Unchanged'!B19+'CurrentFact-N10,20Unchanged'!G19)/100)+103/POWER(1+('CurrentFact-N10,20Unchanged'!C19+'CurrentFact-N10,20Unchanged'!G19)/100,2))*100</f>
        <v>9590.1448307730843</v>
      </c>
      <c r="E19">
        <f>(3/(1+('CurrentFact-N10,20Unchanged'!B19+'CurrentFact-N10,20Unchanged'!H19)/100)+103/POWER(1+('CurrentFact-N10,20Unchanged'!C19+'CurrentFact-N10,20Unchanged'!H19)/100,2))*100</f>
        <v>9680.9156629472927</v>
      </c>
      <c r="F19">
        <f>Portfolio!B$5*'CurrentFact-N10,20Unchanged'!D19</f>
        <v>52143.895533915893</v>
      </c>
      <c r="G19">
        <f>Portfolio!B$6*'CurrentFact-N10,20Unchanged'!E19</f>
        <v>3696.2945087936532</v>
      </c>
      <c r="H19">
        <f t="shared" si="0"/>
        <v>94433.803672107111</v>
      </c>
      <c r="I19">
        <f t="shared" si="1"/>
        <v>2.3118726182729006</v>
      </c>
    </row>
    <row r="20" spans="1:9">
      <c r="A20" s="1">
        <v>39286</v>
      </c>
      <c r="B20">
        <f>(3/(1+('CurrentFact-N10,20Unchanged'!B20)/100)+103/POWER(1+('CurrentFact-N10,20Unchanged'!C20)/100,2))*100</f>
        <v>9707.5857774288397</v>
      </c>
      <c r="C20">
        <f>(3/(1+('CurrentFact-N10,20Unchanged'!B20+'CurrentFact-N10,20Unchanged'!F20)/100)+103/POWER(1+('CurrentFact-N10,20Unchanged'!C20+'CurrentFact-N10,20Unchanged'!F20)/100,2))*100</f>
        <v>9614.9673582483465</v>
      </c>
      <c r="D20">
        <f>(3/(1+('CurrentFact-N10,20Unchanged'!B20+'CurrentFact-N10,20Unchanged'!G20)/100)+103/POWER(1+('CurrentFact-N10,20Unchanged'!C20+'CurrentFact-N10,20Unchanged'!G20)/100,2))*100</f>
        <v>9590.0803677000113</v>
      </c>
      <c r="E20">
        <f>(3/(1+('CurrentFact-N10,20Unchanged'!B20+'CurrentFact-N10,20Unchanged'!H20)/100)+103/POWER(1+('CurrentFact-N10,20Unchanged'!C20+'CurrentFact-N10,20Unchanged'!H20)/100,2))*100</f>
        <v>9682.2456191808233</v>
      </c>
      <c r="F20">
        <f>Portfolio!B$5*'CurrentFact-N10,20Unchanged'!D20</f>
        <v>52143.895533915893</v>
      </c>
      <c r="G20">
        <f>Portfolio!B$6*'CurrentFact-N10,20Unchanged'!E20</f>
        <v>3696.2945087936532</v>
      </c>
      <c r="H20">
        <f t="shared" si="0"/>
        <v>94435.069165267574</v>
      </c>
      <c r="I20">
        <f t="shared" si="1"/>
        <v>7.9062062958837487</v>
      </c>
    </row>
    <row r="21" spans="1:9">
      <c r="A21" s="1">
        <v>39287</v>
      </c>
      <c r="B21">
        <f>(3/(1+('CurrentFact-N10,20Unchanged'!B21)/100)+103/POWER(1+('CurrentFact-N10,20Unchanged'!C21)/100,2))*100</f>
        <v>9707.5857774288397</v>
      </c>
      <c r="C21">
        <f>(3/(1+('CurrentFact-N10,20Unchanged'!B21+'CurrentFact-N10,20Unchanged'!F21)/100)+103/POWER(1+('CurrentFact-N10,20Unchanged'!C21+'CurrentFact-N10,20Unchanged'!F21)/100,2))*100</f>
        <v>9614.9673582483465</v>
      </c>
      <c r="D21">
        <f>(3/(1+('CurrentFact-N10,20Unchanged'!B21+'CurrentFact-N10,20Unchanged'!G21)/100)+103/POWER(1+('CurrentFact-N10,20Unchanged'!C21+'CurrentFact-N10,20Unchanged'!G21)/100,2))*100</f>
        <v>9601.3477255280559</v>
      </c>
      <c r="E21">
        <f>(3/(1+('CurrentFact-N10,20Unchanged'!B21+'CurrentFact-N10,20Unchanged'!H21)/100)+103/POWER(1+('CurrentFact-N10,20Unchanged'!C21+'CurrentFact-N10,20Unchanged'!H21)/100,2))*100</f>
        <v>9681.1160491018709</v>
      </c>
      <c r="F21">
        <f>Portfolio!B$5*'CurrentFact-N10,20Unchanged'!D21</f>
        <v>52143.895533915893</v>
      </c>
      <c r="G21">
        <f>Portfolio!B$6*'CurrentFact-N10,20Unchanged'!E21</f>
        <v>3696.2945087936532</v>
      </c>
      <c r="H21">
        <f t="shared" si="0"/>
        <v>94445.206953016663</v>
      </c>
      <c r="I21">
        <f t="shared" si="1"/>
        <v>12.926379768789047</v>
      </c>
    </row>
    <row r="22" spans="1:9">
      <c r="A22" s="1">
        <v>39288</v>
      </c>
      <c r="B22">
        <f>(3/(1+('CurrentFact-N10,20Unchanged'!B22)/100)+103/POWER(1+('CurrentFact-N10,20Unchanged'!C22)/100,2))*100</f>
        <v>9707.5857774288397</v>
      </c>
      <c r="C22">
        <f>(3/(1+('CurrentFact-N10,20Unchanged'!B22+'CurrentFact-N10,20Unchanged'!F22)/100)+103/POWER(1+('CurrentFact-N10,20Unchanged'!C22+'CurrentFact-N10,20Unchanged'!F22)/100,2))*100</f>
        <v>9614.9673582483465</v>
      </c>
      <c r="D22">
        <f>(3/(1+('CurrentFact-N10,20Unchanged'!B22+'CurrentFact-N10,20Unchanged'!G22)/100)+103/POWER(1+('CurrentFact-N10,20Unchanged'!C22+'CurrentFact-N10,20Unchanged'!G22)/100,2))*100</f>
        <v>9591.6421671244771</v>
      </c>
      <c r="E22">
        <f>(3/(1+('CurrentFact-N10,20Unchanged'!B22+'CurrentFact-N10,20Unchanged'!H22)/100)+103/POWER(1+('CurrentFact-N10,20Unchanged'!C22+'CurrentFact-N10,20Unchanged'!H22)/100,2))*100</f>
        <v>9682.8651459978046</v>
      </c>
      <c r="F22">
        <f>Portfolio!B$5*'CurrentFact-N10,20Unchanged'!D22</f>
        <v>52143.895533915893</v>
      </c>
      <c r="G22">
        <f>Portfolio!B$6*'CurrentFact-N10,20Unchanged'!E22</f>
        <v>3696.2945087936532</v>
      </c>
      <c r="H22">
        <f t="shared" si="0"/>
        <v>94437.25049150901</v>
      </c>
      <c r="I22">
        <f t="shared" si="1"/>
        <v>5.9316197083971929</v>
      </c>
    </row>
    <row r="23" spans="1:9">
      <c r="A23" s="1">
        <v>39289</v>
      </c>
      <c r="B23">
        <f>(3/(1+('CurrentFact-N10,20Unchanged'!B23)/100)+103/POWER(1+('CurrentFact-N10,20Unchanged'!C23)/100,2))*100</f>
        <v>9707.5857774288397</v>
      </c>
      <c r="C23">
        <f>(3/(1+('CurrentFact-N10,20Unchanged'!B23+'CurrentFact-N10,20Unchanged'!F23)/100)+103/POWER(1+('CurrentFact-N10,20Unchanged'!C23+'CurrentFact-N10,20Unchanged'!F23)/100,2))*100</f>
        <v>9614.9673582483465</v>
      </c>
      <c r="D23">
        <f>(3/(1+('CurrentFact-N10,20Unchanged'!B23+'CurrentFact-N10,20Unchanged'!G23)/100)+103/POWER(1+('CurrentFact-N10,20Unchanged'!C23+'CurrentFact-N10,20Unchanged'!G23)/100,2))*100</f>
        <v>9612.9613775579364</v>
      </c>
      <c r="E23">
        <f>(3/(1+('CurrentFact-N10,20Unchanged'!B23+'CurrentFact-N10,20Unchanged'!H23)/100)+103/POWER(1+('CurrentFact-N10,20Unchanged'!C23+'CurrentFact-N10,20Unchanged'!H23)/100,2))*100</f>
        <v>9684.0132511794254</v>
      </c>
      <c r="F23">
        <f>Portfolio!B$5*'CurrentFact-N10,20Unchanged'!D23</f>
        <v>52143.895533915893</v>
      </c>
      <c r="G23">
        <f>Portfolio!B$6*'CurrentFact-N10,20Unchanged'!E23</f>
        <v>3696.2945087936532</v>
      </c>
      <c r="H23">
        <f t="shared" si="0"/>
        <v>94459.717807124107</v>
      </c>
      <c r="I23">
        <f t="shared" si="1"/>
        <v>34.817934003658593</v>
      </c>
    </row>
    <row r="24" spans="1:9">
      <c r="A24" s="1">
        <v>39290</v>
      </c>
      <c r="B24">
        <f>(3/(1+('CurrentFact-N10,20Unchanged'!B24)/100)+103/POWER(1+('CurrentFact-N10,20Unchanged'!C24)/100,2))*100</f>
        <v>9707.5857774288397</v>
      </c>
      <c r="C24">
        <f>(3/(1+('CurrentFact-N10,20Unchanged'!B24+'CurrentFact-N10,20Unchanged'!F24)/100)+103/POWER(1+('CurrentFact-N10,20Unchanged'!C24+'CurrentFact-N10,20Unchanged'!F24)/100,2))*100</f>
        <v>9614.9673582483465</v>
      </c>
      <c r="D24">
        <f>(3/(1+('CurrentFact-N10,20Unchanged'!B24+'CurrentFact-N10,20Unchanged'!G24)/100)+103/POWER(1+('CurrentFact-N10,20Unchanged'!C24+'CurrentFact-N10,20Unchanged'!G24)/100,2))*100</f>
        <v>9604.3100646544463</v>
      </c>
      <c r="E24">
        <f>(3/(1+('CurrentFact-N10,20Unchanged'!B24+'CurrentFact-N10,20Unchanged'!H24)/100)+103/POWER(1+('CurrentFact-N10,20Unchanged'!C24+'CurrentFact-N10,20Unchanged'!H24)/100,2))*100</f>
        <v>9683.0473718095345</v>
      </c>
      <c r="F24">
        <f>Portfolio!B$5*'CurrentFact-N10,20Unchanged'!D24</f>
        <v>52143.895533915893</v>
      </c>
      <c r="G24">
        <f>Portfolio!B$6*'CurrentFact-N10,20Unchanged'!E24</f>
        <v>3696.2945087936532</v>
      </c>
      <c r="H24">
        <f t="shared" si="0"/>
        <v>94450.1006148507</v>
      </c>
      <c r="I24">
        <f t="shared" si="1"/>
        <v>-2.0376733722514473</v>
      </c>
    </row>
    <row r="25" spans="1:9">
      <c r="A25" s="1">
        <v>39293</v>
      </c>
      <c r="B25">
        <f>(3/(1+('CurrentFact-N10,20Unchanged'!B25)/100)+103/POWER(1+('CurrentFact-N10,20Unchanged'!C25)/100,2))*100</f>
        <v>9707.5857774288397</v>
      </c>
      <c r="C25">
        <f>(3/(1+('CurrentFact-N10,20Unchanged'!B25+'CurrentFact-N10,20Unchanged'!F25)/100)+103/POWER(1+('CurrentFact-N10,20Unchanged'!C25+'CurrentFact-N10,20Unchanged'!F25)/100,2))*100</f>
        <v>9614.9673582483465</v>
      </c>
      <c r="D25">
        <f>(3/(1+('CurrentFact-N10,20Unchanged'!B25+'CurrentFact-N10,20Unchanged'!G25)/100)+103/POWER(1+('CurrentFact-N10,20Unchanged'!C25+'CurrentFact-N10,20Unchanged'!G25)/100,2))*100</f>
        <v>9600.8525262647672</v>
      </c>
      <c r="E25">
        <f>(3/(1+('CurrentFact-N10,20Unchanged'!B25+'CurrentFact-N10,20Unchanged'!H25)/100)+103/POWER(1+('CurrentFact-N10,20Unchanged'!C25+'CurrentFact-N10,20Unchanged'!H25)/100,2))*100</f>
        <v>9681.5714969712353</v>
      </c>
      <c r="F25">
        <f>Portfolio!B$5*'CurrentFact-N10,20Unchanged'!D25</f>
        <v>52143.895533915893</v>
      </c>
      <c r="G25">
        <f>Portfolio!B$6*'CurrentFact-N10,20Unchanged'!E25</f>
        <v>3696.2945087936532</v>
      </c>
      <c r="H25">
        <f t="shared" si="0"/>
        <v>94445.167201622739</v>
      </c>
      <c r="I25">
        <f t="shared" si="1"/>
        <v>-3.8050776080344804</v>
      </c>
    </row>
    <row r="26" spans="1:9">
      <c r="A26" s="1">
        <v>39294</v>
      </c>
      <c r="B26">
        <f>(3/(1+('CurrentFact-N10,20Unchanged'!B26)/100)+103/POWER(1+('CurrentFact-N10,20Unchanged'!C26)/100,2))*100</f>
        <v>9707.5857774288397</v>
      </c>
      <c r="C26">
        <f>(3/(1+('CurrentFact-N10,20Unchanged'!B26+'CurrentFact-N10,20Unchanged'!F26)/100)+103/POWER(1+('CurrentFact-N10,20Unchanged'!C26+'CurrentFact-N10,20Unchanged'!F26)/100,2))*100</f>
        <v>9614.9673582483465</v>
      </c>
      <c r="D26">
        <f>(3/(1+('CurrentFact-N10,20Unchanged'!B26+'CurrentFact-N10,20Unchanged'!G26)/100)+103/POWER(1+('CurrentFact-N10,20Unchanged'!C26+'CurrentFact-N10,20Unchanged'!G26)/100,2))*100</f>
        <v>9592.3973171120942</v>
      </c>
      <c r="E26">
        <f>(3/(1+('CurrentFact-N10,20Unchanged'!B26+'CurrentFact-N10,20Unchanged'!H26)/100)+103/POWER(1+('CurrentFact-N10,20Unchanged'!C26+'CurrentFact-N10,20Unchanged'!H26)/100,2))*100</f>
        <v>9682.5007116969864</v>
      </c>
      <c r="F26">
        <f>Portfolio!B$5*'CurrentFact-N10,20Unchanged'!D26</f>
        <v>52143.895533915893</v>
      </c>
      <c r="G26">
        <f>Portfolio!B$6*'CurrentFact-N10,20Unchanged'!E26</f>
        <v>3696.2945087936532</v>
      </c>
      <c r="H26">
        <f t="shared" si="0"/>
        <v>94437.641207195818</v>
      </c>
      <c r="I26">
        <f t="shared" si="1"/>
        <v>-2.6380671214719769</v>
      </c>
    </row>
    <row r="27" spans="1:9">
      <c r="A27" s="1">
        <v>39295</v>
      </c>
      <c r="B27">
        <f>(3/(1+('CurrentFact-N10,20Unchanged'!B27)/100)+103/POWER(1+('CurrentFact-N10,20Unchanged'!C27)/100,2))*100</f>
        <v>9707.5857774288397</v>
      </c>
      <c r="C27">
        <f>(3/(1+('CurrentFact-N10,20Unchanged'!B27+'CurrentFact-N10,20Unchanged'!F27)/100)+103/POWER(1+('CurrentFact-N10,20Unchanged'!C27+'CurrentFact-N10,20Unchanged'!F27)/100,2))*100</f>
        <v>9614.9673582483465</v>
      </c>
      <c r="D27">
        <f>(3/(1+('CurrentFact-N10,20Unchanged'!B27+'CurrentFact-N10,20Unchanged'!G27)/100)+103/POWER(1+('CurrentFact-N10,20Unchanged'!C27+'CurrentFact-N10,20Unchanged'!G27)/100,2))*100</f>
        <v>9580.1025386134588</v>
      </c>
      <c r="E27">
        <f>(3/(1+('CurrentFact-N10,20Unchanged'!B27+'CurrentFact-N10,20Unchanged'!H27)/100)+103/POWER(1+('CurrentFact-N10,20Unchanged'!C27+'CurrentFact-N10,20Unchanged'!H27)/100,2))*100</f>
        <v>9683.0655932861519</v>
      </c>
      <c r="F27">
        <f>Portfolio!B$5*'CurrentFact-N10,20Unchanged'!D27</f>
        <v>52143.895533915893</v>
      </c>
      <c r="G27">
        <f>Portfolio!B$6*'CurrentFact-N10,20Unchanged'!E27</f>
        <v>3696.2945087936532</v>
      </c>
      <c r="H27">
        <f t="shared" si="0"/>
        <v>94425.911310286348</v>
      </c>
      <c r="I27">
        <f t="shared" si="1"/>
        <v>-26.892234075567103</v>
      </c>
    </row>
    <row r="28" spans="1:9">
      <c r="A28" s="1">
        <v>39296</v>
      </c>
      <c r="B28">
        <f>(3/(1+('CurrentFact-N10,20Unchanged'!B28)/100)+103/POWER(1+('CurrentFact-N10,20Unchanged'!C28)/100,2))*100</f>
        <v>9707.5857774288397</v>
      </c>
      <c r="C28">
        <f>(3/(1+('CurrentFact-N10,20Unchanged'!B28+'CurrentFact-N10,20Unchanged'!F28)/100)+103/POWER(1+('CurrentFact-N10,20Unchanged'!C28+'CurrentFact-N10,20Unchanged'!F28)/100,2))*100</f>
        <v>9614.9673582483465</v>
      </c>
      <c r="D28">
        <f>(3/(1+('CurrentFact-N10,20Unchanged'!B28+'CurrentFact-N10,20Unchanged'!G28)/100)+103/POWER(1+('CurrentFact-N10,20Unchanged'!C28+'CurrentFact-N10,20Unchanged'!G28)/100,2))*100</f>
        <v>9613.4258203789323</v>
      </c>
      <c r="E28">
        <f>(3/(1+('CurrentFact-N10,20Unchanged'!B28+'CurrentFact-N10,20Unchanged'!H28)/100)+103/POWER(1+('CurrentFact-N10,20Unchanged'!C28+'CurrentFact-N10,20Unchanged'!H28)/100,2))*100</f>
        <v>9682.8104799624489</v>
      </c>
      <c r="F28">
        <f>Portfolio!B$5*'CurrentFact-N10,20Unchanged'!D28</f>
        <v>52143.895533915893</v>
      </c>
      <c r="G28">
        <f>Portfolio!B$6*'CurrentFact-N10,20Unchanged'!E28</f>
        <v>3696.2945087936532</v>
      </c>
      <c r="H28">
        <f t="shared" si="0"/>
        <v>94458.979478728113</v>
      </c>
      <c r="I28">
        <f t="shared" si="1"/>
        <v>12.307543241651729</v>
      </c>
    </row>
    <row r="29" spans="1:9">
      <c r="A29" s="1">
        <v>39297</v>
      </c>
      <c r="B29">
        <f>(3/(1+('CurrentFact-N10,20Unchanged'!B29)/100)+103/POWER(1+('CurrentFact-N10,20Unchanged'!C29)/100,2))*100</f>
        <v>9707.5857774288397</v>
      </c>
      <c r="C29">
        <f>(3/(1+('CurrentFact-N10,20Unchanged'!B29+'CurrentFact-N10,20Unchanged'!F29)/100)+103/POWER(1+('CurrentFact-N10,20Unchanged'!C29+'CurrentFact-N10,20Unchanged'!F29)/100,2))*100</f>
        <v>9614.9673582483465</v>
      </c>
      <c r="D29">
        <f>(3/(1+('CurrentFact-N10,20Unchanged'!B29+'CurrentFact-N10,20Unchanged'!G29)/100)+103/POWER(1+('CurrentFact-N10,20Unchanged'!C29+'CurrentFact-N10,20Unchanged'!G29)/100,2))*100</f>
        <v>9596.3427647590433</v>
      </c>
      <c r="E29">
        <f>(3/(1+('CurrentFact-N10,20Unchanged'!B29+'CurrentFact-N10,20Unchanged'!H29)/100)+103/POWER(1+('CurrentFact-N10,20Unchanged'!C29+'CurrentFact-N10,20Unchanged'!H29)/100,2))*100</f>
        <v>9681.6990276353554</v>
      </c>
      <c r="F29">
        <f>Portfolio!B$5*'CurrentFact-N10,20Unchanged'!D29</f>
        <v>52143.895533915893</v>
      </c>
      <c r="G29">
        <f>Portfolio!B$6*'CurrentFact-N10,20Unchanged'!E29</f>
        <v>3696.2945087936532</v>
      </c>
      <c r="H29">
        <f t="shared" si="0"/>
        <v>94440.784970781126</v>
      </c>
      <c r="I29">
        <f t="shared" si="1"/>
        <v>6.981298674014397</v>
      </c>
    </row>
    <row r="30" spans="1:9">
      <c r="A30" s="1">
        <v>39300</v>
      </c>
      <c r="B30">
        <f>(3/(1+('CurrentFact-N10,20Unchanged'!B30)/100)+103/POWER(1+('CurrentFact-N10,20Unchanged'!C30)/100,2))*100</f>
        <v>9707.5857774288397</v>
      </c>
      <c r="C30">
        <f>(3/(1+('CurrentFact-N10,20Unchanged'!B30+'CurrentFact-N10,20Unchanged'!F30)/100)+103/POWER(1+('CurrentFact-N10,20Unchanged'!C30+'CurrentFact-N10,20Unchanged'!F30)/100,2))*100</f>
        <v>9614.9673582483465</v>
      </c>
      <c r="D30">
        <f>(3/(1+('CurrentFact-N10,20Unchanged'!B30+'CurrentFact-N10,20Unchanged'!G30)/100)+103/POWER(1+('CurrentFact-N10,20Unchanged'!C30+'CurrentFact-N10,20Unchanged'!G30)/100,2))*100</f>
        <v>9614.4858949066092</v>
      </c>
      <c r="E30">
        <f>(3/(1+('CurrentFact-N10,20Unchanged'!B30+'CurrentFact-N10,20Unchanged'!H30)/100)+103/POWER(1+('CurrentFact-N10,20Unchanged'!C30+'CurrentFact-N10,20Unchanged'!H30)/100,2))*100</f>
        <v>9679.4038563019276</v>
      </c>
      <c r="F30">
        <f>Portfolio!B$5*'CurrentFact-N10,20Unchanged'!D30</f>
        <v>52143.895533915893</v>
      </c>
      <c r="G30">
        <f>Portfolio!B$6*'CurrentFact-N10,20Unchanged'!E30</f>
        <v>3696.2945087936532</v>
      </c>
      <c r="H30">
        <f t="shared" si="0"/>
        <v>94456.632929595275</v>
      </c>
      <c r="I30">
        <f t="shared" si="1"/>
        <v>21.563764327700483</v>
      </c>
    </row>
    <row r="31" spans="1:9">
      <c r="A31" s="1">
        <v>39301</v>
      </c>
      <c r="B31">
        <f>(3/(1+('CurrentFact-N10,20Unchanged'!B31)/100)+103/POWER(1+('CurrentFact-N10,20Unchanged'!C31)/100,2))*100</f>
        <v>9707.5857774288397</v>
      </c>
      <c r="C31">
        <f>(3/(1+('CurrentFact-N10,20Unchanged'!B31+'CurrentFact-N10,20Unchanged'!F31)/100)+103/POWER(1+('CurrentFact-N10,20Unchanged'!C31+'CurrentFact-N10,20Unchanged'!F31)/100,2))*100</f>
        <v>9614.9673582483465</v>
      </c>
      <c r="D31">
        <f>(3/(1+('CurrentFact-N10,20Unchanged'!B31+'CurrentFact-N10,20Unchanged'!G31)/100)+103/POWER(1+('CurrentFact-N10,20Unchanged'!C31+'CurrentFact-N10,20Unchanged'!G31)/100,2))*100</f>
        <v>9597.2415742954363</v>
      </c>
      <c r="E31">
        <f>(3/(1+('CurrentFact-N10,20Unchanged'!B31+'CurrentFact-N10,20Unchanged'!H31)/100)+103/POWER(1+('CurrentFact-N10,20Unchanged'!C31+'CurrentFact-N10,20Unchanged'!H31)/100,2))*100</f>
        <v>9680.5149077507449</v>
      </c>
      <c r="F31">
        <f>Portfolio!B$5*'CurrentFact-N10,20Unchanged'!D31</f>
        <v>52143.895533915893</v>
      </c>
      <c r="G31">
        <f>Portfolio!B$6*'CurrentFact-N10,20Unchanged'!E31</f>
        <v>3696.2945087936532</v>
      </c>
      <c r="H31">
        <f t="shared" si="0"/>
        <v>94440.499660432921</v>
      </c>
      <c r="I31">
        <f t="shared" si="1"/>
        <v>-4.7072925837419461</v>
      </c>
    </row>
    <row r="32" spans="1:9">
      <c r="A32" s="1">
        <v>39302</v>
      </c>
      <c r="B32">
        <f>(3/(1+('CurrentFact-N10,20Unchanged'!B32)/100)+103/POWER(1+('CurrentFact-N10,20Unchanged'!C32)/100,2))*100</f>
        <v>9707.5857774288397</v>
      </c>
      <c r="C32">
        <f>(3/(1+('CurrentFact-N10,20Unchanged'!B32+'CurrentFact-N10,20Unchanged'!F32)/100)+103/POWER(1+('CurrentFact-N10,20Unchanged'!C32+'CurrentFact-N10,20Unchanged'!F32)/100,2))*100</f>
        <v>9614.9673582483465</v>
      </c>
      <c r="D32">
        <f>(3/(1+('CurrentFact-N10,20Unchanged'!B32+'CurrentFact-N10,20Unchanged'!G32)/100)+103/POWER(1+('CurrentFact-N10,20Unchanged'!C32+'CurrentFact-N10,20Unchanged'!G32)/100,2))*100</f>
        <v>9608.6398236915338</v>
      </c>
      <c r="E32">
        <f>(3/(1+('CurrentFact-N10,20Unchanged'!B32+'CurrentFact-N10,20Unchanged'!H32)/100)+103/POWER(1+('CurrentFact-N10,20Unchanged'!C32+'CurrentFact-N10,20Unchanged'!H32)/100,2))*100</f>
        <v>9680.0777498733969</v>
      </c>
      <c r="F32">
        <f>Portfolio!B$5*'CurrentFact-N10,20Unchanged'!D32</f>
        <v>52143.895533915893</v>
      </c>
      <c r="G32">
        <f>Portfolio!B$6*'CurrentFact-N10,20Unchanged'!E32</f>
        <v>3696.2945087936532</v>
      </c>
      <c r="H32">
        <f t="shared" si="0"/>
        <v>94451.460751951672</v>
      </c>
      <c r="I32">
        <f t="shared" si="1"/>
        <v>14.21026044266182</v>
      </c>
    </row>
    <row r="33" spans="1:9">
      <c r="A33" s="1">
        <v>39303</v>
      </c>
      <c r="B33">
        <f>(3/(1+('CurrentFact-N10,20Unchanged'!B33)/100)+103/POWER(1+('CurrentFact-N10,20Unchanged'!C33)/100,2))*100</f>
        <v>9707.5857774288397</v>
      </c>
      <c r="C33">
        <f>(3/(1+('CurrentFact-N10,20Unchanged'!B33+'CurrentFact-N10,20Unchanged'!F33)/100)+103/POWER(1+('CurrentFact-N10,20Unchanged'!C33+'CurrentFact-N10,20Unchanged'!F33)/100,2))*100</f>
        <v>9614.9673582483465</v>
      </c>
      <c r="D33">
        <f>(3/(1+('CurrentFact-N10,20Unchanged'!B33+'CurrentFact-N10,20Unchanged'!G33)/100)+103/POWER(1+('CurrentFact-N10,20Unchanged'!C33+'CurrentFact-N10,20Unchanged'!G33)/100,2))*100</f>
        <v>9606.527963993005</v>
      </c>
      <c r="E33">
        <f>(3/(1+('CurrentFact-N10,20Unchanged'!B33+'CurrentFact-N10,20Unchanged'!H33)/100)+103/POWER(1+('CurrentFact-N10,20Unchanged'!C33+'CurrentFact-N10,20Unchanged'!H33)/100,2))*100</f>
        <v>9682.7375920633258</v>
      </c>
      <c r="F33">
        <f>Portfolio!B$5*'CurrentFact-N10,20Unchanged'!D33</f>
        <v>52143.895533915893</v>
      </c>
      <c r="G33">
        <f>Portfolio!B$6*'CurrentFact-N10,20Unchanged'!E33</f>
        <v>3696.2945087936532</v>
      </c>
      <c r="H33">
        <f t="shared" si="0"/>
        <v>94452.008734443065</v>
      </c>
      <c r="I33">
        <f t="shared" si="1"/>
        <v>-7.7090726810420165</v>
      </c>
    </row>
    <row r="34" spans="1:9">
      <c r="A34" s="1">
        <v>39304</v>
      </c>
      <c r="B34">
        <f>(3/(1+('CurrentFact-N10,20Unchanged'!B34)/100)+103/POWER(1+('CurrentFact-N10,20Unchanged'!C34)/100,2))*100</f>
        <v>9707.5857774288397</v>
      </c>
      <c r="C34">
        <f>(3/(1+('CurrentFact-N10,20Unchanged'!B34+'CurrentFact-N10,20Unchanged'!F34)/100)+103/POWER(1+('CurrentFact-N10,20Unchanged'!C34+'CurrentFact-N10,20Unchanged'!F34)/100,2))*100</f>
        <v>9614.9673582483465</v>
      </c>
      <c r="D34">
        <f>(3/(1+('CurrentFact-N10,20Unchanged'!B34+'CurrentFact-N10,20Unchanged'!G34)/100)+103/POWER(1+('CurrentFact-N10,20Unchanged'!C34+'CurrentFact-N10,20Unchanged'!G34)/100,2))*100</f>
        <v>9594.5377309936757</v>
      </c>
      <c r="E34">
        <f>(3/(1+('CurrentFact-N10,20Unchanged'!B34+'CurrentFact-N10,20Unchanged'!H34)/100)+103/POWER(1+('CurrentFact-N10,20Unchanged'!C34+'CurrentFact-N10,20Unchanged'!H34)/100,2))*100</f>
        <v>9683.2296010785903</v>
      </c>
      <c r="F34">
        <f>Portfolio!B$5*'CurrentFact-N10,20Unchanged'!D34</f>
        <v>52143.895533915893</v>
      </c>
      <c r="G34">
        <f>Portfolio!B$6*'CurrentFact-N10,20Unchanged'!E34</f>
        <v>3696.2945087936532</v>
      </c>
      <c r="H34">
        <f t="shared" si="0"/>
        <v>94440.510510458989</v>
      </c>
      <c r="I34">
        <f t="shared" si="1"/>
        <v>-9.5901043917110655</v>
      </c>
    </row>
    <row r="35" spans="1:9">
      <c r="A35" s="1">
        <v>39307</v>
      </c>
      <c r="B35">
        <f>(3/(1+('CurrentFact-N10,20Unchanged'!B35)/100)+103/POWER(1+('CurrentFact-N10,20Unchanged'!C35)/100,2))*100</f>
        <v>9707.5857774288397</v>
      </c>
      <c r="C35">
        <f>(3/(1+('CurrentFact-N10,20Unchanged'!B35+'CurrentFact-N10,20Unchanged'!F35)/100)+103/POWER(1+('CurrentFact-N10,20Unchanged'!C35+'CurrentFact-N10,20Unchanged'!F35)/100,2))*100</f>
        <v>9614.9673582483465</v>
      </c>
      <c r="D35">
        <f>(3/(1+('CurrentFact-N10,20Unchanged'!B35+'CurrentFact-N10,20Unchanged'!G35)/100)+103/POWER(1+('CurrentFact-N10,20Unchanged'!C35+'CurrentFact-N10,20Unchanged'!G35)/100,2))*100</f>
        <v>9608.7326212558746</v>
      </c>
      <c r="E35">
        <f>(3/(1+('CurrentFact-N10,20Unchanged'!B35+'CurrentFact-N10,20Unchanged'!H35)/100)+103/POWER(1+('CurrentFact-N10,20Unchanged'!C35+'CurrentFact-N10,20Unchanged'!H35)/100,2))*100</f>
        <v>9682.9744812089939</v>
      </c>
      <c r="F35">
        <f>Portfolio!B$5*'CurrentFact-N10,20Unchanged'!D35</f>
        <v>52143.895533915893</v>
      </c>
      <c r="G35">
        <f>Portfolio!B$6*'CurrentFact-N10,20Unchanged'!E35</f>
        <v>3696.2945087936532</v>
      </c>
      <c r="H35">
        <f t="shared" ref="H35:H66" si="2">SUM(B35:G35)</f>
        <v>94454.450280851597</v>
      </c>
      <c r="I35">
        <f t="shared" si="1"/>
        <v>9.2830792288586963</v>
      </c>
    </row>
    <row r="36" spans="1:9">
      <c r="A36" s="1">
        <v>39308</v>
      </c>
      <c r="B36">
        <f>(3/(1+('CurrentFact-N10,20Unchanged'!B36)/100)+103/POWER(1+('CurrentFact-N10,20Unchanged'!C36)/100,2))*100</f>
        <v>9707.5857774288397</v>
      </c>
      <c r="C36">
        <f>(3/(1+('CurrentFact-N10,20Unchanged'!B36+'CurrentFact-N10,20Unchanged'!F36)/100)+103/POWER(1+('CurrentFact-N10,20Unchanged'!C36+'CurrentFact-N10,20Unchanged'!F36)/100,2))*100</f>
        <v>9614.9673582483465</v>
      </c>
      <c r="D36">
        <f>(3/(1+('CurrentFact-N10,20Unchanged'!B36+'CurrentFact-N10,20Unchanged'!G36)/100)+103/POWER(1+('CurrentFact-N10,20Unchanged'!C36+'CurrentFact-N10,20Unchanged'!G36)/100,2))*100</f>
        <v>9607.5616854519176</v>
      </c>
      <c r="E36">
        <f>(3/(1+('CurrentFact-N10,20Unchanged'!B36+'CurrentFact-N10,20Unchanged'!H36)/100)+103/POWER(1+('CurrentFact-N10,20Unchanged'!C36+'CurrentFact-N10,20Unchanged'!H36)/100,2))*100</f>
        <v>9683.3024945884808</v>
      </c>
      <c r="F36">
        <f>Portfolio!B$5*'CurrentFact-N10,20Unchanged'!D36</f>
        <v>52143.895533915893</v>
      </c>
      <c r="G36">
        <f>Portfolio!B$6*'CurrentFact-N10,20Unchanged'!E36</f>
        <v>3696.2945087936532</v>
      </c>
      <c r="H36">
        <f t="shared" si="2"/>
        <v>94453.607358427136</v>
      </c>
      <c r="I36">
        <f t="shared" si="1"/>
        <v>15.966151231317781</v>
      </c>
    </row>
    <row r="37" spans="1:9">
      <c r="A37" s="1">
        <v>39309</v>
      </c>
      <c r="B37">
        <f>(3/(1+('CurrentFact-N10,20Unchanged'!B37)/100)+103/POWER(1+('CurrentFact-N10,20Unchanged'!C37)/100,2))*100</f>
        <v>9707.5857774288397</v>
      </c>
      <c r="C37">
        <f>(3/(1+('CurrentFact-N10,20Unchanged'!B37+'CurrentFact-N10,20Unchanged'!F37)/100)+103/POWER(1+('CurrentFact-N10,20Unchanged'!C37+'CurrentFact-N10,20Unchanged'!F37)/100,2))*100</f>
        <v>9614.9673582483465</v>
      </c>
      <c r="D37">
        <f>(3/(1+('CurrentFact-N10,20Unchanged'!B37+'CurrentFact-N10,20Unchanged'!G37)/100)+103/POWER(1+('CurrentFact-N10,20Unchanged'!C37+'CurrentFact-N10,20Unchanged'!G37)/100,2))*100</f>
        <v>9606.1106357583994</v>
      </c>
      <c r="E37">
        <f>(3/(1+('CurrentFact-N10,20Unchanged'!B37+'CurrentFact-N10,20Unchanged'!H37)/100)+103/POWER(1+('CurrentFact-N10,20Unchanged'!C37+'CurrentFact-N10,20Unchanged'!H37)/100,2))*100</f>
        <v>9682.4642685408926</v>
      </c>
      <c r="F37">
        <f>Portfolio!B$5*'CurrentFact-N10,20Unchanged'!D37</f>
        <v>52143.895533915893</v>
      </c>
      <c r="G37">
        <f>Portfolio!B$6*'CurrentFact-N10,20Unchanged'!E37</f>
        <v>3696.2945087936532</v>
      </c>
      <c r="H37">
        <f t="shared" si="2"/>
        <v>94451.318082686019</v>
      </c>
      <c r="I37">
        <f t="shared" si="1"/>
        <v>25.406772399670444</v>
      </c>
    </row>
    <row r="38" spans="1:9">
      <c r="A38" s="1">
        <v>39310</v>
      </c>
      <c r="B38">
        <f>(3/(1+('CurrentFact-N10,20Unchanged'!B38)/100)+103/POWER(1+('CurrentFact-N10,20Unchanged'!C38)/100,2))*100</f>
        <v>9707.5857774288397</v>
      </c>
      <c r="C38">
        <f>(3/(1+('CurrentFact-N10,20Unchanged'!B38+'CurrentFact-N10,20Unchanged'!F38)/100)+103/POWER(1+('CurrentFact-N10,20Unchanged'!C38+'CurrentFact-N10,20Unchanged'!F38)/100,2))*100</f>
        <v>9614.9673582483465</v>
      </c>
      <c r="D38">
        <f>(3/(1+('CurrentFact-N10,20Unchanged'!B38+'CurrentFact-N10,20Unchanged'!G38)/100)+103/POWER(1+('CurrentFact-N10,20Unchanged'!C38+'CurrentFact-N10,20Unchanged'!G38)/100,2))*100</f>
        <v>9584.5899894685554</v>
      </c>
      <c r="E38">
        <f>(3/(1+('CurrentFact-N10,20Unchanged'!B38+'CurrentFact-N10,20Unchanged'!H38)/100)+103/POWER(1+('CurrentFact-N10,20Unchanged'!C38+'CurrentFact-N10,20Unchanged'!H38)/100,2))*100</f>
        <v>9682.1909584439472</v>
      </c>
      <c r="F38">
        <f>Portfolio!B$5*'CurrentFact-N10,20Unchanged'!D38</f>
        <v>52143.895533915893</v>
      </c>
      <c r="G38">
        <f>Portfolio!B$6*'CurrentFact-N10,20Unchanged'!E38</f>
        <v>3696.2945087936532</v>
      </c>
      <c r="H38">
        <f t="shared" si="2"/>
        <v>94429.524126299235</v>
      </c>
      <c r="I38">
        <f t="shared" si="1"/>
        <v>-29.455352428878541</v>
      </c>
    </row>
    <row r="39" spans="1:9">
      <c r="A39" s="1">
        <v>39311</v>
      </c>
      <c r="B39">
        <f>(3/(1+('CurrentFact-N10,20Unchanged'!B39)/100)+103/POWER(1+('CurrentFact-N10,20Unchanged'!C39)/100,2))*100</f>
        <v>9707.5857774288397</v>
      </c>
      <c r="C39">
        <f>(3/(1+('CurrentFact-N10,20Unchanged'!B39+'CurrentFact-N10,20Unchanged'!F39)/100)+103/POWER(1+('CurrentFact-N10,20Unchanged'!C39+'CurrentFact-N10,20Unchanged'!F39)/100,2))*100</f>
        <v>9614.9673582483465</v>
      </c>
      <c r="D39">
        <f>(3/(1+('CurrentFact-N10,20Unchanged'!B39+'CurrentFact-N10,20Unchanged'!G39)/100)+103/POWER(1+('CurrentFact-N10,20Unchanged'!C39+'CurrentFact-N10,20Unchanged'!G39)/100,2))*100</f>
        <v>9592.986627535307</v>
      </c>
      <c r="E39">
        <f>(3/(1+('CurrentFact-N10,20Unchanged'!B39+'CurrentFact-N10,20Unchanged'!H39)/100)+103/POWER(1+('CurrentFact-N10,20Unchanged'!C39+'CurrentFact-N10,20Unchanged'!H39)/100,2))*100</f>
        <v>9682.2820610902218</v>
      </c>
      <c r="F39">
        <f>Portfolio!B$5*'CurrentFact-N10,20Unchanged'!D39</f>
        <v>52143.895533915893</v>
      </c>
      <c r="G39">
        <f>Portfolio!B$6*'CurrentFact-N10,20Unchanged'!E39</f>
        <v>3696.2945087936532</v>
      </c>
      <c r="H39">
        <f t="shared" si="2"/>
        <v>94438.011867012261</v>
      </c>
      <c r="I39">
        <f t="shared" si="1"/>
        <v>-2.7731037688645301</v>
      </c>
    </row>
    <row r="40" spans="1:9">
      <c r="A40" s="1">
        <v>39314</v>
      </c>
      <c r="B40">
        <f>(3/(1+('CurrentFact-N10,20Unchanged'!B40)/100)+103/POWER(1+('CurrentFact-N10,20Unchanged'!C40)/100,2))*100</f>
        <v>9707.5857774288397</v>
      </c>
      <c r="C40">
        <f>(3/(1+('CurrentFact-N10,20Unchanged'!B40+'CurrentFact-N10,20Unchanged'!F40)/100)+103/POWER(1+('CurrentFact-N10,20Unchanged'!C40+'CurrentFact-N10,20Unchanged'!F40)/100,2))*100</f>
        <v>9614.9673582483465</v>
      </c>
      <c r="D40">
        <f>(3/(1+('CurrentFact-N10,20Unchanged'!B40+'CurrentFact-N10,20Unchanged'!G40)/100)+103/POWER(1+('CurrentFact-N10,20Unchanged'!C40+'CurrentFact-N10,20Unchanged'!G40)/100,2))*100</f>
        <v>9590.0459785141047</v>
      </c>
      <c r="E40">
        <f>(3/(1+('CurrentFact-N10,20Unchanged'!B40+'CurrentFact-N10,20Unchanged'!H40)/100)+103/POWER(1+('CurrentFact-N10,20Unchanged'!C40+'CurrentFact-N10,20Unchanged'!H40)/100,2))*100</f>
        <v>9683.5029573304655</v>
      </c>
      <c r="F40">
        <f>Portfolio!B$5*'CurrentFact-N10,20Unchanged'!D40</f>
        <v>52143.895533915893</v>
      </c>
      <c r="G40">
        <f>Portfolio!B$6*'CurrentFact-N10,20Unchanged'!E40</f>
        <v>3696.2945087936532</v>
      </c>
      <c r="H40">
        <f t="shared" si="2"/>
        <v>94436.292114231299</v>
      </c>
      <c r="I40">
        <f t="shared" si="1"/>
        <v>-20.340815363975707</v>
      </c>
    </row>
    <row r="41" spans="1:9">
      <c r="A41" s="1">
        <v>39315</v>
      </c>
      <c r="B41">
        <f>(3/(1+('CurrentFact-N10,20Unchanged'!B41)/100)+103/POWER(1+('CurrentFact-N10,20Unchanged'!C41)/100,2))*100</f>
        <v>9707.5857774288397</v>
      </c>
      <c r="C41">
        <f>(3/(1+('CurrentFact-N10,20Unchanged'!B41+'CurrentFact-N10,20Unchanged'!F41)/100)+103/POWER(1+('CurrentFact-N10,20Unchanged'!C41+'CurrentFact-N10,20Unchanged'!F41)/100,2))*100</f>
        <v>9614.9673582483465</v>
      </c>
      <c r="D41">
        <f>(3/(1+('CurrentFact-N10,20Unchanged'!B41+'CurrentFact-N10,20Unchanged'!G41)/100)+103/POWER(1+('CurrentFact-N10,20Unchanged'!C41+'CurrentFact-N10,20Unchanged'!G41)/100,2))*100</f>
        <v>9590.3986063913599</v>
      </c>
      <c r="E41">
        <f>(3/(1+('CurrentFact-N10,20Unchanged'!B41+'CurrentFact-N10,20Unchanged'!H41)/100)+103/POWER(1+('CurrentFact-N10,20Unchanged'!C41+'CurrentFact-N10,20Unchanged'!H41)/100,2))*100</f>
        <v>9681.2800068736287</v>
      </c>
      <c r="F41">
        <f>Portfolio!B$5*'CurrentFact-N10,20Unchanged'!D41</f>
        <v>52143.895533915893</v>
      </c>
      <c r="G41">
        <f>Portfolio!B$6*'CurrentFact-N10,20Unchanged'!E41</f>
        <v>3696.2945087936532</v>
      </c>
      <c r="H41">
        <f t="shared" si="2"/>
        <v>94434.421791651723</v>
      </c>
      <c r="I41">
        <f t="shared" si="1"/>
        <v>-6.077868781198049</v>
      </c>
    </row>
    <row r="42" spans="1:9">
      <c r="A42" s="1">
        <v>39316</v>
      </c>
      <c r="B42">
        <f>(3/(1+('CurrentFact-N10,20Unchanged'!B42)/100)+103/POWER(1+('CurrentFact-N10,20Unchanged'!C42)/100,2))*100</f>
        <v>9707.5857774288397</v>
      </c>
      <c r="C42">
        <f>(3/(1+('CurrentFact-N10,20Unchanged'!B42+'CurrentFact-N10,20Unchanged'!F42)/100)+103/POWER(1+('CurrentFact-N10,20Unchanged'!C42+'CurrentFact-N10,20Unchanged'!F42)/100,2))*100</f>
        <v>9614.9673582483465</v>
      </c>
      <c r="D42">
        <f>(3/(1+('CurrentFact-N10,20Unchanged'!B42+'CurrentFact-N10,20Unchanged'!G42)/100)+103/POWER(1+('CurrentFact-N10,20Unchanged'!C42+'CurrentFact-N10,20Unchanged'!G42)/100,2))*100</f>
        <v>9598.9630495882157</v>
      </c>
      <c r="E42">
        <f>(3/(1+('CurrentFact-N10,20Unchanged'!B42+'CurrentFact-N10,20Unchanged'!H42)/100)+103/POWER(1+('CurrentFact-N10,20Unchanged'!C42+'CurrentFact-N10,20Unchanged'!H42)/100,2))*100</f>
        <v>9683.2478248126099</v>
      </c>
      <c r="F42">
        <f>Portfolio!B$5*'CurrentFact-N10,20Unchanged'!D42</f>
        <v>52143.895533915893</v>
      </c>
      <c r="G42">
        <f>Portfolio!B$6*'CurrentFact-N10,20Unchanged'!E42</f>
        <v>3696.2945087936532</v>
      </c>
      <c r="H42">
        <f t="shared" si="2"/>
        <v>94444.954052787565</v>
      </c>
      <c r="I42">
        <f t="shared" si="1"/>
        <v>-6.5066991641069762</v>
      </c>
    </row>
    <row r="43" spans="1:9">
      <c r="A43" s="1">
        <v>39317</v>
      </c>
      <c r="B43">
        <f>(3/(1+('CurrentFact-N10,20Unchanged'!B43)/100)+103/POWER(1+('CurrentFact-N10,20Unchanged'!C43)/100,2))*100</f>
        <v>9707.5857774288397</v>
      </c>
      <c r="C43">
        <f>(3/(1+('CurrentFact-N10,20Unchanged'!B43+'CurrentFact-N10,20Unchanged'!F43)/100)+103/POWER(1+('CurrentFact-N10,20Unchanged'!C43+'CurrentFact-N10,20Unchanged'!F43)/100,2))*100</f>
        <v>9614.9673582483465</v>
      </c>
      <c r="D43">
        <f>(3/(1+('CurrentFact-N10,20Unchanged'!B43+'CurrentFact-N10,20Unchanged'!G43)/100)+103/POWER(1+('CurrentFact-N10,20Unchanged'!C43+'CurrentFact-N10,20Unchanged'!G43)/100,2))*100</f>
        <v>9606.9286815533123</v>
      </c>
      <c r="E43">
        <f>(3/(1+('CurrentFact-N10,20Unchanged'!B43+'CurrentFact-N10,20Unchanged'!H43)/100)+103/POWER(1+('CurrentFact-N10,20Unchanged'!C43+'CurrentFact-N10,20Unchanged'!H43)/100,2))*100</f>
        <v>9678.2201598923075</v>
      </c>
      <c r="F43">
        <f>Portfolio!B$5*'CurrentFact-N10,20Unchanged'!D43</f>
        <v>52143.895533915893</v>
      </c>
      <c r="G43">
        <f>Portfolio!B$6*'CurrentFact-N10,20Unchanged'!E43</f>
        <v>3696.2945087936532</v>
      </c>
      <c r="H43">
        <f t="shared" si="2"/>
        <v>94447.892019832361</v>
      </c>
      <c r="I43">
        <f t="shared" si="1"/>
        <v>-4.1167146107036388</v>
      </c>
    </row>
    <row r="44" spans="1:9">
      <c r="A44" s="1">
        <v>39318</v>
      </c>
      <c r="B44">
        <f>(3/(1+('CurrentFact-N10,20Unchanged'!B44)/100)+103/POWER(1+('CurrentFact-N10,20Unchanged'!C44)/100,2))*100</f>
        <v>9707.5857774288397</v>
      </c>
      <c r="C44">
        <f>(3/(1+('CurrentFact-N10,20Unchanged'!B44+'CurrentFact-N10,20Unchanged'!F44)/100)+103/POWER(1+('CurrentFact-N10,20Unchanged'!C44+'CurrentFact-N10,20Unchanged'!F44)/100,2))*100</f>
        <v>9614.9673582483465</v>
      </c>
      <c r="D44">
        <f>(3/(1+('CurrentFact-N10,20Unchanged'!B44+'CurrentFact-N10,20Unchanged'!G44)/100)+103/POWER(1+('CurrentFact-N10,20Unchanged'!C44+'CurrentFact-N10,20Unchanged'!G44)/100,2))*100</f>
        <v>9600.4295335271127</v>
      </c>
      <c r="E44">
        <f>(3/(1+('CurrentFact-N10,20Unchanged'!B44+'CurrentFact-N10,20Unchanged'!H44)/100)+103/POWER(1+('CurrentFact-N10,20Unchanged'!C44+'CurrentFact-N10,20Unchanged'!H44)/100,2))*100</f>
        <v>9678.5297207193616</v>
      </c>
      <c r="F44">
        <f>Portfolio!B$5*'CurrentFact-N10,20Unchanged'!D44</f>
        <v>52143.895533915893</v>
      </c>
      <c r="G44">
        <f>Portfolio!B$6*'CurrentFact-N10,20Unchanged'!E44</f>
        <v>3696.2945087936532</v>
      </c>
      <c r="H44">
        <f t="shared" si="2"/>
        <v>94441.702432633203</v>
      </c>
      <c r="I44">
        <f t="shared" si="1"/>
        <v>1.191922174213687</v>
      </c>
    </row>
    <row r="45" spans="1:9">
      <c r="A45" s="1">
        <v>39321</v>
      </c>
      <c r="B45">
        <f>(3/(1+('CurrentFact-N10,20Unchanged'!B45)/100)+103/POWER(1+('CurrentFact-N10,20Unchanged'!C45)/100,2))*100</f>
        <v>9707.5857774288397</v>
      </c>
      <c r="C45">
        <f>(3/(1+('CurrentFact-N10,20Unchanged'!B45+'CurrentFact-N10,20Unchanged'!F45)/100)+103/POWER(1+('CurrentFact-N10,20Unchanged'!C45+'CurrentFact-N10,20Unchanged'!F45)/100,2))*100</f>
        <v>9614.9673582483465</v>
      </c>
      <c r="D45">
        <f>(3/(1+('CurrentFact-N10,20Unchanged'!B45+'CurrentFact-N10,20Unchanged'!G45)/100)+103/POWER(1+('CurrentFact-N10,20Unchanged'!C45+'CurrentFact-N10,20Unchanged'!G45)/100,2))*100</f>
        <v>9604.6783978490421</v>
      </c>
      <c r="E45">
        <f>(3/(1+('CurrentFact-N10,20Unchanged'!B45+'CurrentFact-N10,20Unchanged'!H45)/100)+103/POWER(1+('CurrentFact-N10,20Unchanged'!C45+'CurrentFact-N10,20Unchanged'!H45)/100,2))*100</f>
        <v>9676.3813140356069</v>
      </c>
      <c r="F45">
        <f>Portfolio!B$5*'CurrentFact-N10,20Unchanged'!D45</f>
        <v>52143.895533915893</v>
      </c>
      <c r="G45">
        <f>Portfolio!B$6*'CurrentFact-N10,20Unchanged'!E45</f>
        <v>3696.2945087936532</v>
      </c>
      <c r="H45">
        <f t="shared" si="2"/>
        <v>94443.802890271385</v>
      </c>
      <c r="I45">
        <f t="shared" si="1"/>
        <v>-10.647390580212232</v>
      </c>
    </row>
    <row r="46" spans="1:9">
      <c r="A46" s="1">
        <v>39322</v>
      </c>
      <c r="B46">
        <f>(3/(1+('CurrentFact-N10,20Unchanged'!B46)/100)+103/POWER(1+('CurrentFact-N10,20Unchanged'!C46)/100,2))*100</f>
        <v>9707.5857774288397</v>
      </c>
      <c r="C46">
        <f>(3/(1+('CurrentFact-N10,20Unchanged'!B46+'CurrentFact-N10,20Unchanged'!F46)/100)+103/POWER(1+('CurrentFact-N10,20Unchanged'!C46+'CurrentFact-N10,20Unchanged'!F46)/100,2))*100</f>
        <v>9614.9673582483465</v>
      </c>
      <c r="D46">
        <f>(3/(1+('CurrentFact-N10,20Unchanged'!B46+'CurrentFact-N10,20Unchanged'!G46)/100)+103/POWER(1+('CurrentFact-N10,20Unchanged'!C46+'CurrentFact-N10,20Unchanged'!G46)/100,2))*100</f>
        <v>9603.5136274222132</v>
      </c>
      <c r="E46">
        <f>(3/(1+('CurrentFact-N10,20Unchanged'!B46+'CurrentFact-N10,20Unchanged'!H46)/100)+103/POWER(1+('CurrentFact-N10,20Unchanged'!C46+'CurrentFact-N10,20Unchanged'!H46)/100,2))*100</f>
        <v>9678.8028742649876</v>
      </c>
      <c r="F46">
        <f>Portfolio!B$5*'CurrentFact-N10,20Unchanged'!D46</f>
        <v>52143.895533915893</v>
      </c>
      <c r="G46">
        <f>Portfolio!B$6*'CurrentFact-N10,20Unchanged'!E46</f>
        <v>3696.2945087936532</v>
      </c>
      <c r="H46">
        <f t="shared" si="2"/>
        <v>94445.059680073929</v>
      </c>
      <c r="I46">
        <f t="shared" si="1"/>
        <v>-8.5476783532067202</v>
      </c>
    </row>
    <row r="47" spans="1:9">
      <c r="A47" s="1">
        <v>39323</v>
      </c>
      <c r="B47">
        <f>(3/(1+('CurrentFact-N10,20Unchanged'!B47)/100)+103/POWER(1+('CurrentFact-N10,20Unchanged'!C47)/100,2))*100</f>
        <v>9707.5857774288397</v>
      </c>
      <c r="C47">
        <f>(3/(1+('CurrentFact-N10,20Unchanged'!B47+'CurrentFact-N10,20Unchanged'!F47)/100)+103/POWER(1+('CurrentFact-N10,20Unchanged'!C47+'CurrentFact-N10,20Unchanged'!F47)/100,2))*100</f>
        <v>9614.9673582483465</v>
      </c>
      <c r="D47">
        <f>(3/(1+('CurrentFact-N10,20Unchanged'!B47+'CurrentFact-N10,20Unchanged'!G47)/100)+103/POWER(1+('CurrentFact-N10,20Unchanged'!C47+'CurrentFact-N10,20Unchanged'!G47)/100,2))*100</f>
        <v>9595.1709859650473</v>
      </c>
      <c r="E47">
        <f>(3/(1+('CurrentFact-N10,20Unchanged'!B47+'CurrentFact-N10,20Unchanged'!H47)/100)+103/POWER(1+('CurrentFact-N10,20Unchanged'!C47+'CurrentFact-N10,20Unchanged'!H47)/100,2))*100</f>
        <v>9678.4022532928229</v>
      </c>
      <c r="F47">
        <f>Portfolio!B$5*'CurrentFact-N10,20Unchanged'!D47</f>
        <v>52143.895533915893</v>
      </c>
      <c r="G47">
        <f>Portfolio!B$6*'CurrentFact-N10,20Unchanged'!E47</f>
        <v>3696.2945087936532</v>
      </c>
      <c r="H47">
        <f t="shared" si="2"/>
        <v>94436.316417644601</v>
      </c>
      <c r="I47">
        <f t="shared" si="1"/>
        <v>-15.001665041418164</v>
      </c>
    </row>
    <row r="48" spans="1:9">
      <c r="A48" s="1">
        <v>39324</v>
      </c>
      <c r="B48">
        <f>(3/(1+('CurrentFact-N10,20Unchanged'!B48)/100)+103/POWER(1+('CurrentFact-N10,20Unchanged'!C48)/100,2))*100</f>
        <v>9707.5857774288397</v>
      </c>
      <c r="C48">
        <f>(3/(1+('CurrentFact-N10,20Unchanged'!B48+'CurrentFact-N10,20Unchanged'!F48)/100)+103/POWER(1+('CurrentFact-N10,20Unchanged'!C48+'CurrentFact-N10,20Unchanged'!F48)/100,2))*100</f>
        <v>9614.9673582483465</v>
      </c>
      <c r="D48">
        <f>(3/(1+('CurrentFact-N10,20Unchanged'!B48+'CurrentFact-N10,20Unchanged'!G48)/100)+103/POWER(1+('CurrentFact-N10,20Unchanged'!C48+'CurrentFact-N10,20Unchanged'!G48)/100,2))*100</f>
        <v>9596.8867541885575</v>
      </c>
      <c r="E48">
        <f>(3/(1+('CurrentFact-N10,20Unchanged'!B48+'CurrentFact-N10,20Unchanged'!H48)/100)+103/POWER(1+('CurrentFact-N10,20Unchanged'!C48+'CurrentFact-N10,20Unchanged'!H48)/100,2))*100</f>
        <v>9680.496691807788</v>
      </c>
      <c r="F48">
        <f>Portfolio!B$5*'CurrentFact-N10,20Unchanged'!D48</f>
        <v>52143.895533915893</v>
      </c>
      <c r="G48">
        <f>Portfolio!B$6*'CurrentFact-N10,20Unchanged'!E48</f>
        <v>3696.2945087936532</v>
      </c>
      <c r="H48">
        <f t="shared" si="2"/>
        <v>94440.126624383091</v>
      </c>
      <c r="I48">
        <f t="shared" si="1"/>
        <v>10.602498083855608</v>
      </c>
    </row>
    <row r="49" spans="1:9">
      <c r="A49" s="1">
        <v>39325</v>
      </c>
      <c r="B49">
        <f>(3/(1+('CurrentFact-N10,20Unchanged'!B49)/100)+103/POWER(1+('CurrentFact-N10,20Unchanged'!C49)/100,2))*100</f>
        <v>9707.5857774288397</v>
      </c>
      <c r="C49">
        <f>(3/(1+('CurrentFact-N10,20Unchanged'!B49+'CurrentFact-N10,20Unchanged'!F49)/100)+103/POWER(1+('CurrentFact-N10,20Unchanged'!C49+'CurrentFact-N10,20Unchanged'!F49)/100,2))*100</f>
        <v>9614.9673582483465</v>
      </c>
      <c r="D49">
        <f>(3/(1+('CurrentFact-N10,20Unchanged'!B49+'CurrentFact-N10,20Unchanged'!G49)/100)+103/POWER(1+('CurrentFact-N10,20Unchanged'!C49+'CurrentFact-N10,20Unchanged'!G49)/100,2))*100</f>
        <v>9624.7030766889202</v>
      </c>
      <c r="E49">
        <f>(3/(1+('CurrentFact-N10,20Unchanged'!B49+'CurrentFact-N10,20Unchanged'!H49)/100)+103/POWER(1+('CurrentFact-N10,20Unchanged'!C49+'CurrentFact-N10,20Unchanged'!H49)/100,2))*100</f>
        <v>9680.5331237456321</v>
      </c>
      <c r="F49">
        <f>Portfolio!B$5*'CurrentFact-N10,20Unchanged'!D49</f>
        <v>52143.895533915893</v>
      </c>
      <c r="G49">
        <f>Portfolio!B$6*'CurrentFact-N10,20Unchanged'!E49</f>
        <v>3696.2945087936532</v>
      </c>
      <c r="H49">
        <f t="shared" si="2"/>
        <v>94467.979378821285</v>
      </c>
      <c r="I49">
        <f t="shared" si="1"/>
        <v>29.967511809023563</v>
      </c>
    </row>
    <row r="50" spans="1:9">
      <c r="A50" s="1">
        <v>39328</v>
      </c>
      <c r="B50">
        <f>(3/(1+('CurrentFact-N10,20Unchanged'!B50)/100)+103/POWER(1+('CurrentFact-N10,20Unchanged'!C50)/100,2))*100</f>
        <v>9707.5857774288397</v>
      </c>
      <c r="C50">
        <f>(3/(1+('CurrentFact-N10,20Unchanged'!B50+'CurrentFact-N10,20Unchanged'!F50)/100)+103/POWER(1+('CurrentFact-N10,20Unchanged'!C50+'CurrentFact-N10,20Unchanged'!F50)/100,2))*100</f>
        <v>9614.9673582483465</v>
      </c>
      <c r="D50">
        <f>(3/(1+('CurrentFact-N10,20Unchanged'!B50+'CurrentFact-N10,20Unchanged'!G50)/100)+103/POWER(1+('CurrentFact-N10,20Unchanged'!C50+'CurrentFact-N10,20Unchanged'!G50)/100,2))*100</f>
        <v>9610.8341407352054</v>
      </c>
      <c r="E50">
        <f>(3/(1+('CurrentFact-N10,20Unchanged'!B50+'CurrentFact-N10,20Unchanged'!H50)/100)+103/POWER(1+('CurrentFact-N10,20Unchanged'!C50+'CurrentFact-N10,20Unchanged'!H50)/100,2))*100</f>
        <v>9677.5464639503971</v>
      </c>
      <c r="F50">
        <f>Portfolio!B$5*'CurrentFact-N10,20Unchanged'!D50</f>
        <v>52143.895533915893</v>
      </c>
      <c r="G50">
        <f>Portfolio!B$6*'CurrentFact-N10,20Unchanged'!E50</f>
        <v>3696.2945087936532</v>
      </c>
      <c r="H50">
        <f t="shared" si="2"/>
        <v>94451.12378307234</v>
      </c>
      <c r="I50">
        <f t="shared" si="1"/>
        <v>14.831668841041392</v>
      </c>
    </row>
    <row r="51" spans="1:9">
      <c r="A51" s="1">
        <v>39329</v>
      </c>
      <c r="B51">
        <f>(3/(1+('CurrentFact-N10,20Unchanged'!B51)/100)+103/POWER(1+('CurrentFact-N10,20Unchanged'!C51)/100,2))*100</f>
        <v>9707.5857774288397</v>
      </c>
      <c r="C51">
        <f>(3/(1+('CurrentFact-N10,20Unchanged'!B51+'CurrentFact-N10,20Unchanged'!F51)/100)+103/POWER(1+('CurrentFact-N10,20Unchanged'!C51+'CurrentFact-N10,20Unchanged'!F51)/100,2))*100</f>
        <v>9614.9673582483465</v>
      </c>
      <c r="D51">
        <f>(3/(1+('CurrentFact-N10,20Unchanged'!B51+'CurrentFact-N10,20Unchanged'!G51)/100)+103/POWER(1+('CurrentFact-N10,20Unchanged'!C51+'CurrentFact-N10,20Unchanged'!G51)/100,2))*100</f>
        <v>9591.9017329797862</v>
      </c>
      <c r="E51">
        <f>(3/(1+('CurrentFact-N10,20Unchanged'!B51+'CurrentFact-N10,20Unchanged'!H51)/100)+103/POWER(1+('CurrentFact-N10,20Unchanged'!C51+'CurrentFact-N10,20Unchanged'!H51)/100,2))*100</f>
        <v>9676.9638606911049</v>
      </c>
      <c r="F51">
        <f>Portfolio!B$5*'CurrentFact-N10,20Unchanged'!D51</f>
        <v>52143.895533915893</v>
      </c>
      <c r="G51">
        <f>Portfolio!B$6*'CurrentFact-N10,20Unchanged'!E51</f>
        <v>3696.2945087936532</v>
      </c>
      <c r="H51">
        <f t="shared" si="2"/>
        <v>94431.608772057632</v>
      </c>
      <c r="I51">
        <f t="shared" si="1"/>
        <v>-2.8130195940902922</v>
      </c>
    </row>
    <row r="52" spans="1:9">
      <c r="A52" s="1">
        <v>39330</v>
      </c>
      <c r="B52">
        <f>(3/(1+('CurrentFact-N10,20Unchanged'!B52)/100)+103/POWER(1+('CurrentFact-N10,20Unchanged'!C52)/100,2))*100</f>
        <v>9707.5857774288397</v>
      </c>
      <c r="C52">
        <f>(3/(1+('CurrentFact-N10,20Unchanged'!B52+'CurrentFact-N10,20Unchanged'!F52)/100)+103/POWER(1+('CurrentFact-N10,20Unchanged'!C52+'CurrentFact-N10,20Unchanged'!F52)/100,2))*100</f>
        <v>9614.9673582483465</v>
      </c>
      <c r="D52">
        <f>(3/(1+('CurrentFact-N10,20Unchanged'!B52+'CurrentFact-N10,20Unchanged'!G52)/100)+103/POWER(1+('CurrentFact-N10,20Unchanged'!C52+'CurrentFact-N10,20Unchanged'!G52)/100,2))*100</f>
        <v>9602.5500356131615</v>
      </c>
      <c r="E52">
        <f>(3/(1+('CurrentFact-N10,20Unchanged'!B52+'CurrentFact-N10,20Unchanged'!H52)/100)+103/POWER(1+('CurrentFact-N10,20Unchanged'!C52+'CurrentFact-N10,20Unchanged'!H52)/100,2))*100</f>
        <v>9674.9433798658083</v>
      </c>
      <c r="F52">
        <f>Portfolio!B$5*'CurrentFact-N10,20Unchanged'!D52</f>
        <v>52143.895533915893</v>
      </c>
      <c r="G52">
        <f>Portfolio!B$6*'CurrentFact-N10,20Unchanged'!E52</f>
        <v>3696.2945087936532</v>
      </c>
      <c r="H52">
        <f t="shared" si="2"/>
        <v>94440.236593865702</v>
      </c>
      <c r="I52">
        <f t="shared" si="1"/>
        <v>-4.717458921862999</v>
      </c>
    </row>
    <row r="53" spans="1:9">
      <c r="A53" s="1">
        <v>39331</v>
      </c>
      <c r="B53">
        <f>(3/(1+('CurrentFact-N10,20Unchanged'!B53)/100)+103/POWER(1+('CurrentFact-N10,20Unchanged'!C53)/100,2))*100</f>
        <v>9707.5857774288397</v>
      </c>
      <c r="C53">
        <f>(3/(1+('CurrentFact-N10,20Unchanged'!B53+'CurrentFact-N10,20Unchanged'!F53)/100)+103/POWER(1+('CurrentFact-N10,20Unchanged'!C53+'CurrentFact-N10,20Unchanged'!F53)/100,2))*100</f>
        <v>9614.9673582483465</v>
      </c>
      <c r="D53">
        <f>(3/(1+('CurrentFact-N10,20Unchanged'!B53+'CurrentFact-N10,20Unchanged'!G53)/100)+103/POWER(1+('CurrentFact-N10,20Unchanged'!C53+'CurrentFact-N10,20Unchanged'!G53)/100,2))*100</f>
        <v>9610.7303003650195</v>
      </c>
      <c r="E53">
        <f>(3/(1+('CurrentFact-N10,20Unchanged'!B53+'CurrentFact-N10,20Unchanged'!H53)/100)+103/POWER(1+('CurrentFact-N10,20Unchanged'!C53+'CurrentFact-N10,20Unchanged'!H53)/100,2))*100</f>
        <v>9676.6179693770573</v>
      </c>
      <c r="F53">
        <f>Portfolio!B$5*'CurrentFact-N10,20Unchanged'!D53</f>
        <v>52143.895533915893</v>
      </c>
      <c r="G53">
        <f>Portfolio!B$6*'CurrentFact-N10,20Unchanged'!E53</f>
        <v>3696.2945087936532</v>
      </c>
      <c r="H53">
        <f t="shared" si="2"/>
        <v>94450.091448128805</v>
      </c>
      <c r="I53">
        <f t="shared" si="1"/>
        <v>2.1994282964442391</v>
      </c>
    </row>
    <row r="54" spans="1:9">
      <c r="A54" s="1">
        <v>39332</v>
      </c>
      <c r="B54">
        <f>(3/(1+('CurrentFact-N10,20Unchanged'!B54)/100)+103/POWER(1+('CurrentFact-N10,20Unchanged'!C54)/100,2))*100</f>
        <v>9707.5857774288397</v>
      </c>
      <c r="C54">
        <f>(3/(1+('CurrentFact-N10,20Unchanged'!B54+'CurrentFact-N10,20Unchanged'!F54)/100)+103/POWER(1+('CurrentFact-N10,20Unchanged'!C54+'CurrentFact-N10,20Unchanged'!F54)/100,2))*100</f>
        <v>9614.9673582483465</v>
      </c>
      <c r="D54">
        <f>(3/(1+('CurrentFact-N10,20Unchanged'!B54+'CurrentFact-N10,20Unchanged'!G54)/100)+103/POWER(1+('CurrentFact-N10,20Unchanged'!C54+'CurrentFact-N10,20Unchanged'!G54)/100,2))*100</f>
        <v>9582.0723452286602</v>
      </c>
      <c r="E54">
        <f>(3/(1+('CurrentFact-N10,20Unchanged'!B54+'CurrentFact-N10,20Unchanged'!H54)/100)+103/POWER(1+('CurrentFact-N10,20Unchanged'!C54+'CurrentFact-N10,20Unchanged'!H54)/100,2))*100</f>
        <v>9678.4204632656547</v>
      </c>
      <c r="F54">
        <f>Portfolio!B$5*'CurrentFact-N10,20Unchanged'!D54</f>
        <v>52143.895533915893</v>
      </c>
      <c r="G54">
        <f>Portfolio!B$6*'CurrentFact-N10,20Unchanged'!E54</f>
        <v>3696.2945087936532</v>
      </c>
      <c r="H54">
        <f t="shared" si="2"/>
        <v>94423.235986881045</v>
      </c>
      <c r="I54">
        <f t="shared" si="1"/>
        <v>-18.466445752157597</v>
      </c>
    </row>
    <row r="55" spans="1:9">
      <c r="A55" s="1">
        <v>39335</v>
      </c>
      <c r="B55">
        <f>(3/(1+('CurrentFact-N10,20Unchanged'!B55)/100)+103/POWER(1+('CurrentFact-N10,20Unchanged'!C55)/100,2))*100</f>
        <v>9707.5857774288397</v>
      </c>
      <c r="C55">
        <f>(3/(1+('CurrentFact-N10,20Unchanged'!B55+'CurrentFact-N10,20Unchanged'!F55)/100)+103/POWER(1+('CurrentFact-N10,20Unchanged'!C55+'CurrentFact-N10,20Unchanged'!F55)/100,2))*100</f>
        <v>9614.9673582483465</v>
      </c>
      <c r="D55">
        <f>(3/(1+('CurrentFact-N10,20Unchanged'!B55+'CurrentFact-N10,20Unchanged'!G55)/100)+103/POWER(1+('CurrentFact-N10,20Unchanged'!C55+'CurrentFact-N10,20Unchanged'!G55)/100,2))*100</f>
        <v>9590.7574615146805</v>
      </c>
      <c r="E55">
        <f>(3/(1+('CurrentFact-N10,20Unchanged'!B55+'CurrentFact-N10,20Unchanged'!H55)/100)+103/POWER(1+('CurrentFact-N10,20Unchanged'!C55+'CurrentFact-N10,20Unchanged'!H55)/100,2))*100</f>
        <v>9676.1992782327652</v>
      </c>
      <c r="F55">
        <f>Portfolio!B$5*'CurrentFact-N10,20Unchanged'!D55</f>
        <v>52143.895533915893</v>
      </c>
      <c r="G55">
        <f>Portfolio!B$6*'CurrentFact-N10,20Unchanged'!E55</f>
        <v>3696.2945087936532</v>
      </c>
      <c r="H55">
        <f t="shared" si="2"/>
        <v>94429.699918134167</v>
      </c>
      <c r="I55">
        <f t="shared" si="1"/>
        <v>-14.102972137217876</v>
      </c>
    </row>
    <row r="56" spans="1:9">
      <c r="A56" s="1">
        <v>39336</v>
      </c>
      <c r="B56">
        <f>(3/(1+('CurrentFact-N10,20Unchanged'!B56)/100)+103/POWER(1+('CurrentFact-N10,20Unchanged'!C56)/100,2))*100</f>
        <v>9707.5857774288397</v>
      </c>
      <c r="C56">
        <f>(3/(1+('CurrentFact-N10,20Unchanged'!B56+'CurrentFact-N10,20Unchanged'!F56)/100)+103/POWER(1+('CurrentFact-N10,20Unchanged'!C56+'CurrentFact-N10,20Unchanged'!F56)/100,2))*100</f>
        <v>9614.9673582483465</v>
      </c>
      <c r="D56">
        <f>(3/(1+('CurrentFact-N10,20Unchanged'!B56+'CurrentFact-N10,20Unchanged'!G56)/100)+103/POWER(1+('CurrentFact-N10,20Unchanged'!C56+'CurrentFact-N10,20Unchanged'!G56)/100,2))*100</f>
        <v>9589.4873307870294</v>
      </c>
      <c r="E56">
        <f>(3/(1+('CurrentFact-N10,20Unchanged'!B56+'CurrentFact-N10,20Unchanged'!H56)/100)+103/POWER(1+('CurrentFact-N10,20Unchanged'!C56+'CurrentFact-N10,20Unchanged'!H56)/100,2))*100</f>
        <v>9678.966772692831</v>
      </c>
      <c r="F56">
        <f>Portfolio!B$5*'CurrentFact-N10,20Unchanged'!D56</f>
        <v>52143.895533915893</v>
      </c>
      <c r="G56">
        <f>Portfolio!B$6*'CurrentFact-N10,20Unchanged'!E56</f>
        <v>3696.2945087936532</v>
      </c>
      <c r="H56">
        <f t="shared" si="2"/>
        <v>94431.197281866596</v>
      </c>
      <c r="I56">
        <f t="shared" si="1"/>
        <v>-13.862398207333172</v>
      </c>
    </row>
    <row r="57" spans="1:9">
      <c r="A57" s="1">
        <v>39337</v>
      </c>
      <c r="B57">
        <f>(3/(1+('CurrentFact-N10,20Unchanged'!B57)/100)+103/POWER(1+('CurrentFact-N10,20Unchanged'!C57)/100,2))*100</f>
        <v>9707.5857774288397</v>
      </c>
      <c r="C57">
        <f>(3/(1+('CurrentFact-N10,20Unchanged'!B57+'CurrentFact-N10,20Unchanged'!F57)/100)+103/POWER(1+('CurrentFact-N10,20Unchanged'!C57+'CurrentFact-N10,20Unchanged'!F57)/100,2))*100</f>
        <v>9614.9673582483465</v>
      </c>
      <c r="D57">
        <f>(3/(1+('CurrentFact-N10,20Unchanged'!B57+'CurrentFact-N10,20Unchanged'!G57)/100)+103/POWER(1+('CurrentFact-N10,20Unchanged'!C57+'CurrentFact-N10,20Unchanged'!G57)/100,2))*100</f>
        <v>9609.4433094780234</v>
      </c>
      <c r="E57">
        <f>(3/(1+('CurrentFact-N10,20Unchanged'!B57+'CurrentFact-N10,20Unchanged'!H57)/100)+103/POWER(1+('CurrentFact-N10,20Unchanged'!C57+'CurrentFact-N10,20Unchanged'!H57)/100,2))*100</f>
        <v>9680.0595351765915</v>
      </c>
      <c r="F57">
        <f>Portfolio!B$5*'CurrentFact-N10,20Unchanged'!D57</f>
        <v>52143.895533915893</v>
      </c>
      <c r="G57">
        <f>Portfolio!B$6*'CurrentFact-N10,20Unchanged'!E57</f>
        <v>3696.2945087936532</v>
      </c>
      <c r="H57">
        <f t="shared" si="2"/>
        <v>94452.246023041342</v>
      </c>
      <c r="I57">
        <f t="shared" si="1"/>
        <v>15.929605396740953</v>
      </c>
    </row>
    <row r="58" spans="1:9">
      <c r="A58" s="1">
        <v>39338</v>
      </c>
      <c r="B58">
        <f>(3/(1+('CurrentFact-N10,20Unchanged'!B58)/100)+103/POWER(1+('CurrentFact-N10,20Unchanged'!C58)/100,2))*100</f>
        <v>9707.5857774288397</v>
      </c>
      <c r="C58">
        <f>(3/(1+('CurrentFact-N10,20Unchanged'!B58+'CurrentFact-N10,20Unchanged'!F58)/100)+103/POWER(1+('CurrentFact-N10,20Unchanged'!C58+'CurrentFact-N10,20Unchanged'!F58)/100,2))*100</f>
        <v>9614.9673582483465</v>
      </c>
      <c r="D58">
        <f>(3/(1+('CurrentFact-N10,20Unchanged'!B58+'CurrentFact-N10,20Unchanged'!G58)/100)+103/POWER(1+('CurrentFact-N10,20Unchanged'!C58+'CurrentFact-N10,20Unchanged'!G58)/100,2))*100</f>
        <v>9610.8271286705021</v>
      </c>
      <c r="E58">
        <f>(3/(1+('CurrentFact-N10,20Unchanged'!B58+'CurrentFact-N10,20Unchanged'!H58)/100)+103/POWER(1+('CurrentFact-N10,20Unchanged'!C58+'CurrentFact-N10,20Unchanged'!H58)/100,2))*100</f>
        <v>9682.8104799624489</v>
      </c>
      <c r="F58">
        <f>Portfolio!B$5*'CurrentFact-N10,20Unchanged'!D58</f>
        <v>52143.895533915893</v>
      </c>
      <c r="G58">
        <f>Portfolio!B$6*'CurrentFact-N10,20Unchanged'!E58</f>
        <v>3696.2945087936532</v>
      </c>
      <c r="H58">
        <f t="shared" si="2"/>
        <v>94456.380787019676</v>
      </c>
      <c r="I58">
        <f t="shared" si="1"/>
        <v>16.254162636585534</v>
      </c>
    </row>
    <row r="59" spans="1:9">
      <c r="A59" s="1">
        <v>39339</v>
      </c>
      <c r="B59">
        <f>(3/(1+('CurrentFact-N10,20Unchanged'!B59)/100)+103/POWER(1+('CurrentFact-N10,20Unchanged'!C59)/100,2))*100</f>
        <v>9707.5857774288397</v>
      </c>
      <c r="C59">
        <f>(3/(1+('CurrentFact-N10,20Unchanged'!B59+'CurrentFact-N10,20Unchanged'!F59)/100)+103/POWER(1+('CurrentFact-N10,20Unchanged'!C59+'CurrentFact-N10,20Unchanged'!F59)/100,2))*100</f>
        <v>9614.9673582483465</v>
      </c>
      <c r="D59">
        <f>(3/(1+('CurrentFact-N10,20Unchanged'!B59+'CurrentFact-N10,20Unchanged'!G59)/100)+103/POWER(1+('CurrentFact-N10,20Unchanged'!C59+'CurrentFact-N10,20Unchanged'!G59)/100,2))*100</f>
        <v>9596.9147464911293</v>
      </c>
      <c r="E59">
        <f>(3/(1+('CurrentFact-N10,20Unchanged'!B59+'CurrentFact-N10,20Unchanged'!H59)/100)+103/POWER(1+('CurrentFact-N10,20Unchanged'!C59+'CurrentFact-N10,20Unchanged'!H59)/100,2))*100</f>
        <v>9683.6851995883117</v>
      </c>
      <c r="F59">
        <f>Portfolio!B$5*'CurrentFact-N10,20Unchanged'!D59</f>
        <v>52143.895533915893</v>
      </c>
      <c r="G59">
        <f>Portfolio!B$6*'CurrentFact-N10,20Unchanged'!E59</f>
        <v>3696.2945087936532</v>
      </c>
      <c r="H59">
        <f t="shared" si="2"/>
        <v>94443.343124466162</v>
      </c>
      <c r="I59">
        <f t="shared" si="1"/>
        <v>-24.636254355122219</v>
      </c>
    </row>
    <row r="60" spans="1:9">
      <c r="A60" s="1">
        <v>39342</v>
      </c>
      <c r="B60">
        <f>(3/(1+('CurrentFact-N10,20Unchanged'!B60)/100)+103/POWER(1+('CurrentFact-N10,20Unchanged'!C60)/100,2))*100</f>
        <v>9707.5857774288397</v>
      </c>
      <c r="C60">
        <f>(3/(1+('CurrentFact-N10,20Unchanged'!B60+'CurrentFact-N10,20Unchanged'!F60)/100)+103/POWER(1+('CurrentFact-N10,20Unchanged'!C60+'CurrentFact-N10,20Unchanged'!F60)/100,2))*100</f>
        <v>9614.9673582483465</v>
      </c>
      <c r="D60">
        <f>(3/(1+('CurrentFact-N10,20Unchanged'!B60+'CurrentFact-N10,20Unchanged'!G60)/100)+103/POWER(1+('CurrentFact-N10,20Unchanged'!C60+'CurrentFact-N10,20Unchanged'!G60)/100,2))*100</f>
        <v>9593.162131592806</v>
      </c>
      <c r="E60">
        <f>(3/(1+('CurrentFact-N10,20Unchanged'!B60+'CurrentFact-N10,20Unchanged'!H60)/100)+103/POWER(1+('CurrentFact-N10,20Unchanged'!C60+'CurrentFact-N10,20Unchanged'!H60)/100,2))*100</f>
        <v>9682.0087570471096</v>
      </c>
      <c r="F60">
        <f>Portfolio!B$5*'CurrentFact-N10,20Unchanged'!D60</f>
        <v>52143.895533915893</v>
      </c>
      <c r="G60">
        <f>Portfolio!B$6*'CurrentFact-N10,20Unchanged'!E60</f>
        <v>3696.2945087936532</v>
      </c>
      <c r="H60">
        <f t="shared" si="2"/>
        <v>94437.91406702665</v>
      </c>
      <c r="I60">
        <f t="shared" si="1"/>
        <v>-13.209716045690584</v>
      </c>
    </row>
    <row r="61" spans="1:9">
      <c r="A61" s="1">
        <v>39343</v>
      </c>
      <c r="B61">
        <f>(3/(1+('CurrentFact-N10,20Unchanged'!B61)/100)+103/POWER(1+('CurrentFact-N10,20Unchanged'!C61)/100,2))*100</f>
        <v>9707.5857774288397</v>
      </c>
      <c r="C61">
        <f>(3/(1+('CurrentFact-N10,20Unchanged'!B61+'CurrentFact-N10,20Unchanged'!F61)/100)+103/POWER(1+('CurrentFact-N10,20Unchanged'!C61+'CurrentFact-N10,20Unchanged'!F61)/100,2))*100</f>
        <v>9614.9673582483465</v>
      </c>
      <c r="D61">
        <f>(3/(1+('CurrentFact-N10,20Unchanged'!B61+'CurrentFact-N10,20Unchanged'!G61)/100)+103/POWER(1+('CurrentFact-N10,20Unchanged'!C61+'CurrentFact-N10,20Unchanged'!G61)/100,2))*100</f>
        <v>9604.9499368153101</v>
      </c>
      <c r="E61">
        <f>(3/(1+('CurrentFact-N10,20Unchanged'!B61+'CurrentFact-N10,20Unchanged'!H61)/100)+103/POWER(1+('CurrentFact-N10,20Unchanged'!C61+'CurrentFact-N10,20Unchanged'!H61)/100,2))*100</f>
        <v>9681.2071364265666</v>
      </c>
      <c r="F61">
        <f>Portfolio!B$5*'CurrentFact-N10,20Unchanged'!D61</f>
        <v>52143.895533915893</v>
      </c>
      <c r="G61">
        <f>Portfolio!B$6*'CurrentFact-N10,20Unchanged'!E61</f>
        <v>3696.2945087936532</v>
      </c>
      <c r="H61">
        <f t="shared" si="2"/>
        <v>94448.900251628598</v>
      </c>
      <c r="I61">
        <f t="shared" si="1"/>
        <v>17.291479570965748</v>
      </c>
    </row>
    <row r="62" spans="1:9">
      <c r="A62" s="1">
        <v>39344</v>
      </c>
      <c r="B62">
        <f>(3/(1+('CurrentFact-N10,20Unchanged'!B62)/100)+103/POWER(1+('CurrentFact-N10,20Unchanged'!C62)/100,2))*100</f>
        <v>9707.5857774288397</v>
      </c>
      <c r="C62">
        <f>(3/(1+('CurrentFact-N10,20Unchanged'!B62+'CurrentFact-N10,20Unchanged'!F62)/100)+103/POWER(1+('CurrentFact-N10,20Unchanged'!C62+'CurrentFact-N10,20Unchanged'!F62)/100,2))*100</f>
        <v>9614.9673582483465</v>
      </c>
      <c r="D62">
        <f>(3/(1+('CurrentFact-N10,20Unchanged'!B62+'CurrentFact-N10,20Unchanged'!G62)/100)+103/POWER(1+('CurrentFact-N10,20Unchanged'!C62+'CurrentFact-N10,20Unchanged'!G62)/100,2))*100</f>
        <v>9595.8487179296862</v>
      </c>
      <c r="E62">
        <f>(3/(1+('CurrentFact-N10,20Unchanged'!B62+'CurrentFact-N10,20Unchanged'!H62)/100)+103/POWER(1+('CurrentFact-N10,20Unchanged'!C62+'CurrentFact-N10,20Unchanged'!H62)/100,2))*100</f>
        <v>9681.2982250495716</v>
      </c>
      <c r="F62">
        <f>Portfolio!B$5*'CurrentFact-N10,20Unchanged'!D62</f>
        <v>52143.895533915893</v>
      </c>
      <c r="G62">
        <f>Portfolio!B$6*'CurrentFact-N10,20Unchanged'!E62</f>
        <v>3696.2945087936532</v>
      </c>
      <c r="H62">
        <f t="shared" si="2"/>
        <v>94439.890121365985</v>
      </c>
      <c r="I62">
        <f t="shared" si="1"/>
        <v>-0.34647249971749261</v>
      </c>
    </row>
    <row r="63" spans="1:9">
      <c r="A63" s="1">
        <v>39345</v>
      </c>
      <c r="B63">
        <f>(3/(1+('CurrentFact-N10,20Unchanged'!B63)/100)+103/POWER(1+('CurrentFact-N10,20Unchanged'!C63)/100,2))*100</f>
        <v>9707.5857774288397</v>
      </c>
      <c r="C63">
        <f>(3/(1+('CurrentFact-N10,20Unchanged'!B63+'CurrentFact-N10,20Unchanged'!F63)/100)+103/POWER(1+('CurrentFact-N10,20Unchanged'!C63+'CurrentFact-N10,20Unchanged'!F63)/100,2))*100</f>
        <v>9614.9673582483465</v>
      </c>
      <c r="D63">
        <f>(3/(1+('CurrentFact-N10,20Unchanged'!B63+'CurrentFact-N10,20Unchanged'!G63)/100)+103/POWER(1+('CurrentFact-N10,20Unchanged'!C63+'CurrentFact-N10,20Unchanged'!G63)/100,2))*100</f>
        <v>9606.8098692856529</v>
      </c>
      <c r="E63">
        <f>(3/(1+('CurrentFact-N10,20Unchanged'!B63+'CurrentFact-N10,20Unchanged'!H63)/100)+103/POWER(1+('CurrentFact-N10,20Unchanged'!C63+'CurrentFact-N10,20Unchanged'!H63)/100,2))*100</f>
        <v>9681.6079350369982</v>
      </c>
      <c r="F63">
        <f>Portfolio!B$5*'CurrentFact-N10,20Unchanged'!D63</f>
        <v>52143.895533915893</v>
      </c>
      <c r="G63">
        <f>Portfolio!B$6*'CurrentFact-N10,20Unchanged'!E63</f>
        <v>3696.2945087936532</v>
      </c>
      <c r="H63">
        <f t="shared" si="2"/>
        <v>94451.160982709378</v>
      </c>
      <c r="I63">
        <f t="shared" si="1"/>
        <v>1.0695345805725083</v>
      </c>
    </row>
    <row r="64" spans="1:9">
      <c r="A64" s="1">
        <v>39346</v>
      </c>
      <c r="B64">
        <f>(3/(1+('CurrentFact-N10,20Unchanged'!B64)/100)+103/POWER(1+('CurrentFact-N10,20Unchanged'!C64)/100,2))*100</f>
        <v>9707.5857774288397</v>
      </c>
      <c r="C64">
        <f>(3/(1+('CurrentFact-N10,20Unchanged'!B64+'CurrentFact-N10,20Unchanged'!F64)/100)+103/POWER(1+('CurrentFact-N10,20Unchanged'!C64+'CurrentFact-N10,20Unchanged'!F64)/100,2))*100</f>
        <v>9614.9673582483465</v>
      </c>
      <c r="D64">
        <f>(3/(1+('CurrentFact-N10,20Unchanged'!B64+'CurrentFact-N10,20Unchanged'!G64)/100)+103/POWER(1+('CurrentFact-N10,20Unchanged'!C64+'CurrentFact-N10,20Unchanged'!G64)/100,2))*100</f>
        <v>9614.896012983485</v>
      </c>
      <c r="E64">
        <f>(3/(1+('CurrentFact-N10,20Unchanged'!B64+'CurrentFact-N10,20Unchanged'!H64)/100)+103/POWER(1+('CurrentFact-N10,20Unchanged'!C64+'CurrentFact-N10,20Unchanged'!H64)/100,2))*100</f>
        <v>9682.9744812089939</v>
      </c>
      <c r="F64">
        <f>Portfolio!B$5*'CurrentFact-N10,20Unchanged'!D64</f>
        <v>52143.895533915893</v>
      </c>
      <c r="G64">
        <f>Portfolio!B$6*'CurrentFact-N10,20Unchanged'!E64</f>
        <v>3696.2945087936532</v>
      </c>
      <c r="H64">
        <f t="shared" si="2"/>
        <v>94460.613672579202</v>
      </c>
      <c r="I64">
        <f t="shared" si="1"/>
        <v>37.377685698156711</v>
      </c>
    </row>
    <row r="65" spans="1:9">
      <c r="A65" s="1">
        <v>39349</v>
      </c>
      <c r="B65">
        <f>(3/(1+('CurrentFact-N10,20Unchanged'!B65)/100)+103/POWER(1+('CurrentFact-N10,20Unchanged'!C65)/100,2))*100</f>
        <v>9707.5857774288397</v>
      </c>
      <c r="C65">
        <f>(3/(1+('CurrentFact-N10,20Unchanged'!B65+'CurrentFact-N10,20Unchanged'!F65)/100)+103/POWER(1+('CurrentFact-N10,20Unchanged'!C65+'CurrentFact-N10,20Unchanged'!F65)/100,2))*100</f>
        <v>9614.9673582483465</v>
      </c>
      <c r="D65">
        <f>(3/(1+('CurrentFact-N10,20Unchanged'!B65+'CurrentFact-N10,20Unchanged'!G65)/100)+103/POWER(1+('CurrentFact-N10,20Unchanged'!C65+'CurrentFact-N10,20Unchanged'!G65)/100,2))*100</f>
        <v>9607.6985825555385</v>
      </c>
      <c r="E65">
        <f>(3/(1+('CurrentFact-N10,20Unchanged'!B65+'CurrentFact-N10,20Unchanged'!H65)/100)+103/POWER(1+('CurrentFact-N10,20Unchanged'!C65+'CurrentFact-N10,20Unchanged'!H65)/100,2))*100</f>
        <v>9684.1772832883726</v>
      </c>
      <c r="F65">
        <f>Portfolio!B$5*'CurrentFact-N10,20Unchanged'!D65</f>
        <v>52143.895533915893</v>
      </c>
      <c r="G65">
        <f>Portfolio!B$6*'CurrentFact-N10,20Unchanged'!E65</f>
        <v>3696.2945087936532</v>
      </c>
      <c r="H65">
        <f t="shared" si="2"/>
        <v>94454.61904423064</v>
      </c>
      <c r="I65">
        <f t="shared" si="1"/>
        <v>24.91912609647261</v>
      </c>
    </row>
    <row r="66" spans="1:9">
      <c r="A66" s="1">
        <v>39350</v>
      </c>
      <c r="B66">
        <f>(3/(1+('CurrentFact-N10,20Unchanged'!B66)/100)+103/POWER(1+('CurrentFact-N10,20Unchanged'!C66)/100,2))*100</f>
        <v>9707.5857774288397</v>
      </c>
      <c r="C66">
        <f>(3/(1+('CurrentFact-N10,20Unchanged'!B66+'CurrentFact-N10,20Unchanged'!F66)/100)+103/POWER(1+('CurrentFact-N10,20Unchanged'!C66+'CurrentFact-N10,20Unchanged'!F66)/100,2))*100</f>
        <v>9614.9673582483465</v>
      </c>
      <c r="D66">
        <f>(3/(1+('CurrentFact-N10,20Unchanged'!B66+'CurrentFact-N10,20Unchanged'!G66)/100)+103/POWER(1+('CurrentFact-N10,20Unchanged'!C66+'CurrentFact-N10,20Unchanged'!G66)/100,2))*100</f>
        <v>9610.5328170949797</v>
      </c>
      <c r="E66">
        <f>(3/(1+('CurrentFact-N10,20Unchanged'!B66+'CurrentFact-N10,20Unchanged'!H66)/100)+103/POWER(1+('CurrentFact-N10,20Unchanged'!C66+'CurrentFact-N10,20Unchanged'!H66)/100,2))*100</f>
        <v>9682.4096059340463</v>
      </c>
      <c r="F66">
        <f>Portfolio!B$5*'CurrentFact-N10,20Unchanged'!D66</f>
        <v>52143.895533915893</v>
      </c>
      <c r="G66">
        <f>Portfolio!B$6*'CurrentFact-N10,20Unchanged'!E66</f>
        <v>3696.2945087936532</v>
      </c>
      <c r="H66">
        <f t="shared" si="2"/>
        <v>94455.685601415753</v>
      </c>
      <c r="I66">
        <f t="shared" si="1"/>
        <v>24.488319549156586</v>
      </c>
    </row>
    <row r="67" spans="1:9">
      <c r="A67" s="1">
        <v>39351</v>
      </c>
      <c r="B67">
        <f>(3/(1+('CurrentFact-N10,20Unchanged'!B67)/100)+103/POWER(1+('CurrentFact-N10,20Unchanged'!C67)/100,2))*100</f>
        <v>9707.5857774288397</v>
      </c>
      <c r="C67">
        <f>(3/(1+('CurrentFact-N10,20Unchanged'!B67+'CurrentFact-N10,20Unchanged'!F67)/100)+103/POWER(1+('CurrentFact-N10,20Unchanged'!C67+'CurrentFact-N10,20Unchanged'!F67)/100,2))*100</f>
        <v>9614.9673582483465</v>
      </c>
      <c r="D67">
        <f>(3/(1+('CurrentFact-N10,20Unchanged'!B67+'CurrentFact-N10,20Unchanged'!G67)/100)+103/POWER(1+('CurrentFact-N10,20Unchanged'!C67+'CurrentFact-N10,20Unchanged'!G67)/100,2))*100</f>
        <v>9597.3544839682436</v>
      </c>
      <c r="E67">
        <f>(3/(1+('CurrentFact-N10,20Unchanged'!B67+'CurrentFact-N10,20Unchanged'!H67)/100)+103/POWER(1+('CurrentFact-N10,20Unchanged'!C67+'CurrentFact-N10,20Unchanged'!H67)/100,2))*100</f>
        <v>9682.0269773005712</v>
      </c>
      <c r="F67">
        <f>Portfolio!B$5*'CurrentFact-N10,20Unchanged'!D67</f>
        <v>52143.895533915893</v>
      </c>
      <c r="G67">
        <f>Portfolio!B$6*'CurrentFact-N10,20Unchanged'!E67</f>
        <v>3696.2945087936532</v>
      </c>
      <c r="H67">
        <f t="shared" ref="H67:H98" si="3">SUM(B67:G67)</f>
        <v>94442.124639655551</v>
      </c>
      <c r="I67">
        <f t="shared" si="1"/>
        <v>-10.121383385790978</v>
      </c>
    </row>
    <row r="68" spans="1:9">
      <c r="A68" s="1">
        <v>39352</v>
      </c>
      <c r="B68">
        <f>(3/(1+('CurrentFact-N10,20Unchanged'!B68)/100)+103/POWER(1+('CurrentFact-N10,20Unchanged'!C68)/100,2))*100</f>
        <v>9707.5857774288397</v>
      </c>
      <c r="C68">
        <f>(3/(1+('CurrentFact-N10,20Unchanged'!B68+'CurrentFact-N10,20Unchanged'!F68)/100)+103/POWER(1+('CurrentFact-N10,20Unchanged'!C68+'CurrentFact-N10,20Unchanged'!F68)/100,2))*100</f>
        <v>9614.9673582483465</v>
      </c>
      <c r="D68">
        <f>(3/(1+('CurrentFact-N10,20Unchanged'!B68+'CurrentFact-N10,20Unchanged'!G68)/100)+103/POWER(1+('CurrentFact-N10,20Unchanged'!C68+'CurrentFact-N10,20Unchanged'!G68)/100,2))*100</f>
        <v>9594.7781927274227</v>
      </c>
      <c r="E68">
        <f>(3/(1+('CurrentFact-N10,20Unchanged'!B68+'CurrentFact-N10,20Unchanged'!H68)/100)+103/POWER(1+('CurrentFact-N10,20Unchanged'!C68+'CurrentFact-N10,20Unchanged'!H68)/100,2))*100</f>
        <v>9675.5803973896527</v>
      </c>
      <c r="F68">
        <f>Portfolio!B$5*'CurrentFact-N10,20Unchanged'!D68</f>
        <v>52143.895533915893</v>
      </c>
      <c r="G68">
        <f>Portfolio!B$6*'CurrentFact-N10,20Unchanged'!E68</f>
        <v>3696.2945087936532</v>
      </c>
      <c r="H68">
        <f t="shared" si="3"/>
        <v>94433.10176850381</v>
      </c>
      <c r="I68">
        <f t="shared" si="1"/>
        <v>-23.279018515866483</v>
      </c>
    </row>
    <row r="69" spans="1:9">
      <c r="A69" s="1">
        <v>39353</v>
      </c>
      <c r="B69">
        <f>(3/(1+('CurrentFact-N10,20Unchanged'!B69)/100)+103/POWER(1+('CurrentFact-N10,20Unchanged'!C69)/100,2))*100</f>
        <v>9707.5857774288397</v>
      </c>
      <c r="C69">
        <f>(3/(1+('CurrentFact-N10,20Unchanged'!B69+'CurrentFact-N10,20Unchanged'!F69)/100)+103/POWER(1+('CurrentFact-N10,20Unchanged'!C69+'CurrentFact-N10,20Unchanged'!F69)/100,2))*100</f>
        <v>9614.9673582483465</v>
      </c>
      <c r="D69">
        <f>(3/(1+('CurrentFact-N10,20Unchanged'!B69+'CurrentFact-N10,20Unchanged'!G69)/100)+103/POWER(1+('CurrentFact-N10,20Unchanged'!C69+'CurrentFact-N10,20Unchanged'!G69)/100,2))*100</f>
        <v>9596.784888139191</v>
      </c>
      <c r="E69">
        <f>(3/(1+('CurrentFact-N10,20Unchanged'!B69+'CurrentFact-N10,20Unchanged'!H69)/100)+103/POWER(1+('CurrentFact-N10,20Unchanged'!C69+'CurrentFact-N10,20Unchanged'!H69)/100,2))*100</f>
        <v>9676.1992782327652</v>
      </c>
      <c r="F69">
        <f>Portfolio!B$5*'CurrentFact-N10,20Unchanged'!D69</f>
        <v>52143.895533915893</v>
      </c>
      <c r="G69">
        <f>Portfolio!B$6*'CurrentFact-N10,20Unchanged'!E69</f>
        <v>3696.2945087936532</v>
      </c>
      <c r="H69">
        <f t="shared" si="3"/>
        <v>94435.727344758692</v>
      </c>
      <c r="I69">
        <f t="shared" si="1"/>
        <v>-7.6157797074702103</v>
      </c>
    </row>
    <row r="70" spans="1:9">
      <c r="A70" s="1">
        <v>39356</v>
      </c>
      <c r="B70">
        <f>(3/(1+('CurrentFact-N10,20Unchanged'!B70)/100)+103/POWER(1+('CurrentFact-N10,20Unchanged'!C70)/100,2))*100</f>
        <v>9707.5857774288397</v>
      </c>
      <c r="C70">
        <f>(3/(1+('CurrentFact-N10,20Unchanged'!B70+'CurrentFact-N10,20Unchanged'!F70)/100)+103/POWER(1+('CurrentFact-N10,20Unchanged'!C70+'CurrentFact-N10,20Unchanged'!F70)/100,2))*100</f>
        <v>9614.9673582483465</v>
      </c>
      <c r="D70">
        <f>(3/(1+('CurrentFact-N10,20Unchanged'!B70+'CurrentFact-N10,20Unchanged'!G70)/100)+103/POWER(1+('CurrentFact-N10,20Unchanged'!C70+'CurrentFact-N10,20Unchanged'!G70)/100,2))*100</f>
        <v>9606.033946273903</v>
      </c>
      <c r="E70">
        <f>(3/(1+('CurrentFact-N10,20Unchanged'!B70+'CurrentFact-N10,20Unchanged'!H70)/100)+103/POWER(1+('CurrentFact-N10,20Unchanged'!C70+'CurrentFact-N10,20Unchanged'!H70)/100,2))*100</f>
        <v>9676.7454012054895</v>
      </c>
      <c r="F70">
        <f>Portfolio!B$5*'CurrentFact-N10,20Unchanged'!D70</f>
        <v>52143.895533915893</v>
      </c>
      <c r="G70">
        <f>Portfolio!B$6*'CurrentFact-N10,20Unchanged'!E70</f>
        <v>3696.2945087936532</v>
      </c>
      <c r="H70">
        <f t="shared" si="3"/>
        <v>94445.522525866123</v>
      </c>
      <c r="I70">
        <f t="shared" si="1"/>
        <v>7.6084588394733146</v>
      </c>
    </row>
    <row r="71" spans="1:9">
      <c r="A71" s="1">
        <v>39357</v>
      </c>
      <c r="B71">
        <f>(3/(1+('CurrentFact-N10,20Unchanged'!B71)/100)+103/POWER(1+('CurrentFact-N10,20Unchanged'!C71)/100,2))*100</f>
        <v>9707.5857774288397</v>
      </c>
      <c r="C71">
        <f>(3/(1+('CurrentFact-N10,20Unchanged'!B71+'CurrentFact-N10,20Unchanged'!F71)/100)+103/POWER(1+('CurrentFact-N10,20Unchanged'!C71+'CurrentFact-N10,20Unchanged'!F71)/100,2))*100</f>
        <v>9614.9673582483465</v>
      </c>
      <c r="D71">
        <f>(3/(1+('CurrentFact-N10,20Unchanged'!B71+'CurrentFact-N10,20Unchanged'!G71)/100)+103/POWER(1+('CurrentFact-N10,20Unchanged'!C71+'CurrentFact-N10,20Unchanged'!G71)/100,2))*100</f>
        <v>9585.4843833852265</v>
      </c>
      <c r="E71">
        <f>(3/(1+('CurrentFact-N10,20Unchanged'!B71+'CurrentFact-N10,20Unchanged'!H71)/100)+103/POWER(1+('CurrentFact-N10,20Unchanged'!C71+'CurrentFact-N10,20Unchanged'!H71)/100,2))*100</f>
        <v>9673.0326980464833</v>
      </c>
      <c r="F71">
        <f>Portfolio!B$5*'CurrentFact-N10,20Unchanged'!D71</f>
        <v>52143.895533915893</v>
      </c>
      <c r="G71">
        <f>Portfolio!B$6*'CurrentFact-N10,20Unchanged'!E71</f>
        <v>3696.2945087936532</v>
      </c>
      <c r="H71">
        <f t="shared" si="3"/>
        <v>94421.260259818431</v>
      </c>
      <c r="I71">
        <f t="shared" si="1"/>
        <v>-27.639991810166975</v>
      </c>
    </row>
    <row r="72" spans="1:9">
      <c r="A72" s="1">
        <v>39358</v>
      </c>
      <c r="B72">
        <f>(3/(1+('CurrentFact-N10,20Unchanged'!B72)/100)+103/POWER(1+('CurrentFact-N10,20Unchanged'!C72)/100,2))*100</f>
        <v>9707.5857774288397</v>
      </c>
      <c r="C72">
        <f>(3/(1+('CurrentFact-N10,20Unchanged'!B72+'CurrentFact-N10,20Unchanged'!F72)/100)+103/POWER(1+('CurrentFact-N10,20Unchanged'!C72+'CurrentFact-N10,20Unchanged'!F72)/100,2))*100</f>
        <v>9614.9673582483465</v>
      </c>
      <c r="D72">
        <f>(3/(1+('CurrentFact-N10,20Unchanged'!B72+'CurrentFact-N10,20Unchanged'!G72)/100)+103/POWER(1+('CurrentFact-N10,20Unchanged'!C72+'CurrentFact-N10,20Unchanged'!G72)/100,2))*100</f>
        <v>9597.8405455466655</v>
      </c>
      <c r="E72">
        <f>(3/(1+('CurrentFact-N10,20Unchanged'!B72+'CurrentFact-N10,20Unchanged'!H72)/100)+103/POWER(1+('CurrentFact-N10,20Unchanged'!C72+'CurrentFact-N10,20Unchanged'!H72)/100,2))*100</f>
        <v>9674.3428190550749</v>
      </c>
      <c r="F72">
        <f>Portfolio!B$5*'CurrentFact-N10,20Unchanged'!D72</f>
        <v>52143.895533915893</v>
      </c>
      <c r="G72">
        <f>Portfolio!B$6*'CurrentFact-N10,20Unchanged'!E72</f>
        <v>3696.2945087936532</v>
      </c>
      <c r="H72">
        <f t="shared" si="3"/>
        <v>94434.926542988484</v>
      </c>
      <c r="I72">
        <f t="shared" si="1"/>
        <v>-4.9635783775011078</v>
      </c>
    </row>
    <row r="73" spans="1:9">
      <c r="A73" s="1">
        <v>39359</v>
      </c>
      <c r="B73">
        <f>(3/(1+('CurrentFact-N10,20Unchanged'!B73)/100)+103/POWER(1+('CurrentFact-N10,20Unchanged'!C73)/100,2))*100</f>
        <v>9707.5857774288397</v>
      </c>
      <c r="C73">
        <f>(3/(1+('CurrentFact-N10,20Unchanged'!B73+'CurrentFact-N10,20Unchanged'!F73)/100)+103/POWER(1+('CurrentFact-N10,20Unchanged'!C73+'CurrentFact-N10,20Unchanged'!F73)/100,2))*100</f>
        <v>9614.9673582483465</v>
      </c>
      <c r="D73">
        <f>(3/(1+('CurrentFact-N10,20Unchanged'!B73+'CurrentFact-N10,20Unchanged'!G73)/100)+103/POWER(1+('CurrentFact-N10,20Unchanged'!C73+'CurrentFact-N10,20Unchanged'!G73)/100,2))*100</f>
        <v>9613.2645878226158</v>
      </c>
      <c r="E73">
        <f>(3/(1+('CurrentFact-N10,20Unchanged'!B73+'CurrentFact-N10,20Unchanged'!H73)/100)+103/POWER(1+('CurrentFact-N10,20Unchanged'!C73+'CurrentFact-N10,20Unchanged'!H73)/100,2))*100</f>
        <v>9675.4529888018551</v>
      </c>
      <c r="F73">
        <f>Portfolio!B$5*'CurrentFact-N10,20Unchanged'!D73</f>
        <v>52143.895533915893</v>
      </c>
      <c r="G73">
        <f>Portfolio!B$6*'CurrentFact-N10,20Unchanged'!E73</f>
        <v>3696.2945087936532</v>
      </c>
      <c r="H73">
        <f t="shared" si="3"/>
        <v>94451.460755011212</v>
      </c>
      <c r="I73">
        <f t="shared" si="1"/>
        <v>0.29977230183430947</v>
      </c>
    </row>
    <row r="74" spans="1:9">
      <c r="A74" s="1">
        <v>39360</v>
      </c>
      <c r="B74">
        <f>(3/(1+('CurrentFact-N10,20Unchanged'!B74)/100)+103/POWER(1+('CurrentFact-N10,20Unchanged'!C74)/100,2))*100</f>
        <v>9707.5857774288397</v>
      </c>
      <c r="C74">
        <f>(3/(1+('CurrentFact-N10,20Unchanged'!B74+'CurrentFact-N10,20Unchanged'!F74)/100)+103/POWER(1+('CurrentFact-N10,20Unchanged'!C74+'CurrentFact-N10,20Unchanged'!F74)/100,2))*100</f>
        <v>9614.9673582483465</v>
      </c>
      <c r="D74">
        <f>(3/(1+('CurrentFact-N10,20Unchanged'!B74+'CurrentFact-N10,20Unchanged'!G74)/100)+103/POWER(1+('CurrentFact-N10,20Unchanged'!C74+'CurrentFact-N10,20Unchanged'!G74)/100,2))*100</f>
        <v>9585.2118382865192</v>
      </c>
      <c r="E74">
        <f>(3/(1+('CurrentFact-N10,20Unchanged'!B74+'CurrentFact-N10,20Unchanged'!H74)/100)+103/POWER(1+('CurrentFact-N10,20Unchanged'!C74+'CurrentFact-N10,20Unchanged'!H74)/100,2))*100</f>
        <v>9671.5045655223075</v>
      </c>
      <c r="F74">
        <f>Portfolio!B$5*'CurrentFact-N10,20Unchanged'!D74</f>
        <v>52143.895533915893</v>
      </c>
      <c r="G74">
        <f>Portfolio!B$6*'CurrentFact-N10,20Unchanged'!E74</f>
        <v>3696.2945087936532</v>
      </c>
      <c r="H74">
        <f t="shared" si="3"/>
        <v>94419.459582195559</v>
      </c>
      <c r="I74">
        <f t="shared" si="1"/>
        <v>-41.154090383643052</v>
      </c>
    </row>
    <row r="75" spans="1:9">
      <c r="A75" s="1">
        <v>39363</v>
      </c>
      <c r="B75">
        <f>(3/(1+('CurrentFact-N10,20Unchanged'!B75)/100)+103/POWER(1+('CurrentFact-N10,20Unchanged'!C75)/100,2))*100</f>
        <v>9707.5857774288397</v>
      </c>
      <c r="C75">
        <f>(3/(1+('CurrentFact-N10,20Unchanged'!B75+'CurrentFact-N10,20Unchanged'!F75)/100)+103/POWER(1+('CurrentFact-N10,20Unchanged'!C75+'CurrentFact-N10,20Unchanged'!F75)/100,2))*100</f>
        <v>9614.9673582483465</v>
      </c>
      <c r="D75">
        <f>(3/(1+('CurrentFact-N10,20Unchanged'!B75+'CurrentFact-N10,20Unchanged'!G75)/100)+103/POWER(1+('CurrentFact-N10,20Unchanged'!C75+'CurrentFact-N10,20Unchanged'!G75)/100,2))*100</f>
        <v>9589.7775477937776</v>
      </c>
      <c r="E75">
        <f>(3/(1+('CurrentFact-N10,20Unchanged'!B75+'CurrentFact-N10,20Unchanged'!H75)/100)+103/POWER(1+('CurrentFact-N10,20Unchanged'!C75+'CurrentFact-N10,20Unchanged'!H75)/100,2))*100</f>
        <v>9673.6877249516419</v>
      </c>
      <c r="F75">
        <f>Portfolio!B$5*'CurrentFact-N10,20Unchanged'!D75</f>
        <v>52143.895533915893</v>
      </c>
      <c r="G75">
        <f>Portfolio!B$6*'CurrentFact-N10,20Unchanged'!E75</f>
        <v>3696.2945087936532</v>
      </c>
      <c r="H75">
        <f t="shared" si="3"/>
        <v>94426.208451132145</v>
      </c>
      <c r="I75">
        <f t="shared" si="1"/>
        <v>-28.410593098495156</v>
      </c>
    </row>
    <row r="76" spans="1:9">
      <c r="A76" s="1">
        <v>39364</v>
      </c>
      <c r="B76">
        <f>(3/(1+('CurrentFact-N10,20Unchanged'!B76)/100)+103/POWER(1+('CurrentFact-N10,20Unchanged'!C76)/100,2))*100</f>
        <v>9707.5857774288397</v>
      </c>
      <c r="C76">
        <f>(3/(1+('CurrentFact-N10,20Unchanged'!B76+'CurrentFact-N10,20Unchanged'!F76)/100)+103/POWER(1+('CurrentFact-N10,20Unchanged'!C76+'CurrentFact-N10,20Unchanged'!F76)/100,2))*100</f>
        <v>9614.9673582483465</v>
      </c>
      <c r="D76">
        <f>(3/(1+('CurrentFact-N10,20Unchanged'!B76+'CurrentFact-N10,20Unchanged'!G76)/100)+103/POWER(1+('CurrentFact-N10,20Unchanged'!C76+'CurrentFact-N10,20Unchanged'!G76)/100,2))*100</f>
        <v>9591.5763994074568</v>
      </c>
      <c r="E76">
        <f>(3/(1+('CurrentFact-N10,20Unchanged'!B76+'CurrentFact-N10,20Unchanged'!H76)/100)+103/POWER(1+('CurrentFact-N10,20Unchanged'!C76+'CurrentFact-N10,20Unchanged'!H76)/100,2))*100</f>
        <v>9673.8514921772967</v>
      </c>
      <c r="F76">
        <f>Portfolio!B$5*'CurrentFact-N10,20Unchanged'!D76</f>
        <v>52143.895533915893</v>
      </c>
      <c r="G76">
        <f>Portfolio!B$6*'CurrentFact-N10,20Unchanged'!E76</f>
        <v>3696.2945087936532</v>
      </c>
      <c r="H76">
        <f t="shared" si="3"/>
        <v>94428.171069971489</v>
      </c>
      <c r="I76">
        <f t="shared" si="1"/>
        <v>-27.514531444263412</v>
      </c>
    </row>
    <row r="77" spans="1:9">
      <c r="A77" s="1">
        <v>39365</v>
      </c>
      <c r="B77">
        <f>(3/(1+('CurrentFact-N10,20Unchanged'!B77)/100)+103/POWER(1+('CurrentFact-N10,20Unchanged'!C77)/100,2))*100</f>
        <v>9707.5857774288397</v>
      </c>
      <c r="C77">
        <f>(3/(1+('CurrentFact-N10,20Unchanged'!B77+'CurrentFact-N10,20Unchanged'!F77)/100)+103/POWER(1+('CurrentFact-N10,20Unchanged'!C77+'CurrentFact-N10,20Unchanged'!F77)/100,2))*100</f>
        <v>9614.9673582483465</v>
      </c>
      <c r="D77">
        <f>(3/(1+('CurrentFact-N10,20Unchanged'!B77+'CurrentFact-N10,20Unchanged'!G77)/100)+103/POWER(1+('CurrentFact-N10,20Unchanged'!C77+'CurrentFact-N10,20Unchanged'!G77)/100,2))*100</f>
        <v>9597.3391887643265</v>
      </c>
      <c r="E77">
        <f>(3/(1+('CurrentFact-N10,20Unchanged'!B77+'CurrentFact-N10,20Unchanged'!H77)/100)+103/POWER(1+('CurrentFact-N10,20Unchanged'!C77+'CurrentFact-N10,20Unchanged'!H77)/100,2))*100</f>
        <v>9675.7442131577227</v>
      </c>
      <c r="F77">
        <f>Portfolio!B$5*'CurrentFact-N10,20Unchanged'!D77</f>
        <v>52143.895533915893</v>
      </c>
      <c r="G77">
        <f>Portfolio!B$6*'CurrentFact-N10,20Unchanged'!E77</f>
        <v>3696.2945087936532</v>
      </c>
      <c r="H77">
        <f t="shared" si="3"/>
        <v>94435.826580308785</v>
      </c>
      <c r="I77">
        <f t="shared" si="1"/>
        <v>-6.2980593467655126</v>
      </c>
    </row>
    <row r="78" spans="1:9">
      <c r="A78" s="1">
        <v>39366</v>
      </c>
      <c r="B78">
        <f>(3/(1+('CurrentFact-N10,20Unchanged'!B78)/100)+103/POWER(1+('CurrentFact-N10,20Unchanged'!C78)/100,2))*100</f>
        <v>9707.5857774288397</v>
      </c>
      <c r="C78">
        <f>(3/(1+('CurrentFact-N10,20Unchanged'!B78+'CurrentFact-N10,20Unchanged'!F78)/100)+103/POWER(1+('CurrentFact-N10,20Unchanged'!C78+'CurrentFact-N10,20Unchanged'!F78)/100,2))*100</f>
        <v>9614.9673582483465</v>
      </c>
      <c r="D78">
        <f>(3/(1+('CurrentFact-N10,20Unchanged'!B78+'CurrentFact-N10,20Unchanged'!G78)/100)+103/POWER(1+('CurrentFact-N10,20Unchanged'!C78+'CurrentFact-N10,20Unchanged'!G78)/100,2))*100</f>
        <v>9607.7743638502561</v>
      </c>
      <c r="E78">
        <f>(3/(1+('CurrentFact-N10,20Unchanged'!B78+'CurrentFact-N10,20Unchanged'!H78)/100)+103/POWER(1+('CurrentFact-N10,20Unchanged'!C78+'CurrentFact-N10,20Unchanged'!H78)/100,2))*100</f>
        <v>9678.2201598923075</v>
      </c>
      <c r="F78">
        <f>Portfolio!B$5*'CurrentFact-N10,20Unchanged'!D78</f>
        <v>52143.895533915893</v>
      </c>
      <c r="G78">
        <f>Portfolio!B$6*'CurrentFact-N10,20Unchanged'!E78</f>
        <v>3696.2945087936532</v>
      </c>
      <c r="H78">
        <f t="shared" si="3"/>
        <v>94448.737702129292</v>
      </c>
      <c r="I78">
        <f t="shared" ref="I78:I141" si="4">H78-H68</f>
        <v>15.635933625482721</v>
      </c>
    </row>
    <row r="79" spans="1:9">
      <c r="A79" s="1">
        <v>39367</v>
      </c>
      <c r="B79">
        <f>(3/(1+('CurrentFact-N10,20Unchanged'!B79)/100)+103/POWER(1+('CurrentFact-N10,20Unchanged'!C79)/100,2))*100</f>
        <v>9707.5857774288397</v>
      </c>
      <c r="C79">
        <f>(3/(1+('CurrentFact-N10,20Unchanged'!B79+'CurrentFact-N10,20Unchanged'!F79)/100)+103/POWER(1+('CurrentFact-N10,20Unchanged'!C79+'CurrentFact-N10,20Unchanged'!F79)/100,2))*100</f>
        <v>9614.9673582483465</v>
      </c>
      <c r="D79">
        <f>(3/(1+('CurrentFact-N10,20Unchanged'!B79+'CurrentFact-N10,20Unchanged'!G79)/100)+103/POWER(1+('CurrentFact-N10,20Unchanged'!C79+'CurrentFact-N10,20Unchanged'!G79)/100,2))*100</f>
        <v>9620.9816481323287</v>
      </c>
      <c r="E79">
        <f>(3/(1+('CurrentFact-N10,20Unchanged'!B79+'CurrentFact-N10,20Unchanged'!H79)/100)+103/POWER(1+('CurrentFact-N10,20Unchanged'!C79+'CurrentFact-N10,20Unchanged'!H79)/100,2))*100</f>
        <v>9677.1277119446768</v>
      </c>
      <c r="F79">
        <f>Portfolio!B$5*'CurrentFact-N10,20Unchanged'!D79</f>
        <v>52143.895533915893</v>
      </c>
      <c r="G79">
        <f>Portfolio!B$6*'CurrentFact-N10,20Unchanged'!E79</f>
        <v>3696.2945087936532</v>
      </c>
      <c r="H79">
        <f t="shared" si="3"/>
        <v>94460.852538463747</v>
      </c>
      <c r="I79">
        <f t="shared" si="4"/>
        <v>25.125193705054699</v>
      </c>
    </row>
    <row r="80" spans="1:9">
      <c r="A80" s="1">
        <v>39370</v>
      </c>
      <c r="B80">
        <f>(3/(1+('CurrentFact-N10,20Unchanged'!B80)/100)+103/POWER(1+('CurrentFact-N10,20Unchanged'!C80)/100,2))*100</f>
        <v>9707.5857774288397</v>
      </c>
      <c r="C80">
        <f>(3/(1+('CurrentFact-N10,20Unchanged'!B80+'CurrentFact-N10,20Unchanged'!F80)/100)+103/POWER(1+('CurrentFact-N10,20Unchanged'!C80+'CurrentFact-N10,20Unchanged'!F80)/100,2))*100</f>
        <v>9614.9673582483465</v>
      </c>
      <c r="D80">
        <f>(3/(1+('CurrentFact-N10,20Unchanged'!B80+'CurrentFact-N10,20Unchanged'!G80)/100)+103/POWER(1+('CurrentFact-N10,20Unchanged'!C80+'CurrentFact-N10,20Unchanged'!G80)/100,2))*100</f>
        <v>9601.1583505225753</v>
      </c>
      <c r="E80">
        <f>(3/(1+('CurrentFact-N10,20Unchanged'!B80+'CurrentFact-N10,20Unchanged'!H80)/100)+103/POWER(1+('CurrentFact-N10,20Unchanged'!C80+'CurrentFact-N10,20Unchanged'!H80)/100,2))*100</f>
        <v>9672.3413563481736</v>
      </c>
      <c r="F80">
        <f>Portfolio!B$5*'CurrentFact-N10,20Unchanged'!D80</f>
        <v>52143.895533915893</v>
      </c>
      <c r="G80">
        <f>Portfolio!B$6*'CurrentFact-N10,20Unchanged'!E80</f>
        <v>3696.2945087936532</v>
      </c>
      <c r="H80">
        <f t="shared" si="3"/>
        <v>94436.242885257481</v>
      </c>
      <c r="I80">
        <f t="shared" si="4"/>
        <v>-9.2796406086417846</v>
      </c>
    </row>
    <row r="81" spans="1:9">
      <c r="A81" s="1">
        <v>39371</v>
      </c>
      <c r="B81">
        <f>(3/(1+('CurrentFact-N10,20Unchanged'!B81)/100)+103/POWER(1+('CurrentFact-N10,20Unchanged'!C81)/100,2))*100</f>
        <v>9707.5857774288397</v>
      </c>
      <c r="C81">
        <f>(3/(1+('CurrentFact-N10,20Unchanged'!B81+'CurrentFact-N10,20Unchanged'!F81)/100)+103/POWER(1+('CurrentFact-N10,20Unchanged'!C81+'CurrentFact-N10,20Unchanged'!F81)/100,2))*100</f>
        <v>9614.9673582483465</v>
      </c>
      <c r="D81">
        <f>(3/(1+('CurrentFact-N10,20Unchanged'!B81+'CurrentFact-N10,20Unchanged'!G81)/100)+103/POWER(1+('CurrentFact-N10,20Unchanged'!C81+'CurrentFact-N10,20Unchanged'!G81)/100,2))*100</f>
        <v>9587.2990066597595</v>
      </c>
      <c r="E81">
        <f>(3/(1+('CurrentFact-N10,20Unchanged'!B81+'CurrentFact-N10,20Unchanged'!H81)/100)+103/POWER(1+('CurrentFact-N10,20Unchanged'!C81+'CurrentFact-N10,20Unchanged'!H81)/100,2))*100</f>
        <v>9676.1810780625983</v>
      </c>
      <c r="F81">
        <f>Portfolio!B$5*'CurrentFact-N10,20Unchanged'!D81</f>
        <v>52143.895533915893</v>
      </c>
      <c r="G81">
        <f>Portfolio!B$6*'CurrentFact-N10,20Unchanged'!E81</f>
        <v>3696.2945087936532</v>
      </c>
      <c r="H81">
        <f t="shared" si="3"/>
        <v>94426.223263109088</v>
      </c>
      <c r="I81">
        <f t="shared" si="4"/>
        <v>4.9630032906570705</v>
      </c>
    </row>
    <row r="82" spans="1:9">
      <c r="A82" s="1">
        <v>39372</v>
      </c>
      <c r="B82">
        <f>(3/(1+('CurrentFact-N10,20Unchanged'!B82)/100)+103/POWER(1+('CurrentFact-N10,20Unchanged'!C82)/100,2))*100</f>
        <v>9707.5857774288397</v>
      </c>
      <c r="C82">
        <f>(3/(1+('CurrentFact-N10,20Unchanged'!B82+'CurrentFact-N10,20Unchanged'!F82)/100)+103/POWER(1+('CurrentFact-N10,20Unchanged'!C82+'CurrentFact-N10,20Unchanged'!F82)/100,2))*100</f>
        <v>9614.9673582483465</v>
      </c>
      <c r="D82">
        <f>(3/(1+('CurrentFact-N10,20Unchanged'!B82+'CurrentFact-N10,20Unchanged'!G82)/100)+103/POWER(1+('CurrentFact-N10,20Unchanged'!C82+'CurrentFact-N10,20Unchanged'!G82)/100,2))*100</f>
        <v>9599.4660613861888</v>
      </c>
      <c r="E82">
        <f>(3/(1+('CurrentFact-N10,20Unchanged'!B82+'CurrentFact-N10,20Unchanged'!H82)/100)+103/POWER(1+('CurrentFact-N10,20Unchanged'!C82+'CurrentFact-N10,20Unchanged'!H82)/100,2))*100</f>
        <v>9674.9615799806725</v>
      </c>
      <c r="F82">
        <f>Portfolio!B$5*'CurrentFact-N10,20Unchanged'!D82</f>
        <v>52143.895533915893</v>
      </c>
      <c r="G82">
        <f>Portfolio!B$6*'CurrentFact-N10,20Unchanged'!E82</f>
        <v>3696.2945087936532</v>
      </c>
      <c r="H82">
        <f t="shared" si="3"/>
        <v>94437.170819753592</v>
      </c>
      <c r="I82">
        <f t="shared" si="4"/>
        <v>2.2442767651082249</v>
      </c>
    </row>
    <row r="83" spans="1:9">
      <c r="A83" s="1">
        <v>39373</v>
      </c>
      <c r="B83">
        <f>(3/(1+('CurrentFact-N10,20Unchanged'!B83)/100)+103/POWER(1+('CurrentFact-N10,20Unchanged'!C83)/100,2))*100</f>
        <v>9707.5857774288397</v>
      </c>
      <c r="C83">
        <f>(3/(1+('CurrentFact-N10,20Unchanged'!B83+'CurrentFact-N10,20Unchanged'!F83)/100)+103/POWER(1+('CurrentFact-N10,20Unchanged'!C83+'CurrentFact-N10,20Unchanged'!F83)/100,2))*100</f>
        <v>9614.9673582483465</v>
      </c>
      <c r="D83">
        <f>(3/(1+('CurrentFact-N10,20Unchanged'!B83+'CurrentFact-N10,20Unchanged'!G83)/100)+103/POWER(1+('CurrentFact-N10,20Unchanged'!C83+'CurrentFact-N10,20Unchanged'!G83)/100,2))*100</f>
        <v>9611.6571750888579</v>
      </c>
      <c r="E83">
        <f>(3/(1+('CurrentFact-N10,20Unchanged'!B83+'CurrentFact-N10,20Unchanged'!H83)/100)+103/POWER(1+('CurrentFact-N10,20Unchanged'!C83+'CurrentFact-N10,20Unchanged'!H83)/100,2))*100</f>
        <v>9667.9948878388495</v>
      </c>
      <c r="F83">
        <f>Portfolio!B$5*'CurrentFact-N10,20Unchanged'!D83</f>
        <v>52143.895533915893</v>
      </c>
      <c r="G83">
        <f>Portfolio!B$6*'CurrentFact-N10,20Unchanged'!E83</f>
        <v>3696.2945087936532</v>
      </c>
      <c r="H83">
        <f t="shared" si="3"/>
        <v>94442.395241314429</v>
      </c>
      <c r="I83">
        <f t="shared" si="4"/>
        <v>-9.0655136967834551</v>
      </c>
    </row>
    <row r="84" spans="1:9">
      <c r="A84" s="1">
        <v>39374</v>
      </c>
      <c r="B84">
        <f>(3/(1+('CurrentFact-N10,20Unchanged'!B84)/100)+103/POWER(1+('CurrentFact-N10,20Unchanged'!C84)/100,2))*100</f>
        <v>9707.5857774288397</v>
      </c>
      <c r="C84">
        <f>(3/(1+('CurrentFact-N10,20Unchanged'!B84+'CurrentFact-N10,20Unchanged'!F84)/100)+103/POWER(1+('CurrentFact-N10,20Unchanged'!C84+'CurrentFact-N10,20Unchanged'!F84)/100,2))*100</f>
        <v>9614.9673582483465</v>
      </c>
      <c r="D84">
        <f>(3/(1+('CurrentFact-N10,20Unchanged'!B84+'CurrentFact-N10,20Unchanged'!G84)/100)+103/POWER(1+('CurrentFact-N10,20Unchanged'!C84+'CurrentFact-N10,20Unchanged'!G84)/100,2))*100</f>
        <v>9601.8897761949283</v>
      </c>
      <c r="E84">
        <f>(3/(1+('CurrentFact-N10,20Unchanged'!B84+'CurrentFact-N10,20Unchanged'!H84)/100)+103/POWER(1+('CurrentFact-N10,20Unchanged'!C84+'CurrentFact-N10,20Unchanged'!H84)/100,2))*100</f>
        <v>9670.4314528997838</v>
      </c>
      <c r="F84">
        <f>Portfolio!B$5*'CurrentFact-N10,20Unchanged'!D84</f>
        <v>52143.895533915893</v>
      </c>
      <c r="G84">
        <f>Portfolio!B$6*'CurrentFact-N10,20Unchanged'!E84</f>
        <v>3696.2945087936532</v>
      </c>
      <c r="H84">
        <f t="shared" si="3"/>
        <v>94435.064407481448</v>
      </c>
      <c r="I84">
        <f t="shared" si="4"/>
        <v>15.604825285889092</v>
      </c>
    </row>
    <row r="85" spans="1:9">
      <c r="A85" s="1">
        <v>39377</v>
      </c>
      <c r="B85">
        <f>(3/(1+('CurrentFact-N10,20Unchanged'!B85)/100)+103/POWER(1+('CurrentFact-N10,20Unchanged'!C85)/100,2))*100</f>
        <v>9707.5857774288397</v>
      </c>
      <c r="C85">
        <f>(3/(1+('CurrentFact-N10,20Unchanged'!B85+'CurrentFact-N10,20Unchanged'!F85)/100)+103/POWER(1+('CurrentFact-N10,20Unchanged'!C85+'CurrentFact-N10,20Unchanged'!F85)/100,2))*100</f>
        <v>9614.9673582483465</v>
      </c>
      <c r="D85">
        <f>(3/(1+('CurrentFact-N10,20Unchanged'!B85+'CurrentFact-N10,20Unchanged'!G85)/100)+103/POWER(1+('CurrentFact-N10,20Unchanged'!C85+'CurrentFact-N10,20Unchanged'!G85)/100,2))*100</f>
        <v>9587.7244928794116</v>
      </c>
      <c r="E85">
        <f>(3/(1+('CurrentFact-N10,20Unchanged'!B85+'CurrentFact-N10,20Unchanged'!H85)/100)+103/POWER(1+('CurrentFact-N10,20Unchanged'!C85+'CurrentFact-N10,20Unchanged'!H85)/100,2))*100</f>
        <v>9672.9781178175181</v>
      </c>
      <c r="F85">
        <f>Portfolio!B$5*'CurrentFact-N10,20Unchanged'!D85</f>
        <v>52143.895533915893</v>
      </c>
      <c r="G85">
        <f>Portfolio!B$6*'CurrentFact-N10,20Unchanged'!E85</f>
        <v>3696.2945087936532</v>
      </c>
      <c r="H85">
        <f t="shared" si="3"/>
        <v>94423.445789083664</v>
      </c>
      <c r="I85">
        <f t="shared" si="4"/>
        <v>-2.7626620484807063</v>
      </c>
    </row>
    <row r="86" spans="1:9">
      <c r="A86" s="1">
        <v>39378</v>
      </c>
      <c r="B86">
        <f>(3/(1+('CurrentFact-N10,20Unchanged'!B86)/100)+103/POWER(1+('CurrentFact-N10,20Unchanged'!C86)/100,2))*100</f>
        <v>9707.5857774288397</v>
      </c>
      <c r="C86">
        <f>(3/(1+('CurrentFact-N10,20Unchanged'!B86+'CurrentFact-N10,20Unchanged'!F86)/100)+103/POWER(1+('CurrentFact-N10,20Unchanged'!C86+'CurrentFact-N10,20Unchanged'!F86)/100,2))*100</f>
        <v>9614.9673582483465</v>
      </c>
      <c r="D86">
        <f>(3/(1+('CurrentFact-N10,20Unchanged'!B86+'CurrentFact-N10,20Unchanged'!G86)/100)+103/POWER(1+('CurrentFact-N10,20Unchanged'!C86+'CurrentFact-N10,20Unchanged'!G86)/100,2))*100</f>
        <v>9603.089670627096</v>
      </c>
      <c r="E86">
        <f>(3/(1+('CurrentFact-N10,20Unchanged'!B86+'CurrentFact-N10,20Unchanged'!H86)/100)+103/POWER(1+('CurrentFact-N10,20Unchanged'!C86+'CurrentFact-N10,20Unchanged'!H86)/100,2))*100</f>
        <v>9670.7588245401621</v>
      </c>
      <c r="F86">
        <f>Portfolio!B$5*'CurrentFact-N10,20Unchanged'!D86</f>
        <v>52143.895533915893</v>
      </c>
      <c r="G86">
        <f>Portfolio!B$6*'CurrentFact-N10,20Unchanged'!E86</f>
        <v>3696.2945087936532</v>
      </c>
      <c r="H86">
        <f t="shared" si="3"/>
        <v>94436.591673553994</v>
      </c>
      <c r="I86">
        <f t="shared" si="4"/>
        <v>8.4206035825045547</v>
      </c>
    </row>
    <row r="87" spans="1:9">
      <c r="A87" s="1">
        <v>39379</v>
      </c>
      <c r="B87">
        <f>(3/(1+('CurrentFact-N10,20Unchanged'!B87)/100)+103/POWER(1+('CurrentFact-N10,20Unchanged'!C87)/100,2))*100</f>
        <v>9707.5857774288397</v>
      </c>
      <c r="C87">
        <f>(3/(1+('CurrentFact-N10,20Unchanged'!B87+'CurrentFact-N10,20Unchanged'!F87)/100)+103/POWER(1+('CurrentFact-N10,20Unchanged'!C87+'CurrentFact-N10,20Unchanged'!F87)/100,2))*100</f>
        <v>9614.9673582483465</v>
      </c>
      <c r="D87">
        <f>(3/(1+('CurrentFact-N10,20Unchanged'!B87+'CurrentFact-N10,20Unchanged'!G87)/100)+103/POWER(1+('CurrentFact-N10,20Unchanged'!C87+'CurrentFact-N10,20Unchanged'!G87)/100,2))*100</f>
        <v>9591.5299328629117</v>
      </c>
      <c r="E87">
        <f>(3/(1+('CurrentFact-N10,20Unchanged'!B87+'CurrentFact-N10,20Unchanged'!H87)/100)+103/POWER(1+('CurrentFact-N10,20Unchanged'!C87+'CurrentFact-N10,20Unchanged'!H87)/100,2))*100</f>
        <v>9669.8676874657613</v>
      </c>
      <c r="F87">
        <f>Portfolio!B$5*'CurrentFact-N10,20Unchanged'!D87</f>
        <v>52143.895533915893</v>
      </c>
      <c r="G87">
        <f>Portfolio!B$6*'CurrentFact-N10,20Unchanged'!E87</f>
        <v>3696.2945087936532</v>
      </c>
      <c r="H87">
        <f t="shared" si="3"/>
        <v>94424.140798715409</v>
      </c>
      <c r="I87">
        <f t="shared" si="4"/>
        <v>-11.685781593376305</v>
      </c>
    </row>
    <row r="88" spans="1:9">
      <c r="A88" s="1">
        <v>39380</v>
      </c>
      <c r="B88">
        <f>(3/(1+('CurrentFact-N10,20Unchanged'!B88)/100)+103/POWER(1+('CurrentFact-N10,20Unchanged'!C88)/100,2))*100</f>
        <v>9707.5857774288397</v>
      </c>
      <c r="C88">
        <f>(3/(1+('CurrentFact-N10,20Unchanged'!B88+'CurrentFact-N10,20Unchanged'!F88)/100)+103/POWER(1+('CurrentFact-N10,20Unchanged'!C88+'CurrentFact-N10,20Unchanged'!F88)/100,2))*100</f>
        <v>9614.9673582483465</v>
      </c>
      <c r="D88">
        <f>(3/(1+('CurrentFact-N10,20Unchanged'!B88+'CurrentFact-N10,20Unchanged'!G88)/100)+103/POWER(1+('CurrentFact-N10,20Unchanged'!C88+'CurrentFact-N10,20Unchanged'!G88)/100,2))*100</f>
        <v>9606.3992600756155</v>
      </c>
      <c r="E88">
        <f>(3/(1+('CurrentFact-N10,20Unchanged'!B88+'CurrentFact-N10,20Unchanged'!H88)/100)+103/POWER(1+('CurrentFact-N10,20Unchanged'!C88+'CurrentFact-N10,20Unchanged'!H88)/100,2))*100</f>
        <v>9674.4884042634476</v>
      </c>
      <c r="F88">
        <f>Portfolio!B$5*'CurrentFact-N10,20Unchanged'!D88</f>
        <v>52143.895533915893</v>
      </c>
      <c r="G88">
        <f>Portfolio!B$6*'CurrentFact-N10,20Unchanged'!E88</f>
        <v>3696.2945087936532</v>
      </c>
      <c r="H88">
        <f t="shared" si="3"/>
        <v>94443.630842725805</v>
      </c>
      <c r="I88">
        <f t="shared" si="4"/>
        <v>-5.1068594034877606</v>
      </c>
    </row>
    <row r="89" spans="1:9">
      <c r="A89" s="1">
        <v>39381</v>
      </c>
      <c r="B89">
        <f>(3/(1+('CurrentFact-N10,20Unchanged'!B89)/100)+103/POWER(1+('CurrentFact-N10,20Unchanged'!C89)/100,2))*100</f>
        <v>9707.5857774288397</v>
      </c>
      <c r="C89">
        <f>(3/(1+('CurrentFact-N10,20Unchanged'!B89+'CurrentFact-N10,20Unchanged'!F89)/100)+103/POWER(1+('CurrentFact-N10,20Unchanged'!C89+'CurrentFact-N10,20Unchanged'!F89)/100,2))*100</f>
        <v>9614.9673582483465</v>
      </c>
      <c r="D89">
        <f>(3/(1+('CurrentFact-N10,20Unchanged'!B89+'CurrentFact-N10,20Unchanged'!G89)/100)+103/POWER(1+('CurrentFact-N10,20Unchanged'!C89+'CurrentFact-N10,20Unchanged'!G89)/100,2))*100</f>
        <v>9611.4268835599887</v>
      </c>
      <c r="E89">
        <f>(3/(1+('CurrentFact-N10,20Unchanged'!B89+'CurrentFact-N10,20Unchanged'!H89)/100)+103/POWER(1+('CurrentFact-N10,20Unchanged'!C89+'CurrentFact-N10,20Unchanged'!H89)/100,2))*100</f>
        <v>9676.8000136403025</v>
      </c>
      <c r="F89">
        <f>Portfolio!B$5*'CurrentFact-N10,20Unchanged'!D89</f>
        <v>52143.895533915893</v>
      </c>
      <c r="G89">
        <f>Portfolio!B$6*'CurrentFact-N10,20Unchanged'!E89</f>
        <v>3696.2945087936532</v>
      </c>
      <c r="H89">
        <f t="shared" si="3"/>
        <v>94450.970075587014</v>
      </c>
      <c r="I89">
        <f t="shared" si="4"/>
        <v>-9.8824628767324612</v>
      </c>
    </row>
    <row r="90" spans="1:9">
      <c r="A90" s="1">
        <v>39384</v>
      </c>
      <c r="B90">
        <f>(3/(1+('CurrentFact-N10,20Unchanged'!B90)/100)+103/POWER(1+('CurrentFact-N10,20Unchanged'!C90)/100,2))*100</f>
        <v>9707.5857774288397</v>
      </c>
      <c r="C90">
        <f>(3/(1+('CurrentFact-N10,20Unchanged'!B90+'CurrentFact-N10,20Unchanged'!F90)/100)+103/POWER(1+('CurrentFact-N10,20Unchanged'!C90+'CurrentFact-N10,20Unchanged'!F90)/100,2))*100</f>
        <v>9614.9673582483465</v>
      </c>
      <c r="D90">
        <f>(3/(1+('CurrentFact-N10,20Unchanged'!B90+'CurrentFact-N10,20Unchanged'!G90)/100)+103/POWER(1+('CurrentFact-N10,20Unchanged'!C90+'CurrentFact-N10,20Unchanged'!G90)/100,2))*100</f>
        <v>9589.4533787174823</v>
      </c>
      <c r="E90">
        <f>(3/(1+('CurrentFact-N10,20Unchanged'!B90+'CurrentFact-N10,20Unchanged'!H90)/100)+103/POWER(1+('CurrentFact-N10,20Unchanged'!C90+'CurrentFact-N10,20Unchanged'!H90)/100,2))*100</f>
        <v>9679.0031959085572</v>
      </c>
      <c r="F90">
        <f>Portfolio!B$5*'CurrentFact-N10,20Unchanged'!D90</f>
        <v>52143.895533915893</v>
      </c>
      <c r="G90">
        <f>Portfolio!B$6*'CurrentFact-N10,20Unchanged'!E90</f>
        <v>3696.2945087936532</v>
      </c>
      <c r="H90">
        <f t="shared" si="3"/>
        <v>94431.19975301277</v>
      </c>
      <c r="I90">
        <f t="shared" si="4"/>
        <v>-5.0431322447111597</v>
      </c>
    </row>
    <row r="91" spans="1:9">
      <c r="A91" s="1">
        <v>39385</v>
      </c>
      <c r="B91">
        <f>(3/(1+('CurrentFact-N10,20Unchanged'!B91)/100)+103/POWER(1+('CurrentFact-N10,20Unchanged'!C91)/100,2))*100</f>
        <v>9707.5857774288397</v>
      </c>
      <c r="C91">
        <f>(3/(1+('CurrentFact-N10,20Unchanged'!B91+'CurrentFact-N10,20Unchanged'!F91)/100)+103/POWER(1+('CurrentFact-N10,20Unchanged'!C91+'CurrentFact-N10,20Unchanged'!F91)/100,2))*100</f>
        <v>9614.9673582483465</v>
      </c>
      <c r="D91">
        <f>(3/(1+('CurrentFact-N10,20Unchanged'!B91+'CurrentFact-N10,20Unchanged'!G91)/100)+103/POWER(1+('CurrentFact-N10,20Unchanged'!C91+'CurrentFact-N10,20Unchanged'!G91)/100,2))*100</f>
        <v>9587.2511643885482</v>
      </c>
      <c r="E91">
        <f>(3/(1+('CurrentFact-N10,20Unchanged'!B91+'CurrentFact-N10,20Unchanged'!H91)/100)+103/POWER(1+('CurrentFact-N10,20Unchanged'!C91+'CurrentFact-N10,20Unchanged'!H91)/100,2))*100</f>
        <v>9680.3691851352687</v>
      </c>
      <c r="F91">
        <f>Portfolio!B$5*'CurrentFact-N10,20Unchanged'!D91</f>
        <v>52143.895533915893</v>
      </c>
      <c r="G91">
        <f>Portfolio!B$6*'CurrentFact-N10,20Unchanged'!E91</f>
        <v>3696.2945087936532</v>
      </c>
      <c r="H91">
        <f t="shared" si="3"/>
        <v>94430.363527910551</v>
      </c>
      <c r="I91">
        <f t="shared" si="4"/>
        <v>4.140264801462763</v>
      </c>
    </row>
    <row r="92" spans="1:9">
      <c r="A92" s="1">
        <v>39386</v>
      </c>
      <c r="B92">
        <f>(3/(1+('CurrentFact-N10,20Unchanged'!B92)/100)+103/POWER(1+('CurrentFact-N10,20Unchanged'!C92)/100,2))*100</f>
        <v>9707.5857774288397</v>
      </c>
      <c r="C92">
        <f>(3/(1+('CurrentFact-N10,20Unchanged'!B92+'CurrentFact-N10,20Unchanged'!F92)/100)+103/POWER(1+('CurrentFact-N10,20Unchanged'!C92+'CurrentFact-N10,20Unchanged'!F92)/100,2))*100</f>
        <v>9614.9673582483465</v>
      </c>
      <c r="D92">
        <f>(3/(1+('CurrentFact-N10,20Unchanged'!B92+'CurrentFact-N10,20Unchanged'!G92)/100)+103/POWER(1+('CurrentFact-N10,20Unchanged'!C92+'CurrentFact-N10,20Unchanged'!G92)/100,2))*100</f>
        <v>9601.9734866883045</v>
      </c>
      <c r="E92">
        <f>(3/(1+('CurrentFact-N10,20Unchanged'!B92+'CurrentFact-N10,20Unchanged'!H92)/100)+103/POWER(1+('CurrentFact-N10,20Unchanged'!C92+'CurrentFact-N10,20Unchanged'!H92)/100,2))*100</f>
        <v>9680.4056146090297</v>
      </c>
      <c r="F92">
        <f>Portfolio!B$5*'CurrentFact-N10,20Unchanged'!D92</f>
        <v>52143.895533915893</v>
      </c>
      <c r="G92">
        <f>Portfolio!B$6*'CurrentFact-N10,20Unchanged'!E92</f>
        <v>3696.2945087936532</v>
      </c>
      <c r="H92">
        <f t="shared" si="3"/>
        <v>94445.122279684059</v>
      </c>
      <c r="I92">
        <f t="shared" si="4"/>
        <v>7.9514599304675357</v>
      </c>
    </row>
    <row r="93" spans="1:9">
      <c r="A93" s="1">
        <v>39387</v>
      </c>
      <c r="B93">
        <f>(3/(1+('CurrentFact-N10,20Unchanged'!B93)/100)+103/POWER(1+('CurrentFact-N10,20Unchanged'!C93)/100,2))*100</f>
        <v>9707.5857774288397</v>
      </c>
      <c r="C93">
        <f>(3/(1+('CurrentFact-N10,20Unchanged'!B93+'CurrentFact-N10,20Unchanged'!F93)/100)+103/POWER(1+('CurrentFact-N10,20Unchanged'!C93+'CurrentFact-N10,20Unchanged'!F93)/100,2))*100</f>
        <v>9614.9673582483465</v>
      </c>
      <c r="D93">
        <f>(3/(1+('CurrentFact-N10,20Unchanged'!B93+'CurrentFact-N10,20Unchanged'!G93)/100)+103/POWER(1+('CurrentFact-N10,20Unchanged'!C93+'CurrentFact-N10,20Unchanged'!G93)/100,2))*100</f>
        <v>9592.6719611140124</v>
      </c>
      <c r="E93">
        <f>(3/(1+('CurrentFact-N10,20Unchanged'!B93+'CurrentFact-N10,20Unchanged'!H93)/100)+103/POWER(1+('CurrentFact-N10,20Unchanged'!C93+'CurrentFact-N10,20Unchanged'!H93)/100,2))*100</f>
        <v>9679.6770472220851</v>
      </c>
      <c r="F93">
        <f>Portfolio!B$5*'CurrentFact-N10,20Unchanged'!D93</f>
        <v>52143.895533915893</v>
      </c>
      <c r="G93">
        <f>Portfolio!B$6*'CurrentFact-N10,20Unchanged'!E93</f>
        <v>3696.2945087936532</v>
      </c>
      <c r="H93">
        <f t="shared" si="3"/>
        <v>94435.092186722817</v>
      </c>
      <c r="I93">
        <f t="shared" si="4"/>
        <v>-7.3030545916117262</v>
      </c>
    </row>
    <row r="94" spans="1:9">
      <c r="A94" s="1">
        <v>39388</v>
      </c>
      <c r="B94">
        <f>(3/(1+('CurrentFact-N10,20Unchanged'!B94)/100)+103/POWER(1+('CurrentFact-N10,20Unchanged'!C94)/100,2))*100</f>
        <v>9707.5857774288397</v>
      </c>
      <c r="C94">
        <f>(3/(1+('CurrentFact-N10,20Unchanged'!B94+'CurrentFact-N10,20Unchanged'!F94)/100)+103/POWER(1+('CurrentFact-N10,20Unchanged'!C94+'CurrentFact-N10,20Unchanged'!F94)/100,2))*100</f>
        <v>9614.9673582483465</v>
      </c>
      <c r="D94">
        <f>(3/(1+('CurrentFact-N10,20Unchanged'!B94+'CurrentFact-N10,20Unchanged'!G94)/100)+103/POWER(1+('CurrentFact-N10,20Unchanged'!C94+'CurrentFact-N10,20Unchanged'!G94)/100,2))*100</f>
        <v>9572.9984013688572</v>
      </c>
      <c r="E94">
        <f>(3/(1+('CurrentFact-N10,20Unchanged'!B94+'CurrentFact-N10,20Unchanged'!H94)/100)+103/POWER(1+('CurrentFact-N10,20Unchanged'!C94+'CurrentFact-N10,20Unchanged'!H94)/100,2))*100</f>
        <v>9681.7172470058304</v>
      </c>
      <c r="F94">
        <f>Portfolio!B$5*'CurrentFact-N10,20Unchanged'!D94</f>
        <v>52143.895533915893</v>
      </c>
      <c r="G94">
        <f>Portfolio!B$6*'CurrentFact-N10,20Unchanged'!E94</f>
        <v>3696.2945087936532</v>
      </c>
      <c r="H94">
        <f t="shared" si="3"/>
        <v>94417.458826761416</v>
      </c>
      <c r="I94">
        <f t="shared" si="4"/>
        <v>-17.605580720031867</v>
      </c>
    </row>
    <row r="95" spans="1:9">
      <c r="A95" s="1">
        <v>39391</v>
      </c>
      <c r="B95">
        <f>(3/(1+('CurrentFact-N10,20Unchanged'!B95)/100)+103/POWER(1+('CurrentFact-N10,20Unchanged'!C95)/100,2))*100</f>
        <v>9707.5857774288397</v>
      </c>
      <c r="C95">
        <f>(3/(1+('CurrentFact-N10,20Unchanged'!B95+'CurrentFact-N10,20Unchanged'!F95)/100)+103/POWER(1+('CurrentFact-N10,20Unchanged'!C95+'CurrentFact-N10,20Unchanged'!F95)/100,2))*100</f>
        <v>9614.9673582483465</v>
      </c>
      <c r="D95">
        <f>(3/(1+('CurrentFact-N10,20Unchanged'!B95+'CurrentFact-N10,20Unchanged'!G95)/100)+103/POWER(1+('CurrentFact-N10,20Unchanged'!C95+'CurrentFact-N10,20Unchanged'!G95)/100,2))*100</f>
        <v>9604.9264476862427</v>
      </c>
      <c r="E95">
        <f>(3/(1+('CurrentFact-N10,20Unchanged'!B95+'CurrentFact-N10,20Unchanged'!H95)/100)+103/POWER(1+('CurrentFact-N10,20Unchanged'!C95+'CurrentFact-N10,20Unchanged'!H95)/100,2))*100</f>
        <v>9680.6424173310115</v>
      </c>
      <c r="F95">
        <f>Portfolio!B$5*'CurrentFact-N10,20Unchanged'!D95</f>
        <v>52143.895533915893</v>
      </c>
      <c r="G95">
        <f>Portfolio!B$6*'CurrentFact-N10,20Unchanged'!E95</f>
        <v>3696.2945087936532</v>
      </c>
      <c r="H95">
        <f t="shared" si="3"/>
        <v>94448.312043403974</v>
      </c>
      <c r="I95">
        <f t="shared" si="4"/>
        <v>24.866254320309963</v>
      </c>
    </row>
    <row r="96" spans="1:9">
      <c r="A96" s="1">
        <v>39392</v>
      </c>
      <c r="B96">
        <f>(3/(1+('CurrentFact-N10,20Unchanged'!B96)/100)+103/POWER(1+('CurrentFact-N10,20Unchanged'!C96)/100,2))*100</f>
        <v>9707.5857774288397</v>
      </c>
      <c r="C96">
        <f>(3/(1+('CurrentFact-N10,20Unchanged'!B96+'CurrentFact-N10,20Unchanged'!F96)/100)+103/POWER(1+('CurrentFact-N10,20Unchanged'!C96+'CurrentFact-N10,20Unchanged'!F96)/100,2))*100</f>
        <v>9614.9673582483465</v>
      </c>
      <c r="D96">
        <f>(3/(1+('CurrentFact-N10,20Unchanged'!B96+'CurrentFact-N10,20Unchanged'!G96)/100)+103/POWER(1+('CurrentFact-N10,20Unchanged'!C96+'CurrentFact-N10,20Unchanged'!G96)/100,2))*100</f>
        <v>9597.3798109872332</v>
      </c>
      <c r="E96">
        <f>(3/(1+('CurrentFact-N10,20Unchanged'!B96+'CurrentFact-N10,20Unchanged'!H96)/100)+103/POWER(1+('CurrentFact-N10,20Unchanged'!C96+'CurrentFact-N10,20Unchanged'!H96)/100,2))*100</f>
        <v>9681.7354664282466</v>
      </c>
      <c r="F96">
        <f>Portfolio!B$5*'CurrentFact-N10,20Unchanged'!D96</f>
        <v>52143.895533915893</v>
      </c>
      <c r="G96">
        <f>Portfolio!B$6*'CurrentFact-N10,20Unchanged'!E96</f>
        <v>3696.2945087936532</v>
      </c>
      <c r="H96">
        <f t="shared" si="3"/>
        <v>94441.858455802212</v>
      </c>
      <c r="I96">
        <f t="shared" si="4"/>
        <v>5.2667822482180782</v>
      </c>
    </row>
    <row r="97" spans="1:9">
      <c r="A97" s="1">
        <v>39393</v>
      </c>
      <c r="B97">
        <f>(3/(1+('CurrentFact-N10,20Unchanged'!B97)/100)+103/POWER(1+('CurrentFact-N10,20Unchanged'!C97)/100,2))*100</f>
        <v>9707.5857774288397</v>
      </c>
      <c r="C97">
        <f>(3/(1+('CurrentFact-N10,20Unchanged'!B97+'CurrentFact-N10,20Unchanged'!F97)/100)+103/POWER(1+('CurrentFact-N10,20Unchanged'!C97+'CurrentFact-N10,20Unchanged'!F97)/100,2))*100</f>
        <v>9614.9673582483465</v>
      </c>
      <c r="D97">
        <f>(3/(1+('CurrentFact-N10,20Unchanged'!B97+'CurrentFact-N10,20Unchanged'!G97)/100)+103/POWER(1+('CurrentFact-N10,20Unchanged'!C97+'CurrentFact-N10,20Unchanged'!G97)/100,2))*100</f>
        <v>9593.3541996930999</v>
      </c>
      <c r="E97">
        <f>(3/(1+('CurrentFact-N10,20Unchanged'!B97+'CurrentFact-N10,20Unchanged'!H97)/100)+103/POWER(1+('CurrentFact-N10,20Unchanged'!C97+'CurrentFact-N10,20Unchanged'!H97)/100,2))*100</f>
        <v>9681.6990276353554</v>
      </c>
      <c r="F97">
        <f>Portfolio!B$5*'CurrentFact-N10,20Unchanged'!D97</f>
        <v>52143.895533915893</v>
      </c>
      <c r="G97">
        <f>Portfolio!B$6*'CurrentFact-N10,20Unchanged'!E97</f>
        <v>3696.2945087936532</v>
      </c>
      <c r="H97">
        <f t="shared" si="3"/>
        <v>94437.796405715184</v>
      </c>
      <c r="I97">
        <f t="shared" si="4"/>
        <v>13.655606999775046</v>
      </c>
    </row>
    <row r="98" spans="1:9">
      <c r="A98" s="1">
        <v>39394</v>
      </c>
      <c r="B98">
        <f>(3/(1+('CurrentFact-N10,20Unchanged'!B98)/100)+103/POWER(1+('CurrentFact-N10,20Unchanged'!C98)/100,2))*100</f>
        <v>9707.5857774288397</v>
      </c>
      <c r="C98">
        <f>(3/(1+('CurrentFact-N10,20Unchanged'!B98+'CurrentFact-N10,20Unchanged'!F98)/100)+103/POWER(1+('CurrentFact-N10,20Unchanged'!C98+'CurrentFact-N10,20Unchanged'!F98)/100,2))*100</f>
        <v>9614.9673582483465</v>
      </c>
      <c r="D98">
        <f>(3/(1+('CurrentFact-N10,20Unchanged'!B98+'CurrentFact-N10,20Unchanged'!G98)/100)+103/POWER(1+('CurrentFact-N10,20Unchanged'!C98+'CurrentFact-N10,20Unchanged'!G98)/100,2))*100</f>
        <v>9603.7595254689968</v>
      </c>
      <c r="E98">
        <f>(3/(1+('CurrentFact-N10,20Unchanged'!B98+'CurrentFact-N10,20Unchanged'!H98)/100)+103/POWER(1+('CurrentFact-N10,20Unchanged'!C98+'CurrentFact-N10,20Unchanged'!H98)/100,2))*100</f>
        <v>9683.1020398709661</v>
      </c>
      <c r="F98">
        <f>Portfolio!B$5*'CurrentFact-N10,20Unchanged'!D98</f>
        <v>52143.895533915893</v>
      </c>
      <c r="G98">
        <f>Portfolio!B$6*'CurrentFact-N10,20Unchanged'!E98</f>
        <v>3696.2945087936532</v>
      </c>
      <c r="H98">
        <f t="shared" si="3"/>
        <v>94449.604743726697</v>
      </c>
      <c r="I98">
        <f t="shared" si="4"/>
        <v>5.9739010008925106</v>
      </c>
    </row>
    <row r="99" spans="1:9">
      <c r="A99" s="1">
        <v>39395</v>
      </c>
      <c r="B99">
        <f>(3/(1+('CurrentFact-N10,20Unchanged'!B99)/100)+103/POWER(1+('CurrentFact-N10,20Unchanged'!C99)/100,2))*100</f>
        <v>9707.5857774288397</v>
      </c>
      <c r="C99">
        <f>(3/(1+('CurrentFact-N10,20Unchanged'!B99+'CurrentFact-N10,20Unchanged'!F99)/100)+103/POWER(1+('CurrentFact-N10,20Unchanged'!C99+'CurrentFact-N10,20Unchanged'!F99)/100,2))*100</f>
        <v>9614.9673582483465</v>
      </c>
      <c r="D99">
        <f>(3/(1+('CurrentFact-N10,20Unchanged'!B99+'CurrentFact-N10,20Unchanged'!G99)/100)+103/POWER(1+('CurrentFact-N10,20Unchanged'!C99+'CurrentFact-N10,20Unchanged'!G99)/100,2))*100</f>
        <v>9605.0283388627304</v>
      </c>
      <c r="E99">
        <f>(3/(1+('CurrentFact-N10,20Unchanged'!B99+'CurrentFact-N10,20Unchanged'!H99)/100)+103/POWER(1+('CurrentFact-N10,20Unchanged'!C99+'CurrentFact-N10,20Unchanged'!H99)/100,2))*100</f>
        <v>9683.2113773965266</v>
      </c>
      <c r="F99">
        <f>Portfolio!B$5*'CurrentFact-N10,20Unchanged'!D99</f>
        <v>52143.895533915893</v>
      </c>
      <c r="G99">
        <f>Portfolio!B$6*'CurrentFact-N10,20Unchanged'!E99</f>
        <v>3696.2945087936532</v>
      </c>
      <c r="H99">
        <f t="shared" ref="H99:H130" si="5">SUM(B99:G99)</f>
        <v>94450.982894645989</v>
      </c>
      <c r="I99">
        <f t="shared" si="4"/>
        <v>1.2819058974855579E-2</v>
      </c>
    </row>
    <row r="100" spans="1:9">
      <c r="A100" s="1">
        <v>39398</v>
      </c>
      <c r="B100">
        <f>(3/(1+('CurrentFact-N10,20Unchanged'!B100)/100)+103/POWER(1+('CurrentFact-N10,20Unchanged'!C100)/100,2))*100</f>
        <v>9707.5857774288397</v>
      </c>
      <c r="C100">
        <f>(3/(1+('CurrentFact-N10,20Unchanged'!B100+'CurrentFact-N10,20Unchanged'!F100)/100)+103/POWER(1+('CurrentFact-N10,20Unchanged'!C100+'CurrentFact-N10,20Unchanged'!F100)/100,2))*100</f>
        <v>9614.9673582483465</v>
      </c>
      <c r="D100">
        <f>(3/(1+('CurrentFact-N10,20Unchanged'!B100+'CurrentFact-N10,20Unchanged'!G100)/100)+103/POWER(1+('CurrentFact-N10,20Unchanged'!C100+'CurrentFact-N10,20Unchanged'!G100)/100,2))*100</f>
        <v>9592.0163202746589</v>
      </c>
      <c r="E100">
        <f>(3/(1+('CurrentFact-N10,20Unchanged'!B100+'CurrentFact-N10,20Unchanged'!H100)/100)+103/POWER(1+('CurrentFact-N10,20Unchanged'!C100+'CurrentFact-N10,20Unchanged'!H100)/100,2))*100</f>
        <v>9684.1226042922844</v>
      </c>
      <c r="F100">
        <f>Portfolio!B$5*'CurrentFact-N10,20Unchanged'!D100</f>
        <v>52143.895533915893</v>
      </c>
      <c r="G100">
        <f>Portfolio!B$6*'CurrentFact-N10,20Unchanged'!E100</f>
        <v>3696.2945087936532</v>
      </c>
      <c r="H100">
        <f t="shared" si="5"/>
        <v>94438.882102953678</v>
      </c>
      <c r="I100">
        <f t="shared" si="4"/>
        <v>7.6823499409074429</v>
      </c>
    </row>
    <row r="101" spans="1:9">
      <c r="A101" s="1">
        <v>39399</v>
      </c>
      <c r="B101">
        <f>(3/(1+('CurrentFact-N10,20Unchanged'!B101)/100)+103/POWER(1+('CurrentFact-N10,20Unchanged'!C101)/100,2))*100</f>
        <v>9707.5857774288397</v>
      </c>
      <c r="C101">
        <f>(3/(1+('CurrentFact-N10,20Unchanged'!B101+'CurrentFact-N10,20Unchanged'!F101)/100)+103/POWER(1+('CurrentFact-N10,20Unchanged'!C101+'CurrentFact-N10,20Unchanged'!F101)/100,2))*100</f>
        <v>9614.9673582483465</v>
      </c>
      <c r="D101">
        <f>(3/(1+('CurrentFact-N10,20Unchanged'!B101+'CurrentFact-N10,20Unchanged'!G101)/100)+103/POWER(1+('CurrentFact-N10,20Unchanged'!C101+'CurrentFact-N10,20Unchanged'!G101)/100,2))*100</f>
        <v>9611.734677976161</v>
      </c>
      <c r="E101">
        <f>(3/(1+('CurrentFact-N10,20Unchanged'!B101+'CurrentFact-N10,20Unchanged'!H101)/100)+103/POWER(1+('CurrentFact-N10,20Unchanged'!C101+'CurrentFact-N10,20Unchanged'!H101)/100,2))*100</f>
        <v>9684.8334520784665</v>
      </c>
      <c r="F101">
        <f>Portfolio!B$5*'CurrentFact-N10,20Unchanged'!D101</f>
        <v>52143.895533915893</v>
      </c>
      <c r="G101">
        <f>Portfolio!B$6*'CurrentFact-N10,20Unchanged'!E101</f>
        <v>3696.2945087936532</v>
      </c>
      <c r="H101">
        <f t="shared" si="5"/>
        <v>94459.311308441364</v>
      </c>
      <c r="I101">
        <f t="shared" si="4"/>
        <v>28.947780530812452</v>
      </c>
    </row>
    <row r="102" spans="1:9">
      <c r="A102" s="1">
        <v>39400</v>
      </c>
      <c r="B102">
        <f>(3/(1+('CurrentFact-N10,20Unchanged'!B102)/100)+103/POWER(1+('CurrentFact-N10,20Unchanged'!C102)/100,2))*100</f>
        <v>9707.5857774288397</v>
      </c>
      <c r="C102">
        <f>(3/(1+('CurrentFact-N10,20Unchanged'!B102+'CurrentFact-N10,20Unchanged'!F102)/100)+103/POWER(1+('CurrentFact-N10,20Unchanged'!C102+'CurrentFact-N10,20Unchanged'!F102)/100,2))*100</f>
        <v>9614.9673582483465</v>
      </c>
      <c r="D102">
        <f>(3/(1+('CurrentFact-N10,20Unchanged'!B102+'CurrentFact-N10,20Unchanged'!G102)/100)+103/POWER(1+('CurrentFact-N10,20Unchanged'!C102+'CurrentFact-N10,20Unchanged'!G102)/100,2))*100</f>
        <v>9606.6387898890553</v>
      </c>
      <c r="E102">
        <f>(3/(1+('CurrentFact-N10,20Unchanged'!B102+'CurrentFact-N10,20Unchanged'!H102)/100)+103/POWER(1+('CurrentFact-N10,20Unchanged'!C102+'CurrentFact-N10,20Unchanged'!H102)/100,2))*100</f>
        <v>9684.4142257946733</v>
      </c>
      <c r="F102">
        <f>Portfolio!B$5*'CurrentFact-N10,20Unchanged'!D102</f>
        <v>52143.895533915893</v>
      </c>
      <c r="G102">
        <f>Portfolio!B$6*'CurrentFact-N10,20Unchanged'!E102</f>
        <v>3696.2945087936532</v>
      </c>
      <c r="H102">
        <f t="shared" si="5"/>
        <v>94453.796194070455</v>
      </c>
      <c r="I102">
        <f t="shared" si="4"/>
        <v>8.6739143863960635</v>
      </c>
    </row>
    <row r="103" spans="1:9">
      <c r="A103" s="1">
        <v>39401</v>
      </c>
      <c r="B103">
        <f>(3/(1+('CurrentFact-N10,20Unchanged'!B103)/100)+103/POWER(1+('CurrentFact-N10,20Unchanged'!C103)/100,2))*100</f>
        <v>9707.5857774288397</v>
      </c>
      <c r="C103">
        <f>(3/(1+('CurrentFact-N10,20Unchanged'!B103+'CurrentFact-N10,20Unchanged'!F103)/100)+103/POWER(1+('CurrentFact-N10,20Unchanged'!C103+'CurrentFact-N10,20Unchanged'!F103)/100,2))*100</f>
        <v>9614.9673582483465</v>
      </c>
      <c r="D103">
        <f>(3/(1+('CurrentFact-N10,20Unchanged'!B103+'CurrentFact-N10,20Unchanged'!G103)/100)+103/POWER(1+('CurrentFact-N10,20Unchanged'!C103+'CurrentFact-N10,20Unchanged'!G103)/100,2))*100</f>
        <v>9599.2123115751165</v>
      </c>
      <c r="E103">
        <f>(3/(1+('CurrentFact-N10,20Unchanged'!B103+'CurrentFact-N10,20Unchanged'!H103)/100)+103/POWER(1+('CurrentFact-N10,20Unchanged'!C103+'CurrentFact-N10,20Unchanged'!H103)/100,2))*100</f>
        <v>9683.9950252631097</v>
      </c>
      <c r="F103">
        <f>Portfolio!B$5*'CurrentFact-N10,20Unchanged'!D103</f>
        <v>52143.895533915893</v>
      </c>
      <c r="G103">
        <f>Portfolio!B$6*'CurrentFact-N10,20Unchanged'!E103</f>
        <v>3696.2945087936532</v>
      </c>
      <c r="H103">
        <f t="shared" si="5"/>
        <v>94445.950515224948</v>
      </c>
      <c r="I103">
        <f t="shared" si="4"/>
        <v>10.858328502130462</v>
      </c>
    </row>
    <row r="104" spans="1:9">
      <c r="A104" s="1">
        <v>39402</v>
      </c>
      <c r="B104">
        <f>(3/(1+('CurrentFact-N10,20Unchanged'!B104)/100)+103/POWER(1+('CurrentFact-N10,20Unchanged'!C104)/100,2))*100</f>
        <v>9707.5857774288397</v>
      </c>
      <c r="C104">
        <f>(3/(1+('CurrentFact-N10,20Unchanged'!B104+'CurrentFact-N10,20Unchanged'!F104)/100)+103/POWER(1+('CurrentFact-N10,20Unchanged'!C104+'CurrentFact-N10,20Unchanged'!F104)/100,2))*100</f>
        <v>9614.9673582483465</v>
      </c>
      <c r="D104">
        <f>(3/(1+('CurrentFact-N10,20Unchanged'!B104+'CurrentFact-N10,20Unchanged'!G104)/100)+103/POWER(1+('CurrentFact-N10,20Unchanged'!C104+'CurrentFact-N10,20Unchanged'!G104)/100,2))*100</f>
        <v>9604.233254079445</v>
      </c>
      <c r="E104">
        <f>(3/(1+('CurrentFact-N10,20Unchanged'!B104+'CurrentFact-N10,20Unchanged'!H104)/100)+103/POWER(1+('CurrentFact-N10,20Unchanged'!C104+'CurrentFact-N10,20Unchanged'!H104)/100,2))*100</f>
        <v>9684.5235857668922</v>
      </c>
      <c r="F104">
        <f>Portfolio!B$5*'CurrentFact-N10,20Unchanged'!D104</f>
        <v>52143.895533915893</v>
      </c>
      <c r="G104">
        <f>Portfolio!B$6*'CurrentFact-N10,20Unchanged'!E104</f>
        <v>3696.2945087936532</v>
      </c>
      <c r="H104">
        <f t="shared" si="5"/>
        <v>94451.50001823307</v>
      </c>
      <c r="I104">
        <f t="shared" si="4"/>
        <v>34.041191471653292</v>
      </c>
    </row>
    <row r="105" spans="1:9">
      <c r="A105" s="1">
        <v>39405</v>
      </c>
      <c r="B105">
        <f>(3/(1+('CurrentFact-N10,20Unchanged'!B105)/100)+103/POWER(1+('CurrentFact-N10,20Unchanged'!C105)/100,2))*100</f>
        <v>9707.5857774288397</v>
      </c>
      <c r="C105">
        <f>(3/(1+('CurrentFact-N10,20Unchanged'!B105+'CurrentFact-N10,20Unchanged'!F105)/100)+103/POWER(1+('CurrentFact-N10,20Unchanged'!C105+'CurrentFact-N10,20Unchanged'!F105)/100,2))*100</f>
        <v>9614.9673582483465</v>
      </c>
      <c r="D105">
        <f>(3/(1+('CurrentFact-N10,20Unchanged'!B105+'CurrentFact-N10,20Unchanged'!G105)/100)+103/POWER(1+('CurrentFact-N10,20Unchanged'!C105+'CurrentFact-N10,20Unchanged'!G105)/100,2))*100</f>
        <v>9620.3800925193445</v>
      </c>
      <c r="E105">
        <f>(3/(1+('CurrentFact-N10,20Unchanged'!B105+'CurrentFact-N10,20Unchanged'!H105)/100)+103/POWER(1+('CurrentFact-N10,20Unchanged'!C105+'CurrentFact-N10,20Unchanged'!H105)/100,2))*100</f>
        <v>9683.7034246212697</v>
      </c>
      <c r="F105">
        <f>Portfolio!B$5*'CurrentFact-N10,20Unchanged'!D105</f>
        <v>52143.895533915893</v>
      </c>
      <c r="G105">
        <f>Portfolio!B$6*'CurrentFact-N10,20Unchanged'!E105</f>
        <v>3696.2945087936532</v>
      </c>
      <c r="H105">
        <f t="shared" si="5"/>
        <v>94466.826695527358</v>
      </c>
      <c r="I105">
        <f t="shared" si="4"/>
        <v>18.514652123383712</v>
      </c>
    </row>
    <row r="106" spans="1:9">
      <c r="A106" s="1">
        <v>39406</v>
      </c>
      <c r="B106">
        <f>(3/(1+('CurrentFact-N10,20Unchanged'!B106)/100)+103/POWER(1+('CurrentFact-N10,20Unchanged'!C106)/100,2))*100</f>
        <v>9707.5857774288397</v>
      </c>
      <c r="C106">
        <f>(3/(1+('CurrentFact-N10,20Unchanged'!B106+'CurrentFact-N10,20Unchanged'!F106)/100)+103/POWER(1+('CurrentFact-N10,20Unchanged'!C106+'CurrentFact-N10,20Unchanged'!F106)/100,2))*100</f>
        <v>9614.9673582483465</v>
      </c>
      <c r="D106">
        <f>(3/(1+('CurrentFact-N10,20Unchanged'!B106+'CurrentFact-N10,20Unchanged'!G106)/100)+103/POWER(1+('CurrentFact-N10,20Unchanged'!C106+'CurrentFact-N10,20Unchanged'!G106)/100,2))*100</f>
        <v>9618.9244570829196</v>
      </c>
      <c r="E106">
        <f>(3/(1+('CurrentFact-N10,20Unchanged'!B106+'CurrentFact-N10,20Unchanged'!H106)/100)+103/POWER(1+('CurrentFact-N10,20Unchanged'!C106+'CurrentFact-N10,20Unchanged'!H106)/100,2))*100</f>
        <v>9684.1226042922844</v>
      </c>
      <c r="F106">
        <f>Portfolio!B$5*'CurrentFact-N10,20Unchanged'!D106</f>
        <v>52143.895533915893</v>
      </c>
      <c r="G106">
        <f>Portfolio!B$6*'CurrentFact-N10,20Unchanged'!E106</f>
        <v>3696.2945087936532</v>
      </c>
      <c r="H106">
        <f t="shared" si="5"/>
        <v>94465.790239761933</v>
      </c>
      <c r="I106">
        <f t="shared" si="4"/>
        <v>23.931783959720633</v>
      </c>
    </row>
    <row r="107" spans="1:9">
      <c r="A107" s="1">
        <v>39407</v>
      </c>
      <c r="B107">
        <f>(3/(1+('CurrentFact-N10,20Unchanged'!B107)/100)+103/POWER(1+('CurrentFact-N10,20Unchanged'!C107)/100,2))*100</f>
        <v>9707.5857774288397</v>
      </c>
      <c r="C107">
        <f>(3/(1+('CurrentFact-N10,20Unchanged'!B107+'CurrentFact-N10,20Unchanged'!F107)/100)+103/POWER(1+('CurrentFact-N10,20Unchanged'!C107+'CurrentFact-N10,20Unchanged'!F107)/100,2))*100</f>
        <v>9614.9673582483465</v>
      </c>
      <c r="D107">
        <f>(3/(1+('CurrentFact-N10,20Unchanged'!B107+'CurrentFact-N10,20Unchanged'!G107)/100)+103/POWER(1+('CurrentFact-N10,20Unchanged'!C107+'CurrentFact-N10,20Unchanged'!G107)/100,2))*100</f>
        <v>9595.7413073058633</v>
      </c>
      <c r="E107">
        <f>(3/(1+('CurrentFact-N10,20Unchanged'!B107+'CurrentFact-N10,20Unchanged'!H107)/100)+103/POWER(1+('CurrentFact-N10,20Unchanged'!C107+'CurrentFact-N10,20Unchanged'!H107)/100,2))*100</f>
        <v>9683.9038981990943</v>
      </c>
      <c r="F107">
        <f>Portfolio!B$5*'CurrentFact-N10,20Unchanged'!D107</f>
        <v>52143.895533915893</v>
      </c>
      <c r="G107">
        <f>Portfolio!B$6*'CurrentFact-N10,20Unchanged'!E107</f>
        <v>3696.2945087936532</v>
      </c>
      <c r="H107">
        <f t="shared" si="5"/>
        <v>94442.388383891695</v>
      </c>
      <c r="I107">
        <f t="shared" si="4"/>
        <v>4.5919781765114749</v>
      </c>
    </row>
    <row r="108" spans="1:9">
      <c r="A108" s="1">
        <v>39408</v>
      </c>
      <c r="B108">
        <f>(3/(1+('CurrentFact-N10,20Unchanged'!B108)/100)+103/POWER(1+('CurrentFact-N10,20Unchanged'!C108)/100,2))*100</f>
        <v>9707.5857774288397</v>
      </c>
      <c r="C108">
        <f>(3/(1+('CurrentFact-N10,20Unchanged'!B108+'CurrentFact-N10,20Unchanged'!F108)/100)+103/POWER(1+('CurrentFact-N10,20Unchanged'!C108+'CurrentFact-N10,20Unchanged'!F108)/100,2))*100</f>
        <v>9614.9673582483465</v>
      </c>
      <c r="D108">
        <f>(3/(1+('CurrentFact-N10,20Unchanged'!B108+'CurrentFact-N10,20Unchanged'!G108)/100)+103/POWER(1+('CurrentFact-N10,20Unchanged'!C108+'CurrentFact-N10,20Unchanged'!G108)/100,2))*100</f>
        <v>9580.228892426363</v>
      </c>
      <c r="E108">
        <f>(3/(1+('CurrentFact-N10,20Unchanged'!B108+'CurrentFact-N10,20Unchanged'!H108)/100)+103/POWER(1+('CurrentFact-N10,20Unchanged'!C108+'CurrentFact-N10,20Unchanged'!H108)/100,2))*100</f>
        <v>9684.5235857668922</v>
      </c>
      <c r="F108">
        <f>Portfolio!B$5*'CurrentFact-N10,20Unchanged'!D108</f>
        <v>52143.895533915893</v>
      </c>
      <c r="G108">
        <f>Portfolio!B$6*'CurrentFact-N10,20Unchanged'!E108</f>
        <v>3696.2945087936532</v>
      </c>
      <c r="H108">
        <f t="shared" si="5"/>
        <v>94427.495656579995</v>
      </c>
      <c r="I108">
        <f t="shared" si="4"/>
        <v>-22.109087146702223</v>
      </c>
    </row>
    <row r="109" spans="1:9">
      <c r="A109" s="1">
        <v>39409</v>
      </c>
      <c r="B109">
        <f>(3/(1+('CurrentFact-N10,20Unchanged'!B109)/100)+103/POWER(1+('CurrentFact-N10,20Unchanged'!C109)/100,2))*100</f>
        <v>9707.5857774288397</v>
      </c>
      <c r="C109">
        <f>(3/(1+('CurrentFact-N10,20Unchanged'!B109+'CurrentFact-N10,20Unchanged'!F109)/100)+103/POWER(1+('CurrentFact-N10,20Unchanged'!C109+'CurrentFact-N10,20Unchanged'!F109)/100,2))*100</f>
        <v>9614.9673582483465</v>
      </c>
      <c r="D109">
        <f>(3/(1+('CurrentFact-N10,20Unchanged'!B109+'CurrentFact-N10,20Unchanged'!G109)/100)+103/POWER(1+('CurrentFact-N10,20Unchanged'!C109+'CurrentFact-N10,20Unchanged'!G109)/100,2))*100</f>
        <v>9604.516645172871</v>
      </c>
      <c r="E109">
        <f>(3/(1+('CurrentFact-N10,20Unchanged'!B109+'CurrentFact-N10,20Unchanged'!H109)/100)+103/POWER(1+('CurrentFact-N10,20Unchanged'!C109+'CurrentFact-N10,20Unchanged'!H109)/100,2))*100</f>
        <v>9685.5443789132642</v>
      </c>
      <c r="F109">
        <f>Portfolio!B$5*'CurrentFact-N10,20Unchanged'!D109</f>
        <v>52143.895533915893</v>
      </c>
      <c r="G109">
        <f>Portfolio!B$6*'CurrentFact-N10,20Unchanged'!E109</f>
        <v>3696.2945087936532</v>
      </c>
      <c r="H109">
        <f t="shared" si="5"/>
        <v>94452.804202472864</v>
      </c>
      <c r="I109">
        <f t="shared" si="4"/>
        <v>1.8213078268745448</v>
      </c>
    </row>
    <row r="110" spans="1:9">
      <c r="A110" s="1">
        <v>39412</v>
      </c>
      <c r="B110">
        <f>(3/(1+('CurrentFact-N10,20Unchanged'!B110)/100)+103/POWER(1+('CurrentFact-N10,20Unchanged'!C110)/100,2))*100</f>
        <v>9707.5857774288397</v>
      </c>
      <c r="C110">
        <f>(3/(1+('CurrentFact-N10,20Unchanged'!B110+'CurrentFact-N10,20Unchanged'!F110)/100)+103/POWER(1+('CurrentFact-N10,20Unchanged'!C110+'CurrentFact-N10,20Unchanged'!F110)/100,2))*100</f>
        <v>9614.9673582483465</v>
      </c>
      <c r="D110">
        <f>(3/(1+('CurrentFact-N10,20Unchanged'!B110+'CurrentFact-N10,20Unchanged'!G110)/100)+103/POWER(1+('CurrentFact-N10,20Unchanged'!C110+'CurrentFact-N10,20Unchanged'!G110)/100,2))*100</f>
        <v>9586.4855131027853</v>
      </c>
      <c r="E110">
        <f>(3/(1+('CurrentFact-N10,20Unchanged'!B110+'CurrentFact-N10,20Unchanged'!H110)/100)+103/POWER(1+('CurrentFact-N10,20Unchanged'!C110+'CurrentFact-N10,20Unchanged'!H110)/100,2))*100</f>
        <v>9685.3256241759664</v>
      </c>
      <c r="F110">
        <f>Portfolio!B$5*'CurrentFact-N10,20Unchanged'!D110</f>
        <v>52143.895533915893</v>
      </c>
      <c r="G110">
        <f>Portfolio!B$6*'CurrentFact-N10,20Unchanged'!E110</f>
        <v>3696.2945087936532</v>
      </c>
      <c r="H110">
        <f t="shared" si="5"/>
        <v>94434.554315665475</v>
      </c>
      <c r="I110">
        <f t="shared" si="4"/>
        <v>-4.3277872882026713</v>
      </c>
    </row>
    <row r="111" spans="1:9">
      <c r="A111" s="1">
        <v>39413</v>
      </c>
      <c r="B111">
        <f>(3/(1+('CurrentFact-N10,20Unchanged'!B111)/100)+103/POWER(1+('CurrentFact-N10,20Unchanged'!C111)/100,2))*100</f>
        <v>9707.5857774288397</v>
      </c>
      <c r="C111">
        <f>(3/(1+('CurrentFact-N10,20Unchanged'!B111+'CurrentFact-N10,20Unchanged'!F111)/100)+103/POWER(1+('CurrentFact-N10,20Unchanged'!C111+'CurrentFact-N10,20Unchanged'!F111)/100,2))*100</f>
        <v>9614.9673582483465</v>
      </c>
      <c r="D111">
        <f>(3/(1+('CurrentFact-N10,20Unchanged'!B111+'CurrentFact-N10,20Unchanged'!G111)/100)+103/POWER(1+('CurrentFact-N10,20Unchanged'!C111+'CurrentFact-N10,20Unchanged'!G111)/100,2))*100</f>
        <v>9603.1188671695036</v>
      </c>
      <c r="E111">
        <f>(3/(1+('CurrentFact-N10,20Unchanged'!B111+'CurrentFact-N10,20Unchanged'!H111)/100)+103/POWER(1+('CurrentFact-N10,20Unchanged'!C111+'CurrentFact-N10,20Unchanged'!H111)/100,2))*100</f>
        <v>9684.7969973590189</v>
      </c>
      <c r="F111">
        <f>Portfolio!B$5*'CurrentFact-N10,20Unchanged'!D111</f>
        <v>52143.895533915893</v>
      </c>
      <c r="G111">
        <f>Portfolio!B$6*'CurrentFact-N10,20Unchanged'!E111</f>
        <v>3696.2945087936532</v>
      </c>
      <c r="H111">
        <f t="shared" si="5"/>
        <v>94450.659042915242</v>
      </c>
      <c r="I111">
        <f t="shared" si="4"/>
        <v>-8.6522655261214823</v>
      </c>
    </row>
    <row r="112" spans="1:9">
      <c r="A112" s="1">
        <v>39414</v>
      </c>
      <c r="B112">
        <f>(3/(1+('CurrentFact-N10,20Unchanged'!B112)/100)+103/POWER(1+('CurrentFact-N10,20Unchanged'!C112)/100,2))*100</f>
        <v>9707.5857774288397</v>
      </c>
      <c r="C112">
        <f>(3/(1+('CurrentFact-N10,20Unchanged'!B112+'CurrentFact-N10,20Unchanged'!F112)/100)+103/POWER(1+('CurrentFact-N10,20Unchanged'!C112+'CurrentFact-N10,20Unchanged'!F112)/100,2))*100</f>
        <v>9614.9673582483465</v>
      </c>
      <c r="D112">
        <f>(3/(1+('CurrentFact-N10,20Unchanged'!B112+'CurrentFact-N10,20Unchanged'!G112)/100)+103/POWER(1+('CurrentFact-N10,20Unchanged'!C112+'CurrentFact-N10,20Unchanged'!G112)/100,2))*100</f>
        <v>9604.7569095569252</v>
      </c>
      <c r="E112">
        <f>(3/(1+('CurrentFact-N10,20Unchanged'!B112+'CurrentFact-N10,20Unchanged'!H112)/100)+103/POWER(1+('CurrentFact-N10,20Unchanged'!C112+'CurrentFact-N10,20Unchanged'!H112)/100,2))*100</f>
        <v>9685.1615626001931</v>
      </c>
      <c r="F112">
        <f>Portfolio!B$5*'CurrentFact-N10,20Unchanged'!D112</f>
        <v>52143.895533915893</v>
      </c>
      <c r="G112">
        <f>Portfolio!B$6*'CurrentFact-N10,20Unchanged'!E112</f>
        <v>3696.2945087936532</v>
      </c>
      <c r="H112">
        <f t="shared" si="5"/>
        <v>94452.661650543858</v>
      </c>
      <c r="I112">
        <f t="shared" si="4"/>
        <v>-1.1345435265975539</v>
      </c>
    </row>
    <row r="113" spans="1:9">
      <c r="A113" s="1">
        <v>39415</v>
      </c>
      <c r="B113">
        <f>(3/(1+('CurrentFact-N10,20Unchanged'!B113)/100)+103/POWER(1+('CurrentFact-N10,20Unchanged'!C113)/100,2))*100</f>
        <v>9707.5857774288397</v>
      </c>
      <c r="C113">
        <f>(3/(1+('CurrentFact-N10,20Unchanged'!B113+'CurrentFact-N10,20Unchanged'!F113)/100)+103/POWER(1+('CurrentFact-N10,20Unchanged'!C113+'CurrentFact-N10,20Unchanged'!F113)/100,2))*100</f>
        <v>9614.9673582483465</v>
      </c>
      <c r="D113">
        <f>(3/(1+('CurrentFact-N10,20Unchanged'!B113+'CurrentFact-N10,20Unchanged'!G113)/100)+103/POWER(1+('CurrentFact-N10,20Unchanged'!C113+'CurrentFact-N10,20Unchanged'!G113)/100,2))*100</f>
        <v>9610.720248617843</v>
      </c>
      <c r="E113">
        <f>(3/(1+('CurrentFact-N10,20Unchanged'!B113+'CurrentFact-N10,20Unchanged'!H113)/100)+103/POWER(1+('CurrentFact-N10,20Unchanged'!C113+'CurrentFact-N10,20Unchanged'!H113)/100,2))*100</f>
        <v>9682.6282609042173</v>
      </c>
      <c r="F113">
        <f>Portfolio!B$5*'CurrentFact-N10,20Unchanged'!D113</f>
        <v>52143.895533915893</v>
      </c>
      <c r="G113">
        <f>Portfolio!B$6*'CurrentFact-N10,20Unchanged'!E113</f>
        <v>3696.2945087936532</v>
      </c>
      <c r="H113">
        <f t="shared" si="5"/>
        <v>94456.091687908804</v>
      </c>
      <c r="I113">
        <f t="shared" si="4"/>
        <v>10.141172683855984</v>
      </c>
    </row>
    <row r="114" spans="1:9">
      <c r="A114" s="1">
        <v>39416</v>
      </c>
      <c r="B114">
        <f>(3/(1+('CurrentFact-N10,20Unchanged'!B114)/100)+103/POWER(1+('CurrentFact-N10,20Unchanged'!C114)/100,2))*100</f>
        <v>9707.5857774288397</v>
      </c>
      <c r="C114">
        <f>(3/(1+('CurrentFact-N10,20Unchanged'!B114+'CurrentFact-N10,20Unchanged'!F114)/100)+103/POWER(1+('CurrentFact-N10,20Unchanged'!C114+'CurrentFact-N10,20Unchanged'!F114)/100,2))*100</f>
        <v>9614.9673582483465</v>
      </c>
      <c r="D114">
        <f>(3/(1+('CurrentFact-N10,20Unchanged'!B114+'CurrentFact-N10,20Unchanged'!G114)/100)+103/POWER(1+('CurrentFact-N10,20Unchanged'!C114+'CurrentFact-N10,20Unchanged'!G114)/100,2))*100</f>
        <v>9605.8909921301129</v>
      </c>
      <c r="E114">
        <f>(3/(1+('CurrentFact-N10,20Unchanged'!B114+'CurrentFact-N10,20Unchanged'!H114)/100)+103/POWER(1+('CurrentFact-N10,20Unchanged'!C114+'CurrentFact-N10,20Unchanged'!H114)/100,2))*100</f>
        <v>9682.6647049953754</v>
      </c>
      <c r="F114">
        <f>Portfolio!B$5*'CurrentFact-N10,20Unchanged'!D114</f>
        <v>52143.895533915893</v>
      </c>
      <c r="G114">
        <f>Portfolio!B$6*'CurrentFact-N10,20Unchanged'!E114</f>
        <v>3696.2945087936532</v>
      </c>
      <c r="H114">
        <f t="shared" si="5"/>
        <v>94451.298875512221</v>
      </c>
      <c r="I114">
        <f t="shared" si="4"/>
        <v>-0.20114272084902041</v>
      </c>
    </row>
    <row r="115" spans="1:9">
      <c r="A115" s="1">
        <v>39419</v>
      </c>
      <c r="B115">
        <f>(3/(1+('CurrentFact-N10,20Unchanged'!B115)/100)+103/POWER(1+('CurrentFact-N10,20Unchanged'!C115)/100,2))*100</f>
        <v>9707.5857774288397</v>
      </c>
      <c r="C115">
        <f>(3/(1+('CurrentFact-N10,20Unchanged'!B115+'CurrentFact-N10,20Unchanged'!F115)/100)+103/POWER(1+('CurrentFact-N10,20Unchanged'!C115+'CurrentFact-N10,20Unchanged'!F115)/100,2))*100</f>
        <v>9614.9673582483465</v>
      </c>
      <c r="D115">
        <f>(3/(1+('CurrentFact-N10,20Unchanged'!B115+'CurrentFact-N10,20Unchanged'!G115)/100)+103/POWER(1+('CurrentFact-N10,20Unchanged'!C115+'CurrentFact-N10,20Unchanged'!G115)/100,2))*100</f>
        <v>9621.8591838503235</v>
      </c>
      <c r="E115">
        <f>(3/(1+('CurrentFact-N10,20Unchanged'!B115+'CurrentFact-N10,20Unchanged'!H115)/100)+103/POWER(1+('CurrentFact-N10,20Unchanged'!C115+'CurrentFact-N10,20Unchanged'!H115)/100,2))*100</f>
        <v>9683.7945488274545</v>
      </c>
      <c r="F115">
        <f>Portfolio!B$5*'CurrentFact-N10,20Unchanged'!D115</f>
        <v>52143.895533915893</v>
      </c>
      <c r="G115">
        <f>Portfolio!B$6*'CurrentFact-N10,20Unchanged'!E115</f>
        <v>3696.2945087936532</v>
      </c>
      <c r="H115">
        <f t="shared" si="5"/>
        <v>94468.396911064512</v>
      </c>
      <c r="I115">
        <f t="shared" si="4"/>
        <v>1.5702155371545814</v>
      </c>
    </row>
    <row r="116" spans="1:9">
      <c r="A116" s="1">
        <v>39420</v>
      </c>
      <c r="B116">
        <f>(3/(1+('CurrentFact-N10,20Unchanged'!B116)/100)+103/POWER(1+('CurrentFact-N10,20Unchanged'!C116)/100,2))*100</f>
        <v>9707.5857774288397</v>
      </c>
      <c r="C116">
        <f>(3/(1+('CurrentFact-N10,20Unchanged'!B116+'CurrentFact-N10,20Unchanged'!F116)/100)+103/POWER(1+('CurrentFact-N10,20Unchanged'!C116+'CurrentFact-N10,20Unchanged'!F116)/100,2))*100</f>
        <v>9614.9673582483465</v>
      </c>
      <c r="D116">
        <f>(3/(1+('CurrentFact-N10,20Unchanged'!B116+'CurrentFact-N10,20Unchanged'!G116)/100)+103/POWER(1+('CurrentFact-N10,20Unchanged'!C116+'CurrentFact-N10,20Unchanged'!G116)/100,2))*100</f>
        <v>9601.3571076738208</v>
      </c>
      <c r="E116">
        <f>(3/(1+('CurrentFact-N10,20Unchanged'!B116+'CurrentFact-N10,20Unchanged'!H116)/100)+103/POWER(1+('CurrentFact-N10,20Unchanged'!C116+'CurrentFact-N10,20Unchanged'!H116)/100,2))*100</f>
        <v>9683.8674487800654</v>
      </c>
      <c r="F116">
        <f>Portfolio!B$5*'CurrentFact-N10,20Unchanged'!D116</f>
        <v>52143.895533915893</v>
      </c>
      <c r="G116">
        <f>Portfolio!B$6*'CurrentFact-N10,20Unchanged'!E116</f>
        <v>3696.2945087936532</v>
      </c>
      <c r="H116">
        <f t="shared" si="5"/>
        <v>94447.967734840611</v>
      </c>
      <c r="I116">
        <f t="shared" si="4"/>
        <v>-17.822504921321524</v>
      </c>
    </row>
    <row r="117" spans="1:9">
      <c r="A117" s="1">
        <v>39421</v>
      </c>
      <c r="B117">
        <f>(3/(1+('CurrentFact-N10,20Unchanged'!B117)/100)+103/POWER(1+('CurrentFact-N10,20Unchanged'!C117)/100,2))*100</f>
        <v>9707.5857774288397</v>
      </c>
      <c r="C117">
        <f>(3/(1+('CurrentFact-N10,20Unchanged'!B117+'CurrentFact-N10,20Unchanged'!F117)/100)+103/POWER(1+('CurrentFact-N10,20Unchanged'!C117+'CurrentFact-N10,20Unchanged'!F117)/100,2))*100</f>
        <v>9614.9673582483465</v>
      </c>
      <c r="D117">
        <f>(3/(1+('CurrentFact-N10,20Unchanged'!B117+'CurrentFact-N10,20Unchanged'!G117)/100)+103/POWER(1+('CurrentFact-N10,20Unchanged'!C117+'CurrentFact-N10,20Unchanged'!G117)/100,2))*100</f>
        <v>9599.2168648117313</v>
      </c>
      <c r="E117">
        <f>(3/(1+('CurrentFact-N10,20Unchanged'!B117+'CurrentFact-N10,20Unchanged'!H117)/100)+103/POWER(1+('CurrentFact-N10,20Unchanged'!C117+'CurrentFact-N10,20Unchanged'!H117)/100,2))*100</f>
        <v>9684.8881354165733</v>
      </c>
      <c r="F117">
        <f>Portfolio!B$5*'CurrentFact-N10,20Unchanged'!D117</f>
        <v>52143.895533915893</v>
      </c>
      <c r="G117">
        <f>Portfolio!B$6*'CurrentFact-N10,20Unchanged'!E117</f>
        <v>3696.2945087936532</v>
      </c>
      <c r="H117">
        <f t="shared" si="5"/>
        <v>94446.848178615037</v>
      </c>
      <c r="I117">
        <f t="shared" si="4"/>
        <v>4.4597947233414743</v>
      </c>
    </row>
    <row r="118" spans="1:9">
      <c r="A118" s="1">
        <v>39422</v>
      </c>
      <c r="B118">
        <f>(3/(1+('CurrentFact-N10,20Unchanged'!B118)/100)+103/POWER(1+('CurrentFact-N10,20Unchanged'!C118)/100,2))*100</f>
        <v>9707.5857774288397</v>
      </c>
      <c r="C118">
        <f>(3/(1+('CurrentFact-N10,20Unchanged'!B118+'CurrentFact-N10,20Unchanged'!F118)/100)+103/POWER(1+('CurrentFact-N10,20Unchanged'!C118+'CurrentFact-N10,20Unchanged'!F118)/100,2))*100</f>
        <v>9614.9673582483465</v>
      </c>
      <c r="D118">
        <f>(3/(1+('CurrentFact-N10,20Unchanged'!B118+'CurrentFact-N10,20Unchanged'!G118)/100)+103/POWER(1+('CurrentFact-N10,20Unchanged'!C118+'CurrentFact-N10,20Unchanged'!G118)/100,2))*100</f>
        <v>9607.167874935607</v>
      </c>
      <c r="E118">
        <f>(3/(1+('CurrentFact-N10,20Unchanged'!B118+'CurrentFact-N10,20Unchanged'!H118)/100)+103/POWER(1+('CurrentFact-N10,20Unchanged'!C118+'CurrentFact-N10,20Unchanged'!H118)/100,2))*100</f>
        <v>9683.4847328690485</v>
      </c>
      <c r="F118">
        <f>Portfolio!B$5*'CurrentFact-N10,20Unchanged'!D118</f>
        <v>52143.895533915893</v>
      </c>
      <c r="G118">
        <f>Portfolio!B$6*'CurrentFact-N10,20Unchanged'!E118</f>
        <v>3696.2945087936532</v>
      </c>
      <c r="H118">
        <f t="shared" si="5"/>
        <v>94453.395786191395</v>
      </c>
      <c r="I118">
        <f t="shared" si="4"/>
        <v>25.900129611400189</v>
      </c>
    </row>
    <row r="119" spans="1:9">
      <c r="A119" s="1">
        <v>39423</v>
      </c>
      <c r="B119">
        <f>(3/(1+('CurrentFact-N10,20Unchanged'!B119)/100)+103/POWER(1+('CurrentFact-N10,20Unchanged'!C119)/100,2))*100</f>
        <v>9707.5857774288397</v>
      </c>
      <c r="C119">
        <f>(3/(1+('CurrentFact-N10,20Unchanged'!B119+'CurrentFact-N10,20Unchanged'!F119)/100)+103/POWER(1+('CurrentFact-N10,20Unchanged'!C119+'CurrentFact-N10,20Unchanged'!F119)/100,2))*100</f>
        <v>9614.9673582483465</v>
      </c>
      <c r="D119">
        <f>(3/(1+('CurrentFact-N10,20Unchanged'!B119+'CurrentFact-N10,20Unchanged'!G119)/100)+103/POWER(1+('CurrentFact-N10,20Unchanged'!C119+'CurrentFact-N10,20Unchanged'!G119)/100,2))*100</f>
        <v>9599.3408121781467</v>
      </c>
      <c r="E119">
        <f>(3/(1+('CurrentFact-N10,20Unchanged'!B119+'CurrentFact-N10,20Unchanged'!H119)/100)+103/POWER(1+('CurrentFact-N10,20Unchanged'!C119+'CurrentFact-N10,20Unchanged'!H119)/100,2))*100</f>
        <v>9681.954098335942</v>
      </c>
      <c r="F119">
        <f>Portfolio!B$5*'CurrentFact-N10,20Unchanged'!D119</f>
        <v>52143.895533915893</v>
      </c>
      <c r="G119">
        <f>Portfolio!B$6*'CurrentFact-N10,20Unchanged'!E119</f>
        <v>3696.2945087936532</v>
      </c>
      <c r="H119">
        <f t="shared" si="5"/>
        <v>94444.038088900823</v>
      </c>
      <c r="I119">
        <f t="shared" si="4"/>
        <v>-8.766113572040922</v>
      </c>
    </row>
    <row r="120" spans="1:9">
      <c r="A120" s="1">
        <v>39426</v>
      </c>
      <c r="B120">
        <f>(3/(1+('CurrentFact-N10,20Unchanged'!B120)/100)+103/POWER(1+('CurrentFact-N10,20Unchanged'!C120)/100,2))*100</f>
        <v>9707.5857774288397</v>
      </c>
      <c r="C120">
        <f>(3/(1+('CurrentFact-N10,20Unchanged'!B120+'CurrentFact-N10,20Unchanged'!F120)/100)+103/POWER(1+('CurrentFact-N10,20Unchanged'!C120+'CurrentFact-N10,20Unchanged'!F120)/100,2))*100</f>
        <v>9614.9673582483465</v>
      </c>
      <c r="D120">
        <f>(3/(1+('CurrentFact-N10,20Unchanged'!B120+'CurrentFact-N10,20Unchanged'!G120)/100)+103/POWER(1+('CurrentFact-N10,20Unchanged'!C120+'CurrentFact-N10,20Unchanged'!G120)/100,2))*100</f>
        <v>9581.9812171778321</v>
      </c>
      <c r="E120">
        <f>(3/(1+('CurrentFact-N10,20Unchanged'!B120+'CurrentFact-N10,20Unchanged'!H120)/100)+103/POWER(1+('CurrentFact-N10,20Unchanged'!C120+'CurrentFact-N10,20Unchanged'!H120)/100,2))*100</f>
        <v>9681.7901232696204</v>
      </c>
      <c r="F120">
        <f>Portfolio!B$5*'CurrentFact-N10,20Unchanged'!D120</f>
        <v>52143.895533915893</v>
      </c>
      <c r="G120">
        <f>Portfolio!B$6*'CurrentFact-N10,20Unchanged'!E120</f>
        <v>3696.2945087936532</v>
      </c>
      <c r="H120">
        <f t="shared" si="5"/>
        <v>94426.514518834185</v>
      </c>
      <c r="I120">
        <f t="shared" si="4"/>
        <v>-8.0397968312900048</v>
      </c>
    </row>
    <row r="121" spans="1:9">
      <c r="A121" s="1">
        <v>39427</v>
      </c>
      <c r="B121">
        <f>(3/(1+('CurrentFact-N10,20Unchanged'!B121)/100)+103/POWER(1+('CurrentFact-N10,20Unchanged'!C121)/100,2))*100</f>
        <v>9707.5857774288397</v>
      </c>
      <c r="C121">
        <f>(3/(1+('CurrentFact-N10,20Unchanged'!B121+'CurrentFact-N10,20Unchanged'!F121)/100)+103/POWER(1+('CurrentFact-N10,20Unchanged'!C121+'CurrentFact-N10,20Unchanged'!F121)/100,2))*100</f>
        <v>9614.9673582483465</v>
      </c>
      <c r="D121">
        <f>(3/(1+('CurrentFact-N10,20Unchanged'!B121+'CurrentFact-N10,20Unchanged'!G121)/100)+103/POWER(1+('CurrentFact-N10,20Unchanged'!C121+'CurrentFact-N10,20Unchanged'!G121)/100,2))*100</f>
        <v>9598.2009469458499</v>
      </c>
      <c r="E121">
        <f>(3/(1+('CurrentFact-N10,20Unchanged'!B121+'CurrentFact-N10,20Unchanged'!H121)/100)+103/POWER(1+('CurrentFact-N10,20Unchanged'!C121+'CurrentFact-N10,20Unchanged'!H121)/100,2))*100</f>
        <v>9683.2113773965266</v>
      </c>
      <c r="F121">
        <f>Portfolio!B$5*'CurrentFact-N10,20Unchanged'!D121</f>
        <v>52143.895533915893</v>
      </c>
      <c r="G121">
        <f>Portfolio!B$6*'CurrentFact-N10,20Unchanged'!E121</f>
        <v>3696.2945087936532</v>
      </c>
      <c r="H121">
        <f t="shared" si="5"/>
        <v>94444.155502729118</v>
      </c>
      <c r="I121">
        <f t="shared" si="4"/>
        <v>-6.5035401861241553</v>
      </c>
    </row>
    <row r="122" spans="1:9">
      <c r="A122" s="1">
        <v>39428</v>
      </c>
      <c r="B122">
        <f>(3/(1+('CurrentFact-N10,20Unchanged'!B122)/100)+103/POWER(1+('CurrentFact-N10,20Unchanged'!C122)/100,2))*100</f>
        <v>9707.5857774288397</v>
      </c>
      <c r="C122">
        <f>(3/(1+('CurrentFact-N10,20Unchanged'!B122+'CurrentFact-N10,20Unchanged'!F122)/100)+103/POWER(1+('CurrentFact-N10,20Unchanged'!C122+'CurrentFact-N10,20Unchanged'!F122)/100,2))*100</f>
        <v>9614.9673582483465</v>
      </c>
      <c r="D122">
        <f>(3/(1+('CurrentFact-N10,20Unchanged'!B122+'CurrentFact-N10,20Unchanged'!G122)/100)+103/POWER(1+('CurrentFact-N10,20Unchanged'!C122+'CurrentFact-N10,20Unchanged'!G122)/100,2))*100</f>
        <v>9606.7331353113295</v>
      </c>
      <c r="E122">
        <f>(3/(1+('CurrentFact-N10,20Unchanged'!B122+'CurrentFact-N10,20Unchanged'!H122)/100)+103/POWER(1+('CurrentFact-N10,20Unchanged'!C122+'CurrentFact-N10,20Unchanged'!H122)/100,2))*100</f>
        <v>9683.7034246212697</v>
      </c>
      <c r="F122">
        <f>Portfolio!B$5*'CurrentFact-N10,20Unchanged'!D122</f>
        <v>52143.895533915893</v>
      </c>
      <c r="G122">
        <f>Portfolio!B$6*'CurrentFact-N10,20Unchanged'!E122</f>
        <v>3696.2945087936532</v>
      </c>
      <c r="H122">
        <f t="shared" si="5"/>
        <v>94453.179738319333</v>
      </c>
      <c r="I122">
        <f t="shared" si="4"/>
        <v>0.51808777547557838</v>
      </c>
    </row>
    <row r="123" spans="1:9">
      <c r="A123" s="1">
        <v>39429</v>
      </c>
      <c r="B123">
        <f>(3/(1+('CurrentFact-N10,20Unchanged'!B123)/100)+103/POWER(1+('CurrentFact-N10,20Unchanged'!C123)/100,2))*100</f>
        <v>9707.5857774288397</v>
      </c>
      <c r="C123">
        <f>(3/(1+('CurrentFact-N10,20Unchanged'!B123+'CurrentFact-N10,20Unchanged'!F123)/100)+103/POWER(1+('CurrentFact-N10,20Unchanged'!C123+'CurrentFact-N10,20Unchanged'!F123)/100,2))*100</f>
        <v>9614.9673582483465</v>
      </c>
      <c r="D123">
        <f>(3/(1+('CurrentFact-N10,20Unchanged'!B123+'CurrentFact-N10,20Unchanged'!G123)/100)+103/POWER(1+('CurrentFact-N10,20Unchanged'!C123+'CurrentFact-N10,20Unchanged'!G123)/100,2))*100</f>
        <v>9594.4438659396492</v>
      </c>
      <c r="E123">
        <f>(3/(1+('CurrentFact-N10,20Unchanged'!B123+'CurrentFact-N10,20Unchanged'!H123)/100)+103/POWER(1+('CurrentFact-N10,20Unchanged'!C123+'CurrentFact-N10,20Unchanged'!H123)/100,2))*100</f>
        <v>9684.8699087441364</v>
      </c>
      <c r="F123">
        <f>Portfolio!B$5*'CurrentFact-N10,20Unchanged'!D123</f>
        <v>52143.895533915893</v>
      </c>
      <c r="G123">
        <f>Portfolio!B$6*'CurrentFact-N10,20Unchanged'!E123</f>
        <v>3696.2945087936532</v>
      </c>
      <c r="H123">
        <f t="shared" si="5"/>
        <v>94442.056953070511</v>
      </c>
      <c r="I123">
        <f t="shared" si="4"/>
        <v>-14.034734838292934</v>
      </c>
    </row>
    <row r="124" spans="1:9">
      <c r="A124" s="1">
        <v>39430</v>
      </c>
      <c r="B124">
        <f>(3/(1+('CurrentFact-N10,20Unchanged'!B124)/100)+103/POWER(1+('CurrentFact-N10,20Unchanged'!C124)/100,2))*100</f>
        <v>9707.5857774288397</v>
      </c>
      <c r="C124">
        <f>(3/(1+('CurrentFact-N10,20Unchanged'!B124+'CurrentFact-N10,20Unchanged'!F124)/100)+103/POWER(1+('CurrentFact-N10,20Unchanged'!C124+'CurrentFact-N10,20Unchanged'!F124)/100,2))*100</f>
        <v>9614.9673582483465</v>
      </c>
      <c r="D124">
        <f>(3/(1+('CurrentFact-N10,20Unchanged'!B124+'CurrentFact-N10,20Unchanged'!G124)/100)+103/POWER(1+('CurrentFact-N10,20Unchanged'!C124+'CurrentFact-N10,20Unchanged'!G124)/100,2))*100</f>
        <v>9593.8694294002198</v>
      </c>
      <c r="E124">
        <f>(3/(1+('CurrentFact-N10,20Unchanged'!B124+'CurrentFact-N10,20Unchanged'!H124)/100)+103/POWER(1+('CurrentFact-N10,20Unchanged'!C124+'CurrentFact-N10,20Unchanged'!H124)/100,2))*100</f>
        <v>9684.3959987351082</v>
      </c>
      <c r="F124">
        <f>Portfolio!B$5*'CurrentFact-N10,20Unchanged'!D124</f>
        <v>52143.895533915893</v>
      </c>
      <c r="G124">
        <f>Portfolio!B$6*'CurrentFact-N10,20Unchanged'!E124</f>
        <v>3696.2945087936532</v>
      </c>
      <c r="H124">
        <f t="shared" si="5"/>
        <v>94441.008606522053</v>
      </c>
      <c r="I124">
        <f t="shared" si="4"/>
        <v>-10.290268990167533</v>
      </c>
    </row>
    <row r="125" spans="1:9">
      <c r="A125" s="1">
        <v>39433</v>
      </c>
      <c r="B125">
        <f>(3/(1+('CurrentFact-N10,20Unchanged'!B125)/100)+103/POWER(1+('CurrentFact-N10,20Unchanged'!C125)/100,2))*100</f>
        <v>9707.5857774288397</v>
      </c>
      <c r="C125">
        <f>(3/(1+('CurrentFact-N10,20Unchanged'!B125+'CurrentFact-N10,20Unchanged'!F125)/100)+103/POWER(1+('CurrentFact-N10,20Unchanged'!C125+'CurrentFact-N10,20Unchanged'!F125)/100,2))*100</f>
        <v>9614.9673582483465</v>
      </c>
      <c r="D125">
        <f>(3/(1+('CurrentFact-N10,20Unchanged'!B125+'CurrentFact-N10,20Unchanged'!G125)/100)+103/POWER(1+('CurrentFact-N10,20Unchanged'!C125+'CurrentFact-N10,20Unchanged'!G125)/100,2))*100</f>
        <v>9590.7310198603318</v>
      </c>
      <c r="E125">
        <f>(3/(1+('CurrentFact-N10,20Unchanged'!B125+'CurrentFact-N10,20Unchanged'!H125)/100)+103/POWER(1+('CurrentFact-N10,20Unchanged'!C125+'CurrentFact-N10,20Unchanged'!H125)/100,2))*100</f>
        <v>9682.3185014697392</v>
      </c>
      <c r="F125">
        <f>Portfolio!B$5*'CurrentFact-N10,20Unchanged'!D125</f>
        <v>52143.895533915893</v>
      </c>
      <c r="G125">
        <f>Portfolio!B$6*'CurrentFact-N10,20Unchanged'!E125</f>
        <v>3696.2945087936532</v>
      </c>
      <c r="H125">
        <f t="shared" si="5"/>
        <v>94435.792699716811</v>
      </c>
      <c r="I125">
        <f t="shared" si="4"/>
        <v>-32.604211347701494</v>
      </c>
    </row>
    <row r="126" spans="1:9">
      <c r="A126" s="1">
        <v>39434</v>
      </c>
      <c r="B126">
        <f>(3/(1+('CurrentFact-N10,20Unchanged'!B126)/100)+103/POWER(1+('CurrentFact-N10,20Unchanged'!C126)/100,2))*100</f>
        <v>9707.5857774288397</v>
      </c>
      <c r="C126">
        <f>(3/(1+('CurrentFact-N10,20Unchanged'!B126+'CurrentFact-N10,20Unchanged'!F126)/100)+103/POWER(1+('CurrentFact-N10,20Unchanged'!C126+'CurrentFact-N10,20Unchanged'!F126)/100,2))*100</f>
        <v>9614.9673582483465</v>
      </c>
      <c r="D126">
        <f>(3/(1+('CurrentFact-N10,20Unchanged'!B126+'CurrentFact-N10,20Unchanged'!G126)/100)+103/POWER(1+('CurrentFact-N10,20Unchanged'!C126+'CurrentFact-N10,20Unchanged'!G126)/100,2))*100</f>
        <v>9591.7529996003213</v>
      </c>
      <c r="E126">
        <f>(3/(1+('CurrentFact-N10,20Unchanged'!B126+'CurrentFact-N10,20Unchanged'!H126)/100)+103/POWER(1+('CurrentFact-N10,20Unchanged'!C126+'CurrentFact-N10,20Unchanged'!H126)/100,2))*100</f>
        <v>9680.5877703046626</v>
      </c>
      <c r="F126">
        <f>Portfolio!B$5*'CurrentFact-N10,20Unchanged'!D126</f>
        <v>52143.895533915893</v>
      </c>
      <c r="G126">
        <f>Portfolio!B$6*'CurrentFact-N10,20Unchanged'!E126</f>
        <v>3696.2945087936532</v>
      </c>
      <c r="H126">
        <f t="shared" si="5"/>
        <v>94435.083948291722</v>
      </c>
      <c r="I126">
        <f t="shared" si="4"/>
        <v>-12.883786548889475</v>
      </c>
    </row>
    <row r="127" spans="1:9">
      <c r="A127" s="1">
        <v>39435</v>
      </c>
      <c r="B127">
        <f>(3/(1+('CurrentFact-N10,20Unchanged'!B127)/100)+103/POWER(1+('CurrentFact-N10,20Unchanged'!C127)/100,2))*100</f>
        <v>9707.5857774288397</v>
      </c>
      <c r="C127">
        <f>(3/(1+('CurrentFact-N10,20Unchanged'!B127+'CurrentFact-N10,20Unchanged'!F127)/100)+103/POWER(1+('CurrentFact-N10,20Unchanged'!C127+'CurrentFact-N10,20Unchanged'!F127)/100,2))*100</f>
        <v>9614.9673582483465</v>
      </c>
      <c r="D127">
        <f>(3/(1+('CurrentFact-N10,20Unchanged'!B127+'CurrentFact-N10,20Unchanged'!G127)/100)+103/POWER(1+('CurrentFact-N10,20Unchanged'!C127+'CurrentFact-N10,20Unchanged'!G127)/100,2))*100</f>
        <v>9604.0602304754975</v>
      </c>
      <c r="E127">
        <f>(3/(1+('CurrentFact-N10,20Unchanged'!B127+'CurrentFact-N10,20Unchanged'!H127)/100)+103/POWER(1+('CurrentFact-N10,20Unchanged'!C127+'CurrentFact-N10,20Unchanged'!H127)/100,2))*100</f>
        <v>9681.7901232696204</v>
      </c>
      <c r="F127">
        <f>Portfolio!B$5*'CurrentFact-N10,20Unchanged'!D127</f>
        <v>52143.895533915893</v>
      </c>
      <c r="G127">
        <f>Portfolio!B$6*'CurrentFact-N10,20Unchanged'!E127</f>
        <v>3696.2945087936532</v>
      </c>
      <c r="H127">
        <f t="shared" si="5"/>
        <v>94448.593532131839</v>
      </c>
      <c r="I127">
        <f t="shared" si="4"/>
        <v>1.7453535168024246</v>
      </c>
    </row>
    <row r="128" spans="1:9">
      <c r="A128" s="1">
        <v>39436</v>
      </c>
      <c r="B128">
        <f>(3/(1+('CurrentFact-N10,20Unchanged'!B128)/100)+103/POWER(1+('CurrentFact-N10,20Unchanged'!C128)/100,2))*100</f>
        <v>9707.5857774288397</v>
      </c>
      <c r="C128">
        <f>(3/(1+('CurrentFact-N10,20Unchanged'!B128+'CurrentFact-N10,20Unchanged'!F128)/100)+103/POWER(1+('CurrentFact-N10,20Unchanged'!C128+'CurrentFact-N10,20Unchanged'!F128)/100,2))*100</f>
        <v>9614.9673582483465</v>
      </c>
      <c r="D128">
        <f>(3/(1+('CurrentFact-N10,20Unchanged'!B128+'CurrentFact-N10,20Unchanged'!G128)/100)+103/POWER(1+('CurrentFact-N10,20Unchanged'!C128+'CurrentFact-N10,20Unchanged'!G128)/100,2))*100</f>
        <v>9593.5743069351101</v>
      </c>
      <c r="E128">
        <f>(3/(1+('CurrentFact-N10,20Unchanged'!B128+'CurrentFact-N10,20Unchanged'!H128)/100)+103/POWER(1+('CurrentFact-N10,20Unchanged'!C128+'CurrentFact-N10,20Unchanged'!H128)/100,2))*100</f>
        <v>9684.6694031322149</v>
      </c>
      <c r="F128">
        <f>Portfolio!B$5*'CurrentFact-N10,20Unchanged'!D128</f>
        <v>52143.895533915893</v>
      </c>
      <c r="G128">
        <f>Portfolio!B$6*'CurrentFact-N10,20Unchanged'!E128</f>
        <v>3696.2945087936532</v>
      </c>
      <c r="H128">
        <f t="shared" si="5"/>
        <v>94440.986888454063</v>
      </c>
      <c r="I128">
        <f t="shared" si="4"/>
        <v>-12.408897737332154</v>
      </c>
    </row>
    <row r="129" spans="1:9">
      <c r="A129" s="1">
        <v>39437</v>
      </c>
      <c r="B129">
        <f>(3/(1+('CurrentFact-N10,20Unchanged'!B129)/100)+103/POWER(1+('CurrentFact-N10,20Unchanged'!C129)/100,2))*100</f>
        <v>9707.5857774288397</v>
      </c>
      <c r="C129">
        <f>(3/(1+('CurrentFact-N10,20Unchanged'!B129+'CurrentFact-N10,20Unchanged'!F129)/100)+103/POWER(1+('CurrentFact-N10,20Unchanged'!C129+'CurrentFact-N10,20Unchanged'!F129)/100,2))*100</f>
        <v>9614.9673582483465</v>
      </c>
      <c r="D129">
        <f>(3/(1+('CurrentFact-N10,20Unchanged'!B129+'CurrentFact-N10,20Unchanged'!G129)/100)+103/POWER(1+('CurrentFact-N10,20Unchanged'!C129+'CurrentFact-N10,20Unchanged'!G129)/100,2))*100</f>
        <v>9615.9542959949868</v>
      </c>
      <c r="E129">
        <f>(3/(1+('CurrentFact-N10,20Unchanged'!B129+'CurrentFact-N10,20Unchanged'!H129)/100)+103/POWER(1+('CurrentFact-N10,20Unchanged'!C129+'CurrentFact-N10,20Unchanged'!H129)/100,2))*100</f>
        <v>9683.594076940919</v>
      </c>
      <c r="F129">
        <f>Portfolio!B$5*'CurrentFact-N10,20Unchanged'!D129</f>
        <v>52143.895533915893</v>
      </c>
      <c r="G129">
        <f>Portfolio!B$6*'CurrentFact-N10,20Unchanged'!E129</f>
        <v>3696.2945087936532</v>
      </c>
      <c r="H129">
        <f t="shared" si="5"/>
        <v>94462.291551322647</v>
      </c>
      <c r="I129">
        <f t="shared" si="4"/>
        <v>18.253462421824224</v>
      </c>
    </row>
    <row r="130" spans="1:9">
      <c r="A130" s="1">
        <v>39440</v>
      </c>
      <c r="B130">
        <f>(3/(1+('CurrentFact-N10,20Unchanged'!B130)/100)+103/POWER(1+('CurrentFact-N10,20Unchanged'!C130)/100,2))*100</f>
        <v>9707.5857774288397</v>
      </c>
      <c r="C130">
        <f>(3/(1+('CurrentFact-N10,20Unchanged'!B130+'CurrentFact-N10,20Unchanged'!F130)/100)+103/POWER(1+('CurrentFact-N10,20Unchanged'!C130+'CurrentFact-N10,20Unchanged'!F130)/100,2))*100</f>
        <v>9614.9673582483465</v>
      </c>
      <c r="D130">
        <f>(3/(1+('CurrentFact-N10,20Unchanged'!B130+'CurrentFact-N10,20Unchanged'!G130)/100)+103/POWER(1+('CurrentFact-N10,20Unchanged'!C130+'CurrentFact-N10,20Unchanged'!G130)/100,2))*100</f>
        <v>9604.4626392167083</v>
      </c>
      <c r="E130">
        <f>(3/(1+('CurrentFact-N10,20Unchanged'!B130+'CurrentFact-N10,20Unchanged'!H130)/100)+103/POWER(1+('CurrentFact-N10,20Unchanged'!C130+'CurrentFact-N10,20Unchanged'!H130)/100,2))*100</f>
        <v>9683.0291486470051</v>
      </c>
      <c r="F130">
        <f>Portfolio!B$5*'CurrentFact-N10,20Unchanged'!D130</f>
        <v>52143.895533915893</v>
      </c>
      <c r="G130">
        <f>Portfolio!B$6*'CurrentFact-N10,20Unchanged'!E130</f>
        <v>3696.2945087936532</v>
      </c>
      <c r="H130">
        <f t="shared" si="5"/>
        <v>94450.234966250457</v>
      </c>
      <c r="I130">
        <f t="shared" si="4"/>
        <v>23.720447416271782</v>
      </c>
    </row>
    <row r="131" spans="1:9">
      <c r="A131" s="1">
        <v>39441</v>
      </c>
      <c r="B131">
        <f>(3/(1+('CurrentFact-N10,20Unchanged'!B131)/100)+103/POWER(1+('CurrentFact-N10,20Unchanged'!C131)/100,2))*100</f>
        <v>9707.5857774288397</v>
      </c>
      <c r="C131">
        <f>(3/(1+('CurrentFact-N10,20Unchanged'!B131+'CurrentFact-N10,20Unchanged'!F131)/100)+103/POWER(1+('CurrentFact-N10,20Unchanged'!C131+'CurrentFact-N10,20Unchanged'!F131)/100,2))*100</f>
        <v>9614.9673582483465</v>
      </c>
      <c r="D131">
        <f>(3/(1+('CurrentFact-N10,20Unchanged'!B131+'CurrentFact-N10,20Unchanged'!G131)/100)+103/POWER(1+('CurrentFact-N10,20Unchanged'!C131+'CurrentFact-N10,20Unchanged'!G131)/100,2))*100</f>
        <v>9607.1139099875763</v>
      </c>
      <c r="E131">
        <f>(3/(1+('CurrentFact-N10,20Unchanged'!B131+'CurrentFact-N10,20Unchanged'!H131)/100)+103/POWER(1+('CurrentFact-N10,20Unchanged'!C131+'CurrentFact-N10,20Unchanged'!H131)/100,2))*100</f>
        <v>9683.3753889296495</v>
      </c>
      <c r="F131">
        <f>Portfolio!B$5*'CurrentFact-N10,20Unchanged'!D131</f>
        <v>52143.895533915893</v>
      </c>
      <c r="G131">
        <f>Portfolio!B$6*'CurrentFact-N10,20Unchanged'!E131</f>
        <v>3696.2945087936532</v>
      </c>
      <c r="H131">
        <f t="shared" ref="H131:H162" si="6">SUM(B131:G131)</f>
        <v>94453.232477303958</v>
      </c>
      <c r="I131">
        <f t="shared" si="4"/>
        <v>9.0769745748402784</v>
      </c>
    </row>
    <row r="132" spans="1:9">
      <c r="A132" s="1">
        <v>39442</v>
      </c>
      <c r="B132">
        <f>(3/(1+('CurrentFact-N10,20Unchanged'!B132)/100)+103/POWER(1+('CurrentFact-N10,20Unchanged'!C132)/100,2))*100</f>
        <v>9707.5857774288397</v>
      </c>
      <c r="C132">
        <f>(3/(1+('CurrentFact-N10,20Unchanged'!B132+'CurrentFact-N10,20Unchanged'!F132)/100)+103/POWER(1+('CurrentFact-N10,20Unchanged'!C132+'CurrentFact-N10,20Unchanged'!F132)/100,2))*100</f>
        <v>9614.9673582483465</v>
      </c>
      <c r="D132">
        <f>(3/(1+('CurrentFact-N10,20Unchanged'!B132+'CurrentFact-N10,20Unchanged'!G132)/100)+103/POWER(1+('CurrentFact-N10,20Unchanged'!C132+'CurrentFact-N10,20Unchanged'!G132)/100,2))*100</f>
        <v>9597.3097298767407</v>
      </c>
      <c r="E132">
        <f>(3/(1+('CurrentFact-N10,20Unchanged'!B132+'CurrentFact-N10,20Unchanged'!H132)/100)+103/POWER(1+('CurrentFact-N10,20Unchanged'!C132+'CurrentFact-N10,20Unchanged'!H132)/100,2))*100</f>
        <v>9682.755812656851</v>
      </c>
      <c r="F132">
        <f>Portfolio!B$5*'CurrentFact-N10,20Unchanged'!D132</f>
        <v>52143.895533915893</v>
      </c>
      <c r="G132">
        <f>Portfolio!B$6*'CurrentFact-N10,20Unchanged'!E132</f>
        <v>3696.2945087936532</v>
      </c>
      <c r="H132">
        <f t="shared" si="6"/>
        <v>94442.808720920322</v>
      </c>
      <c r="I132">
        <f t="shared" si="4"/>
        <v>-10.37101739901118</v>
      </c>
    </row>
    <row r="133" spans="1:9">
      <c r="A133" s="1">
        <v>39443</v>
      </c>
      <c r="B133">
        <f>(3/(1+('CurrentFact-N10,20Unchanged'!B133)/100)+103/POWER(1+('CurrentFact-N10,20Unchanged'!C133)/100,2))*100</f>
        <v>9707.5857774288397</v>
      </c>
      <c r="C133">
        <f>(3/(1+('CurrentFact-N10,20Unchanged'!B133+'CurrentFact-N10,20Unchanged'!F133)/100)+103/POWER(1+('CurrentFact-N10,20Unchanged'!C133+'CurrentFact-N10,20Unchanged'!F133)/100,2))*100</f>
        <v>9614.9673582483465</v>
      </c>
      <c r="D133">
        <f>(3/(1+('CurrentFact-N10,20Unchanged'!B133+'CurrentFact-N10,20Unchanged'!G133)/100)+103/POWER(1+('CurrentFact-N10,20Unchanged'!C133+'CurrentFact-N10,20Unchanged'!G133)/100,2))*100</f>
        <v>9609.6940714917473</v>
      </c>
      <c r="E133">
        <f>(3/(1+('CurrentFact-N10,20Unchanged'!B133+'CurrentFact-N10,20Unchanged'!H133)/100)+103/POWER(1+('CurrentFact-N10,20Unchanged'!C133+'CurrentFact-N10,20Unchanged'!H133)/100,2))*100</f>
        <v>9682.2456191808233</v>
      </c>
      <c r="F133">
        <f>Portfolio!B$5*'CurrentFact-N10,20Unchanged'!D133</f>
        <v>52143.895533915893</v>
      </c>
      <c r="G133">
        <f>Portfolio!B$6*'CurrentFact-N10,20Unchanged'!E133</f>
        <v>3696.2945087936532</v>
      </c>
      <c r="H133">
        <f t="shared" si="6"/>
        <v>94454.682869059296</v>
      </c>
      <c r="I133">
        <f t="shared" si="4"/>
        <v>12.625915988784982</v>
      </c>
    </row>
    <row r="134" spans="1:9">
      <c r="A134" s="1">
        <v>39444</v>
      </c>
      <c r="B134">
        <f>(3/(1+('CurrentFact-N10,20Unchanged'!B134)/100)+103/POWER(1+('CurrentFact-N10,20Unchanged'!C134)/100,2))*100</f>
        <v>9707.5857774288397</v>
      </c>
      <c r="C134">
        <f>(3/(1+('CurrentFact-N10,20Unchanged'!B134+'CurrentFact-N10,20Unchanged'!F134)/100)+103/POWER(1+('CurrentFact-N10,20Unchanged'!C134+'CurrentFact-N10,20Unchanged'!F134)/100,2))*100</f>
        <v>9614.9673582483465</v>
      </c>
      <c r="D134">
        <f>(3/(1+('CurrentFact-N10,20Unchanged'!B134+'CurrentFact-N10,20Unchanged'!G134)/100)+103/POWER(1+('CurrentFact-N10,20Unchanged'!C134+'CurrentFact-N10,20Unchanged'!G134)/100,2))*100</f>
        <v>9602.7745050467329</v>
      </c>
      <c r="E134">
        <f>(3/(1+('CurrentFact-N10,20Unchanged'!B134+'CurrentFact-N10,20Unchanged'!H134)/100)+103/POWER(1+('CurrentFact-N10,20Unchanged'!C134+'CurrentFact-N10,20Unchanged'!H134)/100,2))*100</f>
        <v>9682.3002803851778</v>
      </c>
      <c r="F134">
        <f>Portfolio!B$5*'CurrentFact-N10,20Unchanged'!D134</f>
        <v>52143.895533915893</v>
      </c>
      <c r="G134">
        <f>Portfolio!B$6*'CurrentFact-N10,20Unchanged'!E134</f>
        <v>3696.2945087936532</v>
      </c>
      <c r="H134">
        <f t="shared" si="6"/>
        <v>94447.817963818641</v>
      </c>
      <c r="I134">
        <f t="shared" si="4"/>
        <v>6.8093572965881322</v>
      </c>
    </row>
    <row r="135" spans="1:9">
      <c r="A135" s="1">
        <v>39447</v>
      </c>
      <c r="B135">
        <f>(3/(1+('CurrentFact-N10,20Unchanged'!B135)/100)+103/POWER(1+('CurrentFact-N10,20Unchanged'!C135)/100,2))*100</f>
        <v>9707.5857774288397</v>
      </c>
      <c r="C135">
        <f>(3/(1+('CurrentFact-N10,20Unchanged'!B135+'CurrentFact-N10,20Unchanged'!F135)/100)+103/POWER(1+('CurrentFact-N10,20Unchanged'!C135+'CurrentFact-N10,20Unchanged'!F135)/100,2))*100</f>
        <v>9614.9673582483465</v>
      </c>
      <c r="D135">
        <f>(3/(1+('CurrentFact-N10,20Unchanged'!B135+'CurrentFact-N10,20Unchanged'!G135)/100)+103/POWER(1+('CurrentFact-N10,20Unchanged'!C135+'CurrentFact-N10,20Unchanged'!G135)/100,2))*100</f>
        <v>9593.0970046067578</v>
      </c>
      <c r="E135">
        <f>(3/(1+('CurrentFact-N10,20Unchanged'!B135+'CurrentFact-N10,20Unchanged'!H135)/100)+103/POWER(1+('CurrentFact-N10,20Unchanged'!C135+'CurrentFact-N10,20Unchanged'!H135)/100,2))*100</f>
        <v>9682.6282609042173</v>
      </c>
      <c r="F135">
        <f>Portfolio!B$5*'CurrentFact-N10,20Unchanged'!D135</f>
        <v>52143.895533915893</v>
      </c>
      <c r="G135">
        <f>Portfolio!B$6*'CurrentFact-N10,20Unchanged'!E135</f>
        <v>3696.2945087936532</v>
      </c>
      <c r="H135">
        <f t="shared" si="6"/>
        <v>94438.468443897698</v>
      </c>
      <c r="I135">
        <f t="shared" si="4"/>
        <v>2.6757441808877047</v>
      </c>
    </row>
    <row r="136" spans="1:9">
      <c r="A136" s="1">
        <v>39448</v>
      </c>
      <c r="B136">
        <f>(3/(1+('CurrentFact-N10,20Unchanged'!B136)/100)+103/POWER(1+('CurrentFact-N10,20Unchanged'!C136)/100,2))*100</f>
        <v>9707.5857774288397</v>
      </c>
      <c r="C136">
        <f>(3/(1+('CurrentFact-N10,20Unchanged'!B136+'CurrentFact-N10,20Unchanged'!F136)/100)+103/POWER(1+('CurrentFact-N10,20Unchanged'!C136+'CurrentFact-N10,20Unchanged'!F136)/100,2))*100</f>
        <v>9614.9673582483465</v>
      </c>
      <c r="D136">
        <f>(3/(1+('CurrentFact-N10,20Unchanged'!B136+'CurrentFact-N10,20Unchanged'!G136)/100)+103/POWER(1+('CurrentFact-N10,20Unchanged'!C136+'CurrentFact-N10,20Unchanged'!G136)/100,2))*100</f>
        <v>9592.9984301086824</v>
      </c>
      <c r="E136">
        <f>(3/(1+('CurrentFact-N10,20Unchanged'!B136+'CurrentFact-N10,20Unchanged'!H136)/100)+103/POWER(1+('CurrentFact-N10,20Unchanged'!C136+'CurrentFact-N10,20Unchanged'!H136)/100,2))*100</f>
        <v>9683.739873105038</v>
      </c>
      <c r="F136">
        <f>Portfolio!B$5*'CurrentFact-N10,20Unchanged'!D136</f>
        <v>52143.895533915893</v>
      </c>
      <c r="G136">
        <f>Portfolio!B$6*'CurrentFact-N10,20Unchanged'!E136</f>
        <v>3696.2945087936532</v>
      </c>
      <c r="H136">
        <f t="shared" si="6"/>
        <v>94439.481481600465</v>
      </c>
      <c r="I136">
        <f t="shared" si="4"/>
        <v>4.3975333087437321</v>
      </c>
    </row>
    <row r="137" spans="1:9">
      <c r="A137" s="1">
        <v>39449</v>
      </c>
      <c r="B137">
        <f>(3/(1+('CurrentFact-N10,20Unchanged'!B137)/100)+103/POWER(1+('CurrentFact-N10,20Unchanged'!C137)/100,2))*100</f>
        <v>9707.5857774288397</v>
      </c>
      <c r="C137">
        <f>(3/(1+('CurrentFact-N10,20Unchanged'!B137+'CurrentFact-N10,20Unchanged'!F137)/100)+103/POWER(1+('CurrentFact-N10,20Unchanged'!C137+'CurrentFact-N10,20Unchanged'!F137)/100,2))*100</f>
        <v>9614.9673582483465</v>
      </c>
      <c r="D137">
        <f>(3/(1+('CurrentFact-N10,20Unchanged'!B137+'CurrentFact-N10,20Unchanged'!G137)/100)+103/POWER(1+('CurrentFact-N10,20Unchanged'!C137+'CurrentFact-N10,20Unchanged'!G137)/100,2))*100</f>
        <v>9605.7658854391539</v>
      </c>
      <c r="E137">
        <f>(3/(1+('CurrentFact-N10,20Unchanged'!B137+'CurrentFact-N10,20Unchanged'!H137)/100)+103/POWER(1+('CurrentFact-N10,20Unchanged'!C137+'CurrentFact-N10,20Unchanged'!H137)/100,2))*100</f>
        <v>9684.1590569043819</v>
      </c>
      <c r="F137">
        <f>Portfolio!B$5*'CurrentFact-N10,20Unchanged'!D137</f>
        <v>52143.895533915893</v>
      </c>
      <c r="G137">
        <f>Portfolio!B$6*'CurrentFact-N10,20Unchanged'!E137</f>
        <v>3696.2945087936532</v>
      </c>
      <c r="H137">
        <f t="shared" si="6"/>
        <v>94452.668120730261</v>
      </c>
      <c r="I137">
        <f t="shared" si="4"/>
        <v>4.074588598421542</v>
      </c>
    </row>
    <row r="138" spans="1:9">
      <c r="A138" s="1">
        <v>39450</v>
      </c>
      <c r="B138">
        <f>(3/(1+('CurrentFact-N10,20Unchanged'!B138)/100)+103/POWER(1+('CurrentFact-N10,20Unchanged'!C138)/100,2))*100</f>
        <v>9707.5857774288397</v>
      </c>
      <c r="C138">
        <f>(3/(1+('CurrentFact-N10,20Unchanged'!B138+'CurrentFact-N10,20Unchanged'!F138)/100)+103/POWER(1+('CurrentFact-N10,20Unchanged'!C138+'CurrentFact-N10,20Unchanged'!F138)/100,2))*100</f>
        <v>9614.9673582483465</v>
      </c>
      <c r="D138">
        <f>(3/(1+('CurrentFact-N10,20Unchanged'!B138+'CurrentFact-N10,20Unchanged'!G138)/100)+103/POWER(1+('CurrentFact-N10,20Unchanged'!C138+'CurrentFact-N10,20Unchanged'!G138)/100,2))*100</f>
        <v>9603.1750789171438</v>
      </c>
      <c r="E138">
        <f>(3/(1+('CurrentFact-N10,20Unchanged'!B138+'CurrentFact-N10,20Unchanged'!H138)/100)+103/POWER(1+('CurrentFact-N10,20Unchanged'!C138+'CurrentFact-N10,20Unchanged'!H138)/100,2))*100</f>
        <v>9682.1545170539957</v>
      </c>
      <c r="F138">
        <f>Portfolio!B$5*'CurrentFact-N10,20Unchanged'!D138</f>
        <v>52143.895533915893</v>
      </c>
      <c r="G138">
        <f>Portfolio!B$6*'CurrentFact-N10,20Unchanged'!E138</f>
        <v>3696.2945087936532</v>
      </c>
      <c r="H138">
        <f t="shared" si="6"/>
        <v>94448.072774357875</v>
      </c>
      <c r="I138">
        <f t="shared" si="4"/>
        <v>7.0858859038125956</v>
      </c>
    </row>
    <row r="139" spans="1:9">
      <c r="A139" s="1">
        <v>39451</v>
      </c>
      <c r="B139">
        <f>(3/(1+('CurrentFact-N10,20Unchanged'!B139)/100)+103/POWER(1+('CurrentFact-N10,20Unchanged'!C139)/100,2))*100</f>
        <v>9707.5857774288397</v>
      </c>
      <c r="C139">
        <f>(3/(1+('CurrentFact-N10,20Unchanged'!B139+'CurrentFact-N10,20Unchanged'!F139)/100)+103/POWER(1+('CurrentFact-N10,20Unchanged'!C139+'CurrentFact-N10,20Unchanged'!F139)/100,2))*100</f>
        <v>9614.9673582483465</v>
      </c>
      <c r="D139">
        <f>(3/(1+('CurrentFact-N10,20Unchanged'!B139+'CurrentFact-N10,20Unchanged'!G139)/100)+103/POWER(1+('CurrentFact-N10,20Unchanged'!C139+'CurrentFact-N10,20Unchanged'!G139)/100,2))*100</f>
        <v>9592.95319154563</v>
      </c>
      <c r="E139">
        <f>(3/(1+('CurrentFact-N10,20Unchanged'!B139+'CurrentFact-N10,20Unchanged'!H139)/100)+103/POWER(1+('CurrentFact-N10,20Unchanged'!C139+'CurrentFact-N10,20Unchanged'!H139)/100,2))*100</f>
        <v>9678.6571906891168</v>
      </c>
      <c r="F139">
        <f>Portfolio!B$5*'CurrentFact-N10,20Unchanged'!D139</f>
        <v>52143.895533915893</v>
      </c>
      <c r="G139">
        <f>Portfolio!B$6*'CurrentFact-N10,20Unchanged'!E139</f>
        <v>3696.2945087936532</v>
      </c>
      <c r="H139">
        <f t="shared" si="6"/>
        <v>94434.353560621472</v>
      </c>
      <c r="I139">
        <f t="shared" si="4"/>
        <v>-27.937990701175295</v>
      </c>
    </row>
    <row r="140" spans="1:9">
      <c r="A140" s="1">
        <v>39454</v>
      </c>
      <c r="B140">
        <f>(3/(1+('CurrentFact-N10,20Unchanged'!B140)/100)+103/POWER(1+('CurrentFact-N10,20Unchanged'!C140)/100,2))*100</f>
        <v>9707.5857774288397</v>
      </c>
      <c r="C140">
        <f>(3/(1+('CurrentFact-N10,20Unchanged'!B140+'CurrentFact-N10,20Unchanged'!F140)/100)+103/POWER(1+('CurrentFact-N10,20Unchanged'!C140+'CurrentFact-N10,20Unchanged'!F140)/100,2))*100</f>
        <v>9614.9673582483465</v>
      </c>
      <c r="D140">
        <f>(3/(1+('CurrentFact-N10,20Unchanged'!B140+'CurrentFact-N10,20Unchanged'!G140)/100)+103/POWER(1+('CurrentFact-N10,20Unchanged'!C140+'CurrentFact-N10,20Unchanged'!G140)/100,2))*100</f>
        <v>9590.5436465270923</v>
      </c>
      <c r="E140">
        <f>(3/(1+('CurrentFact-N10,20Unchanged'!B140+'CurrentFact-N10,20Unchanged'!H140)/100)+103/POWER(1+('CurrentFact-N10,20Unchanged'!C140+'CurrentFact-N10,20Unchanged'!H140)/100,2))*100</f>
        <v>9681.3346598198714</v>
      </c>
      <c r="F140">
        <f>Portfolio!B$5*'CurrentFact-N10,20Unchanged'!D140</f>
        <v>52143.895533915893</v>
      </c>
      <c r="G140">
        <f>Portfolio!B$6*'CurrentFact-N10,20Unchanged'!E140</f>
        <v>3696.2945087936532</v>
      </c>
      <c r="H140">
        <f t="shared" si="6"/>
        <v>94434.621484733696</v>
      </c>
      <c r="I140">
        <f t="shared" si="4"/>
        <v>-15.613481516760658</v>
      </c>
    </row>
    <row r="141" spans="1:9">
      <c r="A141" s="1">
        <v>39455</v>
      </c>
      <c r="B141">
        <f>(3/(1+('CurrentFact-N10,20Unchanged'!B141)/100)+103/POWER(1+('CurrentFact-N10,20Unchanged'!C141)/100,2))*100</f>
        <v>9707.5857774288397</v>
      </c>
      <c r="C141">
        <f>(3/(1+('CurrentFact-N10,20Unchanged'!B141+'CurrentFact-N10,20Unchanged'!F141)/100)+103/POWER(1+('CurrentFact-N10,20Unchanged'!C141+'CurrentFact-N10,20Unchanged'!F141)/100,2))*100</f>
        <v>9614.9673582483465</v>
      </c>
      <c r="D141">
        <f>(3/(1+('CurrentFact-N10,20Unchanged'!B141+'CurrentFact-N10,20Unchanged'!G141)/100)+103/POWER(1+('CurrentFact-N10,20Unchanged'!C141+'CurrentFact-N10,20Unchanged'!G141)/100,2))*100</f>
        <v>9597.9619523323472</v>
      </c>
      <c r="E141">
        <f>(3/(1+('CurrentFact-N10,20Unchanged'!B141+'CurrentFact-N10,20Unchanged'!H141)/100)+103/POWER(1+('CurrentFact-N10,20Unchanged'!C141+'CurrentFact-N10,20Unchanged'!H141)/100,2))*100</f>
        <v>9682.0087570471096</v>
      </c>
      <c r="F141">
        <f>Portfolio!B$5*'CurrentFact-N10,20Unchanged'!D141</f>
        <v>52143.895533915893</v>
      </c>
      <c r="G141">
        <f>Portfolio!B$6*'CurrentFact-N10,20Unchanged'!E141</f>
        <v>3696.2945087936532</v>
      </c>
      <c r="H141">
        <f t="shared" si="6"/>
        <v>94442.713887766178</v>
      </c>
      <c r="I141">
        <f t="shared" si="4"/>
        <v>-10.518589537779917</v>
      </c>
    </row>
    <row r="142" spans="1:9">
      <c r="A142" s="1">
        <v>39456</v>
      </c>
      <c r="B142">
        <f>(3/(1+('CurrentFact-N10,20Unchanged'!B142)/100)+103/POWER(1+('CurrentFact-N10,20Unchanged'!C142)/100,2))*100</f>
        <v>9707.5857774288397</v>
      </c>
      <c r="C142">
        <f>(3/(1+('CurrentFact-N10,20Unchanged'!B142+'CurrentFact-N10,20Unchanged'!F142)/100)+103/POWER(1+('CurrentFact-N10,20Unchanged'!C142+'CurrentFact-N10,20Unchanged'!F142)/100,2))*100</f>
        <v>9614.9673582483465</v>
      </c>
      <c r="D142">
        <f>(3/(1+('CurrentFact-N10,20Unchanged'!B142+'CurrentFact-N10,20Unchanged'!G142)/100)+103/POWER(1+('CurrentFact-N10,20Unchanged'!C142+'CurrentFact-N10,20Unchanged'!G142)/100,2))*100</f>
        <v>9601.8037275358856</v>
      </c>
      <c r="E142">
        <f>(3/(1+('CurrentFact-N10,20Unchanged'!B142+'CurrentFact-N10,20Unchanged'!H142)/100)+103/POWER(1+('CurrentFact-N10,20Unchanged'!C142+'CurrentFact-N10,20Unchanged'!H142)/100,2))*100</f>
        <v>9681.5897159781507</v>
      </c>
      <c r="F142">
        <f>Portfolio!B$5*'CurrentFact-N10,20Unchanged'!D142</f>
        <v>52143.895533915893</v>
      </c>
      <c r="G142">
        <f>Portfolio!B$6*'CurrentFact-N10,20Unchanged'!E142</f>
        <v>3696.2945087936532</v>
      </c>
      <c r="H142">
        <f t="shared" si="6"/>
        <v>94446.136621900776</v>
      </c>
      <c r="I142">
        <f t="shared" ref="I142:I187" si="7">H142-H132</f>
        <v>3.3279009804537054</v>
      </c>
    </row>
    <row r="143" spans="1:9">
      <c r="A143" s="1">
        <v>39457</v>
      </c>
      <c r="B143">
        <f>(3/(1+('CurrentFact-N10,20Unchanged'!B143)/100)+103/POWER(1+('CurrentFact-N10,20Unchanged'!C143)/100,2))*100</f>
        <v>9707.5857774288397</v>
      </c>
      <c r="C143">
        <f>(3/(1+('CurrentFact-N10,20Unchanged'!B143+'CurrentFact-N10,20Unchanged'!F143)/100)+103/POWER(1+('CurrentFact-N10,20Unchanged'!C143+'CurrentFact-N10,20Unchanged'!F143)/100,2))*100</f>
        <v>9614.9673582483465</v>
      </c>
      <c r="D143">
        <f>(3/(1+('CurrentFact-N10,20Unchanged'!B143+'CurrentFact-N10,20Unchanged'!G143)/100)+103/POWER(1+('CurrentFact-N10,20Unchanged'!C143+'CurrentFact-N10,20Unchanged'!G143)/100,2))*100</f>
        <v>9592.9156680648466</v>
      </c>
      <c r="E143">
        <f>(3/(1+('CurrentFact-N10,20Unchanged'!B143+'CurrentFact-N10,20Unchanged'!H143)/100)+103/POWER(1+('CurrentFact-N10,20Unchanged'!C143+'CurrentFact-N10,20Unchanged'!H143)/100,2))*100</f>
        <v>9681.0431805243425</v>
      </c>
      <c r="F143">
        <f>Portfolio!B$5*'CurrentFact-N10,20Unchanged'!D143</f>
        <v>52143.895533915893</v>
      </c>
      <c r="G143">
        <f>Portfolio!B$6*'CurrentFact-N10,20Unchanged'!E143</f>
        <v>3696.2945087936532</v>
      </c>
      <c r="H143">
        <f t="shared" si="6"/>
        <v>94436.702026975923</v>
      </c>
      <c r="I143">
        <f t="shared" si="7"/>
        <v>-17.980842083372409</v>
      </c>
    </row>
    <row r="144" spans="1:9">
      <c r="A144" s="1">
        <v>39458</v>
      </c>
      <c r="B144">
        <f>(3/(1+('CurrentFact-N10,20Unchanged'!B144)/100)+103/POWER(1+('CurrentFact-N10,20Unchanged'!C144)/100,2))*100</f>
        <v>9707.5857774288397</v>
      </c>
      <c r="C144">
        <f>(3/(1+('CurrentFact-N10,20Unchanged'!B144+'CurrentFact-N10,20Unchanged'!F144)/100)+103/POWER(1+('CurrentFact-N10,20Unchanged'!C144+'CurrentFact-N10,20Unchanged'!F144)/100,2))*100</f>
        <v>9614.9673582483465</v>
      </c>
      <c r="D144">
        <f>(3/(1+('CurrentFact-N10,20Unchanged'!B144+'CurrentFact-N10,20Unchanged'!G144)/100)+103/POWER(1+('CurrentFact-N10,20Unchanged'!C144+'CurrentFact-N10,20Unchanged'!G144)/100,2))*100</f>
        <v>9592.8315612080532</v>
      </c>
      <c r="E144">
        <f>(3/(1+('CurrentFact-N10,20Unchanged'!B144+'CurrentFact-N10,20Unchanged'!H144)/100)+103/POWER(1+('CurrentFact-N10,20Unchanged'!C144+'CurrentFact-N10,20Unchanged'!H144)/100,2))*100</f>
        <v>9682.4824900929671</v>
      </c>
      <c r="F144">
        <f>Portfolio!B$5*'CurrentFact-N10,20Unchanged'!D144</f>
        <v>52143.895533915893</v>
      </c>
      <c r="G144">
        <f>Portfolio!B$6*'CurrentFact-N10,20Unchanged'!E144</f>
        <v>3696.2945087936532</v>
      </c>
      <c r="H144">
        <f t="shared" si="6"/>
        <v>94438.057229687751</v>
      </c>
      <c r="I144">
        <f t="shared" si="7"/>
        <v>-9.7607341308903415</v>
      </c>
    </row>
    <row r="145" spans="1:9">
      <c r="A145" s="1">
        <v>39461</v>
      </c>
      <c r="B145">
        <f>(3/(1+('CurrentFact-N10,20Unchanged'!B145)/100)+103/POWER(1+('CurrentFact-N10,20Unchanged'!C145)/100,2))*100</f>
        <v>9707.5857774288397</v>
      </c>
      <c r="C145">
        <f>(3/(1+('CurrentFact-N10,20Unchanged'!B145+'CurrentFact-N10,20Unchanged'!F145)/100)+103/POWER(1+('CurrentFact-N10,20Unchanged'!C145+'CurrentFact-N10,20Unchanged'!F145)/100,2))*100</f>
        <v>9614.9673582483465</v>
      </c>
      <c r="D145">
        <f>(3/(1+('CurrentFact-N10,20Unchanged'!B145+'CurrentFact-N10,20Unchanged'!G145)/100)+103/POWER(1+('CurrentFact-N10,20Unchanged'!C145+'CurrentFact-N10,20Unchanged'!G145)/100,2))*100</f>
        <v>9595.5621573486842</v>
      </c>
      <c r="E145">
        <f>(3/(1+('CurrentFact-N10,20Unchanged'!B145+'CurrentFact-N10,20Unchanged'!H145)/100)+103/POWER(1+('CurrentFact-N10,20Unchanged'!C145+'CurrentFact-N10,20Unchanged'!H145)/100,2))*100</f>
        <v>9682.5007116969864</v>
      </c>
      <c r="F145">
        <f>Portfolio!B$5*'CurrentFact-N10,20Unchanged'!D145</f>
        <v>52143.895533915893</v>
      </c>
      <c r="G145">
        <f>Portfolio!B$6*'CurrentFact-N10,20Unchanged'!E145</f>
        <v>3696.2945087936532</v>
      </c>
      <c r="H145">
        <f t="shared" si="6"/>
        <v>94440.806047432401</v>
      </c>
      <c r="I145">
        <f t="shared" si="7"/>
        <v>2.3376035347027937</v>
      </c>
    </row>
    <row r="146" spans="1:9">
      <c r="A146" s="1">
        <v>39462</v>
      </c>
      <c r="B146">
        <f>(3/(1+('CurrentFact-N10,20Unchanged'!B146)/100)+103/POWER(1+('CurrentFact-N10,20Unchanged'!C146)/100,2))*100</f>
        <v>9707.5857774288397</v>
      </c>
      <c r="C146">
        <f>(3/(1+('CurrentFact-N10,20Unchanged'!B146+'CurrentFact-N10,20Unchanged'!F146)/100)+103/POWER(1+('CurrentFact-N10,20Unchanged'!C146+'CurrentFact-N10,20Unchanged'!F146)/100,2))*100</f>
        <v>9614.9673582483465</v>
      </c>
      <c r="D146">
        <f>(3/(1+('CurrentFact-N10,20Unchanged'!B146+'CurrentFact-N10,20Unchanged'!G146)/100)+103/POWER(1+('CurrentFact-N10,20Unchanged'!C146+'CurrentFact-N10,20Unchanged'!G146)/100,2))*100</f>
        <v>9596.7480418199193</v>
      </c>
      <c r="E146">
        <f>(3/(1+('CurrentFact-N10,20Unchanged'!B146+'CurrentFact-N10,20Unchanged'!H146)/100)+103/POWER(1+('CurrentFact-N10,20Unchanged'!C146+'CurrentFact-N10,20Unchanged'!H146)/100,2))*100</f>
        <v>9683.0655932861519</v>
      </c>
      <c r="F146">
        <f>Portfolio!B$5*'CurrentFact-N10,20Unchanged'!D146</f>
        <v>52143.895533915893</v>
      </c>
      <c r="G146">
        <f>Portfolio!B$6*'CurrentFact-N10,20Unchanged'!E146</f>
        <v>3696.2945087936532</v>
      </c>
      <c r="H146">
        <f t="shared" si="6"/>
        <v>94442.556813492803</v>
      </c>
      <c r="I146">
        <f t="shared" si="7"/>
        <v>3.0753318923379993</v>
      </c>
    </row>
    <row r="147" spans="1:9">
      <c r="A147" s="1">
        <v>39463</v>
      </c>
      <c r="B147">
        <f>(3/(1+('CurrentFact-N10,20Unchanged'!B147)/100)+103/POWER(1+('CurrentFact-N10,20Unchanged'!C147)/100,2))*100</f>
        <v>9707.5857774288397</v>
      </c>
      <c r="C147">
        <f>(3/(1+('CurrentFact-N10,20Unchanged'!B147+'CurrentFact-N10,20Unchanged'!F147)/100)+103/POWER(1+('CurrentFact-N10,20Unchanged'!C147+'CurrentFact-N10,20Unchanged'!F147)/100,2))*100</f>
        <v>9614.9673582483465</v>
      </c>
      <c r="D147">
        <f>(3/(1+('CurrentFact-N10,20Unchanged'!B147+'CurrentFact-N10,20Unchanged'!G147)/100)+103/POWER(1+('CurrentFact-N10,20Unchanged'!C147+'CurrentFact-N10,20Unchanged'!G147)/100,2))*100</f>
        <v>9598.2428418131494</v>
      </c>
      <c r="E147">
        <f>(3/(1+('CurrentFact-N10,20Unchanged'!B147+'CurrentFact-N10,20Unchanged'!H147)/100)+103/POWER(1+('CurrentFact-N10,20Unchanged'!C147+'CurrentFact-N10,20Unchanged'!H147)/100,2))*100</f>
        <v>9682.3185014697392</v>
      </c>
      <c r="F147">
        <f>Portfolio!B$5*'CurrentFact-N10,20Unchanged'!D147</f>
        <v>52143.895533915893</v>
      </c>
      <c r="G147">
        <f>Portfolio!B$6*'CurrentFact-N10,20Unchanged'!E147</f>
        <v>3696.2945087936532</v>
      </c>
      <c r="H147">
        <f t="shared" si="6"/>
        <v>94443.304521669619</v>
      </c>
      <c r="I147">
        <f t="shared" si="7"/>
        <v>-9.3635990606417181</v>
      </c>
    </row>
    <row r="148" spans="1:9">
      <c r="A148" s="1">
        <v>39464</v>
      </c>
      <c r="B148">
        <f>(3/(1+('CurrentFact-N10,20Unchanged'!B148)/100)+103/POWER(1+('CurrentFact-N10,20Unchanged'!C148)/100,2))*100</f>
        <v>9707.5857774288397</v>
      </c>
      <c r="C148">
        <f>(3/(1+('CurrentFact-N10,20Unchanged'!B148+'CurrentFact-N10,20Unchanged'!F148)/100)+103/POWER(1+('CurrentFact-N10,20Unchanged'!C148+'CurrentFact-N10,20Unchanged'!F148)/100,2))*100</f>
        <v>9614.9673582483465</v>
      </c>
      <c r="D148">
        <f>(3/(1+('CurrentFact-N10,20Unchanged'!B148+'CurrentFact-N10,20Unchanged'!G148)/100)+103/POWER(1+('CurrentFact-N10,20Unchanged'!C148+'CurrentFact-N10,20Unchanged'!G148)/100,2))*100</f>
        <v>9579.7448049340383</v>
      </c>
      <c r="E148">
        <f>(3/(1+('CurrentFact-N10,20Unchanged'!B148+'CurrentFact-N10,20Unchanged'!H148)/100)+103/POWER(1+('CurrentFact-N10,20Unchanged'!C148+'CurrentFact-N10,20Unchanged'!H148)/100,2))*100</f>
        <v>9682.9562582542785</v>
      </c>
      <c r="F148">
        <f>Portfolio!B$5*'CurrentFact-N10,20Unchanged'!D148</f>
        <v>52143.895533915893</v>
      </c>
      <c r="G148">
        <f>Portfolio!B$6*'CurrentFact-N10,20Unchanged'!E148</f>
        <v>3696.2945087936532</v>
      </c>
      <c r="H148">
        <f t="shared" si="6"/>
        <v>94425.444241575053</v>
      </c>
      <c r="I148">
        <f t="shared" si="7"/>
        <v>-22.628532782822731</v>
      </c>
    </row>
    <row r="149" spans="1:9">
      <c r="A149" s="1">
        <v>39465</v>
      </c>
      <c r="B149">
        <f>(3/(1+('CurrentFact-N10,20Unchanged'!B149)/100)+103/POWER(1+('CurrentFact-N10,20Unchanged'!C149)/100,2))*100</f>
        <v>9707.5857774288397</v>
      </c>
      <c r="C149">
        <f>(3/(1+('CurrentFact-N10,20Unchanged'!B149+'CurrentFact-N10,20Unchanged'!F149)/100)+103/POWER(1+('CurrentFact-N10,20Unchanged'!C149+'CurrentFact-N10,20Unchanged'!F149)/100,2))*100</f>
        <v>9614.9673582483465</v>
      </c>
      <c r="D149">
        <f>(3/(1+('CurrentFact-N10,20Unchanged'!B149+'CurrentFact-N10,20Unchanged'!G149)/100)+103/POWER(1+('CurrentFact-N10,20Unchanged'!C149+'CurrentFact-N10,20Unchanged'!G149)/100,2))*100</f>
        <v>9606.2032974685899</v>
      </c>
      <c r="E149">
        <f>(3/(1+('CurrentFact-N10,20Unchanged'!B149+'CurrentFact-N10,20Unchanged'!H149)/100)+103/POWER(1+('CurrentFact-N10,20Unchanged'!C149+'CurrentFact-N10,20Unchanged'!H149)/100,2))*100</f>
        <v>9681.1889185102937</v>
      </c>
      <c r="F149">
        <f>Portfolio!B$5*'CurrentFact-N10,20Unchanged'!D149</f>
        <v>52143.895533915893</v>
      </c>
      <c r="G149">
        <f>Portfolio!B$6*'CurrentFact-N10,20Unchanged'!E149</f>
        <v>3696.2945087936532</v>
      </c>
      <c r="H149">
        <f t="shared" si="6"/>
        <v>94450.135394365614</v>
      </c>
      <c r="I149">
        <f t="shared" si="7"/>
        <v>15.781833744142205</v>
      </c>
    </row>
    <row r="150" spans="1:9">
      <c r="A150" s="1">
        <v>39468</v>
      </c>
      <c r="B150">
        <f>(3/(1+('CurrentFact-N10,20Unchanged'!B150)/100)+103/POWER(1+('CurrentFact-N10,20Unchanged'!C150)/100,2))*100</f>
        <v>9707.5857774288397</v>
      </c>
      <c r="C150">
        <f>(3/(1+('CurrentFact-N10,20Unchanged'!B150+'CurrentFact-N10,20Unchanged'!F150)/100)+103/POWER(1+('CurrentFact-N10,20Unchanged'!C150+'CurrentFact-N10,20Unchanged'!F150)/100,2))*100</f>
        <v>9614.9673582483465</v>
      </c>
      <c r="D150">
        <f>(3/(1+('CurrentFact-N10,20Unchanged'!B150+'CurrentFact-N10,20Unchanged'!G150)/100)+103/POWER(1+('CurrentFact-N10,20Unchanged'!C150+'CurrentFact-N10,20Unchanged'!G150)/100,2))*100</f>
        <v>9600.6024648327857</v>
      </c>
      <c r="E150">
        <f>(3/(1+('CurrentFact-N10,20Unchanged'!B150+'CurrentFact-N10,20Unchanged'!H150)/100)+103/POWER(1+('CurrentFact-N10,20Unchanged'!C150+'CurrentFact-N10,20Unchanged'!H150)/100,2))*100</f>
        <v>9681.1160491018709</v>
      </c>
      <c r="F150">
        <f>Portfolio!B$5*'CurrentFact-N10,20Unchanged'!D150</f>
        <v>52143.895533915893</v>
      </c>
      <c r="G150">
        <f>Portfolio!B$6*'CurrentFact-N10,20Unchanged'!E150</f>
        <v>3696.2945087936532</v>
      </c>
      <c r="H150">
        <f t="shared" si="6"/>
        <v>94444.461692321376</v>
      </c>
      <c r="I150">
        <f t="shared" si="7"/>
        <v>9.8402075876801973</v>
      </c>
    </row>
    <row r="151" spans="1:9">
      <c r="A151" s="1">
        <v>39469</v>
      </c>
      <c r="B151">
        <f>(3/(1+('CurrentFact-N10,20Unchanged'!B151)/100)+103/POWER(1+('CurrentFact-N10,20Unchanged'!C151)/100,2))*100</f>
        <v>9707.5857774288397</v>
      </c>
      <c r="C151">
        <f>(3/(1+('CurrentFact-N10,20Unchanged'!B151+'CurrentFact-N10,20Unchanged'!F151)/100)+103/POWER(1+('CurrentFact-N10,20Unchanged'!C151+'CurrentFact-N10,20Unchanged'!F151)/100,2))*100</f>
        <v>9614.9673582483465</v>
      </c>
      <c r="D151">
        <f>(3/(1+('CurrentFact-N10,20Unchanged'!B151+'CurrentFact-N10,20Unchanged'!G151)/100)+103/POWER(1+('CurrentFact-N10,20Unchanged'!C151+'CurrentFact-N10,20Unchanged'!G151)/100,2))*100</f>
        <v>9603.5700485732868</v>
      </c>
      <c r="E151">
        <f>(3/(1+('CurrentFact-N10,20Unchanged'!B151+'CurrentFact-N10,20Unchanged'!H151)/100)+103/POWER(1+('CurrentFact-N10,20Unchanged'!C151+'CurrentFact-N10,20Unchanged'!H151)/100,2))*100</f>
        <v>9681.2253543947754</v>
      </c>
      <c r="F151">
        <f>Portfolio!B$5*'CurrentFact-N10,20Unchanged'!D151</f>
        <v>52143.895533915893</v>
      </c>
      <c r="G151">
        <f>Portfolio!B$6*'CurrentFact-N10,20Unchanged'!E151</f>
        <v>3696.2945087936532</v>
      </c>
      <c r="H151">
        <f t="shared" si="6"/>
        <v>94447.538581354791</v>
      </c>
      <c r="I151">
        <f t="shared" si="7"/>
        <v>4.8246935886127176</v>
      </c>
    </row>
    <row r="152" spans="1:9">
      <c r="A152" s="1">
        <v>39470</v>
      </c>
      <c r="B152">
        <f>(3/(1+('CurrentFact-N10,20Unchanged'!B152)/100)+103/POWER(1+('CurrentFact-N10,20Unchanged'!C152)/100,2))*100</f>
        <v>9707.5857774288397</v>
      </c>
      <c r="C152">
        <f>(3/(1+('CurrentFact-N10,20Unchanged'!B152+'CurrentFact-N10,20Unchanged'!F152)/100)+103/POWER(1+('CurrentFact-N10,20Unchanged'!C152+'CurrentFact-N10,20Unchanged'!F152)/100,2))*100</f>
        <v>9614.9673582483465</v>
      </c>
      <c r="D152">
        <f>(3/(1+('CurrentFact-N10,20Unchanged'!B152+'CurrentFact-N10,20Unchanged'!G152)/100)+103/POWER(1+('CurrentFact-N10,20Unchanged'!C152+'CurrentFact-N10,20Unchanged'!G152)/100,2))*100</f>
        <v>9597.6154154921751</v>
      </c>
      <c r="E152">
        <f>(3/(1+('CurrentFact-N10,20Unchanged'!B152+'CurrentFact-N10,20Unchanged'!H152)/100)+103/POWER(1+('CurrentFact-N10,20Unchanged'!C152+'CurrentFact-N10,20Unchanged'!H152)/100,2))*100</f>
        <v>9680.6788500996772</v>
      </c>
      <c r="F152">
        <f>Portfolio!B$5*'CurrentFact-N10,20Unchanged'!D152</f>
        <v>52143.895533915893</v>
      </c>
      <c r="G152">
        <f>Portfolio!B$6*'CurrentFact-N10,20Unchanged'!E152</f>
        <v>3696.2945087936532</v>
      </c>
      <c r="H152">
        <f t="shared" si="6"/>
        <v>94441.037443978596</v>
      </c>
      <c r="I152">
        <f t="shared" si="7"/>
        <v>-5.0991779221803881</v>
      </c>
    </row>
    <row r="153" spans="1:9">
      <c r="A153" s="1">
        <v>39471</v>
      </c>
      <c r="B153">
        <f>(3/(1+('CurrentFact-N10,20Unchanged'!B153)/100)+103/POWER(1+('CurrentFact-N10,20Unchanged'!C153)/100,2))*100</f>
        <v>9707.5857774288397</v>
      </c>
      <c r="C153">
        <f>(3/(1+('CurrentFact-N10,20Unchanged'!B153+'CurrentFact-N10,20Unchanged'!F153)/100)+103/POWER(1+('CurrentFact-N10,20Unchanged'!C153+'CurrentFact-N10,20Unchanged'!F153)/100,2))*100</f>
        <v>9614.9673582483465</v>
      </c>
      <c r="D153">
        <f>(3/(1+('CurrentFact-N10,20Unchanged'!B153+'CurrentFact-N10,20Unchanged'!G153)/100)+103/POWER(1+('CurrentFact-N10,20Unchanged'!C153+'CurrentFact-N10,20Unchanged'!G153)/100,2))*100</f>
        <v>9585.6662410424724</v>
      </c>
      <c r="E153">
        <f>(3/(1+('CurrentFact-N10,20Unchanged'!B153+'CurrentFact-N10,20Unchanged'!H153)/100)+103/POWER(1+('CurrentFact-N10,20Unchanged'!C153+'CurrentFact-N10,20Unchanged'!H153)/100,2))*100</f>
        <v>9682.4824900929671</v>
      </c>
      <c r="F153">
        <f>Portfolio!B$5*'CurrentFact-N10,20Unchanged'!D153</f>
        <v>52143.895533915893</v>
      </c>
      <c r="G153">
        <f>Portfolio!B$6*'CurrentFact-N10,20Unchanged'!E153</f>
        <v>3696.2945087936532</v>
      </c>
      <c r="H153">
        <f t="shared" si="6"/>
        <v>94430.891909522179</v>
      </c>
      <c r="I153">
        <f t="shared" si="7"/>
        <v>-5.8101174537441693</v>
      </c>
    </row>
    <row r="154" spans="1:9">
      <c r="A154" s="1">
        <v>39472</v>
      </c>
      <c r="B154">
        <f>(3/(1+('CurrentFact-N10,20Unchanged'!B154)/100)+103/POWER(1+('CurrentFact-N10,20Unchanged'!C154)/100,2))*100</f>
        <v>9707.5857774288397</v>
      </c>
      <c r="C154">
        <f>(3/(1+('CurrentFact-N10,20Unchanged'!B154+'CurrentFact-N10,20Unchanged'!F154)/100)+103/POWER(1+('CurrentFact-N10,20Unchanged'!C154+'CurrentFact-N10,20Unchanged'!F154)/100,2))*100</f>
        <v>9614.9673582483465</v>
      </c>
      <c r="D154">
        <f>(3/(1+('CurrentFact-N10,20Unchanged'!B154+'CurrentFact-N10,20Unchanged'!G154)/100)+103/POWER(1+('CurrentFact-N10,20Unchanged'!C154+'CurrentFact-N10,20Unchanged'!G154)/100,2))*100</f>
        <v>9597.1922474597613</v>
      </c>
      <c r="E154">
        <f>(3/(1+('CurrentFact-N10,20Unchanged'!B154+'CurrentFact-N10,20Unchanged'!H154)/100)+103/POWER(1+('CurrentFact-N10,20Unchanged'!C154+'CurrentFact-N10,20Unchanged'!H154)/100,2))*100</f>
        <v>9681.2982250495716</v>
      </c>
      <c r="F154">
        <f>Portfolio!B$5*'CurrentFact-N10,20Unchanged'!D154</f>
        <v>52143.895533915893</v>
      </c>
      <c r="G154">
        <f>Portfolio!B$6*'CurrentFact-N10,20Unchanged'!E154</f>
        <v>3696.2945087936532</v>
      </c>
      <c r="H154">
        <f t="shared" si="6"/>
        <v>94441.233650896058</v>
      </c>
      <c r="I154">
        <f t="shared" si="7"/>
        <v>3.176421208307147</v>
      </c>
    </row>
    <row r="155" spans="1:9">
      <c r="A155" s="1">
        <v>39475</v>
      </c>
      <c r="B155">
        <f>(3/(1+('CurrentFact-N10,20Unchanged'!B155)/100)+103/POWER(1+('CurrentFact-N10,20Unchanged'!C155)/100,2))*100</f>
        <v>9707.5857774288397</v>
      </c>
      <c r="C155">
        <f>(3/(1+('CurrentFact-N10,20Unchanged'!B155+'CurrentFact-N10,20Unchanged'!F155)/100)+103/POWER(1+('CurrentFact-N10,20Unchanged'!C155+'CurrentFact-N10,20Unchanged'!F155)/100,2))*100</f>
        <v>9614.9673582483465</v>
      </c>
      <c r="D155">
        <f>(3/(1+('CurrentFact-N10,20Unchanged'!B155+'CurrentFact-N10,20Unchanged'!G155)/100)+103/POWER(1+('CurrentFact-N10,20Unchanged'!C155+'CurrentFact-N10,20Unchanged'!G155)/100,2))*100</f>
        <v>9583.1501190318959</v>
      </c>
      <c r="E155">
        <f>(3/(1+('CurrentFact-N10,20Unchanged'!B155+'CurrentFact-N10,20Unchanged'!H155)/100)+103/POWER(1+('CurrentFact-N10,20Unchanged'!C155+'CurrentFact-N10,20Unchanged'!H155)/100,2))*100</f>
        <v>9681.2800068736287</v>
      </c>
      <c r="F155">
        <f>Portfolio!B$5*'CurrentFact-N10,20Unchanged'!D155</f>
        <v>52143.895533915893</v>
      </c>
      <c r="G155">
        <f>Portfolio!B$6*'CurrentFact-N10,20Unchanged'!E155</f>
        <v>3696.2945087936532</v>
      </c>
      <c r="H155">
        <f t="shared" si="6"/>
        <v>94427.173304292257</v>
      </c>
      <c r="I155">
        <f t="shared" si="7"/>
        <v>-13.632743140144157</v>
      </c>
    </row>
    <row r="156" spans="1:9">
      <c r="A156" s="1">
        <v>39476</v>
      </c>
      <c r="B156">
        <f>(3/(1+('CurrentFact-N10,20Unchanged'!B156)/100)+103/POWER(1+('CurrentFact-N10,20Unchanged'!C156)/100,2))*100</f>
        <v>9707.5857774288397</v>
      </c>
      <c r="C156">
        <f>(3/(1+('CurrentFact-N10,20Unchanged'!B156+'CurrentFact-N10,20Unchanged'!F156)/100)+103/POWER(1+('CurrentFact-N10,20Unchanged'!C156+'CurrentFact-N10,20Unchanged'!F156)/100,2))*100</f>
        <v>9614.9673582483465</v>
      </c>
      <c r="D156">
        <f>(3/(1+('CurrentFact-N10,20Unchanged'!B156+'CurrentFact-N10,20Unchanged'!G156)/100)+103/POWER(1+('CurrentFact-N10,20Unchanged'!C156+'CurrentFact-N10,20Unchanged'!G156)/100,2))*100</f>
        <v>9591.4492405190867</v>
      </c>
      <c r="E156">
        <f>(3/(1+('CurrentFact-N10,20Unchanged'!B156+'CurrentFact-N10,20Unchanged'!H156)/100)+103/POWER(1+('CurrentFact-N10,20Unchanged'!C156+'CurrentFact-N10,20Unchanged'!H156)/100,2))*100</f>
        <v>9681.4257502605342</v>
      </c>
      <c r="F156">
        <f>Portfolio!B$5*'CurrentFact-N10,20Unchanged'!D156</f>
        <v>52143.895533915893</v>
      </c>
      <c r="G156">
        <f>Portfolio!B$6*'CurrentFact-N10,20Unchanged'!E156</f>
        <v>3696.2945087936532</v>
      </c>
      <c r="H156">
        <f t="shared" si="6"/>
        <v>94435.618169166351</v>
      </c>
      <c r="I156">
        <f t="shared" si="7"/>
        <v>-6.9386443264520494</v>
      </c>
    </row>
    <row r="157" spans="1:9">
      <c r="A157" s="1">
        <v>39477</v>
      </c>
      <c r="B157">
        <f>(3/(1+('CurrentFact-N10,20Unchanged'!B157)/100)+103/POWER(1+('CurrentFact-N10,20Unchanged'!C157)/100,2))*100</f>
        <v>9707.5857774288397</v>
      </c>
      <c r="C157">
        <f>(3/(1+('CurrentFact-N10,20Unchanged'!B157+'CurrentFact-N10,20Unchanged'!F157)/100)+103/POWER(1+('CurrentFact-N10,20Unchanged'!C157+'CurrentFact-N10,20Unchanged'!F157)/100,2))*100</f>
        <v>9614.9673582483465</v>
      </c>
      <c r="D157">
        <f>(3/(1+('CurrentFact-N10,20Unchanged'!B157+'CurrentFact-N10,20Unchanged'!G157)/100)+103/POWER(1+('CurrentFact-N10,20Unchanged'!C157+'CurrentFact-N10,20Unchanged'!G157)/100,2))*100</f>
        <v>9585.3150119342426</v>
      </c>
      <c r="E157">
        <f>(3/(1+('CurrentFact-N10,20Unchanged'!B157+'CurrentFact-N10,20Unchanged'!H157)/100)+103/POWER(1+('CurrentFact-N10,20Unchanged'!C157+'CurrentFact-N10,20Unchanged'!H157)/100,2))*100</f>
        <v>9682.3549437946931</v>
      </c>
      <c r="F157">
        <f>Portfolio!B$5*'CurrentFact-N10,20Unchanged'!D157</f>
        <v>52143.895533915893</v>
      </c>
      <c r="G157">
        <f>Portfolio!B$6*'CurrentFact-N10,20Unchanged'!E157</f>
        <v>3696.2945087936532</v>
      </c>
      <c r="H157">
        <f t="shared" si="6"/>
        <v>94430.413134115661</v>
      </c>
      <c r="I157">
        <f t="shared" si="7"/>
        <v>-12.891387553958339</v>
      </c>
    </row>
    <row r="158" spans="1:9">
      <c r="A158" s="1">
        <v>39478</v>
      </c>
      <c r="B158">
        <f>(3/(1+('CurrentFact-N10,20Unchanged'!B158)/100)+103/POWER(1+('CurrentFact-N10,20Unchanged'!C158)/100,2))*100</f>
        <v>9707.5857774288397</v>
      </c>
      <c r="C158">
        <f>(3/(1+('CurrentFact-N10,20Unchanged'!B158+'CurrentFact-N10,20Unchanged'!F158)/100)+103/POWER(1+('CurrentFact-N10,20Unchanged'!C158+'CurrentFact-N10,20Unchanged'!F158)/100,2))*100</f>
        <v>9614.9673582483465</v>
      </c>
      <c r="D158">
        <f>(3/(1+('CurrentFact-N10,20Unchanged'!B158+'CurrentFact-N10,20Unchanged'!G158)/100)+103/POWER(1+('CurrentFact-N10,20Unchanged'!C158+'CurrentFact-N10,20Unchanged'!G158)/100,2))*100</f>
        <v>9589.328558094252</v>
      </c>
      <c r="E158">
        <f>(3/(1+('CurrentFact-N10,20Unchanged'!B158+'CurrentFact-N10,20Unchanged'!H158)/100)+103/POWER(1+('CurrentFact-N10,20Unchanged'!C158+'CurrentFact-N10,20Unchanged'!H158)/100,2))*100</f>
        <v>9683.739873105038</v>
      </c>
      <c r="F158">
        <f>Portfolio!B$5*'CurrentFact-N10,20Unchanged'!D158</f>
        <v>52143.895533915893</v>
      </c>
      <c r="G158">
        <f>Portfolio!B$6*'CurrentFact-N10,20Unchanged'!E158</f>
        <v>3696.2945087936532</v>
      </c>
      <c r="H158">
        <f t="shared" si="6"/>
        <v>94435.811609586031</v>
      </c>
      <c r="I158">
        <f t="shared" si="7"/>
        <v>10.36736801097868</v>
      </c>
    </row>
    <row r="159" spans="1:9">
      <c r="A159" s="1">
        <v>39479</v>
      </c>
      <c r="B159">
        <f>(3/(1+('CurrentFact-N10,20Unchanged'!B159)/100)+103/POWER(1+('CurrentFact-N10,20Unchanged'!C159)/100,2))*100</f>
        <v>9707.5857774288397</v>
      </c>
      <c r="C159">
        <f>(3/(1+('CurrentFact-N10,20Unchanged'!B159+'CurrentFact-N10,20Unchanged'!F159)/100)+103/POWER(1+('CurrentFact-N10,20Unchanged'!C159+'CurrentFact-N10,20Unchanged'!F159)/100,2))*100</f>
        <v>9614.9673582483465</v>
      </c>
      <c r="D159">
        <f>(3/(1+('CurrentFact-N10,20Unchanged'!B159+'CurrentFact-N10,20Unchanged'!G159)/100)+103/POWER(1+('CurrentFact-N10,20Unchanged'!C159+'CurrentFact-N10,20Unchanged'!G159)/100,2))*100</f>
        <v>9601.7982107596163</v>
      </c>
      <c r="E159">
        <f>(3/(1+('CurrentFact-N10,20Unchanged'!B159+'CurrentFact-N10,20Unchanged'!H159)/100)+103/POWER(1+('CurrentFact-N10,20Unchanged'!C159+'CurrentFact-N10,20Unchanged'!H159)/100,2))*100</f>
        <v>9683.5029573304655</v>
      </c>
      <c r="F159">
        <f>Portfolio!B$5*'CurrentFact-N10,20Unchanged'!D159</f>
        <v>52143.895533915893</v>
      </c>
      <c r="G159">
        <f>Portfolio!B$6*'CurrentFact-N10,20Unchanged'!E159</f>
        <v>3696.2945087936532</v>
      </c>
      <c r="H159">
        <f t="shared" si="6"/>
        <v>94448.044346476818</v>
      </c>
      <c r="I159">
        <f t="shared" si="7"/>
        <v>-2.0910478887963109</v>
      </c>
    </row>
    <row r="160" spans="1:9">
      <c r="A160" s="1">
        <v>39482</v>
      </c>
      <c r="B160">
        <f>(3/(1+('CurrentFact-N10,20Unchanged'!B160)/100)+103/POWER(1+('CurrentFact-N10,20Unchanged'!C160)/100,2))*100</f>
        <v>9707.5857774288397</v>
      </c>
      <c r="C160">
        <f>(3/(1+('CurrentFact-N10,20Unchanged'!B160+'CurrentFact-N10,20Unchanged'!F160)/100)+103/POWER(1+('CurrentFact-N10,20Unchanged'!C160+'CurrentFact-N10,20Unchanged'!F160)/100,2))*100</f>
        <v>9614.9673582483465</v>
      </c>
      <c r="D160">
        <f>(3/(1+('CurrentFact-N10,20Unchanged'!B160+'CurrentFact-N10,20Unchanged'!G160)/100)+103/POWER(1+('CurrentFact-N10,20Unchanged'!C160+'CurrentFact-N10,20Unchanged'!G160)/100,2))*100</f>
        <v>9601.3179423393958</v>
      </c>
      <c r="E160">
        <f>(3/(1+('CurrentFact-N10,20Unchanged'!B160+'CurrentFact-N10,20Unchanged'!H160)/100)+103/POWER(1+('CurrentFact-N10,20Unchanged'!C160+'CurrentFact-N10,20Unchanged'!H160)/100,2))*100</f>
        <v>9683.4118372809407</v>
      </c>
      <c r="F160">
        <f>Portfolio!B$5*'CurrentFact-N10,20Unchanged'!D160</f>
        <v>52143.895533915893</v>
      </c>
      <c r="G160">
        <f>Portfolio!B$6*'CurrentFact-N10,20Unchanged'!E160</f>
        <v>3696.2945087936532</v>
      </c>
      <c r="H160">
        <f t="shared" si="6"/>
        <v>94447.472958007071</v>
      </c>
      <c r="I160">
        <f t="shared" si="7"/>
        <v>3.011265685694525</v>
      </c>
    </row>
    <row r="161" spans="1:9">
      <c r="A161" s="1">
        <v>39483</v>
      </c>
      <c r="B161">
        <f>(3/(1+('CurrentFact-N10,20Unchanged'!B161)/100)+103/POWER(1+('CurrentFact-N10,20Unchanged'!C161)/100,2))*100</f>
        <v>9707.5857774288397</v>
      </c>
      <c r="C161">
        <f>(3/(1+('CurrentFact-N10,20Unchanged'!B161+'CurrentFact-N10,20Unchanged'!F161)/100)+103/POWER(1+('CurrentFact-N10,20Unchanged'!C161+'CurrentFact-N10,20Unchanged'!F161)/100,2))*100</f>
        <v>9614.9673582483465</v>
      </c>
      <c r="D161">
        <f>(3/(1+('CurrentFact-N10,20Unchanged'!B161+'CurrentFact-N10,20Unchanged'!G161)/100)+103/POWER(1+('CurrentFact-N10,20Unchanged'!C161+'CurrentFact-N10,20Unchanged'!G161)/100,2))*100</f>
        <v>9601.9975188898134</v>
      </c>
      <c r="E161">
        <f>(3/(1+('CurrentFact-N10,20Unchanged'!B161+'CurrentFact-N10,20Unchanged'!H161)/100)+103/POWER(1+('CurrentFact-N10,20Unchanged'!C161+'CurrentFact-N10,20Unchanged'!H161)/100,2))*100</f>
        <v>9684.2501876058432</v>
      </c>
      <c r="F161">
        <f>Portfolio!B$5*'CurrentFact-N10,20Unchanged'!D161</f>
        <v>52143.895533915893</v>
      </c>
      <c r="G161">
        <f>Portfolio!B$6*'CurrentFact-N10,20Unchanged'!E161</f>
        <v>3696.2945087936532</v>
      </c>
      <c r="H161">
        <f t="shared" si="6"/>
        <v>94448.990884882398</v>
      </c>
      <c r="I161">
        <f t="shared" si="7"/>
        <v>1.4523035276070004</v>
      </c>
    </row>
    <row r="162" spans="1:9">
      <c r="A162" s="1">
        <v>39484</v>
      </c>
      <c r="B162">
        <f>(3/(1+('CurrentFact-N10,20Unchanged'!B162)/100)+103/POWER(1+('CurrentFact-N10,20Unchanged'!C162)/100,2))*100</f>
        <v>9707.5857774288397</v>
      </c>
      <c r="C162">
        <f>(3/(1+('CurrentFact-N10,20Unchanged'!B162+'CurrentFact-N10,20Unchanged'!F162)/100)+103/POWER(1+('CurrentFact-N10,20Unchanged'!C162+'CurrentFact-N10,20Unchanged'!F162)/100,2))*100</f>
        <v>9614.9673582483465</v>
      </c>
      <c r="D162">
        <f>(3/(1+('CurrentFact-N10,20Unchanged'!B162+'CurrentFact-N10,20Unchanged'!G162)/100)+103/POWER(1+('CurrentFact-N10,20Unchanged'!C162+'CurrentFact-N10,20Unchanged'!G162)/100,2))*100</f>
        <v>9596.7568168842481</v>
      </c>
      <c r="E162">
        <f>(3/(1+('CurrentFact-N10,20Unchanged'!B162+'CurrentFact-N10,20Unchanged'!H162)/100)+103/POWER(1+('CurrentFact-N10,20Unchanged'!C162+'CurrentFact-N10,20Unchanged'!H162)/100,2))*100</f>
        <v>9683.8309978308025</v>
      </c>
      <c r="F162">
        <f>Portfolio!B$5*'CurrentFact-N10,20Unchanged'!D162</f>
        <v>52143.895533915893</v>
      </c>
      <c r="G162">
        <f>Portfolio!B$6*'CurrentFact-N10,20Unchanged'!E162</f>
        <v>3696.2945087936532</v>
      </c>
      <c r="H162">
        <f t="shared" si="6"/>
        <v>94443.330993101787</v>
      </c>
      <c r="I162">
        <f t="shared" si="7"/>
        <v>2.2935491231910419</v>
      </c>
    </row>
    <row r="163" spans="1:9">
      <c r="A163" s="1">
        <v>39485</v>
      </c>
      <c r="B163">
        <f>(3/(1+('CurrentFact-N10,20Unchanged'!B163)/100)+103/POWER(1+('CurrentFact-N10,20Unchanged'!C163)/100,2))*100</f>
        <v>9707.5857774288397</v>
      </c>
      <c r="C163">
        <f>(3/(1+('CurrentFact-N10,20Unchanged'!B163+'CurrentFact-N10,20Unchanged'!F163)/100)+103/POWER(1+('CurrentFact-N10,20Unchanged'!C163+'CurrentFact-N10,20Unchanged'!F163)/100,2))*100</f>
        <v>9614.9673582483465</v>
      </c>
      <c r="D163">
        <f>(3/(1+('CurrentFact-N10,20Unchanged'!B163+'CurrentFact-N10,20Unchanged'!G163)/100)+103/POWER(1+('CurrentFact-N10,20Unchanged'!C163+'CurrentFact-N10,20Unchanged'!G163)/100,2))*100</f>
        <v>9593.2860701476184</v>
      </c>
      <c r="E163">
        <f>(3/(1+('CurrentFact-N10,20Unchanged'!B163+'CurrentFact-N10,20Unchanged'!H163)/100)+103/POWER(1+('CurrentFact-N10,20Unchanged'!C163+'CurrentFact-N10,20Unchanged'!H163)/100,2))*100</f>
        <v>9681.4257502605342</v>
      </c>
      <c r="F163">
        <f>Portfolio!B$5*'CurrentFact-N10,20Unchanged'!D163</f>
        <v>52143.895533915893</v>
      </c>
      <c r="G163">
        <f>Portfolio!B$6*'CurrentFact-N10,20Unchanged'!E163</f>
        <v>3696.2945087936532</v>
      </c>
      <c r="H163">
        <f t="shared" ref="H163:H187" si="8">SUM(B163:G163)</f>
        <v>94437.454998794885</v>
      </c>
      <c r="I163">
        <f t="shared" si="7"/>
        <v>6.5630892727058381</v>
      </c>
    </row>
    <row r="164" spans="1:9">
      <c r="A164" s="1">
        <v>39486</v>
      </c>
      <c r="B164">
        <f>(3/(1+('CurrentFact-N10,20Unchanged'!B164)/100)+103/POWER(1+('CurrentFact-N10,20Unchanged'!C164)/100,2))*100</f>
        <v>9707.5857774288397</v>
      </c>
      <c r="C164">
        <f>(3/(1+('CurrentFact-N10,20Unchanged'!B164+'CurrentFact-N10,20Unchanged'!F164)/100)+103/POWER(1+('CurrentFact-N10,20Unchanged'!C164+'CurrentFact-N10,20Unchanged'!F164)/100,2))*100</f>
        <v>9614.9673582483465</v>
      </c>
      <c r="D164">
        <f>(3/(1+('CurrentFact-N10,20Unchanged'!B164+'CurrentFact-N10,20Unchanged'!G164)/100)+103/POWER(1+('CurrentFact-N10,20Unchanged'!C164+'CurrentFact-N10,20Unchanged'!G164)/100,2))*100</f>
        <v>9597.0295239138231</v>
      </c>
      <c r="E164">
        <f>(3/(1+('CurrentFact-N10,20Unchanged'!B164+'CurrentFact-N10,20Unchanged'!H164)/100)+103/POWER(1+('CurrentFact-N10,20Unchanged'!C164+'CurrentFact-N10,20Unchanged'!H164)/100,2))*100</f>
        <v>9677.7467427287811</v>
      </c>
      <c r="F164">
        <f>Portfolio!B$5*'CurrentFact-N10,20Unchanged'!D164</f>
        <v>52143.895533915893</v>
      </c>
      <c r="G164">
        <f>Portfolio!B$6*'CurrentFact-N10,20Unchanged'!E164</f>
        <v>3696.2945087936532</v>
      </c>
      <c r="H164">
        <f t="shared" si="8"/>
        <v>94437.519445029349</v>
      </c>
      <c r="I164">
        <f t="shared" si="7"/>
        <v>-3.714205866708653</v>
      </c>
    </row>
    <row r="165" spans="1:9">
      <c r="A165" s="1">
        <v>39489</v>
      </c>
      <c r="B165">
        <f>(3/(1+('CurrentFact-N10,20Unchanged'!B165)/100)+103/POWER(1+('CurrentFact-N10,20Unchanged'!C165)/100,2))*100</f>
        <v>9707.5857774288397</v>
      </c>
      <c r="C165">
        <f>(3/(1+('CurrentFact-N10,20Unchanged'!B165+'CurrentFact-N10,20Unchanged'!F165)/100)+103/POWER(1+('CurrentFact-N10,20Unchanged'!C165+'CurrentFact-N10,20Unchanged'!F165)/100,2))*100</f>
        <v>9614.9673582483465</v>
      </c>
      <c r="D165">
        <f>(3/(1+('CurrentFact-N10,20Unchanged'!B165+'CurrentFact-N10,20Unchanged'!G165)/100)+103/POWER(1+('CurrentFact-N10,20Unchanged'!C165+'CurrentFact-N10,20Unchanged'!G165)/100,2))*100</f>
        <v>9591.2353080564626</v>
      </c>
      <c r="E165">
        <f>(3/(1+('CurrentFact-N10,20Unchanged'!B165+'CurrentFact-N10,20Unchanged'!H165)/100)+103/POWER(1+('CurrentFact-N10,20Unchanged'!C165+'CurrentFact-N10,20Unchanged'!H165)/100,2))*100</f>
        <v>9678.3294139205445</v>
      </c>
      <c r="F165">
        <f>Portfolio!B$5*'CurrentFact-N10,20Unchanged'!D165</f>
        <v>52143.895533915893</v>
      </c>
      <c r="G165">
        <f>Portfolio!B$6*'CurrentFact-N10,20Unchanged'!E165</f>
        <v>3696.2945087936532</v>
      </c>
      <c r="H165">
        <f t="shared" si="8"/>
        <v>94432.307900363739</v>
      </c>
      <c r="I165">
        <f t="shared" si="7"/>
        <v>5.1345960714825196</v>
      </c>
    </row>
    <row r="166" spans="1:9">
      <c r="A166" s="1">
        <v>39490</v>
      </c>
      <c r="B166">
        <f>(3/(1+('CurrentFact-N10,20Unchanged'!B166)/100)+103/POWER(1+('CurrentFact-N10,20Unchanged'!C166)/100,2))*100</f>
        <v>9707.5857774288397</v>
      </c>
      <c r="C166">
        <f>(3/(1+('CurrentFact-N10,20Unchanged'!B166+'CurrentFact-N10,20Unchanged'!F166)/100)+103/POWER(1+('CurrentFact-N10,20Unchanged'!C166+'CurrentFact-N10,20Unchanged'!F166)/100,2))*100</f>
        <v>9614.9673582483465</v>
      </c>
      <c r="D166">
        <f>(3/(1+('CurrentFact-N10,20Unchanged'!B166+'CurrentFact-N10,20Unchanged'!G166)/100)+103/POWER(1+('CurrentFact-N10,20Unchanged'!C166+'CurrentFact-N10,20Unchanged'!G166)/100,2))*100</f>
        <v>9603.818716326834</v>
      </c>
      <c r="E166">
        <f>(3/(1+('CurrentFact-N10,20Unchanged'!B166+'CurrentFact-N10,20Unchanged'!H166)/100)+103/POWER(1+('CurrentFact-N10,20Unchanged'!C166+'CurrentFact-N10,20Unchanged'!H166)/100,2))*100</f>
        <v>9679.8591821495302</v>
      </c>
      <c r="F166">
        <f>Portfolio!B$5*'CurrentFact-N10,20Unchanged'!D166</f>
        <v>52143.895533915893</v>
      </c>
      <c r="G166">
        <f>Portfolio!B$6*'CurrentFact-N10,20Unchanged'!E166</f>
        <v>3696.2945087936532</v>
      </c>
      <c r="H166">
        <f t="shared" si="8"/>
        <v>94446.421076863102</v>
      </c>
      <c r="I166">
        <f t="shared" si="7"/>
        <v>10.802907696750481</v>
      </c>
    </row>
    <row r="167" spans="1:9">
      <c r="A167" s="1">
        <v>39491</v>
      </c>
      <c r="B167">
        <f>(3/(1+('CurrentFact-N10,20Unchanged'!B167)/100)+103/POWER(1+('CurrentFact-N10,20Unchanged'!C167)/100,2))*100</f>
        <v>9707.5857774288397</v>
      </c>
      <c r="C167">
        <f>(3/(1+('CurrentFact-N10,20Unchanged'!B167+'CurrentFact-N10,20Unchanged'!F167)/100)+103/POWER(1+('CurrentFact-N10,20Unchanged'!C167+'CurrentFact-N10,20Unchanged'!F167)/100,2))*100</f>
        <v>9614.9673582483465</v>
      </c>
      <c r="D167">
        <f>(3/(1+('CurrentFact-N10,20Unchanged'!B167+'CurrentFact-N10,20Unchanged'!G167)/100)+103/POWER(1+('CurrentFact-N10,20Unchanged'!C167+'CurrentFact-N10,20Unchanged'!G167)/100,2))*100</f>
        <v>9601.2690624786501</v>
      </c>
      <c r="E167">
        <f>(3/(1+('CurrentFact-N10,20Unchanged'!B167+'CurrentFact-N10,20Unchanged'!H167)/100)+103/POWER(1+('CurrentFact-N10,20Unchanged'!C167+'CurrentFact-N10,20Unchanged'!H167)/100,2))*100</f>
        <v>9680.2416810069553</v>
      </c>
      <c r="F167">
        <f>Portfolio!B$5*'CurrentFact-N10,20Unchanged'!D167</f>
        <v>52143.895533915893</v>
      </c>
      <c r="G167">
        <f>Portfolio!B$6*'CurrentFact-N10,20Unchanged'!E167</f>
        <v>3696.2945087936532</v>
      </c>
      <c r="H167">
        <f t="shared" si="8"/>
        <v>94444.25392187234</v>
      </c>
      <c r="I167">
        <f t="shared" si="7"/>
        <v>13.840787756678765</v>
      </c>
    </row>
    <row r="168" spans="1:9">
      <c r="A168" s="1">
        <v>39492</v>
      </c>
      <c r="B168">
        <f>(3/(1+('CurrentFact-N10,20Unchanged'!B168)/100)+103/POWER(1+('CurrentFact-N10,20Unchanged'!C168)/100,2))*100</f>
        <v>9707.5857774288397</v>
      </c>
      <c r="C168">
        <f>(3/(1+('CurrentFact-N10,20Unchanged'!B168+'CurrentFact-N10,20Unchanged'!F168)/100)+103/POWER(1+('CurrentFact-N10,20Unchanged'!C168+'CurrentFact-N10,20Unchanged'!F168)/100,2))*100</f>
        <v>9614.9673582483465</v>
      </c>
      <c r="D168">
        <f>(3/(1+('CurrentFact-N10,20Unchanged'!B168+'CurrentFact-N10,20Unchanged'!G168)/100)+103/POWER(1+('CurrentFact-N10,20Unchanged'!C168+'CurrentFact-N10,20Unchanged'!G168)/100,2))*100</f>
        <v>9599.5328865609517</v>
      </c>
      <c r="E168">
        <f>(3/(1+('CurrentFact-N10,20Unchanged'!B168+'CurrentFact-N10,20Unchanged'!H168)/100)+103/POWER(1+('CurrentFact-N10,20Unchanged'!C168+'CurrentFact-N10,20Unchanged'!H168)/100,2))*100</f>
        <v>9675.9990479662356</v>
      </c>
      <c r="F168">
        <f>Portfolio!B$5*'CurrentFact-N10,20Unchanged'!D168</f>
        <v>52143.895533915893</v>
      </c>
      <c r="G168">
        <f>Portfolio!B$6*'CurrentFact-N10,20Unchanged'!E168</f>
        <v>3696.2945087936532</v>
      </c>
      <c r="H168">
        <f t="shared" si="8"/>
        <v>94438.275112913921</v>
      </c>
      <c r="I168">
        <f t="shared" si="7"/>
        <v>2.4635033278900664</v>
      </c>
    </row>
    <row r="169" spans="1:9">
      <c r="A169" s="1">
        <v>39493</v>
      </c>
      <c r="B169">
        <f>(3/(1+('CurrentFact-N10,20Unchanged'!B169)/100)+103/POWER(1+('CurrentFact-N10,20Unchanged'!C169)/100,2))*100</f>
        <v>9707.5857774288397</v>
      </c>
      <c r="C169">
        <f>(3/(1+('CurrentFact-N10,20Unchanged'!B169+'CurrentFact-N10,20Unchanged'!F169)/100)+103/POWER(1+('CurrentFact-N10,20Unchanged'!C169+'CurrentFact-N10,20Unchanged'!F169)/100,2))*100</f>
        <v>9614.9673582483465</v>
      </c>
      <c r="D169">
        <f>(3/(1+('CurrentFact-N10,20Unchanged'!B169+'CurrentFact-N10,20Unchanged'!G169)/100)+103/POWER(1+('CurrentFact-N10,20Unchanged'!C169+'CurrentFact-N10,20Unchanged'!G169)/100,2))*100</f>
        <v>9596.2856929428399</v>
      </c>
      <c r="E169">
        <f>(3/(1+('CurrentFact-N10,20Unchanged'!B169+'CurrentFact-N10,20Unchanged'!H169)/100)+103/POWER(1+('CurrentFact-N10,20Unchanged'!C169+'CurrentFact-N10,20Unchanged'!H169)/100,2))*100</f>
        <v>9672.5050890457296</v>
      </c>
      <c r="F169">
        <f>Portfolio!B$5*'CurrentFact-N10,20Unchanged'!D169</f>
        <v>52143.895533915893</v>
      </c>
      <c r="G169">
        <f>Portfolio!B$6*'CurrentFact-N10,20Unchanged'!E169</f>
        <v>3696.2945087936532</v>
      </c>
      <c r="H169">
        <f t="shared" si="8"/>
        <v>94431.533960375295</v>
      </c>
      <c r="I169">
        <f t="shared" si="7"/>
        <v>-16.510386101523181</v>
      </c>
    </row>
    <row r="170" spans="1:9">
      <c r="A170" s="1">
        <v>39496</v>
      </c>
      <c r="B170">
        <f>(3/(1+('CurrentFact-N10,20Unchanged'!B170)/100)+103/POWER(1+('CurrentFact-N10,20Unchanged'!C170)/100,2))*100</f>
        <v>9707.5857774288397</v>
      </c>
      <c r="C170">
        <f>(3/(1+('CurrentFact-N10,20Unchanged'!B170+'CurrentFact-N10,20Unchanged'!F170)/100)+103/POWER(1+('CurrentFact-N10,20Unchanged'!C170+'CurrentFact-N10,20Unchanged'!F170)/100,2))*100</f>
        <v>9614.9673582483465</v>
      </c>
      <c r="D170">
        <f>(3/(1+('CurrentFact-N10,20Unchanged'!B170+'CurrentFact-N10,20Unchanged'!G170)/100)+103/POWER(1+('CurrentFact-N10,20Unchanged'!C170+'CurrentFact-N10,20Unchanged'!G170)/100,2))*100</f>
        <v>9589.9931499623963</v>
      </c>
      <c r="E170">
        <f>(3/(1+('CurrentFact-N10,20Unchanged'!B170+'CurrentFact-N10,20Unchanged'!H170)/100)+103/POWER(1+('CurrentFact-N10,20Unchanged'!C170+'CurrentFact-N10,20Unchanged'!H170)/100,2))*100</f>
        <v>9674.0152636029943</v>
      </c>
      <c r="F170">
        <f>Portfolio!B$5*'CurrentFact-N10,20Unchanged'!D170</f>
        <v>52143.895533915893</v>
      </c>
      <c r="G170">
        <f>Portfolio!B$6*'CurrentFact-N10,20Unchanged'!E170</f>
        <v>3696.2945087936532</v>
      </c>
      <c r="H170">
        <f t="shared" si="8"/>
        <v>94426.751591952125</v>
      </c>
      <c r="I170">
        <f t="shared" si="7"/>
        <v>-20.721366054945975</v>
      </c>
    </row>
    <row r="171" spans="1:9">
      <c r="A171" s="1">
        <v>39497</v>
      </c>
      <c r="B171">
        <f>(3/(1+('CurrentFact-N10,20Unchanged'!B171)/100)+103/POWER(1+('CurrentFact-N10,20Unchanged'!C171)/100,2))*100</f>
        <v>9707.5857774288397</v>
      </c>
      <c r="C171">
        <f>(3/(1+('CurrentFact-N10,20Unchanged'!B171+'CurrentFact-N10,20Unchanged'!F171)/100)+103/POWER(1+('CurrentFact-N10,20Unchanged'!C171+'CurrentFact-N10,20Unchanged'!F171)/100,2))*100</f>
        <v>9614.9673582483465</v>
      </c>
      <c r="D171">
        <f>(3/(1+('CurrentFact-N10,20Unchanged'!B171+'CurrentFact-N10,20Unchanged'!G171)/100)+103/POWER(1+('CurrentFact-N10,20Unchanged'!C171+'CurrentFact-N10,20Unchanged'!G171)/100,2))*100</f>
        <v>9597.4343629947107</v>
      </c>
      <c r="E171">
        <f>(3/(1+('CurrentFact-N10,20Unchanged'!B171+'CurrentFact-N10,20Unchanged'!H171)/100)+103/POWER(1+('CurrentFact-N10,20Unchanged'!C171+'CurrentFact-N10,20Unchanged'!H171)/100,2))*100</f>
        <v>9674.3610174584901</v>
      </c>
      <c r="F171">
        <f>Portfolio!B$5*'CurrentFact-N10,20Unchanged'!D171</f>
        <v>52143.895533915893</v>
      </c>
      <c r="G171">
        <f>Portfolio!B$6*'CurrentFact-N10,20Unchanged'!E171</f>
        <v>3696.2945087936532</v>
      </c>
      <c r="H171">
        <f t="shared" si="8"/>
        <v>94434.538558839937</v>
      </c>
      <c r="I171">
        <f t="shared" si="7"/>
        <v>-14.452326042461209</v>
      </c>
    </row>
    <row r="172" spans="1:9">
      <c r="A172" s="1">
        <v>39498</v>
      </c>
      <c r="B172">
        <f>(3/(1+('CurrentFact-N10,20Unchanged'!B172)/100)+103/POWER(1+('CurrentFact-N10,20Unchanged'!C172)/100,2))*100</f>
        <v>9707.5857774288397</v>
      </c>
      <c r="C172">
        <f>(3/(1+('CurrentFact-N10,20Unchanged'!B172+'CurrentFact-N10,20Unchanged'!F172)/100)+103/POWER(1+('CurrentFact-N10,20Unchanged'!C172+'CurrentFact-N10,20Unchanged'!F172)/100,2))*100</f>
        <v>9614.9673582483465</v>
      </c>
      <c r="D172">
        <f>(3/(1+('CurrentFact-N10,20Unchanged'!B172+'CurrentFact-N10,20Unchanged'!G172)/100)+103/POWER(1+('CurrentFact-N10,20Unchanged'!C172+'CurrentFact-N10,20Unchanged'!G172)/100,2))*100</f>
        <v>9588.0556703680959</v>
      </c>
      <c r="E172">
        <f>(3/(1+('CurrentFact-N10,20Unchanged'!B172+'CurrentFact-N10,20Unchanged'!H172)/100)+103/POWER(1+('CurrentFact-N10,20Unchanged'!C172+'CurrentFact-N10,20Unchanged'!H172)/100,2))*100</f>
        <v>9674.7431854966417</v>
      </c>
      <c r="F172">
        <f>Portfolio!B$5*'CurrentFact-N10,20Unchanged'!D172</f>
        <v>52143.895533915893</v>
      </c>
      <c r="G172">
        <f>Portfolio!B$6*'CurrentFact-N10,20Unchanged'!E172</f>
        <v>3696.2945087936532</v>
      </c>
      <c r="H172">
        <f t="shared" si="8"/>
        <v>94425.54203425147</v>
      </c>
      <c r="I172">
        <f t="shared" si="7"/>
        <v>-17.788958850316703</v>
      </c>
    </row>
    <row r="173" spans="1:9">
      <c r="A173" s="1">
        <v>39499</v>
      </c>
      <c r="B173">
        <f>(3/(1+('CurrentFact-N10,20Unchanged'!B173)/100)+103/POWER(1+('CurrentFact-N10,20Unchanged'!C173)/100,2))*100</f>
        <v>9707.5857774288397</v>
      </c>
      <c r="C173">
        <f>(3/(1+('CurrentFact-N10,20Unchanged'!B173+'CurrentFact-N10,20Unchanged'!F173)/100)+103/POWER(1+('CurrentFact-N10,20Unchanged'!C173+'CurrentFact-N10,20Unchanged'!F173)/100,2))*100</f>
        <v>9614.9673582483465</v>
      </c>
      <c r="D173">
        <f>(3/(1+('CurrentFact-N10,20Unchanged'!B173+'CurrentFact-N10,20Unchanged'!G173)/100)+103/POWER(1+('CurrentFact-N10,20Unchanged'!C173+'CurrentFact-N10,20Unchanged'!G173)/100,2))*100</f>
        <v>9601.5192982912249</v>
      </c>
      <c r="E173">
        <f>(3/(1+('CurrentFact-N10,20Unchanged'!B173+'CurrentFact-N10,20Unchanged'!H173)/100)+103/POWER(1+('CurrentFact-N10,20Unchanged'!C173+'CurrentFact-N10,20Unchanged'!H173)/100,2))*100</f>
        <v>9678.9485628995772</v>
      </c>
      <c r="F173">
        <f>Portfolio!B$5*'CurrentFact-N10,20Unchanged'!D173</f>
        <v>52143.895533915893</v>
      </c>
      <c r="G173">
        <f>Portfolio!B$6*'CurrentFact-N10,20Unchanged'!E173</f>
        <v>3696.2945087936532</v>
      </c>
      <c r="H173">
        <f t="shared" si="8"/>
        <v>94443.211039577523</v>
      </c>
      <c r="I173">
        <f t="shared" si="7"/>
        <v>5.7560407826385926</v>
      </c>
    </row>
    <row r="174" spans="1:9">
      <c r="A174" s="1">
        <v>39500</v>
      </c>
      <c r="B174">
        <f>(3/(1+('CurrentFact-N10,20Unchanged'!B174)/100)+103/POWER(1+('CurrentFact-N10,20Unchanged'!C174)/100,2))*100</f>
        <v>9707.5857774288397</v>
      </c>
      <c r="C174">
        <f>(3/(1+('CurrentFact-N10,20Unchanged'!B174+'CurrentFact-N10,20Unchanged'!F174)/100)+103/POWER(1+('CurrentFact-N10,20Unchanged'!C174+'CurrentFact-N10,20Unchanged'!F174)/100,2))*100</f>
        <v>9614.9673582483465</v>
      </c>
      <c r="D174">
        <f>(3/(1+('CurrentFact-N10,20Unchanged'!B174+'CurrentFact-N10,20Unchanged'!G174)/100)+103/POWER(1+('CurrentFact-N10,20Unchanged'!C174+'CurrentFact-N10,20Unchanged'!G174)/100,2))*100</f>
        <v>9602.0150861927086</v>
      </c>
      <c r="E174">
        <f>(3/(1+('CurrentFact-N10,20Unchanged'!B174+'CurrentFact-N10,20Unchanged'!H174)/100)+103/POWER(1+('CurrentFact-N10,20Unchanged'!C174+'CurrentFact-N10,20Unchanged'!H174)/100,2))*100</f>
        <v>9678.4386715537785</v>
      </c>
      <c r="F174">
        <f>Portfolio!B$5*'CurrentFact-N10,20Unchanged'!D174</f>
        <v>52143.895533915893</v>
      </c>
      <c r="G174">
        <f>Portfolio!B$6*'CurrentFact-N10,20Unchanged'!E174</f>
        <v>3696.2945087936532</v>
      </c>
      <c r="H174">
        <f t="shared" si="8"/>
        <v>94443.196936133216</v>
      </c>
      <c r="I174">
        <f t="shared" si="7"/>
        <v>5.6774911038664868</v>
      </c>
    </row>
    <row r="175" spans="1:9">
      <c r="A175" s="1">
        <v>39503</v>
      </c>
      <c r="B175">
        <f>(3/(1+('CurrentFact-N10,20Unchanged'!B175)/100)+103/POWER(1+('CurrentFact-N10,20Unchanged'!C175)/100,2))*100</f>
        <v>9707.5857774288397</v>
      </c>
      <c r="C175">
        <f>(3/(1+('CurrentFact-N10,20Unchanged'!B175+'CurrentFact-N10,20Unchanged'!F175)/100)+103/POWER(1+('CurrentFact-N10,20Unchanged'!C175+'CurrentFact-N10,20Unchanged'!F175)/100,2))*100</f>
        <v>9614.9673582483465</v>
      </c>
      <c r="D175">
        <f>(3/(1+('CurrentFact-N10,20Unchanged'!B175+'CurrentFact-N10,20Unchanged'!G175)/100)+103/POWER(1+('CurrentFact-N10,20Unchanged'!C175+'CurrentFact-N10,20Unchanged'!G175)/100,2))*100</f>
        <v>9604.4913975121763</v>
      </c>
      <c r="E175">
        <f>(3/(1+('CurrentFact-N10,20Unchanged'!B175+'CurrentFact-N10,20Unchanged'!H175)/100)+103/POWER(1+('CurrentFact-N10,20Unchanged'!C175+'CurrentFact-N10,20Unchanged'!H175)/100,2))*100</f>
        <v>9679.5313437128316</v>
      </c>
      <c r="F175">
        <f>Portfolio!B$5*'CurrentFact-N10,20Unchanged'!D175</f>
        <v>52143.895533915893</v>
      </c>
      <c r="G175">
        <f>Portfolio!B$6*'CurrentFact-N10,20Unchanged'!E175</f>
        <v>3696.2945087936532</v>
      </c>
      <c r="H175">
        <f t="shared" si="8"/>
        <v>94446.765919611731</v>
      </c>
      <c r="I175">
        <f t="shared" si="7"/>
        <v>14.458019247991615</v>
      </c>
    </row>
    <row r="176" spans="1:9">
      <c r="A176" s="1">
        <v>39504</v>
      </c>
      <c r="B176">
        <f>(3/(1+('CurrentFact-N10,20Unchanged'!B176)/100)+103/POWER(1+('CurrentFact-N10,20Unchanged'!C176)/100,2))*100</f>
        <v>9707.5857774288397</v>
      </c>
      <c r="C176">
        <f>(3/(1+('CurrentFact-N10,20Unchanged'!B176+'CurrentFact-N10,20Unchanged'!F176)/100)+103/POWER(1+('CurrentFact-N10,20Unchanged'!C176+'CurrentFact-N10,20Unchanged'!F176)/100,2))*100</f>
        <v>9614.9673582483465</v>
      </c>
      <c r="D176">
        <f>(3/(1+('CurrentFact-N10,20Unchanged'!B176+'CurrentFact-N10,20Unchanged'!G176)/100)+103/POWER(1+('CurrentFact-N10,20Unchanged'!C176+'CurrentFact-N10,20Unchanged'!G176)/100,2))*100</f>
        <v>9582.6105389378336</v>
      </c>
      <c r="E176">
        <f>(3/(1+('CurrentFact-N10,20Unchanged'!B176+'CurrentFact-N10,20Unchanged'!H176)/100)+103/POWER(1+('CurrentFact-N10,20Unchanged'!C176+'CurrentFact-N10,20Unchanged'!H176)/100,2))*100</f>
        <v>9680.1506074427598</v>
      </c>
      <c r="F176">
        <f>Portfolio!B$5*'CurrentFact-N10,20Unchanged'!D176</f>
        <v>52143.895533915893</v>
      </c>
      <c r="G176">
        <f>Portfolio!B$6*'CurrentFact-N10,20Unchanged'!E176</f>
        <v>3696.2945087936532</v>
      </c>
      <c r="H176">
        <f t="shared" si="8"/>
        <v>94425.504324767331</v>
      </c>
      <c r="I176">
        <f t="shared" si="7"/>
        <v>-20.916752095770789</v>
      </c>
    </row>
    <row r="177" spans="1:9">
      <c r="A177" s="1">
        <v>39505</v>
      </c>
      <c r="B177">
        <f>(3/(1+('CurrentFact-N10,20Unchanged'!B177)/100)+103/POWER(1+('CurrentFact-N10,20Unchanged'!C177)/100,2))*100</f>
        <v>9707.5857774288397</v>
      </c>
      <c r="C177">
        <f>(3/(1+('CurrentFact-N10,20Unchanged'!B177+'CurrentFact-N10,20Unchanged'!F177)/100)+103/POWER(1+('CurrentFact-N10,20Unchanged'!C177+'CurrentFact-N10,20Unchanged'!F177)/100,2))*100</f>
        <v>9614.9673582483465</v>
      </c>
      <c r="D177">
        <f>(3/(1+('CurrentFact-N10,20Unchanged'!B177+'CurrentFact-N10,20Unchanged'!G177)/100)+103/POWER(1+('CurrentFact-N10,20Unchanged'!C177+'CurrentFact-N10,20Unchanged'!G177)/100,2))*100</f>
        <v>9615.4896586602463</v>
      </c>
      <c r="E177">
        <f>(3/(1+('CurrentFact-N10,20Unchanged'!B177+'CurrentFact-N10,20Unchanged'!H177)/100)+103/POWER(1+('CurrentFact-N10,20Unchanged'!C177+'CurrentFact-N10,20Unchanged'!H177)/100,2))*100</f>
        <v>9680.8063629512781</v>
      </c>
      <c r="F177">
        <f>Portfolio!B$5*'CurrentFact-N10,20Unchanged'!D177</f>
        <v>52143.895533915893</v>
      </c>
      <c r="G177">
        <f>Portfolio!B$6*'CurrentFact-N10,20Unchanged'!E177</f>
        <v>3696.2945087936532</v>
      </c>
      <c r="H177">
        <f t="shared" si="8"/>
        <v>94459.039199998253</v>
      </c>
      <c r="I177">
        <f t="shared" si="7"/>
        <v>14.785278125913464</v>
      </c>
    </row>
    <row r="178" spans="1:9">
      <c r="A178" s="1">
        <v>39506</v>
      </c>
      <c r="B178">
        <f>(3/(1+('CurrentFact-N10,20Unchanged'!B178)/100)+103/POWER(1+('CurrentFact-N10,20Unchanged'!C178)/100,2))*100</f>
        <v>9707.5857774288397</v>
      </c>
      <c r="C178">
        <f>(3/(1+('CurrentFact-N10,20Unchanged'!B178+'CurrentFact-N10,20Unchanged'!F178)/100)+103/POWER(1+('CurrentFact-N10,20Unchanged'!C178+'CurrentFact-N10,20Unchanged'!F178)/100,2))*100</f>
        <v>9614.9673582483465</v>
      </c>
      <c r="D178">
        <f>(3/(1+('CurrentFact-N10,20Unchanged'!B178+'CurrentFact-N10,20Unchanged'!G178)/100)+103/POWER(1+('CurrentFact-N10,20Unchanged'!C178+'CurrentFact-N10,20Unchanged'!G178)/100,2))*100</f>
        <v>9597.8964400579171</v>
      </c>
      <c r="E178">
        <f>(3/(1+('CurrentFact-N10,20Unchanged'!B178+'CurrentFact-N10,20Unchanged'!H178)/100)+103/POWER(1+('CurrentFact-N10,20Unchanged'!C178+'CurrentFact-N10,20Unchanged'!H178)/100,2))*100</f>
        <v>9680.788146177485</v>
      </c>
      <c r="F178">
        <f>Portfolio!B$5*'CurrentFact-N10,20Unchanged'!D178</f>
        <v>52143.895533915893</v>
      </c>
      <c r="G178">
        <f>Portfolio!B$6*'CurrentFact-N10,20Unchanged'!E178</f>
        <v>3696.2945087936532</v>
      </c>
      <c r="H178">
        <f t="shared" si="8"/>
        <v>94441.427764622145</v>
      </c>
      <c r="I178">
        <f t="shared" si="7"/>
        <v>3.152651708223857</v>
      </c>
    </row>
    <row r="179" spans="1:9">
      <c r="A179" s="1">
        <v>39507</v>
      </c>
      <c r="B179">
        <f>(3/(1+('CurrentFact-N10,20Unchanged'!B179)/100)+103/POWER(1+('CurrentFact-N10,20Unchanged'!C179)/100,2))*100</f>
        <v>9707.5857774288397</v>
      </c>
      <c r="C179">
        <f>(3/(1+('CurrentFact-N10,20Unchanged'!B179+'CurrentFact-N10,20Unchanged'!F179)/100)+103/POWER(1+('CurrentFact-N10,20Unchanged'!C179+'CurrentFact-N10,20Unchanged'!F179)/100,2))*100</f>
        <v>9614.9673582483465</v>
      </c>
      <c r="D179">
        <f>(3/(1+('CurrentFact-N10,20Unchanged'!B179+'CurrentFact-N10,20Unchanged'!G179)/100)+103/POWER(1+('CurrentFact-N10,20Unchanged'!C179+'CurrentFact-N10,20Unchanged'!G179)/100,2))*100</f>
        <v>9591.6438731449743</v>
      </c>
      <c r="E179">
        <f>(3/(1+('CurrentFact-N10,20Unchanged'!B179+'CurrentFact-N10,20Unchanged'!H179)/100)+103/POWER(1+('CurrentFact-N10,20Unchanged'!C179+'CurrentFact-N10,20Unchanged'!H179)/100,2))*100</f>
        <v>9682.9562582542785</v>
      </c>
      <c r="F179">
        <f>Portfolio!B$5*'CurrentFact-N10,20Unchanged'!D179</f>
        <v>52143.895533915893</v>
      </c>
      <c r="G179">
        <f>Portfolio!B$6*'CurrentFact-N10,20Unchanged'!E179</f>
        <v>3696.2945087936532</v>
      </c>
      <c r="H179">
        <f t="shared" si="8"/>
        <v>94437.343309785996</v>
      </c>
      <c r="I179">
        <f t="shared" si="7"/>
        <v>5.8093494107015431</v>
      </c>
    </row>
    <row r="180" spans="1:9">
      <c r="A180" s="1">
        <v>39510</v>
      </c>
      <c r="B180">
        <f>(3/(1+('CurrentFact-N10,20Unchanged'!B180)/100)+103/POWER(1+('CurrentFact-N10,20Unchanged'!C180)/100,2))*100</f>
        <v>9707.5857774288397</v>
      </c>
      <c r="C180">
        <f>(3/(1+('CurrentFact-N10,20Unchanged'!B180+'CurrentFact-N10,20Unchanged'!F180)/100)+103/POWER(1+('CurrentFact-N10,20Unchanged'!C180+'CurrentFact-N10,20Unchanged'!F180)/100,2))*100</f>
        <v>9614.9673582483465</v>
      </c>
      <c r="D180">
        <f>(3/(1+('CurrentFact-N10,20Unchanged'!B180+'CurrentFact-N10,20Unchanged'!G180)/100)+103/POWER(1+('CurrentFact-N10,20Unchanged'!C180+'CurrentFact-N10,20Unchanged'!G180)/100,2))*100</f>
        <v>9602.6036785744218</v>
      </c>
      <c r="E180">
        <f>(3/(1+('CurrentFact-N10,20Unchanged'!B180+'CurrentFact-N10,20Unchanged'!H180)/100)+103/POWER(1+('CurrentFact-N10,20Unchanged'!C180+'CurrentFact-N10,20Unchanged'!H180)/100,2))*100</f>
        <v>9682.9562582542785</v>
      </c>
      <c r="F180">
        <f>Portfolio!B$5*'CurrentFact-N10,20Unchanged'!D180</f>
        <v>52143.895533915893</v>
      </c>
      <c r="G180">
        <f>Portfolio!B$6*'CurrentFact-N10,20Unchanged'!E180</f>
        <v>3696.2945087936532</v>
      </c>
      <c r="H180">
        <f t="shared" si="8"/>
        <v>94448.303115215444</v>
      </c>
      <c r="I180">
        <f t="shared" si="7"/>
        <v>21.551523263318813</v>
      </c>
    </row>
    <row r="181" spans="1:9">
      <c r="A181" s="1">
        <v>39511</v>
      </c>
      <c r="B181">
        <f>(3/(1+('CurrentFact-N10,20Unchanged'!B181)/100)+103/POWER(1+('CurrentFact-N10,20Unchanged'!C181)/100,2))*100</f>
        <v>9707.5857774288397</v>
      </c>
      <c r="C181">
        <f>(3/(1+('CurrentFact-N10,20Unchanged'!B181+'CurrentFact-N10,20Unchanged'!F181)/100)+103/POWER(1+('CurrentFact-N10,20Unchanged'!C181+'CurrentFact-N10,20Unchanged'!F181)/100,2))*100</f>
        <v>9614.9673582483465</v>
      </c>
      <c r="D181">
        <f>(3/(1+('CurrentFact-N10,20Unchanged'!B181+'CurrentFact-N10,20Unchanged'!G181)/100)+103/POWER(1+('CurrentFact-N10,20Unchanged'!C181+'CurrentFact-N10,20Unchanged'!G181)/100,2))*100</f>
        <v>9606.8862764337082</v>
      </c>
      <c r="E181">
        <f>(3/(1+('CurrentFact-N10,20Unchanged'!B181+'CurrentFact-N10,20Unchanged'!H181)/100)+103/POWER(1+('CurrentFact-N10,20Unchanged'!C181+'CurrentFact-N10,20Unchanged'!H181)/100,2))*100</f>
        <v>9683.4300615345237</v>
      </c>
      <c r="F181">
        <f>Portfolio!B$5*'CurrentFact-N10,20Unchanged'!D181</f>
        <v>52143.895533915893</v>
      </c>
      <c r="G181">
        <f>Portfolio!B$6*'CurrentFact-N10,20Unchanged'!E181</f>
        <v>3696.2945087936532</v>
      </c>
      <c r="H181">
        <f t="shared" si="8"/>
        <v>94453.059516354959</v>
      </c>
      <c r="I181">
        <f t="shared" si="7"/>
        <v>18.520957515022019</v>
      </c>
    </row>
    <row r="182" spans="1:9">
      <c r="A182" s="1">
        <v>39512</v>
      </c>
      <c r="B182">
        <f>(3/(1+('CurrentFact-N10,20Unchanged'!B182)/100)+103/POWER(1+('CurrentFact-N10,20Unchanged'!C182)/100,2))*100</f>
        <v>9707.5857774288397</v>
      </c>
      <c r="C182">
        <f>(3/(1+('CurrentFact-N10,20Unchanged'!B182+'CurrentFact-N10,20Unchanged'!F182)/100)+103/POWER(1+('CurrentFact-N10,20Unchanged'!C182+'CurrentFact-N10,20Unchanged'!F182)/100,2))*100</f>
        <v>9614.9673582483465</v>
      </c>
      <c r="D182">
        <f>(3/(1+('CurrentFact-N10,20Unchanged'!B182+'CurrentFact-N10,20Unchanged'!G182)/100)+103/POWER(1+('CurrentFact-N10,20Unchanged'!C182+'CurrentFact-N10,20Unchanged'!G182)/100,2))*100</f>
        <v>9600.5729960441913</v>
      </c>
      <c r="E182">
        <f>(3/(1+('CurrentFact-N10,20Unchanged'!B182+'CurrentFact-N10,20Unchanged'!H182)/100)+103/POWER(1+('CurrentFact-N10,20Unchanged'!C182+'CurrentFact-N10,20Unchanged'!H182)/100,2))*100</f>
        <v>9683.8492232794542</v>
      </c>
      <c r="F182">
        <f>Portfolio!B$5*'CurrentFact-N10,20Unchanged'!D182</f>
        <v>52143.895533915893</v>
      </c>
      <c r="G182">
        <f>Portfolio!B$6*'CurrentFact-N10,20Unchanged'!E182</f>
        <v>3696.2945087936532</v>
      </c>
      <c r="H182">
        <f t="shared" si="8"/>
        <v>94447.165397710371</v>
      </c>
      <c r="I182">
        <f t="shared" si="7"/>
        <v>21.623363458900712</v>
      </c>
    </row>
    <row r="183" spans="1:9">
      <c r="A183" s="1">
        <v>39513</v>
      </c>
      <c r="B183">
        <f>(3/(1+('CurrentFact-N10,20Unchanged'!B183)/100)+103/POWER(1+('CurrentFact-N10,20Unchanged'!C183)/100,2))*100</f>
        <v>9707.5857774288397</v>
      </c>
      <c r="C183">
        <f>(3/(1+('CurrentFact-N10,20Unchanged'!B183+'CurrentFact-N10,20Unchanged'!F183)/100)+103/POWER(1+('CurrentFact-N10,20Unchanged'!C183+'CurrentFact-N10,20Unchanged'!F183)/100,2))*100</f>
        <v>9614.9673582483465</v>
      </c>
      <c r="D183">
        <f>(3/(1+('CurrentFact-N10,20Unchanged'!B183+'CurrentFact-N10,20Unchanged'!G183)/100)+103/POWER(1+('CurrentFact-N10,20Unchanged'!C183+'CurrentFact-N10,20Unchanged'!G183)/100,2))*100</f>
        <v>9597.5780764416104</v>
      </c>
      <c r="E183">
        <f>(3/(1+('CurrentFact-N10,20Unchanged'!B183+'CurrentFact-N10,20Unchanged'!H183)/100)+103/POWER(1+('CurrentFact-N10,20Unchanged'!C183+'CurrentFact-N10,20Unchanged'!H183)/100,2))*100</f>
        <v>9682.755812656851</v>
      </c>
      <c r="F183">
        <f>Portfolio!B$5*'CurrentFact-N10,20Unchanged'!D183</f>
        <v>52143.895533915893</v>
      </c>
      <c r="G183">
        <f>Portfolio!B$6*'CurrentFact-N10,20Unchanged'!E183</f>
        <v>3696.2945087936532</v>
      </c>
      <c r="H183">
        <f t="shared" si="8"/>
        <v>94443.077067485196</v>
      </c>
      <c r="I183">
        <f t="shared" si="7"/>
        <v>-0.13397209232789464</v>
      </c>
    </row>
    <row r="184" spans="1:9">
      <c r="A184" s="1">
        <v>39514</v>
      </c>
      <c r="B184">
        <f>(3/(1+('CurrentFact-N10,20Unchanged'!B184)/100)+103/POWER(1+('CurrentFact-N10,20Unchanged'!C184)/100,2))*100</f>
        <v>9707.5857774288397</v>
      </c>
      <c r="C184">
        <f>(3/(1+('CurrentFact-N10,20Unchanged'!B184+'CurrentFact-N10,20Unchanged'!F184)/100)+103/POWER(1+('CurrentFact-N10,20Unchanged'!C184+'CurrentFact-N10,20Unchanged'!F184)/100,2))*100</f>
        <v>9614.9673582483465</v>
      </c>
      <c r="D184">
        <f>(3/(1+('CurrentFact-N10,20Unchanged'!B184+'CurrentFact-N10,20Unchanged'!G184)/100)+103/POWER(1+('CurrentFact-N10,20Unchanged'!C184+'CurrentFact-N10,20Unchanged'!G184)/100,2))*100</f>
        <v>9605.658322180685</v>
      </c>
      <c r="E184">
        <f>(3/(1+('CurrentFact-N10,20Unchanged'!B184+'CurrentFact-N10,20Unchanged'!H184)/100)+103/POWER(1+('CurrentFact-N10,20Unchanged'!C184+'CurrentFact-N10,20Unchanged'!H184)/100,2))*100</f>
        <v>9683.0838165525784</v>
      </c>
      <c r="F184">
        <f>Portfolio!B$5*'CurrentFact-N10,20Unchanged'!D184</f>
        <v>52143.895533915893</v>
      </c>
      <c r="G184">
        <f>Portfolio!B$6*'CurrentFact-N10,20Unchanged'!E184</f>
        <v>3696.2945087936532</v>
      </c>
      <c r="H184">
        <f t="shared" si="8"/>
        <v>94451.485317119994</v>
      </c>
      <c r="I184">
        <f t="shared" si="7"/>
        <v>8.2883809867780656</v>
      </c>
    </row>
    <row r="185" spans="1:9">
      <c r="A185" s="1">
        <v>39517</v>
      </c>
      <c r="B185">
        <f>(3/(1+('CurrentFact-N10,20Unchanged'!B185)/100)+103/POWER(1+('CurrentFact-N10,20Unchanged'!C185)/100,2))*100</f>
        <v>9707.5857774288397</v>
      </c>
      <c r="C185">
        <f>(3/(1+('CurrentFact-N10,20Unchanged'!B185+'CurrentFact-N10,20Unchanged'!F185)/100)+103/POWER(1+('CurrentFact-N10,20Unchanged'!C185+'CurrentFact-N10,20Unchanged'!F185)/100,2))*100</f>
        <v>9614.9673582483465</v>
      </c>
      <c r="D185">
        <f>(3/(1+('CurrentFact-N10,20Unchanged'!B185+'CurrentFact-N10,20Unchanged'!G185)/100)+103/POWER(1+('CurrentFact-N10,20Unchanged'!C185+'CurrentFact-N10,20Unchanged'!G185)/100,2))*100</f>
        <v>9592.7074768612092</v>
      </c>
      <c r="E185">
        <f>(3/(1+('CurrentFact-N10,20Unchanged'!B185+'CurrentFact-N10,20Unchanged'!H185)/100)+103/POWER(1+('CurrentFact-N10,20Unchanged'!C185+'CurrentFact-N10,20Unchanged'!H185)/100,2))*100</f>
        <v>9684.8516803853108</v>
      </c>
      <c r="F185">
        <f>Portfolio!B$5*'CurrentFact-N10,20Unchanged'!D185</f>
        <v>52143.895533915893</v>
      </c>
      <c r="G185">
        <f>Portfolio!B$6*'CurrentFact-N10,20Unchanged'!E185</f>
        <v>3696.2945087936532</v>
      </c>
      <c r="H185">
        <f t="shared" si="8"/>
        <v>94440.302335633256</v>
      </c>
      <c r="I185">
        <f t="shared" si="7"/>
        <v>-6.4635839784750715</v>
      </c>
    </row>
    <row r="186" spans="1:9">
      <c r="A186" s="1">
        <v>39518</v>
      </c>
      <c r="B186">
        <f>(3/(1+('CurrentFact-N10,20Unchanged'!B186)/100)+103/POWER(1+('CurrentFact-N10,20Unchanged'!C186)/100,2))*100</f>
        <v>9707.5857774288397</v>
      </c>
      <c r="C186">
        <f>(3/(1+('CurrentFact-N10,20Unchanged'!B186+'CurrentFact-N10,20Unchanged'!F186)/100)+103/POWER(1+('CurrentFact-N10,20Unchanged'!C186+'CurrentFact-N10,20Unchanged'!F186)/100,2))*100</f>
        <v>9614.9673582483465</v>
      </c>
      <c r="D186">
        <f>(3/(1+('CurrentFact-N10,20Unchanged'!B186+'CurrentFact-N10,20Unchanged'!G186)/100)+103/POWER(1+('CurrentFact-N10,20Unchanged'!C186+'CurrentFact-N10,20Unchanged'!G186)/100,2))*100</f>
        <v>9593.1008892286372</v>
      </c>
      <c r="E186">
        <f>(3/(1+('CurrentFact-N10,20Unchanged'!B186+'CurrentFact-N10,20Unchanged'!H186)/100)+103/POWER(1+('CurrentFact-N10,20Unchanged'!C186+'CurrentFact-N10,20Unchanged'!H186)/100,2))*100</f>
        <v>9684.9063638793396</v>
      </c>
      <c r="F186">
        <f>Portfolio!B$5*'CurrentFact-N10,20Unchanged'!D186</f>
        <v>52143.895533915893</v>
      </c>
      <c r="G186">
        <f>Portfolio!B$6*'CurrentFact-N10,20Unchanged'!E186</f>
        <v>3696.2945087936532</v>
      </c>
      <c r="H186">
        <f t="shared" si="8"/>
        <v>94440.7504314947</v>
      </c>
      <c r="I186">
        <f t="shared" si="7"/>
        <v>15.246106727368897</v>
      </c>
    </row>
    <row r="187" spans="1:9">
      <c r="A187" s="1">
        <v>39519</v>
      </c>
      <c r="B187">
        <f>(3/(1+('CurrentFact-N10,20Unchanged'!B187)/100)+103/POWER(1+('CurrentFact-N10,20Unchanged'!C187)/100,2))*100</f>
        <v>9707.5857774288397</v>
      </c>
      <c r="C187">
        <f>(3/(1+('CurrentFact-N10,20Unchanged'!B187+'CurrentFact-N10,20Unchanged'!F187)/100)+103/POWER(1+('CurrentFact-N10,20Unchanged'!C187+'CurrentFact-N10,20Unchanged'!F187)/100,2))*100</f>
        <v>9614.9673582483465</v>
      </c>
      <c r="D187">
        <f>(3/(1+('CurrentFact-N10,20Unchanged'!B187+'CurrentFact-N10,20Unchanged'!G187)/100)+103/POWER(1+('CurrentFact-N10,20Unchanged'!C187+'CurrentFact-N10,20Unchanged'!G187)/100,2))*100</f>
        <v>9598.7985397152024</v>
      </c>
      <c r="E187">
        <f>(3/(1+('CurrentFact-N10,20Unchanged'!B187+'CurrentFact-N10,20Unchanged'!H187)/100)+103/POWER(1+('CurrentFact-N10,20Unchanged'!C187+'CurrentFact-N10,20Unchanged'!H187)/100,2))*100</f>
        <v>9685.6902195630955</v>
      </c>
      <c r="F187">
        <f>Portfolio!B$5*'CurrentFact-N10,20Unchanged'!D187</f>
        <v>52143.895533915893</v>
      </c>
      <c r="G187">
        <f>Portfolio!B$6*'CurrentFact-N10,20Unchanged'!E187</f>
        <v>3696.2945087936532</v>
      </c>
      <c r="H187">
        <f t="shared" si="8"/>
        <v>94447.231937665027</v>
      </c>
      <c r="I187">
        <f t="shared" si="7"/>
        <v>-11.80726233322639</v>
      </c>
    </row>
    <row r="188" spans="1:9">
      <c r="A188" s="1">
        <v>39520</v>
      </c>
      <c r="B188">
        <f>(3/(1+('CurrentFact-N10,20Unchanged'!B188)/100)+103/POWER(1+('CurrentFact-N10,20Unchanged'!C188)/100,2))*100</f>
        <v>9707.5857774288397</v>
      </c>
      <c r="C188">
        <f>(3/(1+('CurrentFact-N10,20Unchanged'!B188+'CurrentFact-N10,20Unchanged'!F188)/100)+103/POWER(1+('CurrentFact-N10,20Unchanged'!C188+'CurrentFact-N10,20Unchanged'!F188)/100,2))*100</f>
        <v>9614.9673582483465</v>
      </c>
      <c r="D188">
        <f>(3/(1+('CurrentFact-N10,20Unchanged'!B188+'CurrentFact-N10,20Unchanged'!G188)/100)+103/POWER(1+('CurrentFact-N10,20Unchanged'!C188+'CurrentFact-N10,20Unchanged'!G188)/100,2))*100</f>
        <v>9590.1817309480939</v>
      </c>
      <c r="E188">
        <f>(3/(1+('CurrentFact-N10,20Unchanged'!B188+'CurrentFact-N10,20Unchanged'!H188)/100)+103/POWER(1+('CurrentFact-N10,20Unchanged'!C188+'CurrentFact-N10,20Unchanged'!H188)/100,2))*100</f>
        <v>9589.2580894582061</v>
      </c>
      <c r="F188">
        <f>Portfolio!B$5*'CurrentFact-N10,20Unchanged'!D188</f>
        <v>52143.895533915893</v>
      </c>
      <c r="G188">
        <f>Portfolio!B$6*'CurrentFact-N10,20Unchanged'!E188</f>
        <v>3696.2945087936532</v>
      </c>
      <c r="H188">
        <f t="shared" ref="H188:H251" si="9">SUM(B188:G188)</f>
        <v>94342.182998793025</v>
      </c>
      <c r="I188">
        <f t="shared" ref="I188:I251" si="10">H188-H178</f>
        <v>-99.244765829120297</v>
      </c>
    </row>
    <row r="189" spans="1:9">
      <c r="A189" s="1">
        <v>39521</v>
      </c>
      <c r="B189">
        <f>(3/(1+('CurrentFact-N10,20Unchanged'!B189)/100)+103/POWER(1+('CurrentFact-N10,20Unchanged'!C189)/100,2))*100</f>
        <v>9707.5857774288397</v>
      </c>
      <c r="C189">
        <f>(3/(1+('CurrentFact-N10,20Unchanged'!B189+'CurrentFact-N10,20Unchanged'!F189)/100)+103/POWER(1+('CurrentFact-N10,20Unchanged'!C189+'CurrentFact-N10,20Unchanged'!F189)/100,2))*100</f>
        <v>9614.9673582483465</v>
      </c>
      <c r="D189">
        <f>(3/(1+('CurrentFact-N10,20Unchanged'!B189+'CurrentFact-N10,20Unchanged'!G189)/100)+103/POWER(1+('CurrentFact-N10,20Unchanged'!C189+'CurrentFact-N10,20Unchanged'!G189)/100,2))*100</f>
        <v>9607.9960403492314</v>
      </c>
      <c r="E189">
        <f>(3/(1+('CurrentFact-N10,20Unchanged'!B189+'CurrentFact-N10,20Unchanged'!H189)/100)+103/POWER(1+('CurrentFact-N10,20Unchanged'!C189+'CurrentFact-N10,20Unchanged'!H189)/100,2))*100</f>
        <v>9597.6060240066054</v>
      </c>
      <c r="F189">
        <f>Portfolio!B$5*'CurrentFact-N10,20Unchanged'!D189</f>
        <v>52143.895533915893</v>
      </c>
      <c r="G189">
        <f>Portfolio!B$6*'CurrentFact-N10,20Unchanged'!E189</f>
        <v>3696.2945087936532</v>
      </c>
      <c r="H189">
        <f t="shared" si="9"/>
        <v>94368.345242742565</v>
      </c>
      <c r="I189">
        <f t="shared" si="10"/>
        <v>-68.998067043430638</v>
      </c>
    </row>
    <row r="190" spans="1:9">
      <c r="A190" s="1">
        <v>39524</v>
      </c>
      <c r="B190">
        <f>(3/(1+('CurrentFact-N10,20Unchanged'!B190)/100)+103/POWER(1+('CurrentFact-N10,20Unchanged'!C190)/100,2))*100</f>
        <v>9707.5857774288397</v>
      </c>
      <c r="C190">
        <f>(3/(1+('CurrentFact-N10,20Unchanged'!B190+'CurrentFact-N10,20Unchanged'!F190)/100)+103/POWER(1+('CurrentFact-N10,20Unchanged'!C190+'CurrentFact-N10,20Unchanged'!F190)/100,2))*100</f>
        <v>9614.9673582483465</v>
      </c>
      <c r="D190">
        <f>(3/(1+('CurrentFact-N10,20Unchanged'!B190+'CurrentFact-N10,20Unchanged'!G190)/100)+103/POWER(1+('CurrentFact-N10,20Unchanged'!C190+'CurrentFact-N10,20Unchanged'!G190)/100,2))*100</f>
        <v>9621.6701289741068</v>
      </c>
      <c r="E190">
        <f>(3/(1+('CurrentFact-N10,20Unchanged'!B190+'CurrentFact-N10,20Unchanged'!H190)/100)+103/POWER(1+('CurrentFact-N10,20Unchanged'!C190+'CurrentFact-N10,20Unchanged'!H190)/100,2))*100</f>
        <v>9597.8361216698795</v>
      </c>
      <c r="F190">
        <f>Portfolio!B$5*'CurrentFact-N10,20Unchanged'!D190</f>
        <v>52143.895533915893</v>
      </c>
      <c r="G190">
        <f>Portfolio!B$6*'CurrentFact-N10,20Unchanged'!E190</f>
        <v>3696.2945087936532</v>
      </c>
      <c r="H190">
        <f t="shared" si="9"/>
        <v>94382.249429030722</v>
      </c>
      <c r="I190">
        <f t="shared" si="10"/>
        <v>-66.0536861847213</v>
      </c>
    </row>
    <row r="191" spans="1:9">
      <c r="A191" s="1">
        <v>39525</v>
      </c>
      <c r="B191">
        <f>(3/(1+('CurrentFact-N10,20Unchanged'!B191)/100)+103/POWER(1+('CurrentFact-N10,20Unchanged'!C191)/100,2))*100</f>
        <v>9707.5857774288397</v>
      </c>
      <c r="C191">
        <f>(3/(1+('CurrentFact-N10,20Unchanged'!B191+'CurrentFact-N10,20Unchanged'!F191)/100)+103/POWER(1+('CurrentFact-N10,20Unchanged'!C191+'CurrentFact-N10,20Unchanged'!F191)/100,2))*100</f>
        <v>9614.9673582483465</v>
      </c>
      <c r="D191">
        <f>(3/(1+('CurrentFact-N10,20Unchanged'!B191+'CurrentFact-N10,20Unchanged'!G191)/100)+103/POWER(1+('CurrentFact-N10,20Unchanged'!C191+'CurrentFact-N10,20Unchanged'!G191)/100,2))*100</f>
        <v>9586.9481289768737</v>
      </c>
      <c r="E191">
        <f>(3/(1+('CurrentFact-N10,20Unchanged'!B191+'CurrentFact-N10,20Unchanged'!H191)/100)+103/POWER(1+('CurrentFact-N10,20Unchanged'!C191+'CurrentFact-N10,20Unchanged'!H191)/100,2))*100</f>
        <v>9579.5719024089885</v>
      </c>
      <c r="F191">
        <f>Portfolio!B$5*'CurrentFact-N10,20Unchanged'!D191</f>
        <v>52143.895533915893</v>
      </c>
      <c r="G191">
        <f>Portfolio!B$6*'CurrentFact-N10,20Unchanged'!E191</f>
        <v>3696.2945087936532</v>
      </c>
      <c r="H191">
        <f t="shared" si="9"/>
        <v>94329.263209772587</v>
      </c>
      <c r="I191">
        <f t="shared" si="10"/>
        <v>-123.79630658237147</v>
      </c>
    </row>
    <row r="192" spans="1:9">
      <c r="A192" s="1">
        <v>39526</v>
      </c>
      <c r="B192">
        <f>(3/(1+('CurrentFact-N10,20Unchanged'!B192)/100)+103/POWER(1+('CurrentFact-N10,20Unchanged'!C192)/100,2))*100</f>
        <v>9707.5857774288397</v>
      </c>
      <c r="C192">
        <f>(3/(1+('CurrentFact-N10,20Unchanged'!B192+'CurrentFact-N10,20Unchanged'!F192)/100)+103/POWER(1+('CurrentFact-N10,20Unchanged'!C192+'CurrentFact-N10,20Unchanged'!F192)/100,2))*100</f>
        <v>9614.9673582483465</v>
      </c>
      <c r="D192">
        <f>(3/(1+('CurrentFact-N10,20Unchanged'!B192+'CurrentFact-N10,20Unchanged'!G192)/100)+103/POWER(1+('CurrentFact-N10,20Unchanged'!C192+'CurrentFact-N10,20Unchanged'!G192)/100,2))*100</f>
        <v>9594.7333797965803</v>
      </c>
      <c r="E192">
        <f>(3/(1+('CurrentFact-N10,20Unchanged'!B192+'CurrentFact-N10,20Unchanged'!H192)/100)+103/POWER(1+('CurrentFact-N10,20Unchanged'!C192+'CurrentFact-N10,20Unchanged'!H192)/100,2))*100</f>
        <v>9580.9411701051649</v>
      </c>
      <c r="F192">
        <f>Portfolio!B$5*'CurrentFact-N10,20Unchanged'!D192</f>
        <v>52143.895533915893</v>
      </c>
      <c r="G192">
        <f>Portfolio!B$6*'CurrentFact-N10,20Unchanged'!E192</f>
        <v>3696.2945087936532</v>
      </c>
      <c r="H192">
        <f t="shared" si="9"/>
        <v>94338.417728288478</v>
      </c>
      <c r="I192">
        <f t="shared" si="10"/>
        <v>-108.74766942189308</v>
      </c>
    </row>
    <row r="193" spans="1:9">
      <c r="A193" s="1">
        <v>39527</v>
      </c>
      <c r="B193">
        <f>(3/(1+('CurrentFact-N10,20Unchanged'!B193)/100)+103/POWER(1+('CurrentFact-N10,20Unchanged'!C193)/100,2))*100</f>
        <v>9707.5857774288397</v>
      </c>
      <c r="C193">
        <f>(3/(1+('CurrentFact-N10,20Unchanged'!B193+'CurrentFact-N10,20Unchanged'!F193)/100)+103/POWER(1+('CurrentFact-N10,20Unchanged'!C193+'CurrentFact-N10,20Unchanged'!F193)/100,2))*100</f>
        <v>9614.9673582483465</v>
      </c>
      <c r="D193">
        <f>(3/(1+('CurrentFact-N10,20Unchanged'!B193+'CurrentFact-N10,20Unchanged'!G193)/100)+103/POWER(1+('CurrentFact-N10,20Unchanged'!C193+'CurrentFact-N10,20Unchanged'!G193)/100,2))*100</f>
        <v>9599.05985436841</v>
      </c>
      <c r="E193">
        <f>(3/(1+('CurrentFact-N10,20Unchanged'!B193+'CurrentFact-N10,20Unchanged'!H193)/100)+103/POWER(1+('CurrentFact-N10,20Unchanged'!C193+'CurrentFact-N10,20Unchanged'!H193)/100,2))*100</f>
        <v>9566.9783808950415</v>
      </c>
      <c r="F193">
        <f>Portfolio!B$5*'CurrentFact-N10,20Unchanged'!D193</f>
        <v>52143.895533915893</v>
      </c>
      <c r="G193">
        <f>Portfolio!B$6*'CurrentFact-N10,20Unchanged'!E193</f>
        <v>3696.2945087936532</v>
      </c>
      <c r="H193">
        <f t="shared" si="9"/>
        <v>94328.781413650184</v>
      </c>
      <c r="I193">
        <f t="shared" si="10"/>
        <v>-114.29565383501176</v>
      </c>
    </row>
    <row r="194" spans="1:9">
      <c r="A194" s="1">
        <v>39528</v>
      </c>
      <c r="B194">
        <f>(3/(1+('CurrentFact-N10,20Unchanged'!B194)/100)+103/POWER(1+('CurrentFact-N10,20Unchanged'!C194)/100,2))*100</f>
        <v>9707.5857774288397</v>
      </c>
      <c r="C194">
        <f>(3/(1+('CurrentFact-N10,20Unchanged'!B194+'CurrentFact-N10,20Unchanged'!F194)/100)+103/POWER(1+('CurrentFact-N10,20Unchanged'!C194+'CurrentFact-N10,20Unchanged'!F194)/100,2))*100</f>
        <v>9614.9673582483465</v>
      </c>
      <c r="D194">
        <f>(3/(1+('CurrentFact-N10,20Unchanged'!B194+'CurrentFact-N10,20Unchanged'!G194)/100)+103/POWER(1+('CurrentFact-N10,20Unchanged'!C194+'CurrentFact-N10,20Unchanged'!G194)/100,2))*100</f>
        <v>9590.4055045641071</v>
      </c>
      <c r="E194">
        <f>(3/(1+('CurrentFact-N10,20Unchanged'!B194+'CurrentFact-N10,20Unchanged'!H194)/100)+103/POWER(1+('CurrentFact-N10,20Unchanged'!C194+'CurrentFact-N10,20Unchanged'!H194)/100,2))*100</f>
        <v>9595.1066468859244</v>
      </c>
      <c r="F194">
        <f>Portfolio!B$5*'CurrentFact-N10,20Unchanged'!D194</f>
        <v>52143.895533915893</v>
      </c>
      <c r="G194">
        <f>Portfolio!B$6*'CurrentFact-N10,20Unchanged'!E194</f>
        <v>3696.2945087936532</v>
      </c>
      <c r="H194">
        <f t="shared" si="9"/>
        <v>94348.255329836771</v>
      </c>
      <c r="I194">
        <f t="shared" si="10"/>
        <v>-103.22998728322273</v>
      </c>
    </row>
    <row r="195" spans="1:9">
      <c r="A195" s="1">
        <v>39531</v>
      </c>
      <c r="B195">
        <f>(3/(1+('CurrentFact-N10,20Unchanged'!B195)/100)+103/POWER(1+('CurrentFact-N10,20Unchanged'!C195)/100,2))*100</f>
        <v>9707.5857774288397</v>
      </c>
      <c r="C195">
        <f>(3/(1+('CurrentFact-N10,20Unchanged'!B195+'CurrentFact-N10,20Unchanged'!F195)/100)+103/POWER(1+('CurrentFact-N10,20Unchanged'!C195+'CurrentFact-N10,20Unchanged'!F195)/100,2))*100</f>
        <v>9614.9673582483465</v>
      </c>
      <c r="D195">
        <f>(3/(1+('CurrentFact-N10,20Unchanged'!B195+'CurrentFact-N10,20Unchanged'!G195)/100)+103/POWER(1+('CurrentFact-N10,20Unchanged'!C195+'CurrentFact-N10,20Unchanged'!G195)/100,2))*100</f>
        <v>9593.5253254041691</v>
      </c>
      <c r="E195">
        <f>(3/(1+('CurrentFact-N10,20Unchanged'!B195+'CurrentFact-N10,20Unchanged'!H195)/100)+103/POWER(1+('CurrentFact-N10,20Unchanged'!C195+'CurrentFact-N10,20Unchanged'!H195)/100,2))*100</f>
        <v>9597.8818766610057</v>
      </c>
      <c r="F195">
        <f>Portfolio!B$5*'CurrentFact-N10,20Unchanged'!D195</f>
        <v>52143.895533915893</v>
      </c>
      <c r="G195">
        <f>Portfolio!B$6*'CurrentFact-N10,20Unchanged'!E195</f>
        <v>3696.2945087936532</v>
      </c>
      <c r="H195">
        <f t="shared" si="9"/>
        <v>94354.150380451902</v>
      </c>
      <c r="I195">
        <f t="shared" si="10"/>
        <v>-86.151955181354424</v>
      </c>
    </row>
    <row r="196" spans="1:9">
      <c r="A196" s="1">
        <v>39532</v>
      </c>
      <c r="B196">
        <f>(3/(1+('CurrentFact-N10,20Unchanged'!B196)/100)+103/POWER(1+('CurrentFact-N10,20Unchanged'!C196)/100,2))*100</f>
        <v>9707.5857774288397</v>
      </c>
      <c r="C196">
        <f>(3/(1+('CurrentFact-N10,20Unchanged'!B196+'CurrentFact-N10,20Unchanged'!F196)/100)+103/POWER(1+('CurrentFact-N10,20Unchanged'!C196+'CurrentFact-N10,20Unchanged'!F196)/100,2))*100</f>
        <v>9614.9673582483465</v>
      </c>
      <c r="D196">
        <f>(3/(1+('CurrentFact-N10,20Unchanged'!B196+'CurrentFact-N10,20Unchanged'!G196)/100)+103/POWER(1+('CurrentFact-N10,20Unchanged'!C196+'CurrentFact-N10,20Unchanged'!G196)/100,2))*100</f>
        <v>9607.3842468240164</v>
      </c>
      <c r="E196">
        <f>(3/(1+('CurrentFact-N10,20Unchanged'!B196+'CurrentFact-N10,20Unchanged'!H196)/100)+103/POWER(1+('CurrentFact-N10,20Unchanged'!C196+'CurrentFact-N10,20Unchanged'!H196)/100,2))*100</f>
        <v>9593.512268056651</v>
      </c>
      <c r="F196">
        <f>Portfolio!B$5*'CurrentFact-N10,20Unchanged'!D196</f>
        <v>52143.895533915893</v>
      </c>
      <c r="G196">
        <f>Portfolio!B$6*'CurrentFact-N10,20Unchanged'!E196</f>
        <v>3696.2945087936532</v>
      </c>
      <c r="H196">
        <f t="shared" si="9"/>
        <v>94363.639693267396</v>
      </c>
      <c r="I196">
        <f t="shared" si="10"/>
        <v>-77.110738227303955</v>
      </c>
    </row>
    <row r="197" spans="1:9">
      <c r="A197" s="1">
        <v>39533</v>
      </c>
      <c r="B197">
        <f>(3/(1+('CurrentFact-N10,20Unchanged'!B197)/100)+103/POWER(1+('CurrentFact-N10,20Unchanged'!C197)/100,2))*100</f>
        <v>9707.5857774288397</v>
      </c>
      <c r="C197">
        <f>(3/(1+('CurrentFact-N10,20Unchanged'!B197+'CurrentFact-N10,20Unchanged'!F197)/100)+103/POWER(1+('CurrentFact-N10,20Unchanged'!C197+'CurrentFact-N10,20Unchanged'!F197)/100,2))*100</f>
        <v>9614.9673582483465</v>
      </c>
      <c r="D197">
        <f>(3/(1+('CurrentFact-N10,20Unchanged'!B197+'CurrentFact-N10,20Unchanged'!G197)/100)+103/POWER(1+('CurrentFact-N10,20Unchanged'!C197+'CurrentFact-N10,20Unchanged'!G197)/100,2))*100</f>
        <v>9594.2827526639267</v>
      </c>
      <c r="E197">
        <f>(3/(1+('CurrentFact-N10,20Unchanged'!B197+'CurrentFact-N10,20Unchanged'!H197)/100)+103/POWER(1+('CurrentFact-N10,20Unchanged'!C197+'CurrentFact-N10,20Unchanged'!H197)/100,2))*100</f>
        <v>9605.8240799477662</v>
      </c>
      <c r="F197">
        <f>Portfolio!B$5*'CurrentFact-N10,20Unchanged'!D197</f>
        <v>52143.895533915893</v>
      </c>
      <c r="G197">
        <f>Portfolio!B$6*'CurrentFact-N10,20Unchanged'!E197</f>
        <v>3696.2945087936532</v>
      </c>
      <c r="H197">
        <f t="shared" si="9"/>
        <v>94362.850010998431</v>
      </c>
      <c r="I197">
        <f t="shared" si="10"/>
        <v>-84.381926666595973</v>
      </c>
    </row>
    <row r="198" spans="1:9">
      <c r="A198" s="1">
        <v>39534</v>
      </c>
      <c r="B198">
        <f>(3/(1+('CurrentFact-N10,20Unchanged'!B198)/100)+103/POWER(1+('CurrentFact-N10,20Unchanged'!C198)/100,2))*100</f>
        <v>9707.5857774288397</v>
      </c>
      <c r="C198">
        <f>(3/(1+('CurrentFact-N10,20Unchanged'!B198+'CurrentFact-N10,20Unchanged'!F198)/100)+103/POWER(1+('CurrentFact-N10,20Unchanged'!C198+'CurrentFact-N10,20Unchanged'!F198)/100,2))*100</f>
        <v>9614.9673582483465</v>
      </c>
      <c r="D198">
        <f>(3/(1+('CurrentFact-N10,20Unchanged'!B198+'CurrentFact-N10,20Unchanged'!G198)/100)+103/POWER(1+('CurrentFact-N10,20Unchanged'!C198+'CurrentFact-N10,20Unchanged'!G198)/100,2))*100</f>
        <v>9605.4231600387629</v>
      </c>
      <c r="E198">
        <f>(3/(1+('CurrentFact-N10,20Unchanged'!B198+'CurrentFact-N10,20Unchanged'!H198)/100)+103/POWER(1+('CurrentFact-N10,20Unchanged'!C198+'CurrentFact-N10,20Unchanged'!H198)/100,2))*100</f>
        <v>9574.2395176244208</v>
      </c>
      <c r="F198">
        <f>Portfolio!B$5*'CurrentFact-N10,20Unchanged'!D198</f>
        <v>52143.895533915893</v>
      </c>
      <c r="G198">
        <f>Portfolio!B$6*'CurrentFact-N10,20Unchanged'!E198</f>
        <v>3696.2945087936532</v>
      </c>
      <c r="H198">
        <f t="shared" si="9"/>
        <v>94342.405856049911</v>
      </c>
      <c r="I198">
        <f t="shared" si="10"/>
        <v>0.22285725688561797</v>
      </c>
    </row>
    <row r="199" spans="1:9">
      <c r="A199" s="1">
        <v>39535</v>
      </c>
      <c r="B199">
        <f>(3/(1+('CurrentFact-N10,20Unchanged'!B199)/100)+103/POWER(1+('CurrentFact-N10,20Unchanged'!C199)/100,2))*100</f>
        <v>9707.5857774288397</v>
      </c>
      <c r="C199">
        <f>(3/(1+('CurrentFact-N10,20Unchanged'!B199+'CurrentFact-N10,20Unchanged'!F199)/100)+103/POWER(1+('CurrentFact-N10,20Unchanged'!C199+'CurrentFact-N10,20Unchanged'!F199)/100,2))*100</f>
        <v>9614.9673582483465</v>
      </c>
      <c r="D199">
        <f>(3/(1+('CurrentFact-N10,20Unchanged'!B199+'CurrentFact-N10,20Unchanged'!G199)/100)+103/POWER(1+('CurrentFact-N10,20Unchanged'!C199+'CurrentFact-N10,20Unchanged'!G199)/100,2))*100</f>
        <v>9600.4432844289277</v>
      </c>
      <c r="E199">
        <f>(3/(1+('CurrentFact-N10,20Unchanged'!B199+'CurrentFact-N10,20Unchanged'!H199)/100)+103/POWER(1+('CurrentFact-N10,20Unchanged'!C199+'CurrentFact-N10,20Unchanged'!H199)/100,2))*100</f>
        <v>9604.3289785749912</v>
      </c>
      <c r="F199">
        <f>Portfolio!B$5*'CurrentFact-N10,20Unchanged'!D199</f>
        <v>52143.895533915893</v>
      </c>
      <c r="G199">
        <f>Portfolio!B$6*'CurrentFact-N10,20Unchanged'!E199</f>
        <v>3696.2945087936532</v>
      </c>
      <c r="H199">
        <f t="shared" si="9"/>
        <v>94367.515441390657</v>
      </c>
      <c r="I199">
        <f t="shared" si="10"/>
        <v>-0.8298013519088272</v>
      </c>
    </row>
    <row r="200" spans="1:9">
      <c r="A200" s="1">
        <v>39538</v>
      </c>
      <c r="B200">
        <f>(3/(1+('CurrentFact-N10,20Unchanged'!B200)/100)+103/POWER(1+('CurrentFact-N10,20Unchanged'!C200)/100,2))*100</f>
        <v>9707.5857774288397</v>
      </c>
      <c r="C200">
        <f>(3/(1+('CurrentFact-N10,20Unchanged'!B200+'CurrentFact-N10,20Unchanged'!F200)/100)+103/POWER(1+('CurrentFact-N10,20Unchanged'!C200+'CurrentFact-N10,20Unchanged'!F200)/100,2))*100</f>
        <v>9614.9673582483465</v>
      </c>
      <c r="D200">
        <f>(3/(1+('CurrentFact-N10,20Unchanged'!B200+'CurrentFact-N10,20Unchanged'!G200)/100)+103/POWER(1+('CurrentFact-N10,20Unchanged'!C200+'CurrentFact-N10,20Unchanged'!G200)/100,2))*100</f>
        <v>9591.3128444723789</v>
      </c>
      <c r="E200">
        <f>(3/(1+('CurrentFact-N10,20Unchanged'!B200+'CurrentFact-N10,20Unchanged'!H200)/100)+103/POWER(1+('CurrentFact-N10,20Unchanged'!C200+'CurrentFact-N10,20Unchanged'!H200)/100,2))*100</f>
        <v>9584.0197129333137</v>
      </c>
      <c r="F200">
        <f>Portfolio!B$5*'CurrentFact-N10,20Unchanged'!D200</f>
        <v>52143.895533915893</v>
      </c>
      <c r="G200">
        <f>Portfolio!B$6*'CurrentFact-N10,20Unchanged'!E200</f>
        <v>3696.2945087936532</v>
      </c>
      <c r="H200">
        <f t="shared" si="9"/>
        <v>94338.07573579243</v>
      </c>
      <c r="I200">
        <f t="shared" si="10"/>
        <v>-44.173693238291889</v>
      </c>
    </row>
    <row r="201" spans="1:9">
      <c r="A201" s="1">
        <v>39539</v>
      </c>
      <c r="B201">
        <f>(3/(1+('CurrentFact-N10,20Unchanged'!B201)/100)+103/POWER(1+('CurrentFact-N10,20Unchanged'!C201)/100,2))*100</f>
        <v>9707.5857774288397</v>
      </c>
      <c r="C201">
        <f>(3/(1+('CurrentFact-N10,20Unchanged'!B201+'CurrentFact-N10,20Unchanged'!F201)/100)+103/POWER(1+('CurrentFact-N10,20Unchanged'!C201+'CurrentFact-N10,20Unchanged'!F201)/100,2))*100</f>
        <v>9614.9673582483465</v>
      </c>
      <c r="D201">
        <f>(3/(1+('CurrentFact-N10,20Unchanged'!B201+'CurrentFact-N10,20Unchanged'!G201)/100)+103/POWER(1+('CurrentFact-N10,20Unchanged'!C201+'CurrentFact-N10,20Unchanged'!G201)/100,2))*100</f>
        <v>9601.9283451545634</v>
      </c>
      <c r="E201">
        <f>(3/(1+('CurrentFact-N10,20Unchanged'!B201+'CurrentFact-N10,20Unchanged'!H201)/100)+103/POWER(1+('CurrentFact-N10,20Unchanged'!C201+'CurrentFact-N10,20Unchanged'!H201)/100,2))*100</f>
        <v>9596.2826920747411</v>
      </c>
      <c r="F201">
        <f>Portfolio!B$5*'CurrentFact-N10,20Unchanged'!D201</f>
        <v>52143.895533915893</v>
      </c>
      <c r="G201">
        <f>Portfolio!B$6*'CurrentFact-N10,20Unchanged'!E201</f>
        <v>3696.2945087936532</v>
      </c>
      <c r="H201">
        <f t="shared" si="9"/>
        <v>94360.954215616046</v>
      </c>
      <c r="I201">
        <f t="shared" si="10"/>
        <v>31.691005843458697</v>
      </c>
    </row>
    <row r="202" spans="1:9">
      <c r="A202" s="1">
        <v>39540</v>
      </c>
      <c r="B202">
        <f>(3/(1+('CurrentFact-N10,20Unchanged'!B202)/100)+103/POWER(1+('CurrentFact-N10,20Unchanged'!C202)/100,2))*100</f>
        <v>9707.5857774288397</v>
      </c>
      <c r="C202">
        <f>(3/(1+('CurrentFact-N10,20Unchanged'!B202+'CurrentFact-N10,20Unchanged'!F202)/100)+103/POWER(1+('CurrentFact-N10,20Unchanged'!C202+'CurrentFact-N10,20Unchanged'!F202)/100,2))*100</f>
        <v>9614.9673582483465</v>
      </c>
      <c r="D202">
        <f>(3/(1+('CurrentFact-N10,20Unchanged'!B202+'CurrentFact-N10,20Unchanged'!G202)/100)+103/POWER(1+('CurrentFact-N10,20Unchanged'!C202+'CurrentFact-N10,20Unchanged'!G202)/100,2))*100</f>
        <v>9594.2588089714263</v>
      </c>
      <c r="E202">
        <f>(3/(1+('CurrentFact-N10,20Unchanged'!B202+'CurrentFact-N10,20Unchanged'!H202)/100)+103/POWER(1+('CurrentFact-N10,20Unchanged'!C202+'CurrentFact-N10,20Unchanged'!H202)/100,2))*100</f>
        <v>9566.297220702867</v>
      </c>
      <c r="F202">
        <f>Portfolio!B$5*'CurrentFact-N10,20Unchanged'!D202</f>
        <v>52143.895533915893</v>
      </c>
      <c r="G202">
        <f>Portfolio!B$6*'CurrentFact-N10,20Unchanged'!E202</f>
        <v>3696.2945087936532</v>
      </c>
      <c r="H202">
        <f t="shared" si="9"/>
        <v>94323.299208061027</v>
      </c>
      <c r="I202">
        <f t="shared" si="10"/>
        <v>-15.118520227450063</v>
      </c>
    </row>
    <row r="203" spans="1:9">
      <c r="A203" s="1">
        <v>39541</v>
      </c>
      <c r="B203">
        <f>(3/(1+('CurrentFact-N10,20Unchanged'!B203)/100)+103/POWER(1+('CurrentFact-N10,20Unchanged'!C203)/100,2))*100</f>
        <v>9707.5857774288397</v>
      </c>
      <c r="C203">
        <f>(3/(1+('CurrentFact-N10,20Unchanged'!B203+'CurrentFact-N10,20Unchanged'!F203)/100)+103/POWER(1+('CurrentFact-N10,20Unchanged'!C203+'CurrentFact-N10,20Unchanged'!F203)/100,2))*100</f>
        <v>9614.9673582483465</v>
      </c>
      <c r="D203">
        <f>(3/(1+('CurrentFact-N10,20Unchanged'!B203+'CurrentFact-N10,20Unchanged'!G203)/100)+103/POWER(1+('CurrentFact-N10,20Unchanged'!C203+'CurrentFact-N10,20Unchanged'!G203)/100,2))*100</f>
        <v>9617.3713605007088</v>
      </c>
      <c r="E203">
        <f>(3/(1+('CurrentFact-N10,20Unchanged'!B203+'CurrentFact-N10,20Unchanged'!H203)/100)+103/POWER(1+('CurrentFact-N10,20Unchanged'!C203+'CurrentFact-N10,20Unchanged'!H203)/100,2))*100</f>
        <v>9583.3199530551301</v>
      </c>
      <c r="F203">
        <f>Portfolio!B$5*'CurrentFact-N10,20Unchanged'!D203</f>
        <v>52143.895533915893</v>
      </c>
      <c r="G203">
        <f>Portfolio!B$6*'CurrentFact-N10,20Unchanged'!E203</f>
        <v>3696.2945087936532</v>
      </c>
      <c r="H203">
        <f t="shared" si="9"/>
        <v>94363.434491942578</v>
      </c>
      <c r="I203">
        <f t="shared" si="10"/>
        <v>34.653078292394639</v>
      </c>
    </row>
    <row r="204" spans="1:9">
      <c r="A204" s="1">
        <v>39542</v>
      </c>
      <c r="B204">
        <f>(3/(1+('CurrentFact-N10,20Unchanged'!B204)/100)+103/POWER(1+('CurrentFact-N10,20Unchanged'!C204)/100,2))*100</f>
        <v>9707.5857774288397</v>
      </c>
      <c r="C204">
        <f>(3/(1+('CurrentFact-N10,20Unchanged'!B204+'CurrentFact-N10,20Unchanged'!F204)/100)+103/POWER(1+('CurrentFact-N10,20Unchanged'!C204+'CurrentFact-N10,20Unchanged'!F204)/100,2))*100</f>
        <v>9614.9673582483465</v>
      </c>
      <c r="D204">
        <f>(3/(1+('CurrentFact-N10,20Unchanged'!B204+'CurrentFact-N10,20Unchanged'!G204)/100)+103/POWER(1+('CurrentFact-N10,20Unchanged'!C204+'CurrentFact-N10,20Unchanged'!G204)/100,2))*100</f>
        <v>9585.304414453818</v>
      </c>
      <c r="E204">
        <f>(3/(1+('CurrentFact-N10,20Unchanged'!B204+'CurrentFact-N10,20Unchanged'!H204)/100)+103/POWER(1+('CurrentFact-N10,20Unchanged'!C204+'CurrentFact-N10,20Unchanged'!H204)/100,2))*100</f>
        <v>9589.3712012098749</v>
      </c>
      <c r="F204">
        <f>Portfolio!B$5*'CurrentFact-N10,20Unchanged'!D204</f>
        <v>52143.895533915893</v>
      </c>
      <c r="G204">
        <f>Portfolio!B$6*'CurrentFact-N10,20Unchanged'!E204</f>
        <v>3696.2945087936532</v>
      </c>
      <c r="H204">
        <f t="shared" si="9"/>
        <v>94337.418794050434</v>
      </c>
      <c r="I204">
        <f t="shared" si="10"/>
        <v>-10.836535786336754</v>
      </c>
    </row>
    <row r="205" spans="1:9">
      <c r="A205" s="1">
        <v>39545</v>
      </c>
      <c r="B205">
        <f>(3/(1+('CurrentFact-N10,20Unchanged'!B205)/100)+103/POWER(1+('CurrentFact-N10,20Unchanged'!C205)/100,2))*100</f>
        <v>9707.5857774288397</v>
      </c>
      <c r="C205">
        <f>(3/(1+('CurrentFact-N10,20Unchanged'!B205+'CurrentFact-N10,20Unchanged'!F205)/100)+103/POWER(1+('CurrentFact-N10,20Unchanged'!C205+'CurrentFact-N10,20Unchanged'!F205)/100,2))*100</f>
        <v>9614.9673582483465</v>
      </c>
      <c r="D205">
        <f>(3/(1+('CurrentFact-N10,20Unchanged'!B205+'CurrentFact-N10,20Unchanged'!G205)/100)+103/POWER(1+('CurrentFact-N10,20Unchanged'!C205+'CurrentFact-N10,20Unchanged'!G205)/100,2))*100</f>
        <v>9599.6951239519767</v>
      </c>
      <c r="E205">
        <f>(3/(1+('CurrentFact-N10,20Unchanged'!B205+'CurrentFact-N10,20Unchanged'!H205)/100)+103/POWER(1+('CurrentFact-N10,20Unchanged'!C205+'CurrentFact-N10,20Unchanged'!H205)/100,2))*100</f>
        <v>9594.5449984779607</v>
      </c>
      <c r="F205">
        <f>Portfolio!B$5*'CurrentFact-N10,20Unchanged'!D205</f>
        <v>52143.895533915893</v>
      </c>
      <c r="G205">
        <f>Portfolio!B$6*'CurrentFact-N10,20Unchanged'!E205</f>
        <v>3696.2945087936532</v>
      </c>
      <c r="H205">
        <f t="shared" si="9"/>
        <v>94356.983300816675</v>
      </c>
      <c r="I205">
        <f t="shared" si="10"/>
        <v>2.8329203647735994</v>
      </c>
    </row>
    <row r="206" spans="1:9">
      <c r="A206" s="1">
        <v>39546</v>
      </c>
      <c r="B206">
        <f>(3/(1+('CurrentFact-N10,20Unchanged'!B206)/100)+103/POWER(1+('CurrentFact-N10,20Unchanged'!C206)/100,2))*100</f>
        <v>9707.5857774288397</v>
      </c>
      <c r="C206">
        <f>(3/(1+('CurrentFact-N10,20Unchanged'!B206+'CurrentFact-N10,20Unchanged'!F206)/100)+103/POWER(1+('CurrentFact-N10,20Unchanged'!C206+'CurrentFact-N10,20Unchanged'!F206)/100,2))*100</f>
        <v>9614.9673582483465</v>
      </c>
      <c r="D206">
        <f>(3/(1+('CurrentFact-N10,20Unchanged'!B206+'CurrentFact-N10,20Unchanged'!G206)/100)+103/POWER(1+('CurrentFact-N10,20Unchanged'!C206+'CurrentFact-N10,20Unchanged'!G206)/100,2))*100</f>
        <v>9603.2688926107458</v>
      </c>
      <c r="E206">
        <f>(3/(1+('CurrentFact-N10,20Unchanged'!B206+'CurrentFact-N10,20Unchanged'!H206)/100)+103/POWER(1+('CurrentFact-N10,20Unchanged'!C206+'CurrentFact-N10,20Unchanged'!H206)/100,2))*100</f>
        <v>9574.3661645693555</v>
      </c>
      <c r="F206">
        <f>Portfolio!B$5*'CurrentFact-N10,20Unchanged'!D206</f>
        <v>52143.895533915893</v>
      </c>
      <c r="G206">
        <f>Portfolio!B$6*'CurrentFact-N10,20Unchanged'!E206</f>
        <v>3696.2945087936532</v>
      </c>
      <c r="H206">
        <f t="shared" si="9"/>
        <v>94340.378235566837</v>
      </c>
      <c r="I206">
        <f t="shared" si="10"/>
        <v>-23.261457700558822</v>
      </c>
    </row>
    <row r="207" spans="1:9">
      <c r="A207" s="1">
        <v>39547</v>
      </c>
      <c r="B207">
        <f>(3/(1+('CurrentFact-N10,20Unchanged'!B207)/100)+103/POWER(1+('CurrentFact-N10,20Unchanged'!C207)/100,2))*100</f>
        <v>9707.5857774288397</v>
      </c>
      <c r="C207">
        <f>(3/(1+('CurrentFact-N10,20Unchanged'!B207+'CurrentFact-N10,20Unchanged'!F207)/100)+103/POWER(1+('CurrentFact-N10,20Unchanged'!C207+'CurrentFact-N10,20Unchanged'!F207)/100,2))*100</f>
        <v>9614.9673582483465</v>
      </c>
      <c r="D207">
        <f>(3/(1+('CurrentFact-N10,20Unchanged'!B207+'CurrentFact-N10,20Unchanged'!G207)/100)+103/POWER(1+('CurrentFact-N10,20Unchanged'!C207+'CurrentFact-N10,20Unchanged'!G207)/100,2))*100</f>
        <v>9602.8867591751532</v>
      </c>
      <c r="E207">
        <f>(3/(1+('CurrentFact-N10,20Unchanged'!B207+'CurrentFact-N10,20Unchanged'!H207)/100)+103/POWER(1+('CurrentFact-N10,20Unchanged'!C207+'CurrentFact-N10,20Unchanged'!H207)/100,2))*100</f>
        <v>9580.8463983977254</v>
      </c>
      <c r="F207">
        <f>Portfolio!B$5*'CurrentFact-N10,20Unchanged'!D207</f>
        <v>52143.895533915893</v>
      </c>
      <c r="G207">
        <f>Portfolio!B$6*'CurrentFact-N10,20Unchanged'!E207</f>
        <v>3696.2945087936532</v>
      </c>
      <c r="H207">
        <f t="shared" si="9"/>
        <v>94346.476335959611</v>
      </c>
      <c r="I207">
        <f t="shared" si="10"/>
        <v>-16.373675038819783</v>
      </c>
    </row>
    <row r="208" spans="1:9">
      <c r="A208" s="1">
        <v>39548</v>
      </c>
      <c r="B208">
        <f>(3/(1+('CurrentFact-N10,20Unchanged'!B208)/100)+103/POWER(1+('CurrentFact-N10,20Unchanged'!C208)/100,2))*100</f>
        <v>9707.5857774288397</v>
      </c>
      <c r="C208">
        <f>(3/(1+('CurrentFact-N10,20Unchanged'!B208+'CurrentFact-N10,20Unchanged'!F208)/100)+103/POWER(1+('CurrentFact-N10,20Unchanged'!C208+'CurrentFact-N10,20Unchanged'!F208)/100,2))*100</f>
        <v>9614.9673582483465</v>
      </c>
      <c r="D208">
        <f>(3/(1+('CurrentFact-N10,20Unchanged'!B208+'CurrentFact-N10,20Unchanged'!G208)/100)+103/POWER(1+('CurrentFact-N10,20Unchanged'!C208+'CurrentFact-N10,20Unchanged'!G208)/100,2))*100</f>
        <v>9598.3119700894895</v>
      </c>
      <c r="E208">
        <f>(3/(1+('CurrentFact-N10,20Unchanged'!B208+'CurrentFact-N10,20Unchanged'!H208)/100)+103/POWER(1+('CurrentFact-N10,20Unchanged'!C208+'CurrentFact-N10,20Unchanged'!H208)/100,2))*100</f>
        <v>9560.0837518491226</v>
      </c>
      <c r="F208">
        <f>Portfolio!B$5*'CurrentFact-N10,20Unchanged'!D208</f>
        <v>52143.895533915893</v>
      </c>
      <c r="G208">
        <f>Portfolio!B$6*'CurrentFact-N10,20Unchanged'!E208</f>
        <v>3696.2945087936532</v>
      </c>
      <c r="H208">
        <f t="shared" si="9"/>
        <v>94321.138900325343</v>
      </c>
      <c r="I208">
        <f t="shared" si="10"/>
        <v>-21.266955724568106</v>
      </c>
    </row>
    <row r="209" spans="1:9">
      <c r="A209" s="1">
        <v>39549</v>
      </c>
      <c r="B209">
        <f>(3/(1+('CurrentFact-N10,20Unchanged'!B209)/100)+103/POWER(1+('CurrentFact-N10,20Unchanged'!C209)/100,2))*100</f>
        <v>9707.5857774288397</v>
      </c>
      <c r="C209">
        <f>(3/(1+('CurrentFact-N10,20Unchanged'!B209+'CurrentFact-N10,20Unchanged'!F209)/100)+103/POWER(1+('CurrentFact-N10,20Unchanged'!C209+'CurrentFact-N10,20Unchanged'!F209)/100,2))*100</f>
        <v>9614.9673582483465</v>
      </c>
      <c r="D209">
        <f>(3/(1+('CurrentFact-N10,20Unchanged'!B209+'CurrentFact-N10,20Unchanged'!G209)/100)+103/POWER(1+('CurrentFact-N10,20Unchanged'!C209+'CurrentFact-N10,20Unchanged'!G209)/100,2))*100</f>
        <v>9601.4820896872588</v>
      </c>
      <c r="E209">
        <f>(3/(1+('CurrentFact-N10,20Unchanged'!B209+'CurrentFact-N10,20Unchanged'!H209)/100)+103/POWER(1+('CurrentFact-N10,20Unchanged'!C209+'CurrentFact-N10,20Unchanged'!H209)/100,2))*100</f>
        <v>9580.2486579575962</v>
      </c>
      <c r="F209">
        <f>Portfolio!B$5*'CurrentFact-N10,20Unchanged'!D209</f>
        <v>52143.895533915893</v>
      </c>
      <c r="G209">
        <f>Portfolio!B$6*'CurrentFact-N10,20Unchanged'!E209</f>
        <v>3696.2945087936532</v>
      </c>
      <c r="H209">
        <f t="shared" si="9"/>
        <v>94344.473926031584</v>
      </c>
      <c r="I209">
        <f t="shared" si="10"/>
        <v>-23.041515359072946</v>
      </c>
    </row>
    <row r="210" spans="1:9">
      <c r="A210" s="1">
        <v>39552</v>
      </c>
      <c r="B210">
        <f>(3/(1+('CurrentFact-N10,20Unchanged'!B210)/100)+103/POWER(1+('CurrentFact-N10,20Unchanged'!C210)/100,2))*100</f>
        <v>9707.5857774288397</v>
      </c>
      <c r="C210">
        <f>(3/(1+('CurrentFact-N10,20Unchanged'!B210+'CurrentFact-N10,20Unchanged'!F210)/100)+103/POWER(1+('CurrentFact-N10,20Unchanged'!C210+'CurrentFact-N10,20Unchanged'!F210)/100,2))*100</f>
        <v>9614.9673582483465</v>
      </c>
      <c r="D210">
        <f>(3/(1+('CurrentFact-N10,20Unchanged'!B210+'CurrentFact-N10,20Unchanged'!G210)/100)+103/POWER(1+('CurrentFact-N10,20Unchanged'!C210+'CurrentFact-N10,20Unchanged'!G210)/100,2))*100</f>
        <v>9594.4735986264932</v>
      </c>
      <c r="E210">
        <f>(3/(1+('CurrentFact-N10,20Unchanged'!B210+'CurrentFact-N10,20Unchanged'!H210)/100)+103/POWER(1+('CurrentFact-N10,20Unchanged'!C210+'CurrentFact-N10,20Unchanged'!H210)/100,2))*100</f>
        <v>9582.5568860344702</v>
      </c>
      <c r="F210">
        <f>Portfolio!B$5*'CurrentFact-N10,20Unchanged'!D210</f>
        <v>52143.895533915893</v>
      </c>
      <c r="G210">
        <f>Portfolio!B$6*'CurrentFact-N10,20Unchanged'!E210</f>
        <v>3696.2945087936532</v>
      </c>
      <c r="H210">
        <f t="shared" si="9"/>
        <v>94339.773663047701</v>
      </c>
      <c r="I210">
        <f t="shared" si="10"/>
        <v>1.6979272552707698</v>
      </c>
    </row>
    <row r="211" spans="1:9">
      <c r="A211" s="1">
        <v>39553</v>
      </c>
      <c r="B211">
        <f>(3/(1+('CurrentFact-N10,20Unchanged'!B211)/100)+103/POWER(1+('CurrentFact-N10,20Unchanged'!C211)/100,2))*100</f>
        <v>9707.5857774288397</v>
      </c>
      <c r="C211">
        <f>(3/(1+('CurrentFact-N10,20Unchanged'!B211+'CurrentFact-N10,20Unchanged'!F211)/100)+103/POWER(1+('CurrentFact-N10,20Unchanged'!C211+'CurrentFact-N10,20Unchanged'!F211)/100,2))*100</f>
        <v>9614.9673582483465</v>
      </c>
      <c r="D211">
        <f>(3/(1+('CurrentFact-N10,20Unchanged'!B211+'CurrentFact-N10,20Unchanged'!G211)/100)+103/POWER(1+('CurrentFact-N10,20Unchanged'!C211+'CurrentFact-N10,20Unchanged'!G211)/100,2))*100</f>
        <v>9607.7607332794487</v>
      </c>
      <c r="E211">
        <f>(3/(1+('CurrentFact-N10,20Unchanged'!B211+'CurrentFact-N10,20Unchanged'!H211)/100)+103/POWER(1+('CurrentFact-N10,20Unchanged'!C211+'CurrentFact-N10,20Unchanged'!H211)/100,2))*100</f>
        <v>9588.2605122606528</v>
      </c>
      <c r="F211">
        <f>Portfolio!B$5*'CurrentFact-N10,20Unchanged'!D211</f>
        <v>52143.895533915893</v>
      </c>
      <c r="G211">
        <f>Portfolio!B$6*'CurrentFact-N10,20Unchanged'!E211</f>
        <v>3696.2945087936532</v>
      </c>
      <c r="H211">
        <f t="shared" si="9"/>
        <v>94358.764423926827</v>
      </c>
      <c r="I211">
        <f t="shared" si="10"/>
        <v>-2.1897916892194189</v>
      </c>
    </row>
    <row r="212" spans="1:9">
      <c r="A212" s="1">
        <v>39554</v>
      </c>
      <c r="B212">
        <f>(3/(1+('CurrentFact-N10,20Unchanged'!B212)/100)+103/POWER(1+('CurrentFact-N10,20Unchanged'!C212)/100,2))*100</f>
        <v>9707.5857774288397</v>
      </c>
      <c r="C212">
        <f>(3/(1+('CurrentFact-N10,20Unchanged'!B212+'CurrentFact-N10,20Unchanged'!F212)/100)+103/POWER(1+('CurrentFact-N10,20Unchanged'!C212+'CurrentFact-N10,20Unchanged'!F212)/100,2))*100</f>
        <v>9614.9673582483465</v>
      </c>
      <c r="D212">
        <f>(3/(1+('CurrentFact-N10,20Unchanged'!B212+'CurrentFact-N10,20Unchanged'!G212)/100)+103/POWER(1+('CurrentFact-N10,20Unchanged'!C212+'CurrentFact-N10,20Unchanged'!G212)/100,2))*100</f>
        <v>9599.8710065448122</v>
      </c>
      <c r="E212">
        <f>(3/(1+('CurrentFact-N10,20Unchanged'!B212+'CurrentFact-N10,20Unchanged'!H212)/100)+103/POWER(1+('CurrentFact-N10,20Unchanged'!C212+'CurrentFact-N10,20Unchanged'!H212)/100,2))*100</f>
        <v>9588.9558904481692</v>
      </c>
      <c r="F212">
        <f>Portfolio!B$5*'CurrentFact-N10,20Unchanged'!D212</f>
        <v>52143.895533915893</v>
      </c>
      <c r="G212">
        <f>Portfolio!B$6*'CurrentFact-N10,20Unchanged'!E212</f>
        <v>3696.2945087936532</v>
      </c>
      <c r="H212">
        <f t="shared" si="9"/>
        <v>94351.570075379714</v>
      </c>
      <c r="I212">
        <f t="shared" si="10"/>
        <v>28.270867318686214</v>
      </c>
    </row>
    <row r="213" spans="1:9">
      <c r="A213" s="1">
        <v>39555</v>
      </c>
      <c r="B213">
        <f>(3/(1+('CurrentFact-N10,20Unchanged'!B213)/100)+103/POWER(1+('CurrentFact-N10,20Unchanged'!C213)/100,2))*100</f>
        <v>9707.5857774288397</v>
      </c>
      <c r="C213">
        <f>(3/(1+('CurrentFact-N10,20Unchanged'!B213+'CurrentFact-N10,20Unchanged'!F213)/100)+103/POWER(1+('CurrentFact-N10,20Unchanged'!C213+'CurrentFact-N10,20Unchanged'!F213)/100,2))*100</f>
        <v>9614.9673582483465</v>
      </c>
      <c r="D213">
        <f>(3/(1+('CurrentFact-N10,20Unchanged'!B213+'CurrentFact-N10,20Unchanged'!G213)/100)+103/POWER(1+('CurrentFact-N10,20Unchanged'!C213+'CurrentFact-N10,20Unchanged'!G213)/100,2))*100</f>
        <v>9592.362474861151</v>
      </c>
      <c r="E213">
        <f>(3/(1+('CurrentFact-N10,20Unchanged'!B213+'CurrentFact-N10,20Unchanged'!H213)/100)+103/POWER(1+('CurrentFact-N10,20Unchanged'!C213+'CurrentFact-N10,20Unchanged'!H213)/100,2))*100</f>
        <v>9598.4157720027233</v>
      </c>
      <c r="F213">
        <f>Portfolio!B$5*'CurrentFact-N10,20Unchanged'!D213</f>
        <v>52143.895533915893</v>
      </c>
      <c r="G213">
        <f>Portfolio!B$6*'CurrentFact-N10,20Unchanged'!E213</f>
        <v>3696.2945087936532</v>
      </c>
      <c r="H213">
        <f t="shared" si="9"/>
        <v>94353.521425250598</v>
      </c>
      <c r="I213">
        <f t="shared" si="10"/>
        <v>-9.91306669198093</v>
      </c>
    </row>
    <row r="214" spans="1:9">
      <c r="A214" s="1">
        <v>39556</v>
      </c>
      <c r="B214">
        <f>(3/(1+('CurrentFact-N10,20Unchanged'!B214)/100)+103/POWER(1+('CurrentFact-N10,20Unchanged'!C214)/100,2))*100</f>
        <v>9707.5857774288397</v>
      </c>
      <c r="C214">
        <f>(3/(1+('CurrentFact-N10,20Unchanged'!B214+'CurrentFact-N10,20Unchanged'!F214)/100)+103/POWER(1+('CurrentFact-N10,20Unchanged'!C214+'CurrentFact-N10,20Unchanged'!F214)/100,2))*100</f>
        <v>9614.9673582483465</v>
      </c>
      <c r="D214">
        <f>(3/(1+('CurrentFact-N10,20Unchanged'!B214+'CurrentFact-N10,20Unchanged'!G214)/100)+103/POWER(1+('CurrentFact-N10,20Unchanged'!C214+'CurrentFact-N10,20Unchanged'!G214)/100,2))*100</f>
        <v>9596.5130751926426</v>
      </c>
      <c r="E214">
        <f>(3/(1+('CurrentFact-N10,20Unchanged'!B214+'CurrentFact-N10,20Unchanged'!H214)/100)+103/POWER(1+('CurrentFact-N10,20Unchanged'!C214+'CurrentFact-N10,20Unchanged'!H214)/100,2))*100</f>
        <v>9574.0016744813965</v>
      </c>
      <c r="F214">
        <f>Portfolio!B$5*'CurrentFact-N10,20Unchanged'!D214</f>
        <v>52143.895533915893</v>
      </c>
      <c r="G214">
        <f>Portfolio!B$6*'CurrentFact-N10,20Unchanged'!E214</f>
        <v>3696.2945087936532</v>
      </c>
      <c r="H214">
        <f t="shared" si="9"/>
        <v>94333.257928060775</v>
      </c>
      <c r="I214">
        <f t="shared" si="10"/>
        <v>-4.1608659896592144</v>
      </c>
    </row>
    <row r="215" spans="1:9">
      <c r="A215" s="1">
        <v>39559</v>
      </c>
      <c r="B215">
        <f>(3/(1+('CurrentFact-N10,20Unchanged'!B215)/100)+103/POWER(1+('CurrentFact-N10,20Unchanged'!C215)/100,2))*100</f>
        <v>9707.5857774288397</v>
      </c>
      <c r="C215">
        <f>(3/(1+('CurrentFact-N10,20Unchanged'!B215+'CurrentFact-N10,20Unchanged'!F215)/100)+103/POWER(1+('CurrentFact-N10,20Unchanged'!C215+'CurrentFact-N10,20Unchanged'!F215)/100,2))*100</f>
        <v>9614.9673582483465</v>
      </c>
      <c r="D215">
        <f>(3/(1+('CurrentFact-N10,20Unchanged'!B215+'CurrentFact-N10,20Unchanged'!G215)/100)+103/POWER(1+('CurrentFact-N10,20Unchanged'!C215+'CurrentFact-N10,20Unchanged'!G215)/100,2))*100</f>
        <v>9600.0751206636287</v>
      </c>
      <c r="E215">
        <f>(3/(1+('CurrentFact-N10,20Unchanged'!B215+'CurrentFact-N10,20Unchanged'!H215)/100)+103/POWER(1+('CurrentFact-N10,20Unchanged'!C215+'CurrentFact-N10,20Unchanged'!H215)/100,2))*100</f>
        <v>9578.8215550486748</v>
      </c>
      <c r="F215">
        <f>Portfolio!B$5*'CurrentFact-N10,20Unchanged'!D215</f>
        <v>52143.895533915893</v>
      </c>
      <c r="G215">
        <f>Portfolio!B$6*'CurrentFact-N10,20Unchanged'!E215</f>
        <v>3696.2945087936532</v>
      </c>
      <c r="H215">
        <f t="shared" si="9"/>
        <v>94341.639854099049</v>
      </c>
      <c r="I215">
        <f t="shared" si="10"/>
        <v>-15.343446717626648</v>
      </c>
    </row>
    <row r="216" spans="1:9">
      <c r="A216" s="1">
        <v>39560</v>
      </c>
      <c r="B216">
        <f>(3/(1+('CurrentFact-N10,20Unchanged'!B216)/100)+103/POWER(1+('CurrentFact-N10,20Unchanged'!C216)/100,2))*100</f>
        <v>9707.5857774288397</v>
      </c>
      <c r="C216">
        <f>(3/(1+('CurrentFact-N10,20Unchanged'!B216+'CurrentFact-N10,20Unchanged'!F216)/100)+103/POWER(1+('CurrentFact-N10,20Unchanged'!C216+'CurrentFact-N10,20Unchanged'!F216)/100,2))*100</f>
        <v>9614.9673582483465</v>
      </c>
      <c r="D216">
        <f>(3/(1+('CurrentFact-N10,20Unchanged'!B216+'CurrentFact-N10,20Unchanged'!G216)/100)+103/POWER(1+('CurrentFact-N10,20Unchanged'!C216+'CurrentFact-N10,20Unchanged'!G216)/100,2))*100</f>
        <v>9574.8708815213213</v>
      </c>
      <c r="E216">
        <f>(3/(1+('CurrentFact-N10,20Unchanged'!B216+'CurrentFact-N10,20Unchanged'!H216)/100)+103/POWER(1+('CurrentFact-N10,20Unchanged'!C216+'CurrentFact-N10,20Unchanged'!H216)/100,2))*100</f>
        <v>9571.338688744112</v>
      </c>
      <c r="F216">
        <f>Portfolio!B$5*'CurrentFact-N10,20Unchanged'!D216</f>
        <v>52143.895533915893</v>
      </c>
      <c r="G216">
        <f>Portfolio!B$6*'CurrentFact-N10,20Unchanged'!E216</f>
        <v>3696.2945087936532</v>
      </c>
      <c r="H216">
        <f t="shared" si="9"/>
        <v>94308.952748652169</v>
      </c>
      <c r="I216">
        <f t="shared" si="10"/>
        <v>-31.425486914667999</v>
      </c>
    </row>
    <row r="217" spans="1:9">
      <c r="A217" s="1">
        <v>39561</v>
      </c>
      <c r="B217">
        <f>(3/(1+('CurrentFact-N10,20Unchanged'!B217)/100)+103/POWER(1+('CurrentFact-N10,20Unchanged'!C217)/100,2))*100</f>
        <v>9707.5857774288397</v>
      </c>
      <c r="C217">
        <f>(3/(1+('CurrentFact-N10,20Unchanged'!B217+'CurrentFact-N10,20Unchanged'!F217)/100)+103/POWER(1+('CurrentFact-N10,20Unchanged'!C217+'CurrentFact-N10,20Unchanged'!F217)/100,2))*100</f>
        <v>9614.9673582483465</v>
      </c>
      <c r="D217">
        <f>(3/(1+('CurrentFact-N10,20Unchanged'!B217+'CurrentFact-N10,20Unchanged'!G217)/100)+103/POWER(1+('CurrentFact-N10,20Unchanged'!C217+'CurrentFact-N10,20Unchanged'!G217)/100,2))*100</f>
        <v>9609.0113978747941</v>
      </c>
      <c r="E217">
        <f>(3/(1+('CurrentFact-N10,20Unchanged'!B217+'CurrentFact-N10,20Unchanged'!H217)/100)+103/POWER(1+('CurrentFact-N10,20Unchanged'!C217+'CurrentFact-N10,20Unchanged'!H217)/100,2))*100</f>
        <v>9564.9972332803336</v>
      </c>
      <c r="F217">
        <f>Portfolio!B$5*'CurrentFact-N10,20Unchanged'!D217</f>
        <v>52143.895533915893</v>
      </c>
      <c r="G217">
        <f>Portfolio!B$6*'CurrentFact-N10,20Unchanged'!E217</f>
        <v>3696.2945087936532</v>
      </c>
      <c r="H217">
        <f t="shared" si="9"/>
        <v>94336.751809541864</v>
      </c>
      <c r="I217">
        <f t="shared" si="10"/>
        <v>-9.7245264177472563</v>
      </c>
    </row>
    <row r="218" spans="1:9">
      <c r="A218" s="1">
        <v>39562</v>
      </c>
      <c r="B218">
        <f>(3/(1+('CurrentFact-N10,20Unchanged'!B218)/100)+103/POWER(1+('CurrentFact-N10,20Unchanged'!C218)/100,2))*100</f>
        <v>9707.5857774288397</v>
      </c>
      <c r="C218">
        <f>(3/(1+('CurrentFact-N10,20Unchanged'!B218+'CurrentFact-N10,20Unchanged'!F218)/100)+103/POWER(1+('CurrentFact-N10,20Unchanged'!C218+'CurrentFact-N10,20Unchanged'!F218)/100,2))*100</f>
        <v>9614.9673582483465</v>
      </c>
      <c r="D218">
        <f>(3/(1+('CurrentFact-N10,20Unchanged'!B218+'CurrentFact-N10,20Unchanged'!G218)/100)+103/POWER(1+('CurrentFact-N10,20Unchanged'!C218+'CurrentFact-N10,20Unchanged'!G218)/100,2))*100</f>
        <v>9587.1688829250379</v>
      </c>
      <c r="E218">
        <f>(3/(1+('CurrentFact-N10,20Unchanged'!B218+'CurrentFact-N10,20Unchanged'!H218)/100)+103/POWER(1+('CurrentFact-N10,20Unchanged'!C218+'CurrentFact-N10,20Unchanged'!H218)/100,2))*100</f>
        <v>9568.3619975594156</v>
      </c>
      <c r="F218">
        <f>Portfolio!B$5*'CurrentFact-N10,20Unchanged'!D218</f>
        <v>52143.895533915893</v>
      </c>
      <c r="G218">
        <f>Portfolio!B$6*'CurrentFact-N10,20Unchanged'!E218</f>
        <v>3696.2945087936532</v>
      </c>
      <c r="H218">
        <f t="shared" si="9"/>
        <v>94318.274058871175</v>
      </c>
      <c r="I218">
        <f t="shared" si="10"/>
        <v>-2.8648414541676175</v>
      </c>
    </row>
    <row r="219" spans="1:9">
      <c r="A219" s="1">
        <v>39563</v>
      </c>
      <c r="B219">
        <f>(3/(1+('CurrentFact-N10,20Unchanged'!B219)/100)+103/POWER(1+('CurrentFact-N10,20Unchanged'!C219)/100,2))*100</f>
        <v>9707.5857774288397</v>
      </c>
      <c r="C219">
        <f>(3/(1+('CurrentFact-N10,20Unchanged'!B219+'CurrentFact-N10,20Unchanged'!F219)/100)+103/POWER(1+('CurrentFact-N10,20Unchanged'!C219+'CurrentFact-N10,20Unchanged'!F219)/100,2))*100</f>
        <v>9614.9673582483465</v>
      </c>
      <c r="D219">
        <f>(3/(1+('CurrentFact-N10,20Unchanged'!B219+'CurrentFact-N10,20Unchanged'!G219)/100)+103/POWER(1+('CurrentFact-N10,20Unchanged'!C219+'CurrentFact-N10,20Unchanged'!G219)/100,2))*100</f>
        <v>9612.3992999632464</v>
      </c>
      <c r="E219">
        <f>(3/(1+('CurrentFact-N10,20Unchanged'!B219+'CurrentFact-N10,20Unchanged'!H219)/100)+103/POWER(1+('CurrentFact-N10,20Unchanged'!C219+'CurrentFact-N10,20Unchanged'!H219)/100,2))*100</f>
        <v>9583.07679334557</v>
      </c>
      <c r="F219">
        <f>Portfolio!B$5*'CurrentFact-N10,20Unchanged'!D219</f>
        <v>52143.895533915893</v>
      </c>
      <c r="G219">
        <f>Portfolio!B$6*'CurrentFact-N10,20Unchanged'!E219</f>
        <v>3696.2945087936532</v>
      </c>
      <c r="H219">
        <f t="shared" si="9"/>
        <v>94358.219271695547</v>
      </c>
      <c r="I219">
        <f t="shared" si="10"/>
        <v>13.745345663963235</v>
      </c>
    </row>
    <row r="220" spans="1:9">
      <c r="A220" s="1">
        <v>39566</v>
      </c>
      <c r="B220">
        <f>(3/(1+('CurrentFact-N10,20Unchanged'!B220)/100)+103/POWER(1+('CurrentFact-N10,20Unchanged'!C220)/100,2))*100</f>
        <v>9707.5857774288397</v>
      </c>
      <c r="C220">
        <f>(3/(1+('CurrentFact-N10,20Unchanged'!B220+'CurrentFact-N10,20Unchanged'!F220)/100)+103/POWER(1+('CurrentFact-N10,20Unchanged'!C220+'CurrentFact-N10,20Unchanged'!F220)/100,2))*100</f>
        <v>9614.9673582483465</v>
      </c>
      <c r="D220">
        <f>(3/(1+('CurrentFact-N10,20Unchanged'!B220+'CurrentFact-N10,20Unchanged'!G220)/100)+103/POWER(1+('CurrentFact-N10,20Unchanged'!C220+'CurrentFact-N10,20Unchanged'!G220)/100,2))*100</f>
        <v>9618.824973961664</v>
      </c>
      <c r="E220">
        <f>(3/(1+('CurrentFact-N10,20Unchanged'!B220+'CurrentFact-N10,20Unchanged'!H220)/100)+103/POWER(1+('CurrentFact-N10,20Unchanged'!C220+'CurrentFact-N10,20Unchanged'!H220)/100,2))*100</f>
        <v>9589.0555331349078</v>
      </c>
      <c r="F220">
        <f>Portfolio!B$5*'CurrentFact-N10,20Unchanged'!D220</f>
        <v>52143.895533915893</v>
      </c>
      <c r="G220">
        <f>Portfolio!B$6*'CurrentFact-N10,20Unchanged'!E220</f>
        <v>3696.2945087936532</v>
      </c>
      <c r="H220">
        <f t="shared" si="9"/>
        <v>94370.623685483297</v>
      </c>
      <c r="I220">
        <f t="shared" si="10"/>
        <v>30.850022435595747</v>
      </c>
    </row>
    <row r="221" spans="1:9">
      <c r="A221" s="1">
        <v>39567</v>
      </c>
      <c r="B221">
        <f>(3/(1+('CurrentFact-N10,20Unchanged'!B221)/100)+103/POWER(1+('CurrentFact-N10,20Unchanged'!C221)/100,2))*100</f>
        <v>9707.5857774288397</v>
      </c>
      <c r="C221">
        <f>(3/(1+('CurrentFact-N10,20Unchanged'!B221+'CurrentFact-N10,20Unchanged'!F221)/100)+103/POWER(1+('CurrentFact-N10,20Unchanged'!C221+'CurrentFact-N10,20Unchanged'!F221)/100,2))*100</f>
        <v>9614.9673582483465</v>
      </c>
      <c r="D221">
        <f>(3/(1+('CurrentFact-N10,20Unchanged'!B221+'CurrentFact-N10,20Unchanged'!G221)/100)+103/POWER(1+('CurrentFact-N10,20Unchanged'!C221+'CurrentFact-N10,20Unchanged'!G221)/100,2))*100</f>
        <v>9601.6160256959756</v>
      </c>
      <c r="E221">
        <f>(3/(1+('CurrentFact-N10,20Unchanged'!B221+'CurrentFact-N10,20Unchanged'!H221)/100)+103/POWER(1+('CurrentFact-N10,20Unchanged'!C221+'CurrentFact-N10,20Unchanged'!H221)/100,2))*100</f>
        <v>9602.1762351557063</v>
      </c>
      <c r="F221">
        <f>Portfolio!B$5*'CurrentFact-N10,20Unchanged'!D221</f>
        <v>52143.895533915893</v>
      </c>
      <c r="G221">
        <f>Portfolio!B$6*'CurrentFact-N10,20Unchanged'!E221</f>
        <v>3696.2945087936532</v>
      </c>
      <c r="H221">
        <f t="shared" si="9"/>
        <v>94366.535439238418</v>
      </c>
      <c r="I221">
        <f t="shared" si="10"/>
        <v>7.7710153115913272</v>
      </c>
    </row>
    <row r="222" spans="1:9">
      <c r="A222" s="1">
        <v>39568</v>
      </c>
      <c r="B222">
        <f>(3/(1+('CurrentFact-N10,20Unchanged'!B222)/100)+103/POWER(1+('CurrentFact-N10,20Unchanged'!C222)/100,2))*100</f>
        <v>9707.5857774288397</v>
      </c>
      <c r="C222">
        <f>(3/(1+('CurrentFact-N10,20Unchanged'!B222+'CurrentFact-N10,20Unchanged'!F222)/100)+103/POWER(1+('CurrentFact-N10,20Unchanged'!C222+'CurrentFact-N10,20Unchanged'!F222)/100,2))*100</f>
        <v>9614.9673582483465</v>
      </c>
      <c r="D222">
        <f>(3/(1+('CurrentFact-N10,20Unchanged'!B222+'CurrentFact-N10,20Unchanged'!G222)/100)+103/POWER(1+('CurrentFact-N10,20Unchanged'!C222+'CurrentFact-N10,20Unchanged'!G222)/100,2))*100</f>
        <v>9603.2604147304446</v>
      </c>
      <c r="E222">
        <f>(3/(1+('CurrentFact-N10,20Unchanged'!B222+'CurrentFact-N10,20Unchanged'!H222)/100)+103/POWER(1+('CurrentFact-N10,20Unchanged'!C222+'CurrentFact-N10,20Unchanged'!H222)/100,2))*100</f>
        <v>9579.9676664463095</v>
      </c>
      <c r="F222">
        <f>Portfolio!B$5*'CurrentFact-N10,20Unchanged'!D222</f>
        <v>52143.895533915893</v>
      </c>
      <c r="G222">
        <f>Portfolio!B$6*'CurrentFact-N10,20Unchanged'!E222</f>
        <v>3696.2945087936532</v>
      </c>
      <c r="H222">
        <f t="shared" si="9"/>
        <v>94345.971259563492</v>
      </c>
      <c r="I222">
        <f t="shared" si="10"/>
        <v>-5.5988158162217587</v>
      </c>
    </row>
    <row r="223" spans="1:9">
      <c r="A223" s="1">
        <v>39569</v>
      </c>
      <c r="B223">
        <f>(3/(1+('CurrentFact-N10,20Unchanged'!B223)/100)+103/POWER(1+('CurrentFact-N10,20Unchanged'!C223)/100,2))*100</f>
        <v>9707.5857774288397</v>
      </c>
      <c r="C223">
        <f>(3/(1+('CurrentFact-N10,20Unchanged'!B223+'CurrentFact-N10,20Unchanged'!F223)/100)+103/POWER(1+('CurrentFact-N10,20Unchanged'!C223+'CurrentFact-N10,20Unchanged'!F223)/100,2))*100</f>
        <v>9614.9673582483465</v>
      </c>
      <c r="D223">
        <f>(3/(1+('CurrentFact-N10,20Unchanged'!B223+'CurrentFact-N10,20Unchanged'!G223)/100)+103/POWER(1+('CurrentFact-N10,20Unchanged'!C223+'CurrentFact-N10,20Unchanged'!G223)/100,2))*100</f>
        <v>9592.9199905162041</v>
      </c>
      <c r="E223">
        <f>(3/(1+('CurrentFact-N10,20Unchanged'!B223+'CurrentFact-N10,20Unchanged'!H223)/100)+103/POWER(1+('CurrentFact-N10,20Unchanged'!C223+'CurrentFact-N10,20Unchanged'!H223)/100,2))*100</f>
        <v>9580.1346776542978</v>
      </c>
      <c r="F223">
        <f>Portfolio!B$5*'CurrentFact-N10,20Unchanged'!D223</f>
        <v>52143.895533915893</v>
      </c>
      <c r="G223">
        <f>Portfolio!B$6*'CurrentFact-N10,20Unchanged'!E223</f>
        <v>3696.2945087936532</v>
      </c>
      <c r="H223">
        <f t="shared" si="9"/>
        <v>94335.797846557238</v>
      </c>
      <c r="I223">
        <f t="shared" si="10"/>
        <v>-17.723578693359741</v>
      </c>
    </row>
    <row r="224" spans="1:9">
      <c r="A224" s="1">
        <v>39570</v>
      </c>
      <c r="B224">
        <f>(3/(1+('CurrentFact-N10,20Unchanged'!B224)/100)+103/POWER(1+('CurrentFact-N10,20Unchanged'!C224)/100,2))*100</f>
        <v>9707.5857774288397</v>
      </c>
      <c r="C224">
        <f>(3/(1+('CurrentFact-N10,20Unchanged'!B224+'CurrentFact-N10,20Unchanged'!F224)/100)+103/POWER(1+('CurrentFact-N10,20Unchanged'!C224+'CurrentFact-N10,20Unchanged'!F224)/100,2))*100</f>
        <v>9614.9673582483465</v>
      </c>
      <c r="D224">
        <f>(3/(1+('CurrentFact-N10,20Unchanged'!B224+'CurrentFact-N10,20Unchanged'!G224)/100)+103/POWER(1+('CurrentFact-N10,20Unchanged'!C224+'CurrentFact-N10,20Unchanged'!G224)/100,2))*100</f>
        <v>9599.7539439954089</v>
      </c>
      <c r="E224">
        <f>(3/(1+('CurrentFact-N10,20Unchanged'!B224+'CurrentFact-N10,20Unchanged'!H224)/100)+103/POWER(1+('CurrentFact-N10,20Unchanged'!C224+'CurrentFact-N10,20Unchanged'!H224)/100,2))*100</f>
        <v>9575.7117053808579</v>
      </c>
      <c r="F224">
        <f>Portfolio!B$5*'CurrentFact-N10,20Unchanged'!D224</f>
        <v>52143.895533915893</v>
      </c>
      <c r="G224">
        <f>Portfolio!B$6*'CurrentFact-N10,20Unchanged'!E224</f>
        <v>3696.2945087936532</v>
      </c>
      <c r="H224">
        <f t="shared" si="9"/>
        <v>94338.20882776301</v>
      </c>
      <c r="I224">
        <f t="shared" si="10"/>
        <v>4.9508997022348922</v>
      </c>
    </row>
    <row r="225" spans="1:9">
      <c r="A225" s="1">
        <v>39573</v>
      </c>
      <c r="B225">
        <f>(3/(1+('CurrentFact-N10,20Unchanged'!B225)/100)+103/POWER(1+('CurrentFact-N10,20Unchanged'!C225)/100,2))*100</f>
        <v>9707.5857774288397</v>
      </c>
      <c r="C225">
        <f>(3/(1+('CurrentFact-N10,20Unchanged'!B225+'CurrentFact-N10,20Unchanged'!F225)/100)+103/POWER(1+('CurrentFact-N10,20Unchanged'!C225+'CurrentFact-N10,20Unchanged'!F225)/100,2))*100</f>
        <v>9614.9673582483465</v>
      </c>
      <c r="D225">
        <f>(3/(1+('CurrentFact-N10,20Unchanged'!B225+'CurrentFact-N10,20Unchanged'!G225)/100)+103/POWER(1+('CurrentFact-N10,20Unchanged'!C225+'CurrentFact-N10,20Unchanged'!G225)/100,2))*100</f>
        <v>9600.1719729848392</v>
      </c>
      <c r="E225">
        <f>(3/(1+('CurrentFact-N10,20Unchanged'!B225+'CurrentFact-N10,20Unchanged'!H225)/100)+103/POWER(1+('CurrentFact-N10,20Unchanged'!C225+'CurrentFact-N10,20Unchanged'!H225)/100,2))*100</f>
        <v>9586.7872422010187</v>
      </c>
      <c r="F225">
        <f>Portfolio!B$5*'CurrentFact-N10,20Unchanged'!D225</f>
        <v>52143.895533915893</v>
      </c>
      <c r="G225">
        <f>Portfolio!B$6*'CurrentFact-N10,20Unchanged'!E225</f>
        <v>3696.2945087936532</v>
      </c>
      <c r="H225">
        <f t="shared" si="9"/>
        <v>94349.702393572588</v>
      </c>
      <c r="I225">
        <f t="shared" si="10"/>
        <v>8.0625394735398004</v>
      </c>
    </row>
    <row r="226" spans="1:9">
      <c r="A226" s="1">
        <v>39574</v>
      </c>
      <c r="B226">
        <f>(3/(1+('CurrentFact-N10,20Unchanged'!B226)/100)+103/POWER(1+('CurrentFact-N10,20Unchanged'!C226)/100,2))*100</f>
        <v>9707.5857774288397</v>
      </c>
      <c r="C226">
        <f>(3/(1+('CurrentFact-N10,20Unchanged'!B226+'CurrentFact-N10,20Unchanged'!F226)/100)+103/POWER(1+('CurrentFact-N10,20Unchanged'!C226+'CurrentFact-N10,20Unchanged'!F226)/100,2))*100</f>
        <v>9614.9673582483465</v>
      </c>
      <c r="D226">
        <f>(3/(1+('CurrentFact-N10,20Unchanged'!B226+'CurrentFact-N10,20Unchanged'!G226)/100)+103/POWER(1+('CurrentFact-N10,20Unchanged'!C226+'CurrentFact-N10,20Unchanged'!G226)/100,2))*100</f>
        <v>9597.8051680672215</v>
      </c>
      <c r="E226">
        <f>(3/(1+('CurrentFact-N10,20Unchanged'!B226+'CurrentFact-N10,20Unchanged'!H226)/100)+103/POWER(1+('CurrentFact-N10,20Unchanged'!C226+'CurrentFact-N10,20Unchanged'!H226)/100,2))*100</f>
        <v>9589.0739632985569</v>
      </c>
      <c r="F226">
        <f>Portfolio!B$5*'CurrentFact-N10,20Unchanged'!D226</f>
        <v>52143.895533915893</v>
      </c>
      <c r="G226">
        <f>Portfolio!B$6*'CurrentFact-N10,20Unchanged'!E226</f>
        <v>3696.2945087936532</v>
      </c>
      <c r="H226">
        <f t="shared" si="9"/>
        <v>94349.622309752507</v>
      </c>
      <c r="I226">
        <f t="shared" si="10"/>
        <v>40.669561100337887</v>
      </c>
    </row>
    <row r="227" spans="1:9">
      <c r="A227" s="1">
        <v>39575</v>
      </c>
      <c r="B227">
        <f>(3/(1+('CurrentFact-N10,20Unchanged'!B227)/100)+103/POWER(1+('CurrentFact-N10,20Unchanged'!C227)/100,2))*100</f>
        <v>9707.5857774288397</v>
      </c>
      <c r="C227">
        <f>(3/(1+('CurrentFact-N10,20Unchanged'!B227+'CurrentFact-N10,20Unchanged'!F227)/100)+103/POWER(1+('CurrentFact-N10,20Unchanged'!C227+'CurrentFact-N10,20Unchanged'!F227)/100,2))*100</f>
        <v>9614.9673582483465</v>
      </c>
      <c r="D227">
        <f>(3/(1+('CurrentFact-N10,20Unchanged'!B227+'CurrentFact-N10,20Unchanged'!G227)/100)+103/POWER(1+('CurrentFact-N10,20Unchanged'!C227+'CurrentFact-N10,20Unchanged'!G227)/100,2))*100</f>
        <v>9609.1248870239269</v>
      </c>
      <c r="E227">
        <f>(3/(1+('CurrentFact-N10,20Unchanged'!B227+'CurrentFact-N10,20Unchanged'!H227)/100)+103/POWER(1+('CurrentFact-N10,20Unchanged'!C227+'CurrentFact-N10,20Unchanged'!H227)/100,2))*100</f>
        <v>9592.5744248146493</v>
      </c>
      <c r="F227">
        <f>Portfolio!B$5*'CurrentFact-N10,20Unchanged'!D227</f>
        <v>52143.895533915893</v>
      </c>
      <c r="G227">
        <f>Portfolio!B$6*'CurrentFact-N10,20Unchanged'!E227</f>
        <v>3696.2945087936532</v>
      </c>
      <c r="H227">
        <f t="shared" si="9"/>
        <v>94364.442490225309</v>
      </c>
      <c r="I227">
        <f t="shared" si="10"/>
        <v>27.690680683444953</v>
      </c>
    </row>
    <row r="228" spans="1:9">
      <c r="A228" s="1">
        <v>39576</v>
      </c>
      <c r="B228">
        <f>(3/(1+('CurrentFact-N10,20Unchanged'!B228)/100)+103/POWER(1+('CurrentFact-N10,20Unchanged'!C228)/100,2))*100</f>
        <v>9707.5857774288397</v>
      </c>
      <c r="C228">
        <f>(3/(1+('CurrentFact-N10,20Unchanged'!B228+'CurrentFact-N10,20Unchanged'!F228)/100)+103/POWER(1+('CurrentFact-N10,20Unchanged'!C228+'CurrentFact-N10,20Unchanged'!F228)/100,2))*100</f>
        <v>9614.9673582483465</v>
      </c>
      <c r="D228">
        <f>(3/(1+('CurrentFact-N10,20Unchanged'!B228+'CurrentFact-N10,20Unchanged'!G228)/100)+103/POWER(1+('CurrentFact-N10,20Unchanged'!C228+'CurrentFact-N10,20Unchanged'!G228)/100,2))*100</f>
        <v>9612.9573344534037</v>
      </c>
      <c r="E228">
        <f>(3/(1+('CurrentFact-N10,20Unchanged'!B228+'CurrentFact-N10,20Unchanged'!H228)/100)+103/POWER(1+('CurrentFact-N10,20Unchanged'!C228+'CurrentFact-N10,20Unchanged'!H228)/100,2))*100</f>
        <v>9608.1366977708349</v>
      </c>
      <c r="F228">
        <f>Portfolio!B$5*'CurrentFact-N10,20Unchanged'!D228</f>
        <v>52143.895533915893</v>
      </c>
      <c r="G228">
        <f>Portfolio!B$6*'CurrentFact-N10,20Unchanged'!E228</f>
        <v>3696.2945087936532</v>
      </c>
      <c r="H228">
        <f t="shared" si="9"/>
        <v>94383.837210610975</v>
      </c>
      <c r="I228">
        <f t="shared" si="10"/>
        <v>65.56315173979965</v>
      </c>
    </row>
    <row r="229" spans="1:9">
      <c r="A229" s="1">
        <v>39577</v>
      </c>
      <c r="B229">
        <f>(3/(1+('CurrentFact-N10,20Unchanged'!B229)/100)+103/POWER(1+('CurrentFact-N10,20Unchanged'!C229)/100,2))*100</f>
        <v>9707.5857774288397</v>
      </c>
      <c r="C229">
        <f>(3/(1+('CurrentFact-N10,20Unchanged'!B229+'CurrentFact-N10,20Unchanged'!F229)/100)+103/POWER(1+('CurrentFact-N10,20Unchanged'!C229+'CurrentFact-N10,20Unchanged'!F229)/100,2))*100</f>
        <v>9614.9673582483465</v>
      </c>
      <c r="D229">
        <f>(3/(1+('CurrentFact-N10,20Unchanged'!B229+'CurrentFact-N10,20Unchanged'!G229)/100)+103/POWER(1+('CurrentFact-N10,20Unchanged'!C229+'CurrentFact-N10,20Unchanged'!G229)/100,2))*100</f>
        <v>9592.4972756452225</v>
      </c>
      <c r="E229">
        <f>(3/(1+('CurrentFact-N10,20Unchanged'!B229+'CurrentFact-N10,20Unchanged'!H229)/100)+103/POWER(1+('CurrentFact-N10,20Unchanged'!C229+'CurrentFact-N10,20Unchanged'!H229)/100,2))*100</f>
        <v>9604.3911890708969</v>
      </c>
      <c r="F229">
        <f>Portfolio!B$5*'CurrentFact-N10,20Unchanged'!D229</f>
        <v>52143.895533915893</v>
      </c>
      <c r="G229">
        <f>Portfolio!B$6*'CurrentFact-N10,20Unchanged'!E229</f>
        <v>3696.2945087936532</v>
      </c>
      <c r="H229">
        <f t="shared" si="9"/>
        <v>94359.631643102854</v>
      </c>
      <c r="I229">
        <f t="shared" si="10"/>
        <v>1.4123714073066367</v>
      </c>
    </row>
    <row r="230" spans="1:9">
      <c r="A230" s="1">
        <v>39580</v>
      </c>
      <c r="B230">
        <f>(3/(1+('CurrentFact-N10,20Unchanged'!B230)/100)+103/POWER(1+('CurrentFact-N10,20Unchanged'!C230)/100,2))*100</f>
        <v>9707.5857774288397</v>
      </c>
      <c r="C230">
        <f>(3/(1+('CurrentFact-N10,20Unchanged'!B230+'CurrentFact-N10,20Unchanged'!F230)/100)+103/POWER(1+('CurrentFact-N10,20Unchanged'!C230+'CurrentFact-N10,20Unchanged'!F230)/100,2))*100</f>
        <v>9614.9673582483465</v>
      </c>
      <c r="D230">
        <f>(3/(1+('CurrentFact-N10,20Unchanged'!B230+'CurrentFact-N10,20Unchanged'!G230)/100)+103/POWER(1+('CurrentFact-N10,20Unchanged'!C230+'CurrentFact-N10,20Unchanged'!G230)/100,2))*100</f>
        <v>9578.105454624294</v>
      </c>
      <c r="E230">
        <f>(3/(1+('CurrentFact-N10,20Unchanged'!B230+'CurrentFact-N10,20Unchanged'!H230)/100)+103/POWER(1+('CurrentFact-N10,20Unchanged'!C230+'CurrentFact-N10,20Unchanged'!H230)/100,2))*100</f>
        <v>9579.7086211593887</v>
      </c>
      <c r="F230">
        <f>Portfolio!B$5*'CurrentFact-N10,20Unchanged'!D230</f>
        <v>52143.895533915893</v>
      </c>
      <c r="G230">
        <f>Portfolio!B$6*'CurrentFact-N10,20Unchanged'!E230</f>
        <v>3696.2945087936532</v>
      </c>
      <c r="H230">
        <f t="shared" si="9"/>
        <v>94320.557254170417</v>
      </c>
      <c r="I230">
        <f t="shared" si="10"/>
        <v>-50.066431312880013</v>
      </c>
    </row>
    <row r="231" spans="1:9">
      <c r="A231" s="1">
        <v>39581</v>
      </c>
      <c r="B231">
        <f>(3/(1+('CurrentFact-N10,20Unchanged'!B231)/100)+103/POWER(1+('CurrentFact-N10,20Unchanged'!C231)/100,2))*100</f>
        <v>9707.5857774288397</v>
      </c>
      <c r="C231">
        <f>(3/(1+('CurrentFact-N10,20Unchanged'!B231+'CurrentFact-N10,20Unchanged'!F231)/100)+103/POWER(1+('CurrentFact-N10,20Unchanged'!C231+'CurrentFact-N10,20Unchanged'!F231)/100,2))*100</f>
        <v>9614.9673582483465</v>
      </c>
      <c r="D231">
        <f>(3/(1+('CurrentFact-N10,20Unchanged'!B231+'CurrentFact-N10,20Unchanged'!G231)/100)+103/POWER(1+('CurrentFact-N10,20Unchanged'!C231+'CurrentFact-N10,20Unchanged'!G231)/100,2))*100</f>
        <v>9595.3554930720566</v>
      </c>
      <c r="E231">
        <f>(3/(1+('CurrentFact-N10,20Unchanged'!B231+'CurrentFact-N10,20Unchanged'!H231)/100)+103/POWER(1+('CurrentFact-N10,20Unchanged'!C231+'CurrentFact-N10,20Unchanged'!H231)/100,2))*100</f>
        <v>9601.3268974643361</v>
      </c>
      <c r="F231">
        <f>Portfolio!B$5*'CurrentFact-N10,20Unchanged'!D231</f>
        <v>52143.895533915893</v>
      </c>
      <c r="G231">
        <f>Portfolio!B$6*'CurrentFact-N10,20Unchanged'!E231</f>
        <v>3696.2945087936532</v>
      </c>
      <c r="H231">
        <f t="shared" si="9"/>
        <v>94359.425568923121</v>
      </c>
      <c r="I231">
        <f t="shared" si="10"/>
        <v>-7.1098703152965754</v>
      </c>
    </row>
    <row r="232" spans="1:9">
      <c r="A232" s="1">
        <v>39582</v>
      </c>
      <c r="B232">
        <f>(3/(1+('CurrentFact-N10,20Unchanged'!B232)/100)+103/POWER(1+('CurrentFact-N10,20Unchanged'!C232)/100,2))*100</f>
        <v>9707.5857774288397</v>
      </c>
      <c r="C232">
        <f>(3/(1+('CurrentFact-N10,20Unchanged'!B232+'CurrentFact-N10,20Unchanged'!F232)/100)+103/POWER(1+('CurrentFact-N10,20Unchanged'!C232+'CurrentFact-N10,20Unchanged'!F232)/100,2))*100</f>
        <v>9614.9673582483465</v>
      </c>
      <c r="D232">
        <f>(3/(1+('CurrentFact-N10,20Unchanged'!B232+'CurrentFact-N10,20Unchanged'!G232)/100)+103/POWER(1+('CurrentFact-N10,20Unchanged'!C232+'CurrentFact-N10,20Unchanged'!G232)/100,2))*100</f>
        <v>9609.6272170161847</v>
      </c>
      <c r="E232">
        <f>(3/(1+('CurrentFact-N10,20Unchanged'!B232+'CurrentFact-N10,20Unchanged'!H232)/100)+103/POWER(1+('CurrentFact-N10,20Unchanged'!C232+'CurrentFact-N10,20Unchanged'!H232)/100,2))*100</f>
        <v>9581.9690737215078</v>
      </c>
      <c r="F232">
        <f>Portfolio!B$5*'CurrentFact-N10,20Unchanged'!D232</f>
        <v>52143.895533915893</v>
      </c>
      <c r="G232">
        <f>Portfolio!B$6*'CurrentFact-N10,20Unchanged'!E232</f>
        <v>3696.2945087936532</v>
      </c>
      <c r="H232">
        <f t="shared" si="9"/>
        <v>94354.339469124418</v>
      </c>
      <c r="I232">
        <f t="shared" si="10"/>
        <v>8.3682095609256066</v>
      </c>
    </row>
    <row r="233" spans="1:9">
      <c r="A233" s="1">
        <v>39583</v>
      </c>
      <c r="B233">
        <f>(3/(1+('CurrentFact-N10,20Unchanged'!B233)/100)+103/POWER(1+('CurrentFact-N10,20Unchanged'!C233)/100,2))*100</f>
        <v>9707.5857774288397</v>
      </c>
      <c r="C233">
        <f>(3/(1+('CurrentFact-N10,20Unchanged'!B233+'CurrentFact-N10,20Unchanged'!F233)/100)+103/POWER(1+('CurrentFact-N10,20Unchanged'!C233+'CurrentFact-N10,20Unchanged'!F233)/100,2))*100</f>
        <v>9614.9673582483465</v>
      </c>
      <c r="D233">
        <f>(3/(1+('CurrentFact-N10,20Unchanged'!B233+'CurrentFact-N10,20Unchanged'!G233)/100)+103/POWER(1+('CurrentFact-N10,20Unchanged'!C233+'CurrentFact-N10,20Unchanged'!G233)/100,2))*100</f>
        <v>9590.5172816951799</v>
      </c>
      <c r="E233">
        <f>(3/(1+('CurrentFact-N10,20Unchanged'!B233+'CurrentFact-N10,20Unchanged'!H233)/100)+103/POWER(1+('CurrentFact-N10,20Unchanged'!C233+'CurrentFact-N10,20Unchanged'!H233)/100,2))*100</f>
        <v>9569.2267198995778</v>
      </c>
      <c r="F233">
        <f>Portfolio!B$5*'CurrentFact-N10,20Unchanged'!D233</f>
        <v>52143.895533915893</v>
      </c>
      <c r="G233">
        <f>Portfolio!B$6*'CurrentFact-N10,20Unchanged'!E233</f>
        <v>3696.2945087936532</v>
      </c>
      <c r="H233">
        <f t="shared" si="9"/>
        <v>94322.487179981486</v>
      </c>
      <c r="I233">
        <f t="shared" si="10"/>
        <v>-13.310666575751384</v>
      </c>
    </row>
    <row r="234" spans="1:9">
      <c r="A234" s="1">
        <v>39584</v>
      </c>
      <c r="B234">
        <f>(3/(1+('CurrentFact-N10,20Unchanged'!B234)/100)+103/POWER(1+('CurrentFact-N10,20Unchanged'!C234)/100,2))*100</f>
        <v>9707.5857774288397</v>
      </c>
      <c r="C234">
        <f>(3/(1+('CurrentFact-N10,20Unchanged'!B234+'CurrentFact-N10,20Unchanged'!F234)/100)+103/POWER(1+('CurrentFact-N10,20Unchanged'!C234+'CurrentFact-N10,20Unchanged'!F234)/100,2))*100</f>
        <v>9614.9673582483465</v>
      </c>
      <c r="D234">
        <f>(3/(1+('CurrentFact-N10,20Unchanged'!B234+'CurrentFact-N10,20Unchanged'!G234)/100)+103/POWER(1+('CurrentFact-N10,20Unchanged'!C234+'CurrentFact-N10,20Unchanged'!G234)/100,2))*100</f>
        <v>9597.9623464855722</v>
      </c>
      <c r="E234">
        <f>(3/(1+('CurrentFact-N10,20Unchanged'!B234+'CurrentFact-N10,20Unchanged'!H234)/100)+103/POWER(1+('CurrentFact-N10,20Unchanged'!C234+'CurrentFact-N10,20Unchanged'!H234)/100,2))*100</f>
        <v>9581.4267616700872</v>
      </c>
      <c r="F234">
        <f>Portfolio!B$5*'CurrentFact-N10,20Unchanged'!D234</f>
        <v>52143.895533915893</v>
      </c>
      <c r="G234">
        <f>Portfolio!B$6*'CurrentFact-N10,20Unchanged'!E234</f>
        <v>3696.2945087936532</v>
      </c>
      <c r="H234">
        <f t="shared" si="9"/>
        <v>94342.132286542386</v>
      </c>
      <c r="I234">
        <f t="shared" si="10"/>
        <v>3.923458779376233</v>
      </c>
    </row>
    <row r="235" spans="1:9">
      <c r="A235" s="1">
        <v>39587</v>
      </c>
      <c r="B235">
        <f>(3/(1+('CurrentFact-N10,20Unchanged'!B235)/100)+103/POWER(1+('CurrentFact-N10,20Unchanged'!C235)/100,2))*100</f>
        <v>9707.5857774288397</v>
      </c>
      <c r="C235">
        <f>(3/(1+('CurrentFact-N10,20Unchanged'!B235+'CurrentFact-N10,20Unchanged'!F235)/100)+103/POWER(1+('CurrentFact-N10,20Unchanged'!C235+'CurrentFact-N10,20Unchanged'!F235)/100,2))*100</f>
        <v>9614.9673582483465</v>
      </c>
      <c r="D235">
        <f>(3/(1+('CurrentFact-N10,20Unchanged'!B235+'CurrentFact-N10,20Unchanged'!G235)/100)+103/POWER(1+('CurrentFact-N10,20Unchanged'!C235+'CurrentFact-N10,20Unchanged'!G235)/100,2))*100</f>
        <v>9592.122274024674</v>
      </c>
      <c r="E235">
        <f>(3/(1+('CurrentFact-N10,20Unchanged'!B235+'CurrentFact-N10,20Unchanged'!H235)/100)+103/POWER(1+('CurrentFact-N10,20Unchanged'!C235+'CurrentFact-N10,20Unchanged'!H235)/100,2))*100</f>
        <v>9595.6029597249562</v>
      </c>
      <c r="F235">
        <f>Portfolio!B$5*'CurrentFact-N10,20Unchanged'!D235</f>
        <v>52143.895533915893</v>
      </c>
      <c r="G235">
        <f>Portfolio!B$6*'CurrentFact-N10,20Unchanged'!E235</f>
        <v>3696.2945087936532</v>
      </c>
      <c r="H235">
        <f t="shared" si="9"/>
        <v>94350.468412136368</v>
      </c>
      <c r="I235">
        <f t="shared" si="10"/>
        <v>0.76601856377965305</v>
      </c>
    </row>
    <row r="236" spans="1:9">
      <c r="A236" s="1">
        <v>39588</v>
      </c>
      <c r="B236">
        <f>(3/(1+('CurrentFact-N10,20Unchanged'!B236)/100)+103/POWER(1+('CurrentFact-N10,20Unchanged'!C236)/100,2))*100</f>
        <v>9707.5857774288397</v>
      </c>
      <c r="C236">
        <f>(3/(1+('CurrentFact-N10,20Unchanged'!B236+'CurrentFact-N10,20Unchanged'!F236)/100)+103/POWER(1+('CurrentFact-N10,20Unchanged'!C236+'CurrentFact-N10,20Unchanged'!F236)/100,2))*100</f>
        <v>9614.9673582483465</v>
      </c>
      <c r="D236">
        <f>(3/(1+('CurrentFact-N10,20Unchanged'!B236+'CurrentFact-N10,20Unchanged'!G236)/100)+103/POWER(1+('CurrentFact-N10,20Unchanged'!C236+'CurrentFact-N10,20Unchanged'!G236)/100,2))*100</f>
        <v>9595.5558428866134</v>
      </c>
      <c r="E236">
        <f>(3/(1+('CurrentFact-N10,20Unchanged'!B236+'CurrentFact-N10,20Unchanged'!H236)/100)+103/POWER(1+('CurrentFact-N10,20Unchanged'!C236+'CurrentFact-N10,20Unchanged'!H236)/100,2))*100</f>
        <v>9579.699866358982</v>
      </c>
      <c r="F236">
        <f>Portfolio!B$5*'CurrentFact-N10,20Unchanged'!D236</f>
        <v>52143.895533915893</v>
      </c>
      <c r="G236">
        <f>Portfolio!B$6*'CurrentFact-N10,20Unchanged'!E236</f>
        <v>3696.2945087936532</v>
      </c>
      <c r="H236">
        <f t="shared" si="9"/>
        <v>94337.998887632333</v>
      </c>
      <c r="I236">
        <f t="shared" si="10"/>
        <v>-11.623422120173927</v>
      </c>
    </row>
    <row r="237" spans="1:9">
      <c r="A237" s="1">
        <v>39589</v>
      </c>
      <c r="B237">
        <f>(3/(1+('CurrentFact-N10,20Unchanged'!B237)/100)+103/POWER(1+('CurrentFact-N10,20Unchanged'!C237)/100,2))*100</f>
        <v>9707.5857774288397</v>
      </c>
      <c r="C237">
        <f>(3/(1+('CurrentFact-N10,20Unchanged'!B237+'CurrentFact-N10,20Unchanged'!F237)/100)+103/POWER(1+('CurrentFact-N10,20Unchanged'!C237+'CurrentFact-N10,20Unchanged'!F237)/100,2))*100</f>
        <v>9614.9673582483465</v>
      </c>
      <c r="D237">
        <f>(3/(1+('CurrentFact-N10,20Unchanged'!B237+'CurrentFact-N10,20Unchanged'!G237)/100)+103/POWER(1+('CurrentFact-N10,20Unchanged'!C237+'CurrentFact-N10,20Unchanged'!G237)/100,2))*100</f>
        <v>9573.6898972544241</v>
      </c>
      <c r="E237">
        <f>(3/(1+('CurrentFact-N10,20Unchanged'!B237+'CurrentFact-N10,20Unchanged'!H237)/100)+103/POWER(1+('CurrentFact-N10,20Unchanged'!C237+'CurrentFact-N10,20Unchanged'!H237)/100,2))*100</f>
        <v>9570.9461275553749</v>
      </c>
      <c r="F237">
        <f>Portfolio!B$5*'CurrentFact-N10,20Unchanged'!D237</f>
        <v>52143.895533915893</v>
      </c>
      <c r="G237">
        <f>Portfolio!B$6*'CurrentFact-N10,20Unchanged'!E237</f>
        <v>3696.2945087936532</v>
      </c>
      <c r="H237">
        <f t="shared" si="9"/>
        <v>94307.379203196528</v>
      </c>
      <c r="I237">
        <f t="shared" si="10"/>
        <v>-57.063287028780906</v>
      </c>
    </row>
    <row r="238" spans="1:9">
      <c r="A238" s="1">
        <v>39590</v>
      </c>
      <c r="B238">
        <f>(3/(1+('CurrentFact-N10,20Unchanged'!B238)/100)+103/POWER(1+('CurrentFact-N10,20Unchanged'!C238)/100,2))*100</f>
        <v>9707.5857774288397</v>
      </c>
      <c r="C238">
        <f>(3/(1+('CurrentFact-N10,20Unchanged'!B238+'CurrentFact-N10,20Unchanged'!F238)/100)+103/POWER(1+('CurrentFact-N10,20Unchanged'!C238+'CurrentFact-N10,20Unchanged'!F238)/100,2))*100</f>
        <v>9614.9673582483465</v>
      </c>
      <c r="D238">
        <f>(3/(1+('CurrentFact-N10,20Unchanged'!B238+'CurrentFact-N10,20Unchanged'!G238)/100)+103/POWER(1+('CurrentFact-N10,20Unchanged'!C238+'CurrentFact-N10,20Unchanged'!G238)/100,2))*100</f>
        <v>9606.626461151207</v>
      </c>
      <c r="E238">
        <f>(3/(1+('CurrentFact-N10,20Unchanged'!B238+'CurrentFact-N10,20Unchanged'!H238)/100)+103/POWER(1+('CurrentFact-N10,20Unchanged'!C238+'CurrentFact-N10,20Unchanged'!H238)/100,2))*100</f>
        <v>9573.4998134274629</v>
      </c>
      <c r="F238">
        <f>Portfolio!B$5*'CurrentFact-N10,20Unchanged'!D238</f>
        <v>52143.895533915893</v>
      </c>
      <c r="G238">
        <f>Portfolio!B$6*'CurrentFact-N10,20Unchanged'!E238</f>
        <v>3696.2945087936532</v>
      </c>
      <c r="H238">
        <f t="shared" si="9"/>
        <v>94342.869452965402</v>
      </c>
      <c r="I238">
        <f t="shared" si="10"/>
        <v>-40.967757645572419</v>
      </c>
    </row>
    <row r="239" spans="1:9">
      <c r="A239" s="1">
        <v>39591</v>
      </c>
      <c r="B239">
        <f>(3/(1+('CurrentFact-N10,20Unchanged'!B239)/100)+103/POWER(1+('CurrentFact-N10,20Unchanged'!C239)/100,2))*100</f>
        <v>9707.5857774288397</v>
      </c>
      <c r="C239">
        <f>(3/(1+('CurrentFact-N10,20Unchanged'!B239+'CurrentFact-N10,20Unchanged'!F239)/100)+103/POWER(1+('CurrentFact-N10,20Unchanged'!C239+'CurrentFact-N10,20Unchanged'!F239)/100,2))*100</f>
        <v>9614.9673582483465</v>
      </c>
      <c r="D239">
        <f>(3/(1+('CurrentFact-N10,20Unchanged'!B239+'CurrentFact-N10,20Unchanged'!G239)/100)+103/POWER(1+('CurrentFact-N10,20Unchanged'!C239+'CurrentFact-N10,20Unchanged'!G239)/100,2))*100</f>
        <v>9606.6661210218208</v>
      </c>
      <c r="E239">
        <f>(3/(1+('CurrentFact-N10,20Unchanged'!B239+'CurrentFact-N10,20Unchanged'!H239)/100)+103/POWER(1+('CurrentFact-N10,20Unchanged'!C239+'CurrentFact-N10,20Unchanged'!H239)/100,2))*100</f>
        <v>9542.1363574169991</v>
      </c>
      <c r="F239">
        <f>Portfolio!B$5*'CurrentFact-N10,20Unchanged'!D239</f>
        <v>52143.895533915893</v>
      </c>
      <c r="G239">
        <f>Portfolio!B$6*'CurrentFact-N10,20Unchanged'!E239</f>
        <v>3696.2945087936532</v>
      </c>
      <c r="H239">
        <f t="shared" si="9"/>
        <v>94311.545656825561</v>
      </c>
      <c r="I239">
        <f t="shared" si="10"/>
        <v>-48.08598627729225</v>
      </c>
    </row>
    <row r="240" spans="1:9">
      <c r="A240" s="1">
        <v>39594</v>
      </c>
      <c r="B240">
        <f>(3/(1+('CurrentFact-N10,20Unchanged'!B240)/100)+103/POWER(1+('CurrentFact-N10,20Unchanged'!C240)/100,2))*100</f>
        <v>9707.5857774288397</v>
      </c>
      <c r="C240">
        <f>(3/(1+('CurrentFact-N10,20Unchanged'!B240+'CurrentFact-N10,20Unchanged'!F240)/100)+103/POWER(1+('CurrentFact-N10,20Unchanged'!C240+'CurrentFact-N10,20Unchanged'!F240)/100,2))*100</f>
        <v>9614.9673582483465</v>
      </c>
      <c r="D240">
        <f>(3/(1+('CurrentFact-N10,20Unchanged'!B240+'CurrentFact-N10,20Unchanged'!G240)/100)+103/POWER(1+('CurrentFact-N10,20Unchanged'!C240+'CurrentFact-N10,20Unchanged'!G240)/100,2))*100</f>
        <v>9587.7124416595288</v>
      </c>
      <c r="E240">
        <f>(3/(1+('CurrentFact-N10,20Unchanged'!B240+'CurrentFact-N10,20Unchanged'!H240)/100)+103/POWER(1+('CurrentFact-N10,20Unchanged'!C240+'CurrentFact-N10,20Unchanged'!H240)/100,2))*100</f>
        <v>9588.3540548551664</v>
      </c>
      <c r="F240">
        <f>Portfolio!B$5*'CurrentFact-N10,20Unchanged'!D240</f>
        <v>52143.895533915893</v>
      </c>
      <c r="G240">
        <f>Portfolio!B$6*'CurrentFact-N10,20Unchanged'!E240</f>
        <v>3696.2945087936532</v>
      </c>
      <c r="H240">
        <f t="shared" si="9"/>
        <v>94338.809674901422</v>
      </c>
      <c r="I240">
        <f t="shared" si="10"/>
        <v>18.252420731005259</v>
      </c>
    </row>
    <row r="241" spans="1:9">
      <c r="A241" s="1">
        <v>39595</v>
      </c>
      <c r="B241">
        <f>(3/(1+('CurrentFact-N10,20Unchanged'!B241)/100)+103/POWER(1+('CurrentFact-N10,20Unchanged'!C241)/100,2))*100</f>
        <v>9707.5857774288397</v>
      </c>
      <c r="C241">
        <f>(3/(1+('CurrentFact-N10,20Unchanged'!B241+'CurrentFact-N10,20Unchanged'!F241)/100)+103/POWER(1+('CurrentFact-N10,20Unchanged'!C241+'CurrentFact-N10,20Unchanged'!F241)/100,2))*100</f>
        <v>9614.9673582483465</v>
      </c>
      <c r="D241">
        <f>(3/(1+('CurrentFact-N10,20Unchanged'!B241+'CurrentFact-N10,20Unchanged'!G241)/100)+103/POWER(1+('CurrentFact-N10,20Unchanged'!C241+'CurrentFact-N10,20Unchanged'!G241)/100,2))*100</f>
        <v>9598.3868747017186</v>
      </c>
      <c r="E241">
        <f>(3/(1+('CurrentFact-N10,20Unchanged'!B241+'CurrentFact-N10,20Unchanged'!H241)/100)+103/POWER(1+('CurrentFact-N10,20Unchanged'!C241+'CurrentFact-N10,20Unchanged'!H241)/100,2))*100</f>
        <v>9591.8349539607079</v>
      </c>
      <c r="F241">
        <f>Portfolio!B$5*'CurrentFact-N10,20Unchanged'!D241</f>
        <v>52143.895533915893</v>
      </c>
      <c r="G241">
        <f>Portfolio!B$6*'CurrentFact-N10,20Unchanged'!E241</f>
        <v>3696.2945087936532</v>
      </c>
      <c r="H241">
        <f t="shared" si="9"/>
        <v>94352.965007049148</v>
      </c>
      <c r="I241">
        <f t="shared" si="10"/>
        <v>-6.4605618739733472</v>
      </c>
    </row>
    <row r="242" spans="1:9">
      <c r="A242" s="1">
        <v>39596</v>
      </c>
      <c r="B242">
        <f>(3/(1+('CurrentFact-N10,20Unchanged'!B242)/100)+103/POWER(1+('CurrentFact-N10,20Unchanged'!C242)/100,2))*100</f>
        <v>9707.5857774288397</v>
      </c>
      <c r="C242">
        <f>(3/(1+('CurrentFact-N10,20Unchanged'!B242+'CurrentFact-N10,20Unchanged'!F242)/100)+103/POWER(1+('CurrentFact-N10,20Unchanged'!C242+'CurrentFact-N10,20Unchanged'!F242)/100,2))*100</f>
        <v>9614.9673582483465</v>
      </c>
      <c r="D242">
        <f>(3/(1+('CurrentFact-N10,20Unchanged'!B242+'CurrentFact-N10,20Unchanged'!G242)/100)+103/POWER(1+('CurrentFact-N10,20Unchanged'!C242+'CurrentFact-N10,20Unchanged'!G242)/100,2))*100</f>
        <v>9599.1313625298044</v>
      </c>
      <c r="E242">
        <f>(3/(1+('CurrentFact-N10,20Unchanged'!B242+'CurrentFact-N10,20Unchanged'!H242)/100)+103/POWER(1+('CurrentFact-N10,20Unchanged'!C242+'CurrentFact-N10,20Unchanged'!H242)/100,2))*100</f>
        <v>9588.7917258984944</v>
      </c>
      <c r="F242">
        <f>Portfolio!B$5*'CurrentFact-N10,20Unchanged'!D242</f>
        <v>52143.895533915893</v>
      </c>
      <c r="G242">
        <f>Portfolio!B$6*'CurrentFact-N10,20Unchanged'!E242</f>
        <v>3696.2945087936532</v>
      </c>
      <c r="H242">
        <f t="shared" si="9"/>
        <v>94350.666266815038</v>
      </c>
      <c r="I242">
        <f t="shared" si="10"/>
        <v>-3.6732023093791213</v>
      </c>
    </row>
    <row r="243" spans="1:9">
      <c r="A243" s="1">
        <v>39597</v>
      </c>
      <c r="B243">
        <f>(3/(1+('CurrentFact-N10,20Unchanged'!B243)/100)+103/POWER(1+('CurrentFact-N10,20Unchanged'!C243)/100,2))*100</f>
        <v>9707.5857774288397</v>
      </c>
      <c r="C243">
        <f>(3/(1+('CurrentFact-N10,20Unchanged'!B243+'CurrentFact-N10,20Unchanged'!F243)/100)+103/POWER(1+('CurrentFact-N10,20Unchanged'!C243+'CurrentFact-N10,20Unchanged'!F243)/100,2))*100</f>
        <v>9614.9673582483465</v>
      </c>
      <c r="D243">
        <f>(3/(1+('CurrentFact-N10,20Unchanged'!B243+'CurrentFact-N10,20Unchanged'!G243)/100)+103/POWER(1+('CurrentFact-N10,20Unchanged'!C243+'CurrentFact-N10,20Unchanged'!G243)/100,2))*100</f>
        <v>9604.9633613182559</v>
      </c>
      <c r="E243">
        <f>(3/(1+('CurrentFact-N10,20Unchanged'!B243+'CurrentFact-N10,20Unchanged'!H243)/100)+103/POWER(1+('CurrentFact-N10,20Unchanged'!C243+'CurrentFact-N10,20Unchanged'!H243)/100,2))*100</f>
        <v>9570.1156985625712</v>
      </c>
      <c r="F243">
        <f>Portfolio!B$5*'CurrentFact-N10,20Unchanged'!D243</f>
        <v>52143.895533915893</v>
      </c>
      <c r="G243">
        <f>Portfolio!B$6*'CurrentFact-N10,20Unchanged'!E243</f>
        <v>3696.2945087936532</v>
      </c>
      <c r="H243">
        <f t="shared" si="9"/>
        <v>94337.822238267559</v>
      </c>
      <c r="I243">
        <f t="shared" si="10"/>
        <v>15.335058286073036</v>
      </c>
    </row>
    <row r="244" spans="1:9">
      <c r="A244" s="1">
        <v>39598</v>
      </c>
      <c r="B244">
        <f>(3/(1+('CurrentFact-N10,20Unchanged'!B244)/100)+103/POWER(1+('CurrentFact-N10,20Unchanged'!C244)/100,2))*100</f>
        <v>9707.5857774288397</v>
      </c>
      <c r="C244">
        <f>(3/(1+('CurrentFact-N10,20Unchanged'!B244+'CurrentFact-N10,20Unchanged'!F244)/100)+103/POWER(1+('CurrentFact-N10,20Unchanged'!C244+'CurrentFact-N10,20Unchanged'!F244)/100,2))*100</f>
        <v>9614.9673582483465</v>
      </c>
      <c r="D244">
        <f>(3/(1+('CurrentFact-N10,20Unchanged'!B244+'CurrentFact-N10,20Unchanged'!G244)/100)+103/POWER(1+('CurrentFact-N10,20Unchanged'!C244+'CurrentFact-N10,20Unchanged'!G244)/100,2))*100</f>
        <v>9611.590742659404</v>
      </c>
      <c r="E244">
        <f>(3/(1+('CurrentFact-N10,20Unchanged'!B244+'CurrentFact-N10,20Unchanged'!H244)/100)+103/POWER(1+('CurrentFact-N10,20Unchanged'!C244+'CurrentFact-N10,20Unchanged'!H244)/100,2))*100</f>
        <v>9572.6075377841116</v>
      </c>
      <c r="F244">
        <f>Portfolio!B$5*'CurrentFact-N10,20Unchanged'!D244</f>
        <v>52143.895533915893</v>
      </c>
      <c r="G244">
        <f>Portfolio!B$6*'CurrentFact-N10,20Unchanged'!E244</f>
        <v>3696.2945087936532</v>
      </c>
      <c r="H244">
        <f t="shared" si="9"/>
        <v>94346.941458830246</v>
      </c>
      <c r="I244">
        <f t="shared" si="10"/>
        <v>4.8091722878598375</v>
      </c>
    </row>
    <row r="245" spans="1:9">
      <c r="A245" s="1">
        <v>39601</v>
      </c>
      <c r="B245">
        <f>(3/(1+('CurrentFact-N10,20Unchanged'!B245)/100)+103/POWER(1+('CurrentFact-N10,20Unchanged'!C245)/100,2))*100</f>
        <v>9707.5857774288397</v>
      </c>
      <c r="C245">
        <f>(3/(1+('CurrentFact-N10,20Unchanged'!B245+'CurrentFact-N10,20Unchanged'!F245)/100)+103/POWER(1+('CurrentFact-N10,20Unchanged'!C245+'CurrentFact-N10,20Unchanged'!F245)/100,2))*100</f>
        <v>9614.9673582483465</v>
      </c>
      <c r="D245">
        <f>(3/(1+('CurrentFact-N10,20Unchanged'!B245+'CurrentFact-N10,20Unchanged'!G245)/100)+103/POWER(1+('CurrentFact-N10,20Unchanged'!C245+'CurrentFact-N10,20Unchanged'!G245)/100,2))*100</f>
        <v>9598.5911506667453</v>
      </c>
      <c r="E245">
        <f>(3/(1+('CurrentFact-N10,20Unchanged'!B245+'CurrentFact-N10,20Unchanged'!H245)/100)+103/POWER(1+('CurrentFact-N10,20Unchanged'!C245+'CurrentFact-N10,20Unchanged'!H245)/100,2))*100</f>
        <v>9590.569955629373</v>
      </c>
      <c r="F245">
        <f>Portfolio!B$5*'CurrentFact-N10,20Unchanged'!D245</f>
        <v>52143.895533915893</v>
      </c>
      <c r="G245">
        <f>Portfolio!B$6*'CurrentFact-N10,20Unchanged'!E245</f>
        <v>3696.2945087936532</v>
      </c>
      <c r="H245">
        <f t="shared" si="9"/>
        <v>94351.904284682852</v>
      </c>
      <c r="I245">
        <f t="shared" si="10"/>
        <v>1.4358725464844611</v>
      </c>
    </row>
    <row r="246" spans="1:9">
      <c r="A246" s="1">
        <v>39602</v>
      </c>
      <c r="B246">
        <f>(3/(1+('CurrentFact-N10,20Unchanged'!B246)/100)+103/POWER(1+('CurrentFact-N10,20Unchanged'!C246)/100,2))*100</f>
        <v>9707.5857774288397</v>
      </c>
      <c r="C246">
        <f>(3/(1+('CurrentFact-N10,20Unchanged'!B246+'CurrentFact-N10,20Unchanged'!F246)/100)+103/POWER(1+('CurrentFact-N10,20Unchanged'!C246+'CurrentFact-N10,20Unchanged'!F246)/100,2))*100</f>
        <v>9614.9673582483465</v>
      </c>
      <c r="D246">
        <f>(3/(1+('CurrentFact-N10,20Unchanged'!B246+'CurrentFact-N10,20Unchanged'!G246)/100)+103/POWER(1+('CurrentFact-N10,20Unchanged'!C246+'CurrentFact-N10,20Unchanged'!G246)/100,2))*100</f>
        <v>9589.6233012548473</v>
      </c>
      <c r="E246">
        <f>(3/(1+('CurrentFact-N10,20Unchanged'!B246+'CurrentFact-N10,20Unchanged'!H246)/100)+103/POWER(1+('CurrentFact-N10,20Unchanged'!C246+'CurrentFact-N10,20Unchanged'!H246)/100,2))*100</f>
        <v>9591.6073825056264</v>
      </c>
      <c r="F246">
        <f>Portfolio!B$5*'CurrentFact-N10,20Unchanged'!D246</f>
        <v>52143.895533915893</v>
      </c>
      <c r="G246">
        <f>Portfolio!B$6*'CurrentFact-N10,20Unchanged'!E246</f>
        <v>3696.2945087936532</v>
      </c>
      <c r="H246">
        <f t="shared" si="9"/>
        <v>94343.973862147206</v>
      </c>
      <c r="I246">
        <f t="shared" si="10"/>
        <v>5.9749745148728834</v>
      </c>
    </row>
    <row r="247" spans="1:9">
      <c r="A247" s="1">
        <v>39603</v>
      </c>
      <c r="B247">
        <f>(3/(1+('CurrentFact-N10,20Unchanged'!B247)/100)+103/POWER(1+('CurrentFact-N10,20Unchanged'!C247)/100,2))*100</f>
        <v>9707.5857774288397</v>
      </c>
      <c r="C247">
        <f>(3/(1+('CurrentFact-N10,20Unchanged'!B247+'CurrentFact-N10,20Unchanged'!F247)/100)+103/POWER(1+('CurrentFact-N10,20Unchanged'!C247+'CurrentFact-N10,20Unchanged'!F247)/100,2))*100</f>
        <v>9614.9673582483465</v>
      </c>
      <c r="D247">
        <f>(3/(1+('CurrentFact-N10,20Unchanged'!B247+'CurrentFact-N10,20Unchanged'!G247)/100)+103/POWER(1+('CurrentFact-N10,20Unchanged'!C247+'CurrentFact-N10,20Unchanged'!G247)/100,2))*100</f>
        <v>9606.1838073545041</v>
      </c>
      <c r="E247">
        <f>(3/(1+('CurrentFact-N10,20Unchanged'!B247+'CurrentFact-N10,20Unchanged'!H247)/100)+103/POWER(1+('CurrentFact-N10,20Unchanged'!C247+'CurrentFact-N10,20Unchanged'!H247)/100,2))*100</f>
        <v>9591.4190622700244</v>
      </c>
      <c r="F247">
        <f>Portfolio!B$5*'CurrentFact-N10,20Unchanged'!D247</f>
        <v>52143.895533915893</v>
      </c>
      <c r="G247">
        <f>Portfolio!B$6*'CurrentFact-N10,20Unchanged'!E247</f>
        <v>3696.2945087936532</v>
      </c>
      <c r="H247">
        <f t="shared" si="9"/>
        <v>94360.34604801127</v>
      </c>
      <c r="I247">
        <f t="shared" si="10"/>
        <v>52.966844814742217</v>
      </c>
    </row>
    <row r="248" spans="1:9">
      <c r="A248" s="1">
        <v>39604</v>
      </c>
      <c r="B248">
        <f>(3/(1+('CurrentFact-N10,20Unchanged'!B248)/100)+103/POWER(1+('CurrentFact-N10,20Unchanged'!C248)/100,2))*100</f>
        <v>9707.5857774288397</v>
      </c>
      <c r="C248">
        <f>(3/(1+('CurrentFact-N10,20Unchanged'!B248+'CurrentFact-N10,20Unchanged'!F248)/100)+103/POWER(1+('CurrentFact-N10,20Unchanged'!C248+'CurrentFact-N10,20Unchanged'!F248)/100,2))*100</f>
        <v>9614.9673582483465</v>
      </c>
      <c r="D248">
        <f>(3/(1+('CurrentFact-N10,20Unchanged'!B248+'CurrentFact-N10,20Unchanged'!G248)/100)+103/POWER(1+('CurrentFact-N10,20Unchanged'!C248+'CurrentFact-N10,20Unchanged'!G248)/100,2))*100</f>
        <v>9600.3996326312554</v>
      </c>
      <c r="E248">
        <f>(3/(1+('CurrentFact-N10,20Unchanged'!B248+'CurrentFact-N10,20Unchanged'!H248)/100)+103/POWER(1+('CurrentFact-N10,20Unchanged'!C248+'CurrentFact-N10,20Unchanged'!H248)/100,2))*100</f>
        <v>9589.8730168927523</v>
      </c>
      <c r="F248">
        <f>Portfolio!B$5*'CurrentFact-N10,20Unchanged'!D248</f>
        <v>52143.895533915893</v>
      </c>
      <c r="G248">
        <f>Portfolio!B$6*'CurrentFact-N10,20Unchanged'!E248</f>
        <v>3696.2945087936532</v>
      </c>
      <c r="H248">
        <f t="shared" si="9"/>
        <v>94353.015827910742</v>
      </c>
      <c r="I248">
        <f t="shared" si="10"/>
        <v>10.14637494533963</v>
      </c>
    </row>
    <row r="249" spans="1:9">
      <c r="A249" s="1">
        <v>39605</v>
      </c>
      <c r="B249">
        <f>(3/(1+('CurrentFact-N10,20Unchanged'!B249)/100)+103/POWER(1+('CurrentFact-N10,20Unchanged'!C249)/100,2))*100</f>
        <v>9707.5857774288397</v>
      </c>
      <c r="C249">
        <f>(3/(1+('CurrentFact-N10,20Unchanged'!B249+'CurrentFact-N10,20Unchanged'!F249)/100)+103/POWER(1+('CurrentFact-N10,20Unchanged'!C249+'CurrentFact-N10,20Unchanged'!F249)/100,2))*100</f>
        <v>9614.9673582483465</v>
      </c>
      <c r="D249">
        <f>(3/(1+('CurrentFact-N10,20Unchanged'!B249+'CurrentFact-N10,20Unchanged'!G249)/100)+103/POWER(1+('CurrentFact-N10,20Unchanged'!C249+'CurrentFact-N10,20Unchanged'!G249)/100,2))*100</f>
        <v>9592.2508943256871</v>
      </c>
      <c r="E249">
        <f>(3/(1+('CurrentFact-N10,20Unchanged'!B249+'CurrentFact-N10,20Unchanged'!H249)/100)+103/POWER(1+('CurrentFact-N10,20Unchanged'!C249+'CurrentFact-N10,20Unchanged'!H249)/100,2))*100</f>
        <v>9602.2079674607048</v>
      </c>
      <c r="F249">
        <f>Portfolio!B$5*'CurrentFact-N10,20Unchanged'!D249</f>
        <v>52143.895533915893</v>
      </c>
      <c r="G249">
        <f>Portfolio!B$6*'CurrentFact-N10,20Unchanged'!E249</f>
        <v>3696.2945087936532</v>
      </c>
      <c r="H249">
        <f t="shared" si="9"/>
        <v>94357.202040173113</v>
      </c>
      <c r="I249">
        <f t="shared" si="10"/>
        <v>45.656383347552037</v>
      </c>
    </row>
    <row r="250" spans="1:9">
      <c r="A250" s="1">
        <v>39608</v>
      </c>
      <c r="B250">
        <f>(3/(1+('CurrentFact-N10,20Unchanged'!B250)/100)+103/POWER(1+('CurrentFact-N10,20Unchanged'!C250)/100,2))*100</f>
        <v>9707.5857774288397</v>
      </c>
      <c r="C250">
        <f>(3/(1+('CurrentFact-N10,20Unchanged'!B250+'CurrentFact-N10,20Unchanged'!F250)/100)+103/POWER(1+('CurrentFact-N10,20Unchanged'!C250+'CurrentFact-N10,20Unchanged'!F250)/100,2))*100</f>
        <v>9614.9673582483465</v>
      </c>
      <c r="D250">
        <f>(3/(1+('CurrentFact-N10,20Unchanged'!B250+'CurrentFact-N10,20Unchanged'!G250)/100)+103/POWER(1+('CurrentFact-N10,20Unchanged'!C250+'CurrentFact-N10,20Unchanged'!G250)/100,2))*100</f>
        <v>9591.4939918914934</v>
      </c>
      <c r="E250">
        <f>(3/(1+('CurrentFact-N10,20Unchanged'!B250+'CurrentFact-N10,20Unchanged'!H250)/100)+103/POWER(1+('CurrentFact-N10,20Unchanged'!C250+'CurrentFact-N10,20Unchanged'!H250)/100,2))*100</f>
        <v>9576.0937379574352</v>
      </c>
      <c r="F250">
        <f>Portfolio!B$5*'CurrentFact-N10,20Unchanged'!D250</f>
        <v>52143.895533915893</v>
      </c>
      <c r="G250">
        <f>Portfolio!B$6*'CurrentFact-N10,20Unchanged'!E250</f>
        <v>3696.2945087936532</v>
      </c>
      <c r="H250">
        <f t="shared" si="9"/>
        <v>94330.330908235657</v>
      </c>
      <c r="I250">
        <f t="shared" si="10"/>
        <v>-8.4787666657648515</v>
      </c>
    </row>
    <row r="251" spans="1:9">
      <c r="A251" s="1">
        <v>39609</v>
      </c>
      <c r="B251">
        <f>(3/(1+('CurrentFact-N10,20Unchanged'!B251)/100)+103/POWER(1+('CurrentFact-N10,20Unchanged'!C251)/100,2))*100</f>
        <v>9707.5857774288397</v>
      </c>
      <c r="C251">
        <f>(3/(1+('CurrentFact-N10,20Unchanged'!B251+'CurrentFact-N10,20Unchanged'!F251)/100)+103/POWER(1+('CurrentFact-N10,20Unchanged'!C251+'CurrentFact-N10,20Unchanged'!F251)/100,2))*100</f>
        <v>9614.9673582483465</v>
      </c>
      <c r="D251">
        <f>(3/(1+('CurrentFact-N10,20Unchanged'!B251+'CurrentFact-N10,20Unchanged'!G251)/100)+103/POWER(1+('CurrentFact-N10,20Unchanged'!C251+'CurrentFact-N10,20Unchanged'!G251)/100,2))*100</f>
        <v>9602.5404212290723</v>
      </c>
      <c r="E251">
        <f>(3/(1+('CurrentFact-N10,20Unchanged'!B251+'CurrentFact-N10,20Unchanged'!H251)/100)+103/POWER(1+('CurrentFact-N10,20Unchanged'!C251+'CurrentFact-N10,20Unchanged'!H251)/100,2))*100</f>
        <v>9595.9490514904428</v>
      </c>
      <c r="F251">
        <f>Portfolio!B$5*'CurrentFact-N10,20Unchanged'!D251</f>
        <v>52143.895533915893</v>
      </c>
      <c r="G251">
        <f>Portfolio!B$6*'CurrentFact-N10,20Unchanged'!E251</f>
        <v>3696.2945087936532</v>
      </c>
      <c r="H251">
        <f t="shared" si="9"/>
        <v>94361.232651106257</v>
      </c>
      <c r="I251">
        <f t="shared" si="10"/>
        <v>8.267644057108555</v>
      </c>
    </row>
    <row r="252" spans="1:9">
      <c r="A252" s="1">
        <v>39610</v>
      </c>
      <c r="B252">
        <f>(3/(1+('CurrentFact-N10,20Unchanged'!B252)/100)+103/POWER(1+('CurrentFact-N10,20Unchanged'!C252)/100,2))*100</f>
        <v>9707.5857774288397</v>
      </c>
      <c r="C252">
        <f>(3/(1+('CurrentFact-N10,20Unchanged'!B252+'CurrentFact-N10,20Unchanged'!F252)/100)+103/POWER(1+('CurrentFact-N10,20Unchanged'!C252+'CurrentFact-N10,20Unchanged'!F252)/100,2))*100</f>
        <v>9614.9673582483465</v>
      </c>
      <c r="D252">
        <f>(3/(1+('CurrentFact-N10,20Unchanged'!B252+'CurrentFact-N10,20Unchanged'!G252)/100)+103/POWER(1+('CurrentFact-N10,20Unchanged'!C252+'CurrentFact-N10,20Unchanged'!G252)/100,2))*100</f>
        <v>9611.4827681820207</v>
      </c>
      <c r="E252">
        <f>(3/(1+('CurrentFact-N10,20Unchanged'!B252+'CurrentFact-N10,20Unchanged'!H252)/100)+103/POWER(1+('CurrentFact-N10,20Unchanged'!C252+'CurrentFact-N10,20Unchanged'!H252)/100,2))*100</f>
        <v>9584.8250213334341</v>
      </c>
      <c r="F252">
        <f>Portfolio!B$5*'CurrentFact-N10,20Unchanged'!D252</f>
        <v>52143.895533915893</v>
      </c>
      <c r="G252">
        <f>Portfolio!B$6*'CurrentFact-N10,20Unchanged'!E252</f>
        <v>3696.2945087936532</v>
      </c>
      <c r="H252">
        <f t="shared" ref="H252:H263" si="11">SUM(B252:G252)</f>
        <v>94359.050967902178</v>
      </c>
      <c r="I252">
        <f t="shared" ref="I252:I263" si="12">H252-H242</f>
        <v>8.3847010871395469</v>
      </c>
    </row>
    <row r="253" spans="1:9">
      <c r="A253" s="1">
        <v>39611</v>
      </c>
      <c r="B253">
        <f>(3/(1+('CurrentFact-N10,20Unchanged'!B253)/100)+103/POWER(1+('CurrentFact-N10,20Unchanged'!C253)/100,2))*100</f>
        <v>9707.5857774288397</v>
      </c>
      <c r="C253">
        <f>(3/(1+('CurrentFact-N10,20Unchanged'!B253+'CurrentFact-N10,20Unchanged'!F253)/100)+103/POWER(1+('CurrentFact-N10,20Unchanged'!C253+'CurrentFact-N10,20Unchanged'!F253)/100,2))*100</f>
        <v>9614.9673582483465</v>
      </c>
      <c r="D253">
        <f>(3/(1+('CurrentFact-N10,20Unchanged'!B253+'CurrentFact-N10,20Unchanged'!G253)/100)+103/POWER(1+('CurrentFact-N10,20Unchanged'!C253+'CurrentFact-N10,20Unchanged'!G253)/100,2))*100</f>
        <v>9609.5384354515227</v>
      </c>
      <c r="E253">
        <f>(3/(1+('CurrentFact-N10,20Unchanged'!B253+'CurrentFact-N10,20Unchanged'!H253)/100)+103/POWER(1+('CurrentFact-N10,20Unchanged'!C253+'CurrentFact-N10,20Unchanged'!H253)/100,2))*100</f>
        <v>9585.8814055839593</v>
      </c>
      <c r="F253">
        <f>Portfolio!B$5*'CurrentFact-N10,20Unchanged'!D253</f>
        <v>52143.895533915893</v>
      </c>
      <c r="G253">
        <f>Portfolio!B$6*'CurrentFact-N10,20Unchanged'!E253</f>
        <v>3696.2945087936532</v>
      </c>
      <c r="H253">
        <f t="shared" si="11"/>
        <v>94358.163019422209</v>
      </c>
      <c r="I253">
        <f t="shared" si="12"/>
        <v>20.340781154649449</v>
      </c>
    </row>
    <row r="254" spans="1:9">
      <c r="A254" s="1">
        <v>39612</v>
      </c>
      <c r="B254">
        <f>(3/(1+('CurrentFact-N10,20Unchanged'!B254)/100)+103/POWER(1+('CurrentFact-N10,20Unchanged'!C254)/100,2))*100</f>
        <v>9707.5857774288397</v>
      </c>
      <c r="C254">
        <f>(3/(1+('CurrentFact-N10,20Unchanged'!B254+'CurrentFact-N10,20Unchanged'!F254)/100)+103/POWER(1+('CurrentFact-N10,20Unchanged'!C254+'CurrentFact-N10,20Unchanged'!F254)/100,2))*100</f>
        <v>9614.9673582483465</v>
      </c>
      <c r="D254">
        <f>(3/(1+('CurrentFact-N10,20Unchanged'!B254+'CurrentFact-N10,20Unchanged'!G254)/100)+103/POWER(1+('CurrentFact-N10,20Unchanged'!C254+'CurrentFact-N10,20Unchanged'!G254)/100,2))*100</f>
        <v>9604.2406206722244</v>
      </c>
      <c r="E254">
        <f>(3/(1+('CurrentFact-N10,20Unchanged'!B254+'CurrentFact-N10,20Unchanged'!H254)/100)+103/POWER(1+('CurrentFact-N10,20Unchanged'!C254+'CurrentFact-N10,20Unchanged'!H254)/100,2))*100</f>
        <v>9588.5699250861398</v>
      </c>
      <c r="F254">
        <f>Portfolio!B$5*'CurrentFact-N10,20Unchanged'!D254</f>
        <v>52143.895533915893</v>
      </c>
      <c r="G254">
        <f>Portfolio!B$6*'CurrentFact-N10,20Unchanged'!E254</f>
        <v>3696.2945087936532</v>
      </c>
      <c r="H254">
        <f t="shared" si="11"/>
        <v>94355.553724145109</v>
      </c>
      <c r="I254">
        <f t="shared" si="12"/>
        <v>8.6122653148631798</v>
      </c>
    </row>
    <row r="255" spans="1:9">
      <c r="A255" s="1">
        <v>39615</v>
      </c>
      <c r="B255">
        <f>(3/(1+('CurrentFact-N10,20Unchanged'!B255)/100)+103/POWER(1+('CurrentFact-N10,20Unchanged'!C255)/100,2))*100</f>
        <v>9707.5857774288397</v>
      </c>
      <c r="C255">
        <f>(3/(1+('CurrentFact-N10,20Unchanged'!B255+'CurrentFact-N10,20Unchanged'!F255)/100)+103/POWER(1+('CurrentFact-N10,20Unchanged'!C255+'CurrentFact-N10,20Unchanged'!F255)/100,2))*100</f>
        <v>9614.9673582483465</v>
      </c>
      <c r="D255">
        <f>(3/(1+('CurrentFact-N10,20Unchanged'!B255+'CurrentFact-N10,20Unchanged'!G255)/100)+103/POWER(1+('CurrentFact-N10,20Unchanged'!C255+'CurrentFact-N10,20Unchanged'!G255)/100,2))*100</f>
        <v>9588.4035454696404</v>
      </c>
      <c r="E255">
        <f>(3/(1+('CurrentFact-N10,20Unchanged'!B255+'CurrentFact-N10,20Unchanged'!H255)/100)+103/POWER(1+('CurrentFact-N10,20Unchanged'!C255+'CurrentFact-N10,20Unchanged'!H255)/100,2))*100</f>
        <v>9599.3574296519437</v>
      </c>
      <c r="F255">
        <f>Portfolio!B$5*'CurrentFact-N10,20Unchanged'!D255</f>
        <v>52143.895533915893</v>
      </c>
      <c r="G255">
        <f>Portfolio!B$6*'CurrentFact-N10,20Unchanged'!E255</f>
        <v>3696.2945087936532</v>
      </c>
      <c r="H255">
        <f t="shared" si="11"/>
        <v>94350.504153508315</v>
      </c>
      <c r="I255">
        <f t="shared" si="12"/>
        <v>-1.4001311745378189</v>
      </c>
    </row>
    <row r="256" spans="1:9">
      <c r="A256" s="1">
        <v>39616</v>
      </c>
      <c r="B256">
        <f>(3/(1+('CurrentFact-N10,20Unchanged'!B256)/100)+103/POWER(1+('CurrentFact-N10,20Unchanged'!C256)/100,2))*100</f>
        <v>9707.5857774288397</v>
      </c>
      <c r="C256">
        <f>(3/(1+('CurrentFact-N10,20Unchanged'!B256+'CurrentFact-N10,20Unchanged'!F256)/100)+103/POWER(1+('CurrentFact-N10,20Unchanged'!C256+'CurrentFact-N10,20Unchanged'!F256)/100,2))*100</f>
        <v>9614.9673582483465</v>
      </c>
      <c r="D256">
        <f>(3/(1+('CurrentFact-N10,20Unchanged'!B256+'CurrentFact-N10,20Unchanged'!G256)/100)+103/POWER(1+('CurrentFact-N10,20Unchanged'!C256+'CurrentFact-N10,20Unchanged'!G256)/100,2))*100</f>
        <v>9603.4229415018126</v>
      </c>
      <c r="E256">
        <f>(3/(1+('CurrentFact-N10,20Unchanged'!B256+'CurrentFact-N10,20Unchanged'!H256)/100)+103/POWER(1+('CurrentFact-N10,20Unchanged'!C256+'CurrentFact-N10,20Unchanged'!H256)/100,2))*100</f>
        <v>9575.0325397319502</v>
      </c>
      <c r="F256">
        <f>Portfolio!B$5*'CurrentFact-N10,20Unchanged'!D256</f>
        <v>52143.895533915893</v>
      </c>
      <c r="G256">
        <f>Portfolio!B$6*'CurrentFact-N10,20Unchanged'!E256</f>
        <v>3696.2945087936532</v>
      </c>
      <c r="H256">
        <f t="shared" si="11"/>
        <v>94341.198659620495</v>
      </c>
      <c r="I256">
        <f t="shared" si="12"/>
        <v>-2.7752025267109275</v>
      </c>
    </row>
    <row r="257" spans="1:9">
      <c r="A257" s="1">
        <v>39617</v>
      </c>
      <c r="B257">
        <f>(3/(1+('CurrentFact-N10,20Unchanged'!B257)/100)+103/POWER(1+('CurrentFact-N10,20Unchanged'!C257)/100,2))*100</f>
        <v>9707.5857774288397</v>
      </c>
      <c r="C257">
        <f>(3/(1+('CurrentFact-N10,20Unchanged'!B257+'CurrentFact-N10,20Unchanged'!F257)/100)+103/POWER(1+('CurrentFact-N10,20Unchanged'!C257+'CurrentFact-N10,20Unchanged'!F257)/100,2))*100</f>
        <v>9614.9673582483465</v>
      </c>
      <c r="D257">
        <f>(3/(1+('CurrentFact-N10,20Unchanged'!B257+'CurrentFact-N10,20Unchanged'!G257)/100)+103/POWER(1+('CurrentFact-N10,20Unchanged'!C257+'CurrentFact-N10,20Unchanged'!G257)/100,2))*100</f>
        <v>9588.8351424397151</v>
      </c>
      <c r="E257">
        <f>(3/(1+('CurrentFact-N10,20Unchanged'!B257+'CurrentFact-N10,20Unchanged'!H257)/100)+103/POWER(1+('CurrentFact-N10,20Unchanged'!C257+'CurrentFact-N10,20Unchanged'!H257)/100,2))*100</f>
        <v>9588.4765331043127</v>
      </c>
      <c r="F257">
        <f>Portfolio!B$5*'CurrentFact-N10,20Unchanged'!D257</f>
        <v>52143.895533915893</v>
      </c>
      <c r="G257">
        <f>Portfolio!B$6*'CurrentFact-N10,20Unchanged'!E257</f>
        <v>3696.2945087936532</v>
      </c>
      <c r="H257">
        <f t="shared" si="11"/>
        <v>94340.054853930749</v>
      </c>
      <c r="I257">
        <f t="shared" si="12"/>
        <v>-20.291194080520654</v>
      </c>
    </row>
    <row r="258" spans="1:9">
      <c r="A258" s="1">
        <v>39618</v>
      </c>
      <c r="B258">
        <f>(3/(1+('CurrentFact-N10,20Unchanged'!B258)/100)+103/POWER(1+('CurrentFact-N10,20Unchanged'!C258)/100,2))*100</f>
        <v>9707.5857774288397</v>
      </c>
      <c r="C258">
        <f>(3/(1+('CurrentFact-N10,20Unchanged'!B258+'CurrentFact-N10,20Unchanged'!F258)/100)+103/POWER(1+('CurrentFact-N10,20Unchanged'!C258+'CurrentFact-N10,20Unchanged'!F258)/100,2))*100</f>
        <v>9614.9673582483465</v>
      </c>
      <c r="D258">
        <f>(3/(1+('CurrentFact-N10,20Unchanged'!B258+'CurrentFact-N10,20Unchanged'!G258)/100)+103/POWER(1+('CurrentFact-N10,20Unchanged'!C258+'CurrentFact-N10,20Unchanged'!G258)/100,2))*100</f>
        <v>9607.1313346841762</v>
      </c>
      <c r="E258">
        <f>(3/(1+('CurrentFact-N10,20Unchanged'!B258+'CurrentFact-N10,20Unchanged'!H258)/100)+103/POWER(1+('CurrentFact-N10,20Unchanged'!C258+'CurrentFact-N10,20Unchanged'!H258)/100,2))*100</f>
        <v>9566.6513597430076</v>
      </c>
      <c r="F258">
        <f>Portfolio!B$5*'CurrentFact-N10,20Unchanged'!D258</f>
        <v>52143.895533915893</v>
      </c>
      <c r="G258">
        <f>Portfolio!B$6*'CurrentFact-N10,20Unchanged'!E258</f>
        <v>3696.2945087936532</v>
      </c>
      <c r="H258">
        <f t="shared" si="11"/>
        <v>94336.525872813916</v>
      </c>
      <c r="I258">
        <f t="shared" si="12"/>
        <v>-16.489955096825724</v>
      </c>
    </row>
    <row r="259" spans="1:9">
      <c r="A259" s="1">
        <v>39619</v>
      </c>
      <c r="B259">
        <f>(3/(1+('CurrentFact-N10,20Unchanged'!B259)/100)+103/POWER(1+('CurrentFact-N10,20Unchanged'!C259)/100,2))*100</f>
        <v>9707.5857774288397</v>
      </c>
      <c r="C259">
        <f>(3/(1+('CurrentFact-N10,20Unchanged'!B259+'CurrentFact-N10,20Unchanged'!F259)/100)+103/POWER(1+('CurrentFact-N10,20Unchanged'!C259+'CurrentFact-N10,20Unchanged'!F259)/100,2))*100</f>
        <v>9614.9673582483465</v>
      </c>
      <c r="D259">
        <f>(3/(1+('CurrentFact-N10,20Unchanged'!B259+'CurrentFact-N10,20Unchanged'!G259)/100)+103/POWER(1+('CurrentFact-N10,20Unchanged'!C259+'CurrentFact-N10,20Unchanged'!G259)/100,2))*100</f>
        <v>9598.2751818665038</v>
      </c>
      <c r="E259">
        <f>(3/(1+('CurrentFact-N10,20Unchanged'!B259+'CurrentFact-N10,20Unchanged'!H259)/100)+103/POWER(1+('CurrentFact-N10,20Unchanged'!C259+'CurrentFact-N10,20Unchanged'!H259)/100,2))*100</f>
        <v>9567.6461248609321</v>
      </c>
      <c r="F259">
        <f>Portfolio!B$5*'CurrentFact-N10,20Unchanged'!D259</f>
        <v>52143.895533915893</v>
      </c>
      <c r="G259">
        <f>Portfolio!B$6*'CurrentFact-N10,20Unchanged'!E259</f>
        <v>3696.2945087936532</v>
      </c>
      <c r="H259">
        <f t="shared" si="11"/>
        <v>94328.664485114161</v>
      </c>
      <c r="I259">
        <f t="shared" si="12"/>
        <v>-28.537555058952421</v>
      </c>
    </row>
    <row r="260" spans="1:9">
      <c r="A260" s="1">
        <v>39622</v>
      </c>
      <c r="B260">
        <f>(3/(1+('CurrentFact-N10,20Unchanged'!B260)/100)+103/POWER(1+('CurrentFact-N10,20Unchanged'!C260)/100,2))*100</f>
        <v>9707.5857774288397</v>
      </c>
      <c r="C260">
        <f>(3/(1+('CurrentFact-N10,20Unchanged'!B260+'CurrentFact-N10,20Unchanged'!F260)/100)+103/POWER(1+('CurrentFact-N10,20Unchanged'!C260+'CurrentFact-N10,20Unchanged'!F260)/100,2))*100</f>
        <v>9614.9673582483465</v>
      </c>
      <c r="D260">
        <f>(3/(1+('CurrentFact-N10,20Unchanged'!B260+'CurrentFact-N10,20Unchanged'!G260)/100)+103/POWER(1+('CurrentFact-N10,20Unchanged'!C260+'CurrentFact-N10,20Unchanged'!G260)/100,2))*100</f>
        <v>9593.4446853727804</v>
      </c>
      <c r="E260">
        <f>(3/(1+('CurrentFact-N10,20Unchanged'!B260+'CurrentFact-N10,20Unchanged'!H260)/100)+103/POWER(1+('CurrentFact-N10,20Unchanged'!C260+'CurrentFact-N10,20Unchanged'!H260)/100,2))*100</f>
        <v>9576.146416414138</v>
      </c>
      <c r="F260">
        <f>Portfolio!B$5*'CurrentFact-N10,20Unchanged'!D260</f>
        <v>52143.895533915893</v>
      </c>
      <c r="G260">
        <f>Portfolio!B$6*'CurrentFact-N10,20Unchanged'!E260</f>
        <v>3696.2945087936532</v>
      </c>
      <c r="H260">
        <f t="shared" si="11"/>
        <v>94332.334280173643</v>
      </c>
      <c r="I260">
        <f t="shared" si="12"/>
        <v>2.0033719379862305</v>
      </c>
    </row>
    <row r="261" spans="1:9">
      <c r="A261" s="1">
        <v>39623</v>
      </c>
      <c r="B261">
        <f>(3/(1+('CurrentFact-N10,20Unchanged'!B261)/100)+103/POWER(1+('CurrentFact-N10,20Unchanged'!C261)/100,2))*100</f>
        <v>9707.5857774288397</v>
      </c>
      <c r="C261">
        <f>(3/(1+('CurrentFact-N10,20Unchanged'!B261+'CurrentFact-N10,20Unchanged'!F261)/100)+103/POWER(1+('CurrentFact-N10,20Unchanged'!C261+'CurrentFact-N10,20Unchanged'!F261)/100,2))*100</f>
        <v>9614.9673582483465</v>
      </c>
      <c r="D261">
        <f>(3/(1+('CurrentFact-N10,20Unchanged'!B261+'CurrentFact-N10,20Unchanged'!G261)/100)+103/POWER(1+('CurrentFact-N10,20Unchanged'!C261+'CurrentFact-N10,20Unchanged'!G261)/100,2))*100</f>
        <v>9589.7878952367464</v>
      </c>
      <c r="E261">
        <f>(3/(1+('CurrentFact-N10,20Unchanged'!B261+'CurrentFact-N10,20Unchanged'!H261)/100)+103/POWER(1+('CurrentFact-N10,20Unchanged'!C261+'CurrentFact-N10,20Unchanged'!H261)/100,2))*100</f>
        <v>9597.7681175900307</v>
      </c>
      <c r="F261">
        <f>Portfolio!B$5*'CurrentFact-N10,20Unchanged'!D261</f>
        <v>52143.895533915893</v>
      </c>
      <c r="G261">
        <f>Portfolio!B$6*'CurrentFact-N10,20Unchanged'!E261</f>
        <v>3696.2945087936532</v>
      </c>
      <c r="H261">
        <f t="shared" si="11"/>
        <v>94350.299191213504</v>
      </c>
      <c r="I261">
        <f t="shared" si="12"/>
        <v>-10.93345989275258</v>
      </c>
    </row>
    <row r="262" spans="1:9">
      <c r="A262" s="1">
        <v>39624</v>
      </c>
      <c r="B262">
        <f>(3/(1+('CurrentFact-N10,20Unchanged'!B262)/100)+103/POWER(1+('CurrentFact-N10,20Unchanged'!C262)/100,2))*100</f>
        <v>9707.5857774288397</v>
      </c>
      <c r="C262">
        <f>(3/(1+('CurrentFact-N10,20Unchanged'!B262+'CurrentFact-N10,20Unchanged'!F262)/100)+103/POWER(1+('CurrentFact-N10,20Unchanged'!C262+'CurrentFact-N10,20Unchanged'!F262)/100,2))*100</f>
        <v>9614.9673582483465</v>
      </c>
      <c r="D262">
        <f>(3/(1+('CurrentFact-N10,20Unchanged'!B262+'CurrentFact-N10,20Unchanged'!G262)/100)+103/POWER(1+('CurrentFact-N10,20Unchanged'!C262+'CurrentFact-N10,20Unchanged'!G262)/100,2))*100</f>
        <v>9572.2538466841106</v>
      </c>
      <c r="E262">
        <f>(3/(1+('CurrentFact-N10,20Unchanged'!B262+'CurrentFact-N10,20Unchanged'!H262)/100)+103/POWER(1+('CurrentFact-N10,20Unchanged'!C262+'CurrentFact-N10,20Unchanged'!H262)/100,2))*100</f>
        <v>9581.1661296490092</v>
      </c>
      <c r="F262">
        <f>Portfolio!B$5*'CurrentFact-N10,20Unchanged'!D262</f>
        <v>52143.895533915893</v>
      </c>
      <c r="G262">
        <f>Portfolio!B$6*'CurrentFact-N10,20Unchanged'!E262</f>
        <v>3696.2945087936532</v>
      </c>
      <c r="H262">
        <f t="shared" si="11"/>
        <v>94316.163154719863</v>
      </c>
      <c r="I262">
        <f t="shared" si="12"/>
        <v>-42.887813182314858</v>
      </c>
    </row>
    <row r="263" spans="1:9">
      <c r="A263" s="1">
        <v>39625</v>
      </c>
      <c r="B263">
        <f>(3/(1+('CurrentFact-N10,20Unchanged'!B263)/100)+103/POWER(1+('CurrentFact-N10,20Unchanged'!C263)/100,2))*100</f>
        <v>9707.5857774288397</v>
      </c>
      <c r="C263">
        <f>(3/(1+('CurrentFact-N10,20Unchanged'!B263+'CurrentFact-N10,20Unchanged'!F263)/100)+103/POWER(1+('CurrentFact-N10,20Unchanged'!C263+'CurrentFact-N10,20Unchanged'!F263)/100,2))*100</f>
        <v>9614.9673582483465</v>
      </c>
      <c r="D263">
        <f>(3/(1+('CurrentFact-N10,20Unchanged'!B263+'CurrentFact-N10,20Unchanged'!G263)/100)+103/POWER(1+('CurrentFact-N10,20Unchanged'!C263+'CurrentFact-N10,20Unchanged'!G263)/100,2))*100</f>
        <v>9591.1646952462615</v>
      </c>
      <c r="E263">
        <f>(3/(1+('CurrentFact-N10,20Unchanged'!B263+'CurrentFact-N10,20Unchanged'!H263)/100)+103/POWER(1+('CurrentFact-N10,20Unchanged'!C263+'CurrentFact-N10,20Unchanged'!H263)/100,2))*100</f>
        <v>9593.7302485209475</v>
      </c>
      <c r="F263">
        <f>Portfolio!B$5*'CurrentFact-N10,20Unchanged'!D263</f>
        <v>52143.895533915893</v>
      </c>
      <c r="G263">
        <f>Portfolio!B$6*'CurrentFact-N10,20Unchanged'!E263</f>
        <v>3696.2945087936532</v>
      </c>
      <c r="H263">
        <f t="shared" si="11"/>
        <v>94347.638122153934</v>
      </c>
      <c r="I263">
        <f t="shared" si="12"/>
        <v>-10.524897268274799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4156-46B7-44F2-A98A-ADFEF2985D3A}">
  <dimension ref="A1:K263"/>
  <sheetViews>
    <sheetView workbookViewId="0">
      <selection activeCell="A3" sqref="A3:A26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26</v>
      </c>
      <c r="C1" t="s">
        <v>27</v>
      </c>
      <c r="D1" t="s">
        <v>28</v>
      </c>
      <c r="E1" t="s">
        <v>31</v>
      </c>
      <c r="F1" t="s">
        <v>26</v>
      </c>
      <c r="G1" t="s">
        <v>26</v>
      </c>
    </row>
    <row r="2" spans="1:11">
      <c r="B2" t="s">
        <v>18</v>
      </c>
      <c r="C2" t="s">
        <v>19</v>
      </c>
      <c r="D2" t="s">
        <v>7</v>
      </c>
      <c r="E2" t="s">
        <v>29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32</v>
      </c>
    </row>
    <row r="3" spans="1:11">
      <c r="A3" s="1">
        <v>39261</v>
      </c>
      <c r="B3">
        <f>(3/(1+('CurrentFact-N10,20,40Unchanged'!C3)/100)+103/POWER(1+('CurrentFact-N10,20,40Unchanged'!D3)/100,2))*100</f>
        <v>9707.5857774288397</v>
      </c>
      <c r="C3">
        <f>(3/(1+('CurrentFact-N10,20,40Unchanged'!C3+'CurrentFact-N10,20,40Unchanged'!G3)/100)+103/POWER(1+('CurrentFact-N10,20,40Unchanged'!D3+'CurrentFact-N10,20,40Unchanged'!G3)/100,2))*100</f>
        <v>9614.9673582483465</v>
      </c>
      <c r="D3">
        <f>(3/(1+('CurrentFact-N10,20,40Unchanged'!C3+'CurrentFact-N10,20,40Unchanged'!H3)/100)+103/POWER(1+('CurrentFact-N10,20,40Unchanged'!D3+'CurrentFact-N10,20,40Unchanged'!H3)/100,2))*100</f>
        <v>9601.2395558122898</v>
      </c>
      <c r="E3">
        <f>(3/(1+('CurrentFact-N10,20,40Unchanged'!C3+'CurrentFact-N10,20,40Unchanged'!I3)/100)+103/POWER(1+('CurrentFact-N10,20,40Unchanged'!D3+'CurrentFact-N10,20,40Unchanged'!I3)/100,2))*100</f>
        <v>9676.6907857653259</v>
      </c>
      <c r="F3">
        <f>Portfolio!B$5*'CurrentFact-N10,20,40Unchanged'!E3</f>
        <v>52143.895533915893</v>
      </c>
      <c r="G3">
        <f>Portfolio!B$6*'CurrentFact-N10,20,40Unchanged'!F3</f>
        <v>3696.2945087936532</v>
      </c>
      <c r="H3">
        <f t="shared" ref="H3:H34" si="0">SUM(B3:G3)</f>
        <v>94440.673519964359</v>
      </c>
      <c r="J3" s="3">
        <f>_xlfn.PERCENTILE.INC(I13:I263, 0.025)</f>
        <v>-86.564911355137156</v>
      </c>
      <c r="K3">
        <f>AVERAGEIF(I13:I263, "&lt;="&amp;J3,I13:I263)</f>
        <v>-97.202109999216717</v>
      </c>
    </row>
    <row r="4" spans="1:11">
      <c r="A4" s="1">
        <v>39262</v>
      </c>
      <c r="B4">
        <f>(3/(1+('CurrentFact-N10,20,40Unchanged'!C4)/100)+103/POWER(1+('CurrentFact-N10,20,40Unchanged'!D4)/100,2))*100</f>
        <v>9707.5857774288397</v>
      </c>
      <c r="C4">
        <f>(3/(1+('CurrentFact-N10,20,40Unchanged'!C4+'CurrentFact-N10,20,40Unchanged'!G4)/100)+103/POWER(1+('CurrentFact-N10,20,40Unchanged'!D4+'CurrentFact-N10,20,40Unchanged'!G4)/100,2))*100</f>
        <v>9614.9673582483465</v>
      </c>
      <c r="D4">
        <f>(3/(1+('CurrentFact-N10,20,40Unchanged'!C4+'CurrentFact-N10,20,40Unchanged'!H4)/100)+103/POWER(1+('CurrentFact-N10,20,40Unchanged'!D4+'CurrentFact-N10,20,40Unchanged'!H4)/100,2))*100</f>
        <v>9601.2395558122898</v>
      </c>
      <c r="E4">
        <f>(3/(1+('CurrentFact-N10,20,40Unchanged'!C4+'CurrentFact-N10,20,40Unchanged'!I4)/100)+103/POWER(1+('CurrentFact-N10,20,40Unchanged'!D4+'CurrentFact-N10,20,40Unchanged'!I4)/100,2))*100</f>
        <v>9676.5087411427976</v>
      </c>
      <c r="F4">
        <f>Portfolio!B$5*'CurrentFact-N10,20,40Unchanged'!E4</f>
        <v>52143.895533915893</v>
      </c>
      <c r="G4">
        <f>Portfolio!B$6*'CurrentFact-N10,20,40Unchanged'!F4</f>
        <v>3696.2945087936532</v>
      </c>
      <c r="H4">
        <f t="shared" si="0"/>
        <v>94440.491475341812</v>
      </c>
    </row>
    <row r="5" spans="1:11">
      <c r="A5" s="1">
        <v>39265</v>
      </c>
      <c r="B5">
        <f>(3/(1+('CurrentFact-N10,20,40Unchanged'!C5)/100)+103/POWER(1+('CurrentFact-N10,20,40Unchanged'!D5)/100,2))*100</f>
        <v>9707.5857774288397</v>
      </c>
      <c r="C5">
        <f>(3/(1+('CurrentFact-N10,20,40Unchanged'!C5+'CurrentFact-N10,20,40Unchanged'!G5)/100)+103/POWER(1+('CurrentFact-N10,20,40Unchanged'!D5+'CurrentFact-N10,20,40Unchanged'!G5)/100,2))*100</f>
        <v>9614.9673582483465</v>
      </c>
      <c r="D5">
        <f>(3/(1+('CurrentFact-N10,20,40Unchanged'!C5+'CurrentFact-N10,20,40Unchanged'!H5)/100)+103/POWER(1+('CurrentFact-N10,20,40Unchanged'!D5+'CurrentFact-N10,20,40Unchanged'!H5)/100,2))*100</f>
        <v>9601.2395558122898</v>
      </c>
      <c r="E5">
        <f>(3/(1+('CurrentFact-N10,20,40Unchanged'!C5+'CurrentFact-N10,20,40Unchanged'!I5)/100)+103/POWER(1+('CurrentFact-N10,20,40Unchanged'!D5+'CurrentFact-N10,20,40Unchanged'!I5)/100,2))*100</f>
        <v>9676.3449057655907</v>
      </c>
      <c r="F5">
        <f>Portfolio!B$5*'CurrentFact-N10,20,40Unchanged'!E5</f>
        <v>52143.895533915893</v>
      </c>
      <c r="G5">
        <f>Portfolio!B$6*'CurrentFact-N10,20,40Unchanged'!F5</f>
        <v>3696.2945087936532</v>
      </c>
      <c r="H5">
        <f t="shared" si="0"/>
        <v>94440.327639964613</v>
      </c>
    </row>
    <row r="6" spans="1:11">
      <c r="A6" s="1">
        <v>39266</v>
      </c>
      <c r="B6">
        <f>(3/(1+('CurrentFact-N10,20,40Unchanged'!C6)/100)+103/POWER(1+('CurrentFact-N10,20,40Unchanged'!D6)/100,2))*100</f>
        <v>9707.5857774288397</v>
      </c>
      <c r="C6">
        <f>(3/(1+('CurrentFact-N10,20,40Unchanged'!C6+'CurrentFact-N10,20,40Unchanged'!G6)/100)+103/POWER(1+('CurrentFact-N10,20,40Unchanged'!D6+'CurrentFact-N10,20,40Unchanged'!G6)/100,2))*100</f>
        <v>9614.9673582483465</v>
      </c>
      <c r="D6">
        <f>(3/(1+('CurrentFact-N10,20,40Unchanged'!C6+'CurrentFact-N10,20,40Unchanged'!H6)/100)+103/POWER(1+('CurrentFact-N10,20,40Unchanged'!D6+'CurrentFact-N10,20,40Unchanged'!H6)/100,2))*100</f>
        <v>9601.2395558122898</v>
      </c>
      <c r="E6">
        <f>(3/(1+('CurrentFact-N10,20,40Unchanged'!C6+'CurrentFact-N10,20,40Unchanged'!I6)/100)+103/POWER(1+('CurrentFact-N10,20,40Unchanged'!D6+'CurrentFact-N10,20,40Unchanged'!I6)/100,2))*100</f>
        <v>9674.761385040998</v>
      </c>
      <c r="F6">
        <f>Portfolio!B$5*'CurrentFact-N10,20,40Unchanged'!E6</f>
        <v>52143.895533915893</v>
      </c>
      <c r="G6">
        <f>Portfolio!B$6*'CurrentFact-N10,20,40Unchanged'!F6</f>
        <v>3696.2945087936532</v>
      </c>
      <c r="H6">
        <f t="shared" si="0"/>
        <v>94438.744119240029</v>
      </c>
    </row>
    <row r="7" spans="1:11">
      <c r="A7" s="1">
        <v>39267</v>
      </c>
      <c r="B7">
        <f>(3/(1+('CurrentFact-N10,20,40Unchanged'!C7)/100)+103/POWER(1+('CurrentFact-N10,20,40Unchanged'!D7)/100,2))*100</f>
        <v>9707.5857774288397</v>
      </c>
      <c r="C7">
        <f>(3/(1+('CurrentFact-N10,20,40Unchanged'!C7+'CurrentFact-N10,20,40Unchanged'!G7)/100)+103/POWER(1+('CurrentFact-N10,20,40Unchanged'!D7+'CurrentFact-N10,20,40Unchanged'!G7)/100,2))*100</f>
        <v>9614.9673582483465</v>
      </c>
      <c r="D7">
        <f>(3/(1+('CurrentFact-N10,20,40Unchanged'!C7+'CurrentFact-N10,20,40Unchanged'!H7)/100)+103/POWER(1+('CurrentFact-N10,20,40Unchanged'!D7+'CurrentFact-N10,20,40Unchanged'!H7)/100,2))*100</f>
        <v>9601.2395558122898</v>
      </c>
      <c r="E7">
        <f>(3/(1+('CurrentFact-N10,20,40Unchanged'!C7+'CurrentFact-N10,20,40Unchanged'!I7)/100)+103/POWER(1+('CurrentFact-N10,20,40Unchanged'!D7+'CurrentFact-N10,20,40Unchanged'!I7)/100,2))*100</f>
        <v>9676.8000136403025</v>
      </c>
      <c r="F7">
        <f>Portfolio!B$5*'CurrentFact-N10,20,40Unchanged'!E7</f>
        <v>52143.895533915893</v>
      </c>
      <c r="G7">
        <f>Portfolio!B$6*'CurrentFact-N10,20,40Unchanged'!F7</f>
        <v>3696.2945087936532</v>
      </c>
      <c r="H7">
        <f t="shared" si="0"/>
        <v>94440.782747839316</v>
      </c>
    </row>
    <row r="8" spans="1:11">
      <c r="A8" s="1">
        <v>39268</v>
      </c>
      <c r="B8">
        <f>(3/(1+('CurrentFact-N10,20,40Unchanged'!C8)/100)+103/POWER(1+('CurrentFact-N10,20,40Unchanged'!D8)/100,2))*100</f>
        <v>9707.5857774288397</v>
      </c>
      <c r="C8">
        <f>(3/(1+('CurrentFact-N10,20,40Unchanged'!C8+'CurrentFact-N10,20,40Unchanged'!G8)/100)+103/POWER(1+('CurrentFact-N10,20,40Unchanged'!D8+'CurrentFact-N10,20,40Unchanged'!G8)/100,2))*100</f>
        <v>9614.9673582483465</v>
      </c>
      <c r="D8">
        <f>(3/(1+('CurrentFact-N10,20,40Unchanged'!C8+'CurrentFact-N10,20,40Unchanged'!H8)/100)+103/POWER(1+('CurrentFact-N10,20,40Unchanged'!D8+'CurrentFact-N10,20,40Unchanged'!H8)/100,2))*100</f>
        <v>9601.2395558122898</v>
      </c>
      <c r="E8">
        <f>(3/(1+('CurrentFact-N10,20,40Unchanged'!C8+'CurrentFact-N10,20,40Unchanged'!I8)/100)+103/POWER(1+('CurrentFact-N10,20,40Unchanged'!D8+'CurrentFact-N10,20,40Unchanged'!I8)/100,2))*100</f>
        <v>9676.1810780625983</v>
      </c>
      <c r="F8">
        <f>Portfolio!B$5*'CurrentFact-N10,20,40Unchanged'!E8</f>
        <v>52143.895533915893</v>
      </c>
      <c r="G8">
        <f>Portfolio!B$6*'CurrentFact-N10,20,40Unchanged'!F8</f>
        <v>3696.2945087936532</v>
      </c>
      <c r="H8">
        <f t="shared" si="0"/>
        <v>94440.163812261628</v>
      </c>
    </row>
    <row r="9" spans="1:11">
      <c r="A9" s="1">
        <v>39269</v>
      </c>
      <c r="B9">
        <f>(3/(1+('CurrentFact-N10,20,40Unchanged'!C9)/100)+103/POWER(1+('CurrentFact-N10,20,40Unchanged'!D9)/100,2))*100</f>
        <v>9707.5857774288397</v>
      </c>
      <c r="C9">
        <f>(3/(1+('CurrentFact-N10,20,40Unchanged'!C9+'CurrentFact-N10,20,40Unchanged'!G9)/100)+103/POWER(1+('CurrentFact-N10,20,40Unchanged'!D9+'CurrentFact-N10,20,40Unchanged'!G9)/100,2))*100</f>
        <v>9614.9673582483465</v>
      </c>
      <c r="D9">
        <f>(3/(1+('CurrentFact-N10,20,40Unchanged'!C9+'CurrentFact-N10,20,40Unchanged'!H9)/100)+103/POWER(1+('CurrentFact-N10,20,40Unchanged'!D9+'CurrentFact-N10,20,40Unchanged'!H9)/100,2))*100</f>
        <v>9601.2395558122898</v>
      </c>
      <c r="E9">
        <f>(3/(1+('CurrentFact-N10,20,40Unchanged'!C9+'CurrentFact-N10,20,40Unchanged'!I9)/100)+103/POWER(1+('CurrentFact-N10,20,40Unchanged'!D9+'CurrentFact-N10,20,40Unchanged'!I9)/100,2))*100</f>
        <v>9673.7787046826343</v>
      </c>
      <c r="F9">
        <f>Portfolio!B$5*'CurrentFact-N10,20,40Unchanged'!E9</f>
        <v>52143.895533915893</v>
      </c>
      <c r="G9">
        <f>Portfolio!B$6*'CurrentFact-N10,20,40Unchanged'!F9</f>
        <v>3696.2945087936532</v>
      </c>
      <c r="H9">
        <f t="shared" si="0"/>
        <v>94437.761438881658</v>
      </c>
    </row>
    <row r="10" spans="1:11">
      <c r="A10" s="1">
        <v>39272</v>
      </c>
      <c r="B10">
        <f>(3/(1+('CurrentFact-N10,20,40Unchanged'!C10)/100)+103/POWER(1+('CurrentFact-N10,20,40Unchanged'!D10)/100,2))*100</f>
        <v>9707.5857774288397</v>
      </c>
      <c r="C10">
        <f>(3/(1+('CurrentFact-N10,20,40Unchanged'!C10+'CurrentFact-N10,20,40Unchanged'!G10)/100)+103/POWER(1+('CurrentFact-N10,20,40Unchanged'!D10+'CurrentFact-N10,20,40Unchanged'!G10)/100,2))*100</f>
        <v>9614.9673582483465</v>
      </c>
      <c r="D10">
        <f>(3/(1+('CurrentFact-N10,20,40Unchanged'!C10+'CurrentFact-N10,20,40Unchanged'!H10)/100)+103/POWER(1+('CurrentFact-N10,20,40Unchanged'!D10+'CurrentFact-N10,20,40Unchanged'!H10)/100,2))*100</f>
        <v>9601.2395558122898</v>
      </c>
      <c r="E10">
        <f>(3/(1+('CurrentFact-N10,20,40Unchanged'!C10+'CurrentFact-N10,20,40Unchanged'!I10)/100)+103/POWER(1+('CurrentFact-N10,20,40Unchanged'!D10+'CurrentFact-N10,20,40Unchanged'!I10)/100,2))*100</f>
        <v>9671.0498348775582</v>
      </c>
      <c r="F10">
        <f>Portfolio!B$5*'CurrentFact-N10,20,40Unchanged'!E10</f>
        <v>52143.895533915893</v>
      </c>
      <c r="G10">
        <f>Portfolio!B$6*'CurrentFact-N10,20,40Unchanged'!F10</f>
        <v>3696.2945087936532</v>
      </c>
      <c r="H10">
        <f t="shared" si="0"/>
        <v>94435.032569076575</v>
      </c>
    </row>
    <row r="11" spans="1:11">
      <c r="A11" s="1">
        <v>39273</v>
      </c>
      <c r="B11">
        <f>(3/(1+('CurrentFact-N10,20,40Unchanged'!C11)/100)+103/POWER(1+('CurrentFact-N10,20,40Unchanged'!D11)/100,2))*100</f>
        <v>9707.5857774288397</v>
      </c>
      <c r="C11">
        <f>(3/(1+('CurrentFact-N10,20,40Unchanged'!C11+'CurrentFact-N10,20,40Unchanged'!G11)/100)+103/POWER(1+('CurrentFact-N10,20,40Unchanged'!D11+'CurrentFact-N10,20,40Unchanged'!G11)/100,2))*100</f>
        <v>9614.9673582483465</v>
      </c>
      <c r="D11">
        <f>(3/(1+('CurrentFact-N10,20,40Unchanged'!C11+'CurrentFact-N10,20,40Unchanged'!H11)/100)+103/POWER(1+('CurrentFact-N10,20,40Unchanged'!D11+'CurrentFact-N10,20,40Unchanged'!H11)/100,2))*100</f>
        <v>9601.2395558122898</v>
      </c>
      <c r="E11">
        <f>(3/(1+('CurrentFact-N10,20,40Unchanged'!C11+'CurrentFact-N10,20,40Unchanged'!I11)/100)+103/POWER(1+('CurrentFact-N10,20,40Unchanged'!D11+'CurrentFact-N10,20,40Unchanged'!I11)/100,2))*100</f>
        <v>9672.6688259421371</v>
      </c>
      <c r="F11">
        <f>Portfolio!B$5*'CurrentFact-N10,20,40Unchanged'!E11</f>
        <v>52143.895533915893</v>
      </c>
      <c r="G11">
        <f>Portfolio!B$6*'CurrentFact-N10,20,40Unchanged'!F11</f>
        <v>3696.2945087936532</v>
      </c>
      <c r="H11">
        <f t="shared" si="0"/>
        <v>94436.651560141152</v>
      </c>
    </row>
    <row r="12" spans="1:11">
      <c r="A12" s="1">
        <v>39274</v>
      </c>
      <c r="B12">
        <f>(3/(1+('CurrentFact-N10,20,40Unchanged'!C12)/100)+103/POWER(1+('CurrentFact-N10,20,40Unchanged'!D12)/100,2))*100</f>
        <v>9707.5857774288397</v>
      </c>
      <c r="C12">
        <f>(3/(1+('CurrentFact-N10,20,40Unchanged'!C12+'CurrentFact-N10,20,40Unchanged'!G12)/100)+103/POWER(1+('CurrentFact-N10,20,40Unchanged'!D12+'CurrentFact-N10,20,40Unchanged'!G12)/100,2))*100</f>
        <v>9614.9673582483465</v>
      </c>
      <c r="D12">
        <f>(3/(1+('CurrentFact-N10,20,40Unchanged'!C12+'CurrentFact-N10,20,40Unchanged'!H12)/100)+103/POWER(1+('CurrentFact-N10,20,40Unchanged'!D12+'CurrentFact-N10,20,40Unchanged'!H12)/100,2))*100</f>
        <v>9601.2395558122898</v>
      </c>
      <c r="E12">
        <f>(3/(1+('CurrentFact-N10,20,40Unchanged'!C12+'CurrentFact-N10,20,40Unchanged'!I12)/100)+103/POWER(1+('CurrentFact-N10,20,40Unchanged'!D12+'CurrentFact-N10,20,40Unchanged'!I12)/100,2))*100</f>
        <v>9674.8341802658124</v>
      </c>
      <c r="F12">
        <f>Portfolio!B$5*'CurrentFact-N10,20,40Unchanged'!E12</f>
        <v>52143.895533915893</v>
      </c>
      <c r="G12">
        <f>Portfolio!B$6*'CurrentFact-N10,20,40Unchanged'!F12</f>
        <v>3696.2945087936532</v>
      </c>
      <c r="H12">
        <f t="shared" si="0"/>
        <v>94438.816914464842</v>
      </c>
    </row>
    <row r="13" spans="1:11">
      <c r="A13" s="1">
        <v>39275</v>
      </c>
      <c r="B13">
        <f>(3/(1+('CurrentFact-N10,20,40Unchanged'!C13)/100)+103/POWER(1+('CurrentFact-N10,20,40Unchanged'!D13)/100,2))*100</f>
        <v>9707.5857774288397</v>
      </c>
      <c r="C13">
        <f>(3/(1+('CurrentFact-N10,20,40Unchanged'!C13+'CurrentFact-N10,20,40Unchanged'!G13)/100)+103/POWER(1+('CurrentFact-N10,20,40Unchanged'!D13+'CurrentFact-N10,20,40Unchanged'!G13)/100,2))*100</f>
        <v>9614.9673582483465</v>
      </c>
      <c r="D13">
        <f>(3/(1+('CurrentFact-N10,20,40Unchanged'!C13+'CurrentFact-N10,20,40Unchanged'!H13)/100)+103/POWER(1+('CurrentFact-N10,20,40Unchanged'!D13+'CurrentFact-N10,20,40Unchanged'!H13)/100,2))*100</f>
        <v>9601.2395558122898</v>
      </c>
      <c r="E13">
        <f>(3/(1+('CurrentFact-N10,20,40Unchanged'!C13+'CurrentFact-N10,20,40Unchanged'!I13)/100)+103/POWER(1+('CurrentFact-N10,20,40Unchanged'!D13+'CurrentFact-N10,20,40Unchanged'!I13)/100,2))*100</f>
        <v>9679.0214075942895</v>
      </c>
      <c r="F13">
        <f>Portfolio!B$5*'CurrentFact-N10,20,40Unchanged'!E13</f>
        <v>52143.895533915893</v>
      </c>
      <c r="G13">
        <f>Portfolio!B$6*'CurrentFact-N10,20,40Unchanged'!F13</f>
        <v>3696.2945087936532</v>
      </c>
      <c r="H13">
        <f t="shared" si="0"/>
        <v>94443.004141793324</v>
      </c>
      <c r="I13">
        <f>H13-H3</f>
        <v>2.3306218289653771</v>
      </c>
    </row>
    <row r="14" spans="1:11">
      <c r="A14" s="1">
        <v>39276</v>
      </c>
      <c r="B14">
        <f>(3/(1+('CurrentFact-N10,20,40Unchanged'!C14)/100)+103/POWER(1+('CurrentFact-N10,20,40Unchanged'!D14)/100,2))*100</f>
        <v>9707.5857774288397</v>
      </c>
      <c r="C14">
        <f>(3/(1+('CurrentFact-N10,20,40Unchanged'!C14+'CurrentFact-N10,20,40Unchanged'!G14)/100)+103/POWER(1+('CurrentFact-N10,20,40Unchanged'!D14+'CurrentFact-N10,20,40Unchanged'!G14)/100,2))*100</f>
        <v>9614.9673582483465</v>
      </c>
      <c r="D14">
        <f>(3/(1+('CurrentFact-N10,20,40Unchanged'!C14+'CurrentFact-N10,20,40Unchanged'!H14)/100)+103/POWER(1+('CurrentFact-N10,20,40Unchanged'!D14+'CurrentFact-N10,20,40Unchanged'!H14)/100,2))*100</f>
        <v>9601.2395558122898</v>
      </c>
      <c r="E14">
        <f>(3/(1+('CurrentFact-N10,20,40Unchanged'!C14+'CurrentFact-N10,20,40Unchanged'!I14)/100)+103/POWER(1+('CurrentFact-N10,20,40Unchanged'!D14+'CurrentFact-N10,20,40Unchanged'!I14)/100,2))*100</f>
        <v>9680.9338783473122</v>
      </c>
      <c r="F14">
        <f>Portfolio!B$5*'CurrentFact-N10,20,40Unchanged'!E14</f>
        <v>52143.895533915893</v>
      </c>
      <c r="G14">
        <f>Portfolio!B$6*'CurrentFact-N10,20,40Unchanged'!F14</f>
        <v>3696.2945087936532</v>
      </c>
      <c r="H14">
        <f t="shared" si="0"/>
        <v>94444.916612546338</v>
      </c>
      <c r="I14">
        <f t="shared" ref="I14:I77" si="1">H14-H4</f>
        <v>4.4251372045255266</v>
      </c>
    </row>
    <row r="15" spans="1:11">
      <c r="A15" s="1">
        <v>39279</v>
      </c>
      <c r="B15">
        <f>(3/(1+('CurrentFact-N10,20,40Unchanged'!C15)/100)+103/POWER(1+('CurrentFact-N10,20,40Unchanged'!D15)/100,2))*100</f>
        <v>9707.5857774288397</v>
      </c>
      <c r="C15">
        <f>(3/(1+('CurrentFact-N10,20,40Unchanged'!C15+'CurrentFact-N10,20,40Unchanged'!G15)/100)+103/POWER(1+('CurrentFact-N10,20,40Unchanged'!D15+'CurrentFact-N10,20,40Unchanged'!G15)/100,2))*100</f>
        <v>9614.9673582483465</v>
      </c>
      <c r="D15">
        <f>(3/(1+('CurrentFact-N10,20,40Unchanged'!C15+'CurrentFact-N10,20,40Unchanged'!H15)/100)+103/POWER(1+('CurrentFact-N10,20,40Unchanged'!D15+'CurrentFact-N10,20,40Unchanged'!H15)/100,2))*100</f>
        <v>9601.2395558122898</v>
      </c>
      <c r="E15">
        <f>(3/(1+('CurrentFact-N10,20,40Unchanged'!C15+'CurrentFact-N10,20,40Unchanged'!I15)/100)+103/POWER(1+('CurrentFact-N10,20,40Unchanged'!D15+'CurrentFact-N10,20,40Unchanged'!I15)/100,2))*100</f>
        <v>9680.6970665619065</v>
      </c>
      <c r="F15">
        <f>Portfolio!B$5*'CurrentFact-N10,20,40Unchanged'!E15</f>
        <v>52143.895533915893</v>
      </c>
      <c r="G15">
        <f>Portfolio!B$6*'CurrentFact-N10,20,40Unchanged'!F15</f>
        <v>3696.2945087936532</v>
      </c>
      <c r="H15">
        <f t="shared" si="0"/>
        <v>94444.679800760932</v>
      </c>
      <c r="I15">
        <f t="shared" si="1"/>
        <v>4.3521607963193674</v>
      </c>
    </row>
    <row r="16" spans="1:11">
      <c r="A16" s="1">
        <v>39280</v>
      </c>
      <c r="B16">
        <f>(3/(1+('CurrentFact-N10,20,40Unchanged'!C16)/100)+103/POWER(1+('CurrentFact-N10,20,40Unchanged'!D16)/100,2))*100</f>
        <v>9707.5857774288397</v>
      </c>
      <c r="C16">
        <f>(3/(1+('CurrentFact-N10,20,40Unchanged'!C16+'CurrentFact-N10,20,40Unchanged'!G16)/100)+103/POWER(1+('CurrentFact-N10,20,40Unchanged'!D16+'CurrentFact-N10,20,40Unchanged'!G16)/100,2))*100</f>
        <v>9614.9673582483465</v>
      </c>
      <c r="D16">
        <f>(3/(1+('CurrentFact-N10,20,40Unchanged'!C16+'CurrentFact-N10,20,40Unchanged'!H16)/100)+103/POWER(1+('CurrentFact-N10,20,40Unchanged'!D16+'CurrentFact-N10,20,40Unchanged'!H16)/100,2))*100</f>
        <v>9601.2395558122898</v>
      </c>
      <c r="E16">
        <f>(3/(1+('CurrentFact-N10,20,40Unchanged'!C16+'CurrentFact-N10,20,40Unchanged'!I16)/100)+103/POWER(1+('CurrentFact-N10,20,40Unchanged'!D16+'CurrentFact-N10,20,40Unchanged'!I16)/100,2))*100</f>
        <v>9682.0998570962529</v>
      </c>
      <c r="F16">
        <f>Portfolio!B$5*'CurrentFact-N10,20,40Unchanged'!E16</f>
        <v>52143.895533915893</v>
      </c>
      <c r="G16">
        <f>Portfolio!B$6*'CurrentFact-N10,20,40Unchanged'!F16</f>
        <v>3696.2945087936532</v>
      </c>
      <c r="H16">
        <f t="shared" si="0"/>
        <v>94446.082591295271</v>
      </c>
      <c r="I16">
        <f t="shared" si="1"/>
        <v>7.3384720552421641</v>
      </c>
    </row>
    <row r="17" spans="1:9">
      <c r="A17" s="1">
        <v>39281</v>
      </c>
      <c r="B17">
        <f>(3/(1+('CurrentFact-N10,20,40Unchanged'!C17)/100)+103/POWER(1+('CurrentFact-N10,20,40Unchanged'!D17)/100,2))*100</f>
        <v>9707.5857774288397</v>
      </c>
      <c r="C17">
        <f>(3/(1+('CurrentFact-N10,20,40Unchanged'!C17+'CurrentFact-N10,20,40Unchanged'!G17)/100)+103/POWER(1+('CurrentFact-N10,20,40Unchanged'!D17+'CurrentFact-N10,20,40Unchanged'!G17)/100,2))*100</f>
        <v>9614.9673582483465</v>
      </c>
      <c r="D17">
        <f>(3/(1+('CurrentFact-N10,20,40Unchanged'!C17+'CurrentFact-N10,20,40Unchanged'!H17)/100)+103/POWER(1+('CurrentFact-N10,20,40Unchanged'!D17+'CurrentFact-N10,20,40Unchanged'!H17)/100,2))*100</f>
        <v>9601.2395558122898</v>
      </c>
      <c r="E17">
        <f>(3/(1+('CurrentFact-N10,20,40Unchanged'!C17+'CurrentFact-N10,20,40Unchanged'!I17)/100)+103/POWER(1+('CurrentFact-N10,20,40Unchanged'!D17+'CurrentFact-N10,20,40Unchanged'!I17)/100,2))*100</f>
        <v>9682.136298174546</v>
      </c>
      <c r="F17">
        <f>Portfolio!B$5*'CurrentFact-N10,20,40Unchanged'!E17</f>
        <v>52143.895533915893</v>
      </c>
      <c r="G17">
        <f>Portfolio!B$6*'CurrentFact-N10,20,40Unchanged'!F17</f>
        <v>3696.2945087936532</v>
      </c>
      <c r="H17">
        <f t="shared" si="0"/>
        <v>94446.119032373565</v>
      </c>
      <c r="I17">
        <f t="shared" si="1"/>
        <v>5.3362845342489891</v>
      </c>
    </row>
    <row r="18" spans="1:9">
      <c r="A18" s="1">
        <v>39282</v>
      </c>
      <c r="B18">
        <f>(3/(1+('CurrentFact-N10,20,40Unchanged'!C18)/100)+103/POWER(1+('CurrentFact-N10,20,40Unchanged'!D18)/100,2))*100</f>
        <v>9707.5857774288397</v>
      </c>
      <c r="C18">
        <f>(3/(1+('CurrentFact-N10,20,40Unchanged'!C18+'CurrentFact-N10,20,40Unchanged'!G18)/100)+103/POWER(1+('CurrentFact-N10,20,40Unchanged'!D18+'CurrentFact-N10,20,40Unchanged'!G18)/100,2))*100</f>
        <v>9614.9673582483465</v>
      </c>
      <c r="D18">
        <f>(3/(1+('CurrentFact-N10,20,40Unchanged'!C18+'CurrentFact-N10,20,40Unchanged'!H18)/100)+103/POWER(1+('CurrentFact-N10,20,40Unchanged'!D18+'CurrentFact-N10,20,40Unchanged'!H18)/100,2))*100</f>
        <v>9601.2395558122898</v>
      </c>
      <c r="E18">
        <f>(3/(1+('CurrentFact-N10,20,40Unchanged'!C18+'CurrentFact-N10,20,40Unchanged'!I18)/100)+103/POWER(1+('CurrentFact-N10,20,40Unchanged'!D18+'CurrentFact-N10,20,40Unchanged'!I18)/100,2))*100</f>
        <v>9680.1870356704276</v>
      </c>
      <c r="F18">
        <f>Portfolio!B$5*'CurrentFact-N10,20,40Unchanged'!E18</f>
        <v>52143.895533915893</v>
      </c>
      <c r="G18">
        <f>Portfolio!B$6*'CurrentFact-N10,20,40Unchanged'!F18</f>
        <v>3696.2945087936532</v>
      </c>
      <c r="H18">
        <f t="shared" si="0"/>
        <v>94444.169769869448</v>
      </c>
      <c r="I18">
        <f t="shared" si="1"/>
        <v>4.0059576078201644</v>
      </c>
    </row>
    <row r="19" spans="1:9">
      <c r="A19" s="1">
        <v>39283</v>
      </c>
      <c r="B19">
        <f>(3/(1+('CurrentFact-N10,20,40Unchanged'!C19)/100)+103/POWER(1+('CurrentFact-N10,20,40Unchanged'!D19)/100,2))*100</f>
        <v>9707.5857774288397</v>
      </c>
      <c r="C19">
        <f>(3/(1+('CurrentFact-N10,20,40Unchanged'!C19+'CurrentFact-N10,20,40Unchanged'!G19)/100)+103/POWER(1+('CurrentFact-N10,20,40Unchanged'!D19+'CurrentFact-N10,20,40Unchanged'!G19)/100,2))*100</f>
        <v>9614.9673582483465</v>
      </c>
      <c r="D19">
        <f>(3/(1+('CurrentFact-N10,20,40Unchanged'!C19+'CurrentFact-N10,20,40Unchanged'!H19)/100)+103/POWER(1+('CurrentFact-N10,20,40Unchanged'!D19+'CurrentFact-N10,20,40Unchanged'!H19)/100,2))*100</f>
        <v>9601.2395558122898</v>
      </c>
      <c r="E19">
        <f>(3/(1+('CurrentFact-N10,20,40Unchanged'!C19+'CurrentFact-N10,20,40Unchanged'!I19)/100)+103/POWER(1+('CurrentFact-N10,20,40Unchanged'!D19+'CurrentFact-N10,20,40Unchanged'!I19)/100,2))*100</f>
        <v>9680.9156629472927</v>
      </c>
      <c r="F19">
        <f>Portfolio!B$5*'CurrentFact-N10,20,40Unchanged'!E19</f>
        <v>52143.895533915893</v>
      </c>
      <c r="G19">
        <f>Portfolio!B$6*'CurrentFact-N10,20,40Unchanged'!F19</f>
        <v>3696.2945087936532</v>
      </c>
      <c r="H19">
        <f t="shared" si="0"/>
        <v>94444.898397146317</v>
      </c>
      <c r="I19">
        <f t="shared" si="1"/>
        <v>7.1369582646584604</v>
      </c>
    </row>
    <row r="20" spans="1:9">
      <c r="A20" s="1">
        <v>39286</v>
      </c>
      <c r="B20">
        <f>(3/(1+('CurrentFact-N10,20,40Unchanged'!C20)/100)+103/POWER(1+('CurrentFact-N10,20,40Unchanged'!D20)/100,2))*100</f>
        <v>9707.5857774288397</v>
      </c>
      <c r="C20">
        <f>(3/(1+('CurrentFact-N10,20,40Unchanged'!C20+'CurrentFact-N10,20,40Unchanged'!G20)/100)+103/POWER(1+('CurrentFact-N10,20,40Unchanged'!D20+'CurrentFact-N10,20,40Unchanged'!G20)/100,2))*100</f>
        <v>9614.9673582483465</v>
      </c>
      <c r="D20">
        <f>(3/(1+('CurrentFact-N10,20,40Unchanged'!C20+'CurrentFact-N10,20,40Unchanged'!H20)/100)+103/POWER(1+('CurrentFact-N10,20,40Unchanged'!D20+'CurrentFact-N10,20,40Unchanged'!H20)/100,2))*100</f>
        <v>9601.2395558122898</v>
      </c>
      <c r="E20">
        <f>(3/(1+('CurrentFact-N10,20,40Unchanged'!C20+'CurrentFact-N10,20,40Unchanged'!I20)/100)+103/POWER(1+('CurrentFact-N10,20,40Unchanged'!D20+'CurrentFact-N10,20,40Unchanged'!I20)/100,2))*100</f>
        <v>9682.2456191808233</v>
      </c>
      <c r="F20">
        <f>Portfolio!B$5*'CurrentFact-N10,20,40Unchanged'!E20</f>
        <v>52143.895533915893</v>
      </c>
      <c r="G20">
        <f>Portfolio!B$6*'CurrentFact-N10,20,40Unchanged'!F20</f>
        <v>3696.2945087936532</v>
      </c>
      <c r="H20">
        <f t="shared" si="0"/>
        <v>94446.228353379847</v>
      </c>
      <c r="I20">
        <f t="shared" si="1"/>
        <v>11.195784303272376</v>
      </c>
    </row>
    <row r="21" spans="1:9">
      <c r="A21" s="1">
        <v>39287</v>
      </c>
      <c r="B21">
        <f>(3/(1+('CurrentFact-N10,20,40Unchanged'!C21)/100)+103/POWER(1+('CurrentFact-N10,20,40Unchanged'!D21)/100,2))*100</f>
        <v>9707.5857774288397</v>
      </c>
      <c r="C21">
        <f>(3/(1+('CurrentFact-N10,20,40Unchanged'!C21+'CurrentFact-N10,20,40Unchanged'!G21)/100)+103/POWER(1+('CurrentFact-N10,20,40Unchanged'!D21+'CurrentFact-N10,20,40Unchanged'!G21)/100,2))*100</f>
        <v>9614.9673582483465</v>
      </c>
      <c r="D21">
        <f>(3/(1+('CurrentFact-N10,20,40Unchanged'!C21+'CurrentFact-N10,20,40Unchanged'!H21)/100)+103/POWER(1+('CurrentFact-N10,20,40Unchanged'!D21+'CurrentFact-N10,20,40Unchanged'!H21)/100,2))*100</f>
        <v>9601.2395558122898</v>
      </c>
      <c r="E21">
        <f>(3/(1+('CurrentFact-N10,20,40Unchanged'!C21+'CurrentFact-N10,20,40Unchanged'!I21)/100)+103/POWER(1+('CurrentFact-N10,20,40Unchanged'!D21+'CurrentFact-N10,20,40Unchanged'!I21)/100,2))*100</f>
        <v>9681.1160491018709</v>
      </c>
      <c r="F21">
        <f>Portfolio!B$5*'CurrentFact-N10,20,40Unchanged'!E21</f>
        <v>52143.895533915893</v>
      </c>
      <c r="G21">
        <f>Portfolio!B$6*'CurrentFact-N10,20,40Unchanged'!F21</f>
        <v>3696.2945087936532</v>
      </c>
      <c r="H21">
        <f t="shared" si="0"/>
        <v>94445.098783300899</v>
      </c>
      <c r="I21">
        <f t="shared" si="1"/>
        <v>8.4472231597464997</v>
      </c>
    </row>
    <row r="22" spans="1:9">
      <c r="A22" s="1">
        <v>39288</v>
      </c>
      <c r="B22">
        <f>(3/(1+('CurrentFact-N10,20,40Unchanged'!C22)/100)+103/POWER(1+('CurrentFact-N10,20,40Unchanged'!D22)/100,2))*100</f>
        <v>9707.5857774288397</v>
      </c>
      <c r="C22">
        <f>(3/(1+('CurrentFact-N10,20,40Unchanged'!C22+'CurrentFact-N10,20,40Unchanged'!G22)/100)+103/POWER(1+('CurrentFact-N10,20,40Unchanged'!D22+'CurrentFact-N10,20,40Unchanged'!G22)/100,2))*100</f>
        <v>9614.9673582483465</v>
      </c>
      <c r="D22">
        <f>(3/(1+('CurrentFact-N10,20,40Unchanged'!C22+'CurrentFact-N10,20,40Unchanged'!H22)/100)+103/POWER(1+('CurrentFact-N10,20,40Unchanged'!D22+'CurrentFact-N10,20,40Unchanged'!H22)/100,2))*100</f>
        <v>9601.2395558122898</v>
      </c>
      <c r="E22">
        <f>(3/(1+('CurrentFact-N10,20,40Unchanged'!C22+'CurrentFact-N10,20,40Unchanged'!I22)/100)+103/POWER(1+('CurrentFact-N10,20,40Unchanged'!D22+'CurrentFact-N10,20,40Unchanged'!I22)/100,2))*100</f>
        <v>9682.8651459978046</v>
      </c>
      <c r="F22">
        <f>Portfolio!B$5*'CurrentFact-N10,20,40Unchanged'!E22</f>
        <v>52143.895533915893</v>
      </c>
      <c r="G22">
        <f>Portfolio!B$6*'CurrentFact-N10,20,40Unchanged'!F22</f>
        <v>3696.2945087936532</v>
      </c>
      <c r="H22">
        <f t="shared" si="0"/>
        <v>94446.84788019683</v>
      </c>
      <c r="I22">
        <f t="shared" si="1"/>
        <v>8.0309657319885446</v>
      </c>
    </row>
    <row r="23" spans="1:9">
      <c r="A23" s="1">
        <v>39289</v>
      </c>
      <c r="B23">
        <f>(3/(1+('CurrentFact-N10,20,40Unchanged'!C23)/100)+103/POWER(1+('CurrentFact-N10,20,40Unchanged'!D23)/100,2))*100</f>
        <v>9707.5857774288397</v>
      </c>
      <c r="C23">
        <f>(3/(1+('CurrentFact-N10,20,40Unchanged'!C23+'CurrentFact-N10,20,40Unchanged'!G23)/100)+103/POWER(1+('CurrentFact-N10,20,40Unchanged'!D23+'CurrentFact-N10,20,40Unchanged'!G23)/100,2))*100</f>
        <v>9614.9673582483465</v>
      </c>
      <c r="D23">
        <f>(3/(1+('CurrentFact-N10,20,40Unchanged'!C23+'CurrentFact-N10,20,40Unchanged'!H23)/100)+103/POWER(1+('CurrentFact-N10,20,40Unchanged'!D23+'CurrentFact-N10,20,40Unchanged'!H23)/100,2))*100</f>
        <v>9601.2395558122898</v>
      </c>
      <c r="E23">
        <f>(3/(1+('CurrentFact-N10,20,40Unchanged'!C23+'CurrentFact-N10,20,40Unchanged'!I23)/100)+103/POWER(1+('CurrentFact-N10,20,40Unchanged'!D23+'CurrentFact-N10,20,40Unchanged'!I23)/100,2))*100</f>
        <v>9684.0132511794254</v>
      </c>
      <c r="F23">
        <f>Portfolio!B$5*'CurrentFact-N10,20,40Unchanged'!E23</f>
        <v>52143.895533915893</v>
      </c>
      <c r="G23">
        <f>Portfolio!B$6*'CurrentFact-N10,20,40Unchanged'!F23</f>
        <v>3696.2945087936532</v>
      </c>
      <c r="H23">
        <f t="shared" si="0"/>
        <v>94447.995985378453</v>
      </c>
      <c r="I23">
        <f t="shared" si="1"/>
        <v>4.9918435851286631</v>
      </c>
    </row>
    <row r="24" spans="1:9">
      <c r="A24" s="1">
        <v>39290</v>
      </c>
      <c r="B24">
        <f>(3/(1+('CurrentFact-N10,20,40Unchanged'!C24)/100)+103/POWER(1+('CurrentFact-N10,20,40Unchanged'!D24)/100,2))*100</f>
        <v>9707.5857774288397</v>
      </c>
      <c r="C24">
        <f>(3/(1+('CurrentFact-N10,20,40Unchanged'!C24+'CurrentFact-N10,20,40Unchanged'!G24)/100)+103/POWER(1+('CurrentFact-N10,20,40Unchanged'!D24+'CurrentFact-N10,20,40Unchanged'!G24)/100,2))*100</f>
        <v>9614.9673582483465</v>
      </c>
      <c r="D24">
        <f>(3/(1+('CurrentFact-N10,20,40Unchanged'!C24+'CurrentFact-N10,20,40Unchanged'!H24)/100)+103/POWER(1+('CurrentFact-N10,20,40Unchanged'!D24+'CurrentFact-N10,20,40Unchanged'!H24)/100,2))*100</f>
        <v>9601.2395558122898</v>
      </c>
      <c r="E24">
        <f>(3/(1+('CurrentFact-N10,20,40Unchanged'!C24+'CurrentFact-N10,20,40Unchanged'!I24)/100)+103/POWER(1+('CurrentFact-N10,20,40Unchanged'!D24+'CurrentFact-N10,20,40Unchanged'!I24)/100,2))*100</f>
        <v>9683.0473718095345</v>
      </c>
      <c r="F24">
        <f>Portfolio!B$5*'CurrentFact-N10,20,40Unchanged'!E24</f>
        <v>52143.895533915893</v>
      </c>
      <c r="G24">
        <f>Portfolio!B$6*'CurrentFact-N10,20,40Unchanged'!F24</f>
        <v>3696.2945087936532</v>
      </c>
      <c r="H24">
        <f t="shared" si="0"/>
        <v>94447.030106008548</v>
      </c>
      <c r="I24">
        <f t="shared" si="1"/>
        <v>2.1134934622095898</v>
      </c>
    </row>
    <row r="25" spans="1:9">
      <c r="A25" s="1">
        <v>39293</v>
      </c>
      <c r="B25">
        <f>(3/(1+('CurrentFact-N10,20,40Unchanged'!C25)/100)+103/POWER(1+('CurrentFact-N10,20,40Unchanged'!D25)/100,2))*100</f>
        <v>9707.5857774288397</v>
      </c>
      <c r="C25">
        <f>(3/(1+('CurrentFact-N10,20,40Unchanged'!C25+'CurrentFact-N10,20,40Unchanged'!G25)/100)+103/POWER(1+('CurrentFact-N10,20,40Unchanged'!D25+'CurrentFact-N10,20,40Unchanged'!G25)/100,2))*100</f>
        <v>9614.9673582483465</v>
      </c>
      <c r="D25">
        <f>(3/(1+('CurrentFact-N10,20,40Unchanged'!C25+'CurrentFact-N10,20,40Unchanged'!H25)/100)+103/POWER(1+('CurrentFact-N10,20,40Unchanged'!D25+'CurrentFact-N10,20,40Unchanged'!H25)/100,2))*100</f>
        <v>9601.2395558122898</v>
      </c>
      <c r="E25">
        <f>(3/(1+('CurrentFact-N10,20,40Unchanged'!C25+'CurrentFact-N10,20,40Unchanged'!I25)/100)+103/POWER(1+('CurrentFact-N10,20,40Unchanged'!D25+'CurrentFact-N10,20,40Unchanged'!I25)/100,2))*100</f>
        <v>9681.5714969712353</v>
      </c>
      <c r="F25">
        <f>Portfolio!B$5*'CurrentFact-N10,20,40Unchanged'!E25</f>
        <v>52143.895533915893</v>
      </c>
      <c r="G25">
        <f>Portfolio!B$6*'CurrentFact-N10,20,40Unchanged'!F25</f>
        <v>3696.2945087936532</v>
      </c>
      <c r="H25">
        <f t="shared" si="0"/>
        <v>94445.554231170259</v>
      </c>
      <c r="I25">
        <f t="shared" si="1"/>
        <v>0.87443040932703298</v>
      </c>
    </row>
    <row r="26" spans="1:9">
      <c r="A26" s="1">
        <v>39294</v>
      </c>
      <c r="B26">
        <f>(3/(1+('CurrentFact-N10,20,40Unchanged'!C26)/100)+103/POWER(1+('CurrentFact-N10,20,40Unchanged'!D26)/100,2))*100</f>
        <v>9707.5857774288397</v>
      </c>
      <c r="C26">
        <f>(3/(1+('CurrentFact-N10,20,40Unchanged'!C26+'CurrentFact-N10,20,40Unchanged'!G26)/100)+103/POWER(1+('CurrentFact-N10,20,40Unchanged'!D26+'CurrentFact-N10,20,40Unchanged'!G26)/100,2))*100</f>
        <v>9614.9673582483465</v>
      </c>
      <c r="D26">
        <f>(3/(1+('CurrentFact-N10,20,40Unchanged'!C26+'CurrentFact-N10,20,40Unchanged'!H26)/100)+103/POWER(1+('CurrentFact-N10,20,40Unchanged'!D26+'CurrentFact-N10,20,40Unchanged'!H26)/100,2))*100</f>
        <v>9601.2395558122898</v>
      </c>
      <c r="E26">
        <f>(3/(1+('CurrentFact-N10,20,40Unchanged'!C26+'CurrentFact-N10,20,40Unchanged'!I26)/100)+103/POWER(1+('CurrentFact-N10,20,40Unchanged'!D26+'CurrentFact-N10,20,40Unchanged'!I26)/100,2))*100</f>
        <v>9682.5007116969864</v>
      </c>
      <c r="F26">
        <f>Portfolio!B$5*'CurrentFact-N10,20,40Unchanged'!E26</f>
        <v>52143.895533915893</v>
      </c>
      <c r="G26">
        <f>Portfolio!B$6*'CurrentFact-N10,20,40Unchanged'!F26</f>
        <v>3696.2945087936532</v>
      </c>
      <c r="H26">
        <f t="shared" si="0"/>
        <v>94446.48344589601</v>
      </c>
      <c r="I26">
        <f t="shared" si="1"/>
        <v>0.40085460073896684</v>
      </c>
    </row>
    <row r="27" spans="1:9">
      <c r="A27" s="1">
        <v>39295</v>
      </c>
      <c r="B27">
        <f>(3/(1+('CurrentFact-N10,20,40Unchanged'!C27)/100)+103/POWER(1+('CurrentFact-N10,20,40Unchanged'!D27)/100,2))*100</f>
        <v>9707.5857774288397</v>
      </c>
      <c r="C27">
        <f>(3/(1+('CurrentFact-N10,20,40Unchanged'!C27+'CurrentFact-N10,20,40Unchanged'!G27)/100)+103/POWER(1+('CurrentFact-N10,20,40Unchanged'!D27+'CurrentFact-N10,20,40Unchanged'!G27)/100,2))*100</f>
        <v>9614.9673582483465</v>
      </c>
      <c r="D27">
        <f>(3/(1+('CurrentFact-N10,20,40Unchanged'!C27+'CurrentFact-N10,20,40Unchanged'!H27)/100)+103/POWER(1+('CurrentFact-N10,20,40Unchanged'!D27+'CurrentFact-N10,20,40Unchanged'!H27)/100,2))*100</f>
        <v>9601.2395558122898</v>
      </c>
      <c r="E27">
        <f>(3/(1+('CurrentFact-N10,20,40Unchanged'!C27+'CurrentFact-N10,20,40Unchanged'!I27)/100)+103/POWER(1+('CurrentFact-N10,20,40Unchanged'!D27+'CurrentFact-N10,20,40Unchanged'!I27)/100,2))*100</f>
        <v>9683.0655932861519</v>
      </c>
      <c r="F27">
        <f>Portfolio!B$5*'CurrentFact-N10,20,40Unchanged'!E27</f>
        <v>52143.895533915893</v>
      </c>
      <c r="G27">
        <f>Portfolio!B$6*'CurrentFact-N10,20,40Unchanged'!F27</f>
        <v>3696.2945087936532</v>
      </c>
      <c r="H27">
        <f t="shared" si="0"/>
        <v>94447.048327485187</v>
      </c>
      <c r="I27">
        <f t="shared" si="1"/>
        <v>0.92929511162219569</v>
      </c>
    </row>
    <row r="28" spans="1:9">
      <c r="A28" s="1">
        <v>39296</v>
      </c>
      <c r="B28">
        <f>(3/(1+('CurrentFact-N10,20,40Unchanged'!C28)/100)+103/POWER(1+('CurrentFact-N10,20,40Unchanged'!D28)/100,2))*100</f>
        <v>9707.5857774288397</v>
      </c>
      <c r="C28">
        <f>(3/(1+('CurrentFact-N10,20,40Unchanged'!C28+'CurrentFact-N10,20,40Unchanged'!G28)/100)+103/POWER(1+('CurrentFact-N10,20,40Unchanged'!D28+'CurrentFact-N10,20,40Unchanged'!G28)/100,2))*100</f>
        <v>9614.9673582483465</v>
      </c>
      <c r="D28">
        <f>(3/(1+('CurrentFact-N10,20,40Unchanged'!C28+'CurrentFact-N10,20,40Unchanged'!H28)/100)+103/POWER(1+('CurrentFact-N10,20,40Unchanged'!D28+'CurrentFact-N10,20,40Unchanged'!H28)/100,2))*100</f>
        <v>9601.2395558122898</v>
      </c>
      <c r="E28">
        <f>(3/(1+('CurrentFact-N10,20,40Unchanged'!C28+'CurrentFact-N10,20,40Unchanged'!I28)/100)+103/POWER(1+('CurrentFact-N10,20,40Unchanged'!D28+'CurrentFact-N10,20,40Unchanged'!I28)/100,2))*100</f>
        <v>9682.8104799624489</v>
      </c>
      <c r="F28">
        <f>Portfolio!B$5*'CurrentFact-N10,20,40Unchanged'!E28</f>
        <v>52143.895533915893</v>
      </c>
      <c r="G28">
        <f>Portfolio!B$6*'CurrentFact-N10,20,40Unchanged'!F28</f>
        <v>3696.2945087936532</v>
      </c>
      <c r="H28">
        <f t="shared" si="0"/>
        <v>94446.793214161473</v>
      </c>
      <c r="I28">
        <f t="shared" si="1"/>
        <v>2.6234442920249421</v>
      </c>
    </row>
    <row r="29" spans="1:9">
      <c r="A29" s="1">
        <v>39297</v>
      </c>
      <c r="B29">
        <f>(3/(1+('CurrentFact-N10,20,40Unchanged'!C29)/100)+103/POWER(1+('CurrentFact-N10,20,40Unchanged'!D29)/100,2))*100</f>
        <v>9707.5857774288397</v>
      </c>
      <c r="C29">
        <f>(3/(1+('CurrentFact-N10,20,40Unchanged'!C29+'CurrentFact-N10,20,40Unchanged'!G29)/100)+103/POWER(1+('CurrentFact-N10,20,40Unchanged'!D29+'CurrentFact-N10,20,40Unchanged'!G29)/100,2))*100</f>
        <v>9614.9673582483465</v>
      </c>
      <c r="D29">
        <f>(3/(1+('CurrentFact-N10,20,40Unchanged'!C29+'CurrentFact-N10,20,40Unchanged'!H29)/100)+103/POWER(1+('CurrentFact-N10,20,40Unchanged'!D29+'CurrentFact-N10,20,40Unchanged'!H29)/100,2))*100</f>
        <v>9601.2395558122898</v>
      </c>
      <c r="E29">
        <f>(3/(1+('CurrentFact-N10,20,40Unchanged'!C29+'CurrentFact-N10,20,40Unchanged'!I29)/100)+103/POWER(1+('CurrentFact-N10,20,40Unchanged'!D29+'CurrentFact-N10,20,40Unchanged'!I29)/100,2))*100</f>
        <v>9681.6990276353554</v>
      </c>
      <c r="F29">
        <f>Portfolio!B$5*'CurrentFact-N10,20,40Unchanged'!E29</f>
        <v>52143.895533915893</v>
      </c>
      <c r="G29">
        <f>Portfolio!B$6*'CurrentFact-N10,20,40Unchanged'!F29</f>
        <v>3696.2945087936532</v>
      </c>
      <c r="H29">
        <f t="shared" si="0"/>
        <v>94445.681761834378</v>
      </c>
      <c r="I29">
        <f t="shared" si="1"/>
        <v>0.78336468806082848</v>
      </c>
    </row>
    <row r="30" spans="1:9">
      <c r="A30" s="1">
        <v>39300</v>
      </c>
      <c r="B30">
        <f>(3/(1+('CurrentFact-N10,20,40Unchanged'!C30)/100)+103/POWER(1+('CurrentFact-N10,20,40Unchanged'!D30)/100,2))*100</f>
        <v>9707.5857774288397</v>
      </c>
      <c r="C30">
        <f>(3/(1+('CurrentFact-N10,20,40Unchanged'!C30+'CurrentFact-N10,20,40Unchanged'!G30)/100)+103/POWER(1+('CurrentFact-N10,20,40Unchanged'!D30+'CurrentFact-N10,20,40Unchanged'!G30)/100,2))*100</f>
        <v>9614.9673582483465</v>
      </c>
      <c r="D30">
        <f>(3/(1+('CurrentFact-N10,20,40Unchanged'!C30+'CurrentFact-N10,20,40Unchanged'!H30)/100)+103/POWER(1+('CurrentFact-N10,20,40Unchanged'!D30+'CurrentFact-N10,20,40Unchanged'!H30)/100,2))*100</f>
        <v>9601.2395558122898</v>
      </c>
      <c r="E30">
        <f>(3/(1+('CurrentFact-N10,20,40Unchanged'!C30+'CurrentFact-N10,20,40Unchanged'!I30)/100)+103/POWER(1+('CurrentFact-N10,20,40Unchanged'!D30+'CurrentFact-N10,20,40Unchanged'!I30)/100,2))*100</f>
        <v>9679.4038563019276</v>
      </c>
      <c r="F30">
        <f>Portfolio!B$5*'CurrentFact-N10,20,40Unchanged'!E30</f>
        <v>52143.895533915893</v>
      </c>
      <c r="G30">
        <f>Portfolio!B$6*'CurrentFact-N10,20,40Unchanged'!F30</f>
        <v>3696.2945087936532</v>
      </c>
      <c r="H30">
        <f t="shared" si="0"/>
        <v>94443.386590500944</v>
      </c>
      <c r="I30">
        <f t="shared" si="1"/>
        <v>-2.841762878902955</v>
      </c>
    </row>
    <row r="31" spans="1:9">
      <c r="A31" s="1">
        <v>39301</v>
      </c>
      <c r="B31">
        <f>(3/(1+('CurrentFact-N10,20,40Unchanged'!C31)/100)+103/POWER(1+('CurrentFact-N10,20,40Unchanged'!D31)/100,2))*100</f>
        <v>9707.5857774288397</v>
      </c>
      <c r="C31">
        <f>(3/(1+('CurrentFact-N10,20,40Unchanged'!C31+'CurrentFact-N10,20,40Unchanged'!G31)/100)+103/POWER(1+('CurrentFact-N10,20,40Unchanged'!D31+'CurrentFact-N10,20,40Unchanged'!G31)/100,2))*100</f>
        <v>9614.9673582483465</v>
      </c>
      <c r="D31">
        <f>(3/(1+('CurrentFact-N10,20,40Unchanged'!C31+'CurrentFact-N10,20,40Unchanged'!H31)/100)+103/POWER(1+('CurrentFact-N10,20,40Unchanged'!D31+'CurrentFact-N10,20,40Unchanged'!H31)/100,2))*100</f>
        <v>9601.2395558122898</v>
      </c>
      <c r="E31">
        <f>(3/(1+('CurrentFact-N10,20,40Unchanged'!C31+'CurrentFact-N10,20,40Unchanged'!I31)/100)+103/POWER(1+('CurrentFact-N10,20,40Unchanged'!D31+'CurrentFact-N10,20,40Unchanged'!I31)/100,2))*100</f>
        <v>9680.5149077507449</v>
      </c>
      <c r="F31">
        <f>Portfolio!B$5*'CurrentFact-N10,20,40Unchanged'!E31</f>
        <v>52143.895533915893</v>
      </c>
      <c r="G31">
        <f>Portfolio!B$6*'CurrentFact-N10,20,40Unchanged'!F31</f>
        <v>3696.2945087936532</v>
      </c>
      <c r="H31">
        <f t="shared" si="0"/>
        <v>94444.497641949769</v>
      </c>
      <c r="I31">
        <f t="shared" si="1"/>
        <v>-0.60114135112962686</v>
      </c>
    </row>
    <row r="32" spans="1:9">
      <c r="A32" s="1">
        <v>39302</v>
      </c>
      <c r="B32">
        <f>(3/(1+('CurrentFact-N10,20,40Unchanged'!C32)/100)+103/POWER(1+('CurrentFact-N10,20,40Unchanged'!D32)/100,2))*100</f>
        <v>9707.5857774288397</v>
      </c>
      <c r="C32">
        <f>(3/(1+('CurrentFact-N10,20,40Unchanged'!C32+'CurrentFact-N10,20,40Unchanged'!G32)/100)+103/POWER(1+('CurrentFact-N10,20,40Unchanged'!D32+'CurrentFact-N10,20,40Unchanged'!G32)/100,2))*100</f>
        <v>9614.9673582483465</v>
      </c>
      <c r="D32">
        <f>(3/(1+('CurrentFact-N10,20,40Unchanged'!C32+'CurrentFact-N10,20,40Unchanged'!H32)/100)+103/POWER(1+('CurrentFact-N10,20,40Unchanged'!D32+'CurrentFact-N10,20,40Unchanged'!H32)/100,2))*100</f>
        <v>9601.2395558122898</v>
      </c>
      <c r="E32">
        <f>(3/(1+('CurrentFact-N10,20,40Unchanged'!C32+'CurrentFact-N10,20,40Unchanged'!I32)/100)+103/POWER(1+('CurrentFact-N10,20,40Unchanged'!D32+'CurrentFact-N10,20,40Unchanged'!I32)/100,2))*100</f>
        <v>9680.0777498733969</v>
      </c>
      <c r="F32">
        <f>Portfolio!B$5*'CurrentFact-N10,20,40Unchanged'!E32</f>
        <v>52143.895533915893</v>
      </c>
      <c r="G32">
        <f>Portfolio!B$6*'CurrentFact-N10,20,40Unchanged'!F32</f>
        <v>3696.2945087936532</v>
      </c>
      <c r="H32">
        <f t="shared" si="0"/>
        <v>94444.060484072426</v>
      </c>
      <c r="I32">
        <f t="shared" si="1"/>
        <v>-2.7873961244040402</v>
      </c>
    </row>
    <row r="33" spans="1:9">
      <c r="A33" s="1">
        <v>39303</v>
      </c>
      <c r="B33">
        <f>(3/(1+('CurrentFact-N10,20,40Unchanged'!C33)/100)+103/POWER(1+('CurrentFact-N10,20,40Unchanged'!D33)/100,2))*100</f>
        <v>9707.5857774288397</v>
      </c>
      <c r="C33">
        <f>(3/(1+('CurrentFact-N10,20,40Unchanged'!C33+'CurrentFact-N10,20,40Unchanged'!G33)/100)+103/POWER(1+('CurrentFact-N10,20,40Unchanged'!D33+'CurrentFact-N10,20,40Unchanged'!G33)/100,2))*100</f>
        <v>9614.9673582483465</v>
      </c>
      <c r="D33">
        <f>(3/(1+('CurrentFact-N10,20,40Unchanged'!C33+'CurrentFact-N10,20,40Unchanged'!H33)/100)+103/POWER(1+('CurrentFact-N10,20,40Unchanged'!D33+'CurrentFact-N10,20,40Unchanged'!H33)/100,2))*100</f>
        <v>9601.2395558122898</v>
      </c>
      <c r="E33">
        <f>(3/(1+('CurrentFact-N10,20,40Unchanged'!C33+'CurrentFact-N10,20,40Unchanged'!I33)/100)+103/POWER(1+('CurrentFact-N10,20,40Unchanged'!D33+'CurrentFact-N10,20,40Unchanged'!I33)/100,2))*100</f>
        <v>9682.7375920633258</v>
      </c>
      <c r="F33">
        <f>Portfolio!B$5*'CurrentFact-N10,20,40Unchanged'!E33</f>
        <v>52143.895533915893</v>
      </c>
      <c r="G33">
        <f>Portfolio!B$6*'CurrentFact-N10,20,40Unchanged'!F33</f>
        <v>3696.2945087936532</v>
      </c>
      <c r="H33">
        <f t="shared" si="0"/>
        <v>94446.720326262352</v>
      </c>
      <c r="I33">
        <f t="shared" si="1"/>
        <v>-1.2756591161014512</v>
      </c>
    </row>
    <row r="34" spans="1:9">
      <c r="A34" s="1">
        <v>39304</v>
      </c>
      <c r="B34">
        <f>(3/(1+('CurrentFact-N10,20,40Unchanged'!C34)/100)+103/POWER(1+('CurrentFact-N10,20,40Unchanged'!D34)/100,2))*100</f>
        <v>9707.5857774288397</v>
      </c>
      <c r="C34">
        <f>(3/(1+('CurrentFact-N10,20,40Unchanged'!C34+'CurrentFact-N10,20,40Unchanged'!G34)/100)+103/POWER(1+('CurrentFact-N10,20,40Unchanged'!D34+'CurrentFact-N10,20,40Unchanged'!G34)/100,2))*100</f>
        <v>9614.9673582483465</v>
      </c>
      <c r="D34">
        <f>(3/(1+('CurrentFact-N10,20,40Unchanged'!C34+'CurrentFact-N10,20,40Unchanged'!H34)/100)+103/POWER(1+('CurrentFact-N10,20,40Unchanged'!D34+'CurrentFact-N10,20,40Unchanged'!H34)/100,2))*100</f>
        <v>9601.2395558122898</v>
      </c>
      <c r="E34">
        <f>(3/(1+('CurrentFact-N10,20,40Unchanged'!C34+'CurrentFact-N10,20,40Unchanged'!I34)/100)+103/POWER(1+('CurrentFact-N10,20,40Unchanged'!D34+'CurrentFact-N10,20,40Unchanged'!I34)/100,2))*100</f>
        <v>9683.2296010785903</v>
      </c>
      <c r="F34">
        <f>Portfolio!B$5*'CurrentFact-N10,20,40Unchanged'!E34</f>
        <v>52143.895533915893</v>
      </c>
      <c r="G34">
        <f>Portfolio!B$6*'CurrentFact-N10,20,40Unchanged'!F34</f>
        <v>3696.2945087936532</v>
      </c>
      <c r="H34">
        <f t="shared" si="0"/>
        <v>94447.212335277611</v>
      </c>
      <c r="I34">
        <f t="shared" si="1"/>
        <v>0.18222926906310022</v>
      </c>
    </row>
    <row r="35" spans="1:9">
      <c r="A35" s="1">
        <v>39307</v>
      </c>
      <c r="B35">
        <f>(3/(1+('CurrentFact-N10,20,40Unchanged'!C35)/100)+103/POWER(1+('CurrentFact-N10,20,40Unchanged'!D35)/100,2))*100</f>
        <v>9707.5857774288397</v>
      </c>
      <c r="C35">
        <f>(3/(1+('CurrentFact-N10,20,40Unchanged'!C35+'CurrentFact-N10,20,40Unchanged'!G35)/100)+103/POWER(1+('CurrentFact-N10,20,40Unchanged'!D35+'CurrentFact-N10,20,40Unchanged'!G35)/100,2))*100</f>
        <v>9614.9673582483465</v>
      </c>
      <c r="D35">
        <f>(3/(1+('CurrentFact-N10,20,40Unchanged'!C35+'CurrentFact-N10,20,40Unchanged'!H35)/100)+103/POWER(1+('CurrentFact-N10,20,40Unchanged'!D35+'CurrentFact-N10,20,40Unchanged'!H35)/100,2))*100</f>
        <v>9601.2395558122898</v>
      </c>
      <c r="E35">
        <f>(3/(1+('CurrentFact-N10,20,40Unchanged'!C35+'CurrentFact-N10,20,40Unchanged'!I35)/100)+103/POWER(1+('CurrentFact-N10,20,40Unchanged'!D35+'CurrentFact-N10,20,40Unchanged'!I35)/100,2))*100</f>
        <v>9682.9744812089939</v>
      </c>
      <c r="F35">
        <f>Portfolio!B$5*'CurrentFact-N10,20,40Unchanged'!E35</f>
        <v>52143.895533915893</v>
      </c>
      <c r="G35">
        <f>Portfolio!B$6*'CurrentFact-N10,20,40Unchanged'!F35</f>
        <v>3696.2945087936532</v>
      </c>
      <c r="H35">
        <f t="shared" ref="H35:H66" si="2">SUM(B35:G35)</f>
        <v>94446.957215408009</v>
      </c>
      <c r="I35">
        <f t="shared" si="1"/>
        <v>1.4029842377494788</v>
      </c>
    </row>
    <row r="36" spans="1:9">
      <c r="A36" s="1">
        <v>39308</v>
      </c>
      <c r="B36">
        <f>(3/(1+('CurrentFact-N10,20,40Unchanged'!C36)/100)+103/POWER(1+('CurrentFact-N10,20,40Unchanged'!D36)/100,2))*100</f>
        <v>9707.5857774288397</v>
      </c>
      <c r="C36">
        <f>(3/(1+('CurrentFact-N10,20,40Unchanged'!C36+'CurrentFact-N10,20,40Unchanged'!G36)/100)+103/POWER(1+('CurrentFact-N10,20,40Unchanged'!D36+'CurrentFact-N10,20,40Unchanged'!G36)/100,2))*100</f>
        <v>9614.9673582483465</v>
      </c>
      <c r="D36">
        <f>(3/(1+('CurrentFact-N10,20,40Unchanged'!C36+'CurrentFact-N10,20,40Unchanged'!H36)/100)+103/POWER(1+('CurrentFact-N10,20,40Unchanged'!D36+'CurrentFact-N10,20,40Unchanged'!H36)/100,2))*100</f>
        <v>9601.2395558122898</v>
      </c>
      <c r="E36">
        <f>(3/(1+('CurrentFact-N10,20,40Unchanged'!C36+'CurrentFact-N10,20,40Unchanged'!I36)/100)+103/POWER(1+('CurrentFact-N10,20,40Unchanged'!D36+'CurrentFact-N10,20,40Unchanged'!I36)/100,2))*100</f>
        <v>9683.3024945884808</v>
      </c>
      <c r="F36">
        <f>Portfolio!B$5*'CurrentFact-N10,20,40Unchanged'!E36</f>
        <v>52143.895533915893</v>
      </c>
      <c r="G36">
        <f>Portfolio!B$6*'CurrentFact-N10,20,40Unchanged'!F36</f>
        <v>3696.2945087936532</v>
      </c>
      <c r="H36">
        <f t="shared" si="2"/>
        <v>94447.285228787514</v>
      </c>
      <c r="I36">
        <f t="shared" si="1"/>
        <v>0.80178289150353521</v>
      </c>
    </row>
    <row r="37" spans="1:9">
      <c r="A37" s="1">
        <v>39309</v>
      </c>
      <c r="B37">
        <f>(3/(1+('CurrentFact-N10,20,40Unchanged'!C37)/100)+103/POWER(1+('CurrentFact-N10,20,40Unchanged'!D37)/100,2))*100</f>
        <v>9707.5857774288397</v>
      </c>
      <c r="C37">
        <f>(3/(1+('CurrentFact-N10,20,40Unchanged'!C37+'CurrentFact-N10,20,40Unchanged'!G37)/100)+103/POWER(1+('CurrentFact-N10,20,40Unchanged'!D37+'CurrentFact-N10,20,40Unchanged'!G37)/100,2))*100</f>
        <v>9614.9673582483465</v>
      </c>
      <c r="D37">
        <f>(3/(1+('CurrentFact-N10,20,40Unchanged'!C37+'CurrentFact-N10,20,40Unchanged'!H37)/100)+103/POWER(1+('CurrentFact-N10,20,40Unchanged'!D37+'CurrentFact-N10,20,40Unchanged'!H37)/100,2))*100</f>
        <v>9601.2395558122898</v>
      </c>
      <c r="E37">
        <f>(3/(1+('CurrentFact-N10,20,40Unchanged'!C37+'CurrentFact-N10,20,40Unchanged'!I37)/100)+103/POWER(1+('CurrentFact-N10,20,40Unchanged'!D37+'CurrentFact-N10,20,40Unchanged'!I37)/100,2))*100</f>
        <v>9682.4642685408926</v>
      </c>
      <c r="F37">
        <f>Portfolio!B$5*'CurrentFact-N10,20,40Unchanged'!E37</f>
        <v>52143.895533915893</v>
      </c>
      <c r="G37">
        <f>Portfolio!B$6*'CurrentFact-N10,20,40Unchanged'!F37</f>
        <v>3696.2945087936532</v>
      </c>
      <c r="H37">
        <f t="shared" si="2"/>
        <v>94446.447002739907</v>
      </c>
      <c r="I37">
        <f t="shared" si="1"/>
        <v>-0.60132474527927116</v>
      </c>
    </row>
    <row r="38" spans="1:9">
      <c r="A38" s="1">
        <v>39310</v>
      </c>
      <c r="B38">
        <f>(3/(1+('CurrentFact-N10,20,40Unchanged'!C38)/100)+103/POWER(1+('CurrentFact-N10,20,40Unchanged'!D38)/100,2))*100</f>
        <v>9707.5857774288397</v>
      </c>
      <c r="C38">
        <f>(3/(1+('CurrentFact-N10,20,40Unchanged'!C38+'CurrentFact-N10,20,40Unchanged'!G38)/100)+103/POWER(1+('CurrentFact-N10,20,40Unchanged'!D38+'CurrentFact-N10,20,40Unchanged'!G38)/100,2))*100</f>
        <v>9614.9673582483465</v>
      </c>
      <c r="D38">
        <f>(3/(1+('CurrentFact-N10,20,40Unchanged'!C38+'CurrentFact-N10,20,40Unchanged'!H38)/100)+103/POWER(1+('CurrentFact-N10,20,40Unchanged'!D38+'CurrentFact-N10,20,40Unchanged'!H38)/100,2))*100</f>
        <v>9601.2395558122898</v>
      </c>
      <c r="E38">
        <f>(3/(1+('CurrentFact-N10,20,40Unchanged'!C38+'CurrentFact-N10,20,40Unchanged'!I38)/100)+103/POWER(1+('CurrentFact-N10,20,40Unchanged'!D38+'CurrentFact-N10,20,40Unchanged'!I38)/100,2))*100</f>
        <v>9682.1909584439472</v>
      </c>
      <c r="F38">
        <f>Portfolio!B$5*'CurrentFact-N10,20,40Unchanged'!E38</f>
        <v>52143.895533915893</v>
      </c>
      <c r="G38">
        <f>Portfolio!B$6*'CurrentFact-N10,20,40Unchanged'!F38</f>
        <v>3696.2945087936532</v>
      </c>
      <c r="H38">
        <f t="shared" si="2"/>
        <v>94446.173692642973</v>
      </c>
      <c r="I38">
        <f t="shared" si="1"/>
        <v>-0.61952151849982329</v>
      </c>
    </row>
    <row r="39" spans="1:9">
      <c r="A39" s="1">
        <v>39311</v>
      </c>
      <c r="B39">
        <f>(3/(1+('CurrentFact-N10,20,40Unchanged'!C39)/100)+103/POWER(1+('CurrentFact-N10,20,40Unchanged'!D39)/100,2))*100</f>
        <v>9707.5857774288397</v>
      </c>
      <c r="C39">
        <f>(3/(1+('CurrentFact-N10,20,40Unchanged'!C39+'CurrentFact-N10,20,40Unchanged'!G39)/100)+103/POWER(1+('CurrentFact-N10,20,40Unchanged'!D39+'CurrentFact-N10,20,40Unchanged'!G39)/100,2))*100</f>
        <v>9614.9673582483465</v>
      </c>
      <c r="D39">
        <f>(3/(1+('CurrentFact-N10,20,40Unchanged'!C39+'CurrentFact-N10,20,40Unchanged'!H39)/100)+103/POWER(1+('CurrentFact-N10,20,40Unchanged'!D39+'CurrentFact-N10,20,40Unchanged'!H39)/100,2))*100</f>
        <v>9601.2395558122898</v>
      </c>
      <c r="E39">
        <f>(3/(1+('CurrentFact-N10,20,40Unchanged'!C39+'CurrentFact-N10,20,40Unchanged'!I39)/100)+103/POWER(1+('CurrentFact-N10,20,40Unchanged'!D39+'CurrentFact-N10,20,40Unchanged'!I39)/100,2))*100</f>
        <v>9682.2820610902218</v>
      </c>
      <c r="F39">
        <f>Portfolio!B$5*'CurrentFact-N10,20,40Unchanged'!E39</f>
        <v>52143.895533915893</v>
      </c>
      <c r="G39">
        <f>Portfolio!B$6*'CurrentFact-N10,20,40Unchanged'!F39</f>
        <v>3696.2945087936532</v>
      </c>
      <c r="H39">
        <f t="shared" si="2"/>
        <v>94446.264795289244</v>
      </c>
      <c r="I39">
        <f t="shared" si="1"/>
        <v>0.58303345486638136</v>
      </c>
    </row>
    <row r="40" spans="1:9">
      <c r="A40" s="1">
        <v>39314</v>
      </c>
      <c r="B40">
        <f>(3/(1+('CurrentFact-N10,20,40Unchanged'!C40)/100)+103/POWER(1+('CurrentFact-N10,20,40Unchanged'!D40)/100,2))*100</f>
        <v>9707.5857774288397</v>
      </c>
      <c r="C40">
        <f>(3/(1+('CurrentFact-N10,20,40Unchanged'!C40+'CurrentFact-N10,20,40Unchanged'!G40)/100)+103/POWER(1+('CurrentFact-N10,20,40Unchanged'!D40+'CurrentFact-N10,20,40Unchanged'!G40)/100,2))*100</f>
        <v>9614.9673582483465</v>
      </c>
      <c r="D40">
        <f>(3/(1+('CurrentFact-N10,20,40Unchanged'!C40+'CurrentFact-N10,20,40Unchanged'!H40)/100)+103/POWER(1+('CurrentFact-N10,20,40Unchanged'!D40+'CurrentFact-N10,20,40Unchanged'!H40)/100,2))*100</f>
        <v>9601.2395558122898</v>
      </c>
      <c r="E40">
        <f>(3/(1+('CurrentFact-N10,20,40Unchanged'!C40+'CurrentFact-N10,20,40Unchanged'!I40)/100)+103/POWER(1+('CurrentFact-N10,20,40Unchanged'!D40+'CurrentFact-N10,20,40Unchanged'!I40)/100,2))*100</f>
        <v>9683.5029573304655</v>
      </c>
      <c r="F40">
        <f>Portfolio!B$5*'CurrentFact-N10,20,40Unchanged'!E40</f>
        <v>52143.895533915893</v>
      </c>
      <c r="G40">
        <f>Portfolio!B$6*'CurrentFact-N10,20,40Unchanged'!F40</f>
        <v>3696.2945087936532</v>
      </c>
      <c r="H40">
        <f t="shared" si="2"/>
        <v>94447.485691529495</v>
      </c>
      <c r="I40">
        <f t="shared" si="1"/>
        <v>4.0991010285506491</v>
      </c>
    </row>
    <row r="41" spans="1:9">
      <c r="A41" s="1">
        <v>39315</v>
      </c>
      <c r="B41">
        <f>(3/(1+('CurrentFact-N10,20,40Unchanged'!C41)/100)+103/POWER(1+('CurrentFact-N10,20,40Unchanged'!D41)/100,2))*100</f>
        <v>9707.5857774288397</v>
      </c>
      <c r="C41">
        <f>(3/(1+('CurrentFact-N10,20,40Unchanged'!C41+'CurrentFact-N10,20,40Unchanged'!G41)/100)+103/POWER(1+('CurrentFact-N10,20,40Unchanged'!D41+'CurrentFact-N10,20,40Unchanged'!G41)/100,2))*100</f>
        <v>9614.9673582483465</v>
      </c>
      <c r="D41">
        <f>(3/(1+('CurrentFact-N10,20,40Unchanged'!C41+'CurrentFact-N10,20,40Unchanged'!H41)/100)+103/POWER(1+('CurrentFact-N10,20,40Unchanged'!D41+'CurrentFact-N10,20,40Unchanged'!H41)/100,2))*100</f>
        <v>9601.2395558122898</v>
      </c>
      <c r="E41">
        <f>(3/(1+('CurrentFact-N10,20,40Unchanged'!C41+'CurrentFact-N10,20,40Unchanged'!I41)/100)+103/POWER(1+('CurrentFact-N10,20,40Unchanged'!D41+'CurrentFact-N10,20,40Unchanged'!I41)/100,2))*100</f>
        <v>9681.2800068736287</v>
      </c>
      <c r="F41">
        <f>Portfolio!B$5*'CurrentFact-N10,20,40Unchanged'!E41</f>
        <v>52143.895533915893</v>
      </c>
      <c r="G41">
        <f>Portfolio!B$6*'CurrentFact-N10,20,40Unchanged'!F41</f>
        <v>3696.2945087936532</v>
      </c>
      <c r="H41">
        <f t="shared" si="2"/>
        <v>94445.262741072656</v>
      </c>
      <c r="I41">
        <f t="shared" si="1"/>
        <v>0.76509912288747728</v>
      </c>
    </row>
    <row r="42" spans="1:9">
      <c r="A42" s="1">
        <v>39316</v>
      </c>
      <c r="B42">
        <f>(3/(1+('CurrentFact-N10,20,40Unchanged'!C42)/100)+103/POWER(1+('CurrentFact-N10,20,40Unchanged'!D42)/100,2))*100</f>
        <v>9707.5857774288397</v>
      </c>
      <c r="C42">
        <f>(3/(1+('CurrentFact-N10,20,40Unchanged'!C42+'CurrentFact-N10,20,40Unchanged'!G42)/100)+103/POWER(1+('CurrentFact-N10,20,40Unchanged'!D42+'CurrentFact-N10,20,40Unchanged'!G42)/100,2))*100</f>
        <v>9614.9673582483465</v>
      </c>
      <c r="D42">
        <f>(3/(1+('CurrentFact-N10,20,40Unchanged'!C42+'CurrentFact-N10,20,40Unchanged'!H42)/100)+103/POWER(1+('CurrentFact-N10,20,40Unchanged'!D42+'CurrentFact-N10,20,40Unchanged'!H42)/100,2))*100</f>
        <v>9601.2395558122898</v>
      </c>
      <c r="E42">
        <f>(3/(1+('CurrentFact-N10,20,40Unchanged'!C42+'CurrentFact-N10,20,40Unchanged'!I42)/100)+103/POWER(1+('CurrentFact-N10,20,40Unchanged'!D42+'CurrentFact-N10,20,40Unchanged'!I42)/100,2))*100</f>
        <v>9683.2478248126099</v>
      </c>
      <c r="F42">
        <f>Portfolio!B$5*'CurrentFact-N10,20,40Unchanged'!E42</f>
        <v>52143.895533915893</v>
      </c>
      <c r="G42">
        <f>Portfolio!B$6*'CurrentFact-N10,20,40Unchanged'!F42</f>
        <v>3696.2945087936532</v>
      </c>
      <c r="H42">
        <f t="shared" si="2"/>
        <v>94447.23055901163</v>
      </c>
      <c r="I42">
        <f t="shared" si="1"/>
        <v>3.1700749392039143</v>
      </c>
    </row>
    <row r="43" spans="1:9">
      <c r="A43" s="1">
        <v>39317</v>
      </c>
      <c r="B43">
        <f>(3/(1+('CurrentFact-N10,20,40Unchanged'!C43)/100)+103/POWER(1+('CurrentFact-N10,20,40Unchanged'!D43)/100,2))*100</f>
        <v>9707.5857774288397</v>
      </c>
      <c r="C43">
        <f>(3/(1+('CurrentFact-N10,20,40Unchanged'!C43+'CurrentFact-N10,20,40Unchanged'!G43)/100)+103/POWER(1+('CurrentFact-N10,20,40Unchanged'!D43+'CurrentFact-N10,20,40Unchanged'!G43)/100,2))*100</f>
        <v>9614.9673582483465</v>
      </c>
      <c r="D43">
        <f>(3/(1+('CurrentFact-N10,20,40Unchanged'!C43+'CurrentFact-N10,20,40Unchanged'!H43)/100)+103/POWER(1+('CurrentFact-N10,20,40Unchanged'!D43+'CurrentFact-N10,20,40Unchanged'!H43)/100,2))*100</f>
        <v>9601.2395558122898</v>
      </c>
      <c r="E43">
        <f>(3/(1+('CurrentFact-N10,20,40Unchanged'!C43+'CurrentFact-N10,20,40Unchanged'!I43)/100)+103/POWER(1+('CurrentFact-N10,20,40Unchanged'!D43+'CurrentFact-N10,20,40Unchanged'!I43)/100,2))*100</f>
        <v>9678.2201598923075</v>
      </c>
      <c r="F43">
        <f>Portfolio!B$5*'CurrentFact-N10,20,40Unchanged'!E43</f>
        <v>52143.895533915893</v>
      </c>
      <c r="G43">
        <f>Portfolio!B$6*'CurrentFact-N10,20,40Unchanged'!F43</f>
        <v>3696.2945087936532</v>
      </c>
      <c r="H43">
        <f t="shared" si="2"/>
        <v>94442.20289409133</v>
      </c>
      <c r="I43">
        <f t="shared" si="1"/>
        <v>-4.5174321710219374</v>
      </c>
    </row>
    <row r="44" spans="1:9">
      <c r="A44" s="1">
        <v>39318</v>
      </c>
      <c r="B44">
        <f>(3/(1+('CurrentFact-N10,20,40Unchanged'!C44)/100)+103/POWER(1+('CurrentFact-N10,20,40Unchanged'!D44)/100,2))*100</f>
        <v>9707.5857774288397</v>
      </c>
      <c r="C44">
        <f>(3/(1+('CurrentFact-N10,20,40Unchanged'!C44+'CurrentFact-N10,20,40Unchanged'!G44)/100)+103/POWER(1+('CurrentFact-N10,20,40Unchanged'!D44+'CurrentFact-N10,20,40Unchanged'!G44)/100,2))*100</f>
        <v>9614.9673582483465</v>
      </c>
      <c r="D44">
        <f>(3/(1+('CurrentFact-N10,20,40Unchanged'!C44+'CurrentFact-N10,20,40Unchanged'!H44)/100)+103/POWER(1+('CurrentFact-N10,20,40Unchanged'!D44+'CurrentFact-N10,20,40Unchanged'!H44)/100,2))*100</f>
        <v>9601.2395558122898</v>
      </c>
      <c r="E44">
        <f>(3/(1+('CurrentFact-N10,20,40Unchanged'!C44+'CurrentFact-N10,20,40Unchanged'!I44)/100)+103/POWER(1+('CurrentFact-N10,20,40Unchanged'!D44+'CurrentFact-N10,20,40Unchanged'!I44)/100,2))*100</f>
        <v>9678.5297207193616</v>
      </c>
      <c r="F44">
        <f>Portfolio!B$5*'CurrentFact-N10,20,40Unchanged'!E44</f>
        <v>52143.895533915893</v>
      </c>
      <c r="G44">
        <f>Portfolio!B$6*'CurrentFact-N10,20,40Unchanged'!F44</f>
        <v>3696.2945087936532</v>
      </c>
      <c r="H44">
        <f t="shared" si="2"/>
        <v>94442.512454918382</v>
      </c>
      <c r="I44">
        <f t="shared" si="1"/>
        <v>-4.6998803592287004</v>
      </c>
    </row>
    <row r="45" spans="1:9">
      <c r="A45" s="1">
        <v>39321</v>
      </c>
      <c r="B45">
        <f>(3/(1+('CurrentFact-N10,20,40Unchanged'!C45)/100)+103/POWER(1+('CurrentFact-N10,20,40Unchanged'!D45)/100,2))*100</f>
        <v>9707.5857774288397</v>
      </c>
      <c r="C45">
        <f>(3/(1+('CurrentFact-N10,20,40Unchanged'!C45+'CurrentFact-N10,20,40Unchanged'!G45)/100)+103/POWER(1+('CurrentFact-N10,20,40Unchanged'!D45+'CurrentFact-N10,20,40Unchanged'!G45)/100,2))*100</f>
        <v>9614.9673582483465</v>
      </c>
      <c r="D45">
        <f>(3/(1+('CurrentFact-N10,20,40Unchanged'!C45+'CurrentFact-N10,20,40Unchanged'!H45)/100)+103/POWER(1+('CurrentFact-N10,20,40Unchanged'!D45+'CurrentFact-N10,20,40Unchanged'!H45)/100,2))*100</f>
        <v>9601.2395558122898</v>
      </c>
      <c r="E45">
        <f>(3/(1+('CurrentFact-N10,20,40Unchanged'!C45+'CurrentFact-N10,20,40Unchanged'!I45)/100)+103/POWER(1+('CurrentFact-N10,20,40Unchanged'!D45+'CurrentFact-N10,20,40Unchanged'!I45)/100,2))*100</f>
        <v>9676.3813140356069</v>
      </c>
      <c r="F45">
        <f>Portfolio!B$5*'CurrentFact-N10,20,40Unchanged'!E45</f>
        <v>52143.895533915893</v>
      </c>
      <c r="G45">
        <f>Portfolio!B$6*'CurrentFact-N10,20,40Unchanged'!F45</f>
        <v>3696.2945087936532</v>
      </c>
      <c r="H45">
        <f t="shared" si="2"/>
        <v>94440.364048234624</v>
      </c>
      <c r="I45">
        <f t="shared" si="1"/>
        <v>-6.5931671733851545</v>
      </c>
    </row>
    <row r="46" spans="1:9">
      <c r="A46" s="1">
        <v>39322</v>
      </c>
      <c r="B46">
        <f>(3/(1+('CurrentFact-N10,20,40Unchanged'!C46)/100)+103/POWER(1+('CurrentFact-N10,20,40Unchanged'!D46)/100,2))*100</f>
        <v>9707.5857774288397</v>
      </c>
      <c r="C46">
        <f>(3/(1+('CurrentFact-N10,20,40Unchanged'!C46+'CurrentFact-N10,20,40Unchanged'!G46)/100)+103/POWER(1+('CurrentFact-N10,20,40Unchanged'!D46+'CurrentFact-N10,20,40Unchanged'!G46)/100,2))*100</f>
        <v>9614.9673582483465</v>
      </c>
      <c r="D46">
        <f>(3/(1+('CurrentFact-N10,20,40Unchanged'!C46+'CurrentFact-N10,20,40Unchanged'!H46)/100)+103/POWER(1+('CurrentFact-N10,20,40Unchanged'!D46+'CurrentFact-N10,20,40Unchanged'!H46)/100,2))*100</f>
        <v>9601.2395558122898</v>
      </c>
      <c r="E46">
        <f>(3/(1+('CurrentFact-N10,20,40Unchanged'!C46+'CurrentFact-N10,20,40Unchanged'!I46)/100)+103/POWER(1+('CurrentFact-N10,20,40Unchanged'!D46+'CurrentFact-N10,20,40Unchanged'!I46)/100,2))*100</f>
        <v>9678.8028742649876</v>
      </c>
      <c r="F46">
        <f>Portfolio!B$5*'CurrentFact-N10,20,40Unchanged'!E46</f>
        <v>52143.895533915893</v>
      </c>
      <c r="G46">
        <f>Portfolio!B$6*'CurrentFact-N10,20,40Unchanged'!F46</f>
        <v>3696.2945087936532</v>
      </c>
      <c r="H46">
        <f t="shared" si="2"/>
        <v>94442.785608464008</v>
      </c>
      <c r="I46">
        <f t="shared" si="1"/>
        <v>-4.4996203235059511</v>
      </c>
    </row>
    <row r="47" spans="1:9">
      <c r="A47" s="1">
        <v>39323</v>
      </c>
      <c r="B47">
        <f>(3/(1+('CurrentFact-N10,20,40Unchanged'!C47)/100)+103/POWER(1+('CurrentFact-N10,20,40Unchanged'!D47)/100,2))*100</f>
        <v>9707.5857774288397</v>
      </c>
      <c r="C47">
        <f>(3/(1+('CurrentFact-N10,20,40Unchanged'!C47+'CurrentFact-N10,20,40Unchanged'!G47)/100)+103/POWER(1+('CurrentFact-N10,20,40Unchanged'!D47+'CurrentFact-N10,20,40Unchanged'!G47)/100,2))*100</f>
        <v>9614.9673582483465</v>
      </c>
      <c r="D47">
        <f>(3/(1+('CurrentFact-N10,20,40Unchanged'!C47+'CurrentFact-N10,20,40Unchanged'!H47)/100)+103/POWER(1+('CurrentFact-N10,20,40Unchanged'!D47+'CurrentFact-N10,20,40Unchanged'!H47)/100,2))*100</f>
        <v>9601.2395558122898</v>
      </c>
      <c r="E47">
        <f>(3/(1+('CurrentFact-N10,20,40Unchanged'!C47+'CurrentFact-N10,20,40Unchanged'!I47)/100)+103/POWER(1+('CurrentFact-N10,20,40Unchanged'!D47+'CurrentFact-N10,20,40Unchanged'!I47)/100,2))*100</f>
        <v>9678.4022532928229</v>
      </c>
      <c r="F47">
        <f>Portfolio!B$5*'CurrentFact-N10,20,40Unchanged'!E47</f>
        <v>52143.895533915893</v>
      </c>
      <c r="G47">
        <f>Portfolio!B$6*'CurrentFact-N10,20,40Unchanged'!F47</f>
        <v>3696.2945087936532</v>
      </c>
      <c r="H47">
        <f t="shared" si="2"/>
        <v>94442.384987491852</v>
      </c>
      <c r="I47">
        <f t="shared" si="1"/>
        <v>-4.0620152480551042</v>
      </c>
    </row>
    <row r="48" spans="1:9">
      <c r="A48" s="1">
        <v>39324</v>
      </c>
      <c r="B48">
        <f>(3/(1+('CurrentFact-N10,20,40Unchanged'!C48)/100)+103/POWER(1+('CurrentFact-N10,20,40Unchanged'!D48)/100,2))*100</f>
        <v>9707.5857774288397</v>
      </c>
      <c r="C48">
        <f>(3/(1+('CurrentFact-N10,20,40Unchanged'!C48+'CurrentFact-N10,20,40Unchanged'!G48)/100)+103/POWER(1+('CurrentFact-N10,20,40Unchanged'!D48+'CurrentFact-N10,20,40Unchanged'!G48)/100,2))*100</f>
        <v>9614.9673582483465</v>
      </c>
      <c r="D48">
        <f>(3/(1+('CurrentFact-N10,20,40Unchanged'!C48+'CurrentFact-N10,20,40Unchanged'!H48)/100)+103/POWER(1+('CurrentFact-N10,20,40Unchanged'!D48+'CurrentFact-N10,20,40Unchanged'!H48)/100,2))*100</f>
        <v>9601.2395558122898</v>
      </c>
      <c r="E48">
        <f>(3/(1+('CurrentFact-N10,20,40Unchanged'!C48+'CurrentFact-N10,20,40Unchanged'!I48)/100)+103/POWER(1+('CurrentFact-N10,20,40Unchanged'!D48+'CurrentFact-N10,20,40Unchanged'!I48)/100,2))*100</f>
        <v>9680.496691807788</v>
      </c>
      <c r="F48">
        <f>Portfolio!B$5*'CurrentFact-N10,20,40Unchanged'!E48</f>
        <v>52143.895533915893</v>
      </c>
      <c r="G48">
        <f>Portfolio!B$6*'CurrentFact-N10,20,40Unchanged'!F48</f>
        <v>3696.2945087936532</v>
      </c>
      <c r="H48">
        <f t="shared" si="2"/>
        <v>94444.479426006816</v>
      </c>
      <c r="I48">
        <f t="shared" si="1"/>
        <v>-1.6942666361574084</v>
      </c>
    </row>
    <row r="49" spans="1:9">
      <c r="A49" s="1">
        <v>39325</v>
      </c>
      <c r="B49">
        <f>(3/(1+('CurrentFact-N10,20,40Unchanged'!C49)/100)+103/POWER(1+('CurrentFact-N10,20,40Unchanged'!D49)/100,2))*100</f>
        <v>9707.5857774288397</v>
      </c>
      <c r="C49">
        <f>(3/(1+('CurrentFact-N10,20,40Unchanged'!C49+'CurrentFact-N10,20,40Unchanged'!G49)/100)+103/POWER(1+('CurrentFact-N10,20,40Unchanged'!D49+'CurrentFact-N10,20,40Unchanged'!G49)/100,2))*100</f>
        <v>9614.9673582483465</v>
      </c>
      <c r="D49">
        <f>(3/(1+('CurrentFact-N10,20,40Unchanged'!C49+'CurrentFact-N10,20,40Unchanged'!H49)/100)+103/POWER(1+('CurrentFact-N10,20,40Unchanged'!D49+'CurrentFact-N10,20,40Unchanged'!H49)/100,2))*100</f>
        <v>9601.2395558122898</v>
      </c>
      <c r="E49">
        <f>(3/(1+('CurrentFact-N10,20,40Unchanged'!C49+'CurrentFact-N10,20,40Unchanged'!I49)/100)+103/POWER(1+('CurrentFact-N10,20,40Unchanged'!D49+'CurrentFact-N10,20,40Unchanged'!I49)/100,2))*100</f>
        <v>9680.5331237456321</v>
      </c>
      <c r="F49">
        <f>Portfolio!B$5*'CurrentFact-N10,20,40Unchanged'!E49</f>
        <v>52143.895533915893</v>
      </c>
      <c r="G49">
        <f>Portfolio!B$6*'CurrentFact-N10,20,40Unchanged'!F49</f>
        <v>3696.2945087936532</v>
      </c>
      <c r="H49">
        <f t="shared" si="2"/>
        <v>94444.515857944658</v>
      </c>
      <c r="I49">
        <f t="shared" si="1"/>
        <v>-1.748937344586011</v>
      </c>
    </row>
    <row r="50" spans="1:9">
      <c r="A50" s="1">
        <v>39328</v>
      </c>
      <c r="B50">
        <f>(3/(1+('CurrentFact-N10,20,40Unchanged'!C50)/100)+103/POWER(1+('CurrentFact-N10,20,40Unchanged'!D50)/100,2))*100</f>
        <v>9707.5857774288397</v>
      </c>
      <c r="C50">
        <f>(3/(1+('CurrentFact-N10,20,40Unchanged'!C50+'CurrentFact-N10,20,40Unchanged'!G50)/100)+103/POWER(1+('CurrentFact-N10,20,40Unchanged'!D50+'CurrentFact-N10,20,40Unchanged'!G50)/100,2))*100</f>
        <v>9614.9673582483465</v>
      </c>
      <c r="D50">
        <f>(3/(1+('CurrentFact-N10,20,40Unchanged'!C50+'CurrentFact-N10,20,40Unchanged'!H50)/100)+103/POWER(1+('CurrentFact-N10,20,40Unchanged'!D50+'CurrentFact-N10,20,40Unchanged'!H50)/100,2))*100</f>
        <v>9601.2395558122898</v>
      </c>
      <c r="E50">
        <f>(3/(1+('CurrentFact-N10,20,40Unchanged'!C50+'CurrentFact-N10,20,40Unchanged'!I50)/100)+103/POWER(1+('CurrentFact-N10,20,40Unchanged'!D50+'CurrentFact-N10,20,40Unchanged'!I50)/100,2))*100</f>
        <v>9677.5464639503971</v>
      </c>
      <c r="F50">
        <f>Portfolio!B$5*'CurrentFact-N10,20,40Unchanged'!E50</f>
        <v>52143.895533915893</v>
      </c>
      <c r="G50">
        <f>Portfolio!B$6*'CurrentFact-N10,20,40Unchanged'!F50</f>
        <v>3696.2945087936532</v>
      </c>
      <c r="H50">
        <f t="shared" si="2"/>
        <v>94441.529198149423</v>
      </c>
      <c r="I50">
        <f t="shared" si="1"/>
        <v>-5.956493380072061</v>
      </c>
    </row>
    <row r="51" spans="1:9">
      <c r="A51" s="1">
        <v>39329</v>
      </c>
      <c r="B51">
        <f>(3/(1+('CurrentFact-N10,20,40Unchanged'!C51)/100)+103/POWER(1+('CurrentFact-N10,20,40Unchanged'!D51)/100,2))*100</f>
        <v>9707.5857774288397</v>
      </c>
      <c r="C51">
        <f>(3/(1+('CurrentFact-N10,20,40Unchanged'!C51+'CurrentFact-N10,20,40Unchanged'!G51)/100)+103/POWER(1+('CurrentFact-N10,20,40Unchanged'!D51+'CurrentFact-N10,20,40Unchanged'!G51)/100,2))*100</f>
        <v>9614.9673582483465</v>
      </c>
      <c r="D51">
        <f>(3/(1+('CurrentFact-N10,20,40Unchanged'!C51+'CurrentFact-N10,20,40Unchanged'!H51)/100)+103/POWER(1+('CurrentFact-N10,20,40Unchanged'!D51+'CurrentFact-N10,20,40Unchanged'!H51)/100,2))*100</f>
        <v>9601.2395558122898</v>
      </c>
      <c r="E51">
        <f>(3/(1+('CurrentFact-N10,20,40Unchanged'!C51+'CurrentFact-N10,20,40Unchanged'!I51)/100)+103/POWER(1+('CurrentFact-N10,20,40Unchanged'!D51+'CurrentFact-N10,20,40Unchanged'!I51)/100,2))*100</f>
        <v>9676.9638606911049</v>
      </c>
      <c r="F51">
        <f>Portfolio!B$5*'CurrentFact-N10,20,40Unchanged'!E51</f>
        <v>52143.895533915893</v>
      </c>
      <c r="G51">
        <f>Portfolio!B$6*'CurrentFact-N10,20,40Unchanged'!F51</f>
        <v>3696.2945087936532</v>
      </c>
      <c r="H51">
        <f t="shared" si="2"/>
        <v>94440.94659489012</v>
      </c>
      <c r="I51">
        <f t="shared" si="1"/>
        <v>-4.3161461825366132</v>
      </c>
    </row>
    <row r="52" spans="1:9">
      <c r="A52" s="1">
        <v>39330</v>
      </c>
      <c r="B52">
        <f>(3/(1+('CurrentFact-N10,20,40Unchanged'!C52)/100)+103/POWER(1+('CurrentFact-N10,20,40Unchanged'!D52)/100,2))*100</f>
        <v>9707.5857774288397</v>
      </c>
      <c r="C52">
        <f>(3/(1+('CurrentFact-N10,20,40Unchanged'!C52+'CurrentFact-N10,20,40Unchanged'!G52)/100)+103/POWER(1+('CurrentFact-N10,20,40Unchanged'!D52+'CurrentFact-N10,20,40Unchanged'!G52)/100,2))*100</f>
        <v>9614.9673582483465</v>
      </c>
      <c r="D52">
        <f>(3/(1+('CurrentFact-N10,20,40Unchanged'!C52+'CurrentFact-N10,20,40Unchanged'!H52)/100)+103/POWER(1+('CurrentFact-N10,20,40Unchanged'!D52+'CurrentFact-N10,20,40Unchanged'!H52)/100,2))*100</f>
        <v>9601.2395558122898</v>
      </c>
      <c r="E52">
        <f>(3/(1+('CurrentFact-N10,20,40Unchanged'!C52+'CurrentFact-N10,20,40Unchanged'!I52)/100)+103/POWER(1+('CurrentFact-N10,20,40Unchanged'!D52+'CurrentFact-N10,20,40Unchanged'!I52)/100,2))*100</f>
        <v>9674.9433798658083</v>
      </c>
      <c r="F52">
        <f>Portfolio!B$5*'CurrentFact-N10,20,40Unchanged'!E52</f>
        <v>52143.895533915893</v>
      </c>
      <c r="G52">
        <f>Portfolio!B$6*'CurrentFact-N10,20,40Unchanged'!F52</f>
        <v>3696.2945087936532</v>
      </c>
      <c r="H52">
        <f t="shared" si="2"/>
        <v>94438.92611406483</v>
      </c>
      <c r="I52">
        <f t="shared" si="1"/>
        <v>-8.3044449467997765</v>
      </c>
    </row>
    <row r="53" spans="1:9">
      <c r="A53" s="1">
        <v>39331</v>
      </c>
      <c r="B53">
        <f>(3/(1+('CurrentFact-N10,20,40Unchanged'!C53)/100)+103/POWER(1+('CurrentFact-N10,20,40Unchanged'!D53)/100,2))*100</f>
        <v>9707.5857774288397</v>
      </c>
      <c r="C53">
        <f>(3/(1+('CurrentFact-N10,20,40Unchanged'!C53+'CurrentFact-N10,20,40Unchanged'!G53)/100)+103/POWER(1+('CurrentFact-N10,20,40Unchanged'!D53+'CurrentFact-N10,20,40Unchanged'!G53)/100,2))*100</f>
        <v>9614.9673582483465</v>
      </c>
      <c r="D53">
        <f>(3/(1+('CurrentFact-N10,20,40Unchanged'!C53+'CurrentFact-N10,20,40Unchanged'!H53)/100)+103/POWER(1+('CurrentFact-N10,20,40Unchanged'!D53+'CurrentFact-N10,20,40Unchanged'!H53)/100,2))*100</f>
        <v>9601.2395558122898</v>
      </c>
      <c r="E53">
        <f>(3/(1+('CurrentFact-N10,20,40Unchanged'!C53+'CurrentFact-N10,20,40Unchanged'!I53)/100)+103/POWER(1+('CurrentFact-N10,20,40Unchanged'!D53+'CurrentFact-N10,20,40Unchanged'!I53)/100,2))*100</f>
        <v>9676.6179693770573</v>
      </c>
      <c r="F53">
        <f>Portfolio!B$5*'CurrentFact-N10,20,40Unchanged'!E53</f>
        <v>52143.895533915893</v>
      </c>
      <c r="G53">
        <f>Portfolio!B$6*'CurrentFact-N10,20,40Unchanged'!F53</f>
        <v>3696.2945087936532</v>
      </c>
      <c r="H53">
        <f t="shared" si="2"/>
        <v>94440.600703576085</v>
      </c>
      <c r="I53">
        <f t="shared" si="1"/>
        <v>-1.6021905152447289</v>
      </c>
    </row>
    <row r="54" spans="1:9">
      <c r="A54" s="1">
        <v>39332</v>
      </c>
      <c r="B54">
        <f>(3/(1+('CurrentFact-N10,20,40Unchanged'!C54)/100)+103/POWER(1+('CurrentFact-N10,20,40Unchanged'!D54)/100,2))*100</f>
        <v>9707.5857774288397</v>
      </c>
      <c r="C54">
        <f>(3/(1+('CurrentFact-N10,20,40Unchanged'!C54+'CurrentFact-N10,20,40Unchanged'!G54)/100)+103/POWER(1+('CurrentFact-N10,20,40Unchanged'!D54+'CurrentFact-N10,20,40Unchanged'!G54)/100,2))*100</f>
        <v>9614.9673582483465</v>
      </c>
      <c r="D54">
        <f>(3/(1+('CurrentFact-N10,20,40Unchanged'!C54+'CurrentFact-N10,20,40Unchanged'!H54)/100)+103/POWER(1+('CurrentFact-N10,20,40Unchanged'!D54+'CurrentFact-N10,20,40Unchanged'!H54)/100,2))*100</f>
        <v>9601.2395558122898</v>
      </c>
      <c r="E54">
        <f>(3/(1+('CurrentFact-N10,20,40Unchanged'!C54+'CurrentFact-N10,20,40Unchanged'!I54)/100)+103/POWER(1+('CurrentFact-N10,20,40Unchanged'!D54+'CurrentFact-N10,20,40Unchanged'!I54)/100,2))*100</f>
        <v>9678.4204632656547</v>
      </c>
      <c r="F54">
        <f>Portfolio!B$5*'CurrentFact-N10,20,40Unchanged'!E54</f>
        <v>52143.895533915893</v>
      </c>
      <c r="G54">
        <f>Portfolio!B$6*'CurrentFact-N10,20,40Unchanged'!F54</f>
        <v>3696.2945087936532</v>
      </c>
      <c r="H54">
        <f t="shared" si="2"/>
        <v>94442.403197464679</v>
      </c>
      <c r="I54">
        <f t="shared" si="1"/>
        <v>-0.10925745370332152</v>
      </c>
    </row>
    <row r="55" spans="1:9">
      <c r="A55" s="1">
        <v>39335</v>
      </c>
      <c r="B55">
        <f>(3/(1+('CurrentFact-N10,20,40Unchanged'!C55)/100)+103/POWER(1+('CurrentFact-N10,20,40Unchanged'!D55)/100,2))*100</f>
        <v>9707.5857774288397</v>
      </c>
      <c r="C55">
        <f>(3/(1+('CurrentFact-N10,20,40Unchanged'!C55+'CurrentFact-N10,20,40Unchanged'!G55)/100)+103/POWER(1+('CurrentFact-N10,20,40Unchanged'!D55+'CurrentFact-N10,20,40Unchanged'!G55)/100,2))*100</f>
        <v>9614.9673582483465</v>
      </c>
      <c r="D55">
        <f>(3/(1+('CurrentFact-N10,20,40Unchanged'!C55+'CurrentFact-N10,20,40Unchanged'!H55)/100)+103/POWER(1+('CurrentFact-N10,20,40Unchanged'!D55+'CurrentFact-N10,20,40Unchanged'!H55)/100,2))*100</f>
        <v>9601.2395558122898</v>
      </c>
      <c r="E55">
        <f>(3/(1+('CurrentFact-N10,20,40Unchanged'!C55+'CurrentFact-N10,20,40Unchanged'!I55)/100)+103/POWER(1+('CurrentFact-N10,20,40Unchanged'!D55+'CurrentFact-N10,20,40Unchanged'!I55)/100,2))*100</f>
        <v>9676.1992782327652</v>
      </c>
      <c r="F55">
        <f>Portfolio!B$5*'CurrentFact-N10,20,40Unchanged'!E55</f>
        <v>52143.895533915893</v>
      </c>
      <c r="G55">
        <f>Portfolio!B$6*'CurrentFact-N10,20,40Unchanged'!F55</f>
        <v>3696.2945087936532</v>
      </c>
      <c r="H55">
        <f t="shared" si="2"/>
        <v>94440.182012431789</v>
      </c>
      <c r="I55">
        <f t="shared" si="1"/>
        <v>-0.18203580283443443</v>
      </c>
    </row>
    <row r="56" spans="1:9">
      <c r="A56" s="1">
        <v>39336</v>
      </c>
      <c r="B56">
        <f>(3/(1+('CurrentFact-N10,20,40Unchanged'!C56)/100)+103/POWER(1+('CurrentFact-N10,20,40Unchanged'!D56)/100,2))*100</f>
        <v>9707.5857774288397</v>
      </c>
      <c r="C56">
        <f>(3/(1+('CurrentFact-N10,20,40Unchanged'!C56+'CurrentFact-N10,20,40Unchanged'!G56)/100)+103/POWER(1+('CurrentFact-N10,20,40Unchanged'!D56+'CurrentFact-N10,20,40Unchanged'!G56)/100,2))*100</f>
        <v>9614.9673582483465</v>
      </c>
      <c r="D56">
        <f>(3/(1+('CurrentFact-N10,20,40Unchanged'!C56+'CurrentFact-N10,20,40Unchanged'!H56)/100)+103/POWER(1+('CurrentFact-N10,20,40Unchanged'!D56+'CurrentFact-N10,20,40Unchanged'!H56)/100,2))*100</f>
        <v>9601.2395558122898</v>
      </c>
      <c r="E56">
        <f>(3/(1+('CurrentFact-N10,20,40Unchanged'!C56+'CurrentFact-N10,20,40Unchanged'!I56)/100)+103/POWER(1+('CurrentFact-N10,20,40Unchanged'!D56+'CurrentFact-N10,20,40Unchanged'!I56)/100,2))*100</f>
        <v>9678.966772692831</v>
      </c>
      <c r="F56">
        <f>Portfolio!B$5*'CurrentFact-N10,20,40Unchanged'!E56</f>
        <v>52143.895533915893</v>
      </c>
      <c r="G56">
        <f>Portfolio!B$6*'CurrentFact-N10,20,40Unchanged'!F56</f>
        <v>3696.2945087936532</v>
      </c>
      <c r="H56">
        <f t="shared" si="2"/>
        <v>94442.949506891862</v>
      </c>
      <c r="I56">
        <f t="shared" si="1"/>
        <v>0.16389842785429209</v>
      </c>
    </row>
    <row r="57" spans="1:9">
      <c r="A57" s="1">
        <v>39337</v>
      </c>
      <c r="B57">
        <f>(3/(1+('CurrentFact-N10,20,40Unchanged'!C57)/100)+103/POWER(1+('CurrentFact-N10,20,40Unchanged'!D57)/100,2))*100</f>
        <v>9707.5857774288397</v>
      </c>
      <c r="C57">
        <f>(3/(1+('CurrentFact-N10,20,40Unchanged'!C57+'CurrentFact-N10,20,40Unchanged'!G57)/100)+103/POWER(1+('CurrentFact-N10,20,40Unchanged'!D57+'CurrentFact-N10,20,40Unchanged'!G57)/100,2))*100</f>
        <v>9614.9673582483465</v>
      </c>
      <c r="D57">
        <f>(3/(1+('CurrentFact-N10,20,40Unchanged'!C57+'CurrentFact-N10,20,40Unchanged'!H57)/100)+103/POWER(1+('CurrentFact-N10,20,40Unchanged'!D57+'CurrentFact-N10,20,40Unchanged'!H57)/100,2))*100</f>
        <v>9601.2395558122898</v>
      </c>
      <c r="E57">
        <f>(3/(1+('CurrentFact-N10,20,40Unchanged'!C57+'CurrentFact-N10,20,40Unchanged'!I57)/100)+103/POWER(1+('CurrentFact-N10,20,40Unchanged'!D57+'CurrentFact-N10,20,40Unchanged'!I57)/100,2))*100</f>
        <v>9680.0595351765915</v>
      </c>
      <c r="F57">
        <f>Portfolio!B$5*'CurrentFact-N10,20,40Unchanged'!E57</f>
        <v>52143.895533915893</v>
      </c>
      <c r="G57">
        <f>Portfolio!B$6*'CurrentFact-N10,20,40Unchanged'!F57</f>
        <v>3696.2945087936532</v>
      </c>
      <c r="H57">
        <f t="shared" si="2"/>
        <v>94444.042269375612</v>
      </c>
      <c r="I57">
        <f t="shared" si="1"/>
        <v>1.6572818837594241</v>
      </c>
    </row>
    <row r="58" spans="1:9">
      <c r="A58" s="1">
        <v>39338</v>
      </c>
      <c r="B58">
        <f>(3/(1+('CurrentFact-N10,20,40Unchanged'!C58)/100)+103/POWER(1+('CurrentFact-N10,20,40Unchanged'!D58)/100,2))*100</f>
        <v>9707.5857774288397</v>
      </c>
      <c r="C58">
        <f>(3/(1+('CurrentFact-N10,20,40Unchanged'!C58+'CurrentFact-N10,20,40Unchanged'!G58)/100)+103/POWER(1+('CurrentFact-N10,20,40Unchanged'!D58+'CurrentFact-N10,20,40Unchanged'!G58)/100,2))*100</f>
        <v>9614.9673582483465</v>
      </c>
      <c r="D58">
        <f>(3/(1+('CurrentFact-N10,20,40Unchanged'!C58+'CurrentFact-N10,20,40Unchanged'!H58)/100)+103/POWER(1+('CurrentFact-N10,20,40Unchanged'!D58+'CurrentFact-N10,20,40Unchanged'!H58)/100,2))*100</f>
        <v>9601.2395558122898</v>
      </c>
      <c r="E58">
        <f>(3/(1+('CurrentFact-N10,20,40Unchanged'!C58+'CurrentFact-N10,20,40Unchanged'!I58)/100)+103/POWER(1+('CurrentFact-N10,20,40Unchanged'!D58+'CurrentFact-N10,20,40Unchanged'!I58)/100,2))*100</f>
        <v>9682.8104799624489</v>
      </c>
      <c r="F58">
        <f>Portfolio!B$5*'CurrentFact-N10,20,40Unchanged'!E58</f>
        <v>52143.895533915893</v>
      </c>
      <c r="G58">
        <f>Portfolio!B$6*'CurrentFact-N10,20,40Unchanged'!F58</f>
        <v>3696.2945087936532</v>
      </c>
      <c r="H58">
        <f t="shared" si="2"/>
        <v>94446.793214161473</v>
      </c>
      <c r="I58">
        <f t="shared" si="1"/>
        <v>2.3137881546572316</v>
      </c>
    </row>
    <row r="59" spans="1:9">
      <c r="A59" s="1">
        <v>39339</v>
      </c>
      <c r="B59">
        <f>(3/(1+('CurrentFact-N10,20,40Unchanged'!C59)/100)+103/POWER(1+('CurrentFact-N10,20,40Unchanged'!D59)/100,2))*100</f>
        <v>9707.5857774288397</v>
      </c>
      <c r="C59">
        <f>(3/(1+('CurrentFact-N10,20,40Unchanged'!C59+'CurrentFact-N10,20,40Unchanged'!G59)/100)+103/POWER(1+('CurrentFact-N10,20,40Unchanged'!D59+'CurrentFact-N10,20,40Unchanged'!G59)/100,2))*100</f>
        <v>9614.9673582483465</v>
      </c>
      <c r="D59">
        <f>(3/(1+('CurrentFact-N10,20,40Unchanged'!C59+'CurrentFact-N10,20,40Unchanged'!H59)/100)+103/POWER(1+('CurrentFact-N10,20,40Unchanged'!D59+'CurrentFact-N10,20,40Unchanged'!H59)/100,2))*100</f>
        <v>9601.2395558122898</v>
      </c>
      <c r="E59">
        <f>(3/(1+('CurrentFact-N10,20,40Unchanged'!C59+'CurrentFact-N10,20,40Unchanged'!I59)/100)+103/POWER(1+('CurrentFact-N10,20,40Unchanged'!D59+'CurrentFact-N10,20,40Unchanged'!I59)/100,2))*100</f>
        <v>9683.6851995883117</v>
      </c>
      <c r="F59">
        <f>Portfolio!B$5*'CurrentFact-N10,20,40Unchanged'!E59</f>
        <v>52143.895533915893</v>
      </c>
      <c r="G59">
        <f>Portfolio!B$6*'CurrentFact-N10,20,40Unchanged'!F59</f>
        <v>3696.2945087936532</v>
      </c>
      <c r="H59">
        <f t="shared" si="2"/>
        <v>94447.667933787336</v>
      </c>
      <c r="I59">
        <f t="shared" si="1"/>
        <v>3.152075842677732</v>
      </c>
    </row>
    <row r="60" spans="1:9">
      <c r="A60" s="1">
        <v>39342</v>
      </c>
      <c r="B60">
        <f>(3/(1+('CurrentFact-N10,20,40Unchanged'!C60)/100)+103/POWER(1+('CurrentFact-N10,20,40Unchanged'!D60)/100,2))*100</f>
        <v>9707.5857774288397</v>
      </c>
      <c r="C60">
        <f>(3/(1+('CurrentFact-N10,20,40Unchanged'!C60+'CurrentFact-N10,20,40Unchanged'!G60)/100)+103/POWER(1+('CurrentFact-N10,20,40Unchanged'!D60+'CurrentFact-N10,20,40Unchanged'!G60)/100,2))*100</f>
        <v>9614.9673582483465</v>
      </c>
      <c r="D60">
        <f>(3/(1+('CurrentFact-N10,20,40Unchanged'!C60+'CurrentFact-N10,20,40Unchanged'!H60)/100)+103/POWER(1+('CurrentFact-N10,20,40Unchanged'!D60+'CurrentFact-N10,20,40Unchanged'!H60)/100,2))*100</f>
        <v>9601.2395558122898</v>
      </c>
      <c r="E60">
        <f>(3/(1+('CurrentFact-N10,20,40Unchanged'!C60+'CurrentFact-N10,20,40Unchanged'!I60)/100)+103/POWER(1+('CurrentFact-N10,20,40Unchanged'!D60+'CurrentFact-N10,20,40Unchanged'!I60)/100,2))*100</f>
        <v>9682.0087570471096</v>
      </c>
      <c r="F60">
        <f>Portfolio!B$5*'CurrentFact-N10,20,40Unchanged'!E60</f>
        <v>52143.895533915893</v>
      </c>
      <c r="G60">
        <f>Portfolio!B$6*'CurrentFact-N10,20,40Unchanged'!F60</f>
        <v>3696.2945087936532</v>
      </c>
      <c r="H60">
        <f t="shared" si="2"/>
        <v>94445.991491246124</v>
      </c>
      <c r="I60">
        <f t="shared" si="1"/>
        <v>4.4622930967016146</v>
      </c>
    </row>
    <row r="61" spans="1:9">
      <c r="A61" s="1">
        <v>39343</v>
      </c>
      <c r="B61">
        <f>(3/(1+('CurrentFact-N10,20,40Unchanged'!C61)/100)+103/POWER(1+('CurrentFact-N10,20,40Unchanged'!D61)/100,2))*100</f>
        <v>9707.5857774288397</v>
      </c>
      <c r="C61">
        <f>(3/(1+('CurrentFact-N10,20,40Unchanged'!C61+'CurrentFact-N10,20,40Unchanged'!G61)/100)+103/POWER(1+('CurrentFact-N10,20,40Unchanged'!D61+'CurrentFact-N10,20,40Unchanged'!G61)/100,2))*100</f>
        <v>9614.9673582483465</v>
      </c>
      <c r="D61">
        <f>(3/(1+('CurrentFact-N10,20,40Unchanged'!C61+'CurrentFact-N10,20,40Unchanged'!H61)/100)+103/POWER(1+('CurrentFact-N10,20,40Unchanged'!D61+'CurrentFact-N10,20,40Unchanged'!H61)/100,2))*100</f>
        <v>9601.2395558122898</v>
      </c>
      <c r="E61">
        <f>(3/(1+('CurrentFact-N10,20,40Unchanged'!C61+'CurrentFact-N10,20,40Unchanged'!I61)/100)+103/POWER(1+('CurrentFact-N10,20,40Unchanged'!D61+'CurrentFact-N10,20,40Unchanged'!I61)/100,2))*100</f>
        <v>9681.2071364265666</v>
      </c>
      <c r="F61">
        <f>Portfolio!B$5*'CurrentFact-N10,20,40Unchanged'!E61</f>
        <v>52143.895533915893</v>
      </c>
      <c r="G61">
        <f>Portfolio!B$6*'CurrentFact-N10,20,40Unchanged'!F61</f>
        <v>3696.2945087936532</v>
      </c>
      <c r="H61">
        <f t="shared" si="2"/>
        <v>94445.189870625589</v>
      </c>
      <c r="I61">
        <f t="shared" si="1"/>
        <v>4.2432757354690693</v>
      </c>
    </row>
    <row r="62" spans="1:9">
      <c r="A62" s="1">
        <v>39344</v>
      </c>
      <c r="B62">
        <f>(3/(1+('CurrentFact-N10,20,40Unchanged'!C62)/100)+103/POWER(1+('CurrentFact-N10,20,40Unchanged'!D62)/100,2))*100</f>
        <v>9707.5857774288397</v>
      </c>
      <c r="C62">
        <f>(3/(1+('CurrentFact-N10,20,40Unchanged'!C62+'CurrentFact-N10,20,40Unchanged'!G62)/100)+103/POWER(1+('CurrentFact-N10,20,40Unchanged'!D62+'CurrentFact-N10,20,40Unchanged'!G62)/100,2))*100</f>
        <v>9614.9673582483465</v>
      </c>
      <c r="D62">
        <f>(3/(1+('CurrentFact-N10,20,40Unchanged'!C62+'CurrentFact-N10,20,40Unchanged'!H62)/100)+103/POWER(1+('CurrentFact-N10,20,40Unchanged'!D62+'CurrentFact-N10,20,40Unchanged'!H62)/100,2))*100</f>
        <v>9601.2395558122898</v>
      </c>
      <c r="E62">
        <f>(3/(1+('CurrentFact-N10,20,40Unchanged'!C62+'CurrentFact-N10,20,40Unchanged'!I62)/100)+103/POWER(1+('CurrentFact-N10,20,40Unchanged'!D62+'CurrentFact-N10,20,40Unchanged'!I62)/100,2))*100</f>
        <v>9681.2982250495716</v>
      </c>
      <c r="F62">
        <f>Portfolio!B$5*'CurrentFact-N10,20,40Unchanged'!E62</f>
        <v>52143.895533915893</v>
      </c>
      <c r="G62">
        <f>Portfolio!B$6*'CurrentFact-N10,20,40Unchanged'!F62</f>
        <v>3696.2945087936532</v>
      </c>
      <c r="H62">
        <f t="shared" si="2"/>
        <v>94445.280959248601</v>
      </c>
      <c r="I62">
        <f t="shared" si="1"/>
        <v>6.3548451837705215</v>
      </c>
    </row>
    <row r="63" spans="1:9">
      <c r="A63" s="1">
        <v>39345</v>
      </c>
      <c r="B63">
        <f>(3/(1+('CurrentFact-N10,20,40Unchanged'!C63)/100)+103/POWER(1+('CurrentFact-N10,20,40Unchanged'!D63)/100,2))*100</f>
        <v>9707.5857774288397</v>
      </c>
      <c r="C63">
        <f>(3/(1+('CurrentFact-N10,20,40Unchanged'!C63+'CurrentFact-N10,20,40Unchanged'!G63)/100)+103/POWER(1+('CurrentFact-N10,20,40Unchanged'!D63+'CurrentFact-N10,20,40Unchanged'!G63)/100,2))*100</f>
        <v>9614.9673582483465</v>
      </c>
      <c r="D63">
        <f>(3/(1+('CurrentFact-N10,20,40Unchanged'!C63+'CurrentFact-N10,20,40Unchanged'!H63)/100)+103/POWER(1+('CurrentFact-N10,20,40Unchanged'!D63+'CurrentFact-N10,20,40Unchanged'!H63)/100,2))*100</f>
        <v>9601.2395558122898</v>
      </c>
      <c r="E63">
        <f>(3/(1+('CurrentFact-N10,20,40Unchanged'!C63+'CurrentFact-N10,20,40Unchanged'!I63)/100)+103/POWER(1+('CurrentFact-N10,20,40Unchanged'!D63+'CurrentFact-N10,20,40Unchanged'!I63)/100,2))*100</f>
        <v>9681.6079350369982</v>
      </c>
      <c r="F63">
        <f>Portfolio!B$5*'CurrentFact-N10,20,40Unchanged'!E63</f>
        <v>52143.895533915893</v>
      </c>
      <c r="G63">
        <f>Portfolio!B$6*'CurrentFact-N10,20,40Unchanged'!F63</f>
        <v>3696.2945087936532</v>
      </c>
      <c r="H63">
        <f t="shared" si="2"/>
        <v>94445.590669236029</v>
      </c>
      <c r="I63">
        <f t="shared" si="1"/>
        <v>4.9899656599445734</v>
      </c>
    </row>
    <row r="64" spans="1:9">
      <c r="A64" s="1">
        <v>39346</v>
      </c>
      <c r="B64">
        <f>(3/(1+('CurrentFact-N10,20,40Unchanged'!C64)/100)+103/POWER(1+('CurrentFact-N10,20,40Unchanged'!D64)/100,2))*100</f>
        <v>9707.5857774288397</v>
      </c>
      <c r="C64">
        <f>(3/(1+('CurrentFact-N10,20,40Unchanged'!C64+'CurrentFact-N10,20,40Unchanged'!G64)/100)+103/POWER(1+('CurrentFact-N10,20,40Unchanged'!D64+'CurrentFact-N10,20,40Unchanged'!G64)/100,2))*100</f>
        <v>9614.9673582483465</v>
      </c>
      <c r="D64">
        <f>(3/(1+('CurrentFact-N10,20,40Unchanged'!C64+'CurrentFact-N10,20,40Unchanged'!H64)/100)+103/POWER(1+('CurrentFact-N10,20,40Unchanged'!D64+'CurrentFact-N10,20,40Unchanged'!H64)/100,2))*100</f>
        <v>9601.2395558122898</v>
      </c>
      <c r="E64">
        <f>(3/(1+('CurrentFact-N10,20,40Unchanged'!C64+'CurrentFact-N10,20,40Unchanged'!I64)/100)+103/POWER(1+('CurrentFact-N10,20,40Unchanged'!D64+'CurrentFact-N10,20,40Unchanged'!I64)/100,2))*100</f>
        <v>9682.9744812089939</v>
      </c>
      <c r="F64">
        <f>Portfolio!B$5*'CurrentFact-N10,20,40Unchanged'!E64</f>
        <v>52143.895533915893</v>
      </c>
      <c r="G64">
        <f>Portfolio!B$6*'CurrentFact-N10,20,40Unchanged'!F64</f>
        <v>3696.2945087936532</v>
      </c>
      <c r="H64">
        <f t="shared" si="2"/>
        <v>94446.957215408009</v>
      </c>
      <c r="I64">
        <f t="shared" si="1"/>
        <v>4.5540179433301091</v>
      </c>
    </row>
    <row r="65" spans="1:9">
      <c r="A65" s="1">
        <v>39349</v>
      </c>
      <c r="B65">
        <f>(3/(1+('CurrentFact-N10,20,40Unchanged'!C65)/100)+103/POWER(1+('CurrentFact-N10,20,40Unchanged'!D65)/100,2))*100</f>
        <v>9707.5857774288397</v>
      </c>
      <c r="C65">
        <f>(3/(1+('CurrentFact-N10,20,40Unchanged'!C65+'CurrentFact-N10,20,40Unchanged'!G65)/100)+103/POWER(1+('CurrentFact-N10,20,40Unchanged'!D65+'CurrentFact-N10,20,40Unchanged'!G65)/100,2))*100</f>
        <v>9614.9673582483465</v>
      </c>
      <c r="D65">
        <f>(3/(1+('CurrentFact-N10,20,40Unchanged'!C65+'CurrentFact-N10,20,40Unchanged'!H65)/100)+103/POWER(1+('CurrentFact-N10,20,40Unchanged'!D65+'CurrentFact-N10,20,40Unchanged'!H65)/100,2))*100</f>
        <v>9601.2395558122898</v>
      </c>
      <c r="E65">
        <f>(3/(1+('CurrentFact-N10,20,40Unchanged'!C65+'CurrentFact-N10,20,40Unchanged'!I65)/100)+103/POWER(1+('CurrentFact-N10,20,40Unchanged'!D65+'CurrentFact-N10,20,40Unchanged'!I65)/100,2))*100</f>
        <v>9684.1772832883726</v>
      </c>
      <c r="F65">
        <f>Portfolio!B$5*'CurrentFact-N10,20,40Unchanged'!E65</f>
        <v>52143.895533915893</v>
      </c>
      <c r="G65">
        <f>Portfolio!B$6*'CurrentFact-N10,20,40Unchanged'!F65</f>
        <v>3696.2945087936532</v>
      </c>
      <c r="H65">
        <f t="shared" si="2"/>
        <v>94448.160017487389</v>
      </c>
      <c r="I65">
        <f t="shared" si="1"/>
        <v>7.9780050556000788</v>
      </c>
    </row>
    <row r="66" spans="1:9">
      <c r="A66" s="1">
        <v>39350</v>
      </c>
      <c r="B66">
        <f>(3/(1+('CurrentFact-N10,20,40Unchanged'!C66)/100)+103/POWER(1+('CurrentFact-N10,20,40Unchanged'!D66)/100,2))*100</f>
        <v>9707.5857774288397</v>
      </c>
      <c r="C66">
        <f>(3/(1+('CurrentFact-N10,20,40Unchanged'!C66+'CurrentFact-N10,20,40Unchanged'!G66)/100)+103/POWER(1+('CurrentFact-N10,20,40Unchanged'!D66+'CurrentFact-N10,20,40Unchanged'!G66)/100,2))*100</f>
        <v>9614.9673582483465</v>
      </c>
      <c r="D66">
        <f>(3/(1+('CurrentFact-N10,20,40Unchanged'!C66+'CurrentFact-N10,20,40Unchanged'!H66)/100)+103/POWER(1+('CurrentFact-N10,20,40Unchanged'!D66+'CurrentFact-N10,20,40Unchanged'!H66)/100,2))*100</f>
        <v>9601.2395558122898</v>
      </c>
      <c r="E66">
        <f>(3/(1+('CurrentFact-N10,20,40Unchanged'!C66+'CurrentFact-N10,20,40Unchanged'!I66)/100)+103/POWER(1+('CurrentFact-N10,20,40Unchanged'!D66+'CurrentFact-N10,20,40Unchanged'!I66)/100,2))*100</f>
        <v>9682.4096059340463</v>
      </c>
      <c r="F66">
        <f>Portfolio!B$5*'CurrentFact-N10,20,40Unchanged'!E66</f>
        <v>52143.895533915893</v>
      </c>
      <c r="G66">
        <f>Portfolio!B$6*'CurrentFact-N10,20,40Unchanged'!F66</f>
        <v>3696.2945087936532</v>
      </c>
      <c r="H66">
        <f t="shared" si="2"/>
        <v>94446.392340133069</v>
      </c>
      <c r="I66">
        <f t="shared" si="1"/>
        <v>3.4428332412062446</v>
      </c>
    </row>
    <row r="67" spans="1:9">
      <c r="A67" s="1">
        <v>39351</v>
      </c>
      <c r="B67">
        <f>(3/(1+('CurrentFact-N10,20,40Unchanged'!C67)/100)+103/POWER(1+('CurrentFact-N10,20,40Unchanged'!D67)/100,2))*100</f>
        <v>9707.5857774288397</v>
      </c>
      <c r="C67">
        <f>(3/(1+('CurrentFact-N10,20,40Unchanged'!C67+'CurrentFact-N10,20,40Unchanged'!G67)/100)+103/POWER(1+('CurrentFact-N10,20,40Unchanged'!D67+'CurrentFact-N10,20,40Unchanged'!G67)/100,2))*100</f>
        <v>9614.9673582483465</v>
      </c>
      <c r="D67">
        <f>(3/(1+('CurrentFact-N10,20,40Unchanged'!C67+'CurrentFact-N10,20,40Unchanged'!H67)/100)+103/POWER(1+('CurrentFact-N10,20,40Unchanged'!D67+'CurrentFact-N10,20,40Unchanged'!H67)/100,2))*100</f>
        <v>9601.2395558122898</v>
      </c>
      <c r="E67">
        <f>(3/(1+('CurrentFact-N10,20,40Unchanged'!C67+'CurrentFact-N10,20,40Unchanged'!I67)/100)+103/POWER(1+('CurrentFact-N10,20,40Unchanged'!D67+'CurrentFact-N10,20,40Unchanged'!I67)/100,2))*100</f>
        <v>9682.0269773005712</v>
      </c>
      <c r="F67">
        <f>Portfolio!B$5*'CurrentFact-N10,20,40Unchanged'!E67</f>
        <v>52143.895533915893</v>
      </c>
      <c r="G67">
        <f>Portfolio!B$6*'CurrentFact-N10,20,40Unchanged'!F67</f>
        <v>3696.2945087936532</v>
      </c>
      <c r="H67">
        <f t="shared" ref="H67:H98" si="3">SUM(B67:G67)</f>
        <v>94446.009711499588</v>
      </c>
      <c r="I67">
        <f t="shared" si="1"/>
        <v>1.9674421239760704</v>
      </c>
    </row>
    <row r="68" spans="1:9">
      <c r="A68" s="1">
        <v>39352</v>
      </c>
      <c r="B68">
        <f>(3/(1+('CurrentFact-N10,20,40Unchanged'!C68)/100)+103/POWER(1+('CurrentFact-N10,20,40Unchanged'!D68)/100,2))*100</f>
        <v>9707.5857774288397</v>
      </c>
      <c r="C68">
        <f>(3/(1+('CurrentFact-N10,20,40Unchanged'!C68+'CurrentFact-N10,20,40Unchanged'!G68)/100)+103/POWER(1+('CurrentFact-N10,20,40Unchanged'!D68+'CurrentFact-N10,20,40Unchanged'!G68)/100,2))*100</f>
        <v>9614.9673582483465</v>
      </c>
      <c r="D68">
        <f>(3/(1+('CurrentFact-N10,20,40Unchanged'!C68+'CurrentFact-N10,20,40Unchanged'!H68)/100)+103/POWER(1+('CurrentFact-N10,20,40Unchanged'!D68+'CurrentFact-N10,20,40Unchanged'!H68)/100,2))*100</f>
        <v>9601.2395558122898</v>
      </c>
      <c r="E68">
        <f>(3/(1+('CurrentFact-N10,20,40Unchanged'!C68+'CurrentFact-N10,20,40Unchanged'!I68)/100)+103/POWER(1+('CurrentFact-N10,20,40Unchanged'!D68+'CurrentFact-N10,20,40Unchanged'!I68)/100,2))*100</f>
        <v>9675.5803973896527</v>
      </c>
      <c r="F68">
        <f>Portfolio!B$5*'CurrentFact-N10,20,40Unchanged'!E68</f>
        <v>52143.895533915893</v>
      </c>
      <c r="G68">
        <f>Portfolio!B$6*'CurrentFact-N10,20,40Unchanged'!F68</f>
        <v>3696.2945087936532</v>
      </c>
      <c r="H68">
        <f t="shared" si="3"/>
        <v>94439.563131588686</v>
      </c>
      <c r="I68">
        <f t="shared" si="1"/>
        <v>-7.2300825727870688</v>
      </c>
    </row>
    <row r="69" spans="1:9">
      <c r="A69" s="1">
        <v>39353</v>
      </c>
      <c r="B69">
        <f>(3/(1+('CurrentFact-N10,20,40Unchanged'!C69)/100)+103/POWER(1+('CurrentFact-N10,20,40Unchanged'!D69)/100,2))*100</f>
        <v>9707.5857774288397</v>
      </c>
      <c r="C69">
        <f>(3/(1+('CurrentFact-N10,20,40Unchanged'!C69+'CurrentFact-N10,20,40Unchanged'!G69)/100)+103/POWER(1+('CurrentFact-N10,20,40Unchanged'!D69+'CurrentFact-N10,20,40Unchanged'!G69)/100,2))*100</f>
        <v>9614.9673582483465</v>
      </c>
      <c r="D69">
        <f>(3/(1+('CurrentFact-N10,20,40Unchanged'!C69+'CurrentFact-N10,20,40Unchanged'!H69)/100)+103/POWER(1+('CurrentFact-N10,20,40Unchanged'!D69+'CurrentFact-N10,20,40Unchanged'!H69)/100,2))*100</f>
        <v>9601.2395558122898</v>
      </c>
      <c r="E69">
        <f>(3/(1+('CurrentFact-N10,20,40Unchanged'!C69+'CurrentFact-N10,20,40Unchanged'!I69)/100)+103/POWER(1+('CurrentFact-N10,20,40Unchanged'!D69+'CurrentFact-N10,20,40Unchanged'!I69)/100,2))*100</f>
        <v>9676.1992782327652</v>
      </c>
      <c r="F69">
        <f>Portfolio!B$5*'CurrentFact-N10,20,40Unchanged'!E69</f>
        <v>52143.895533915893</v>
      </c>
      <c r="G69">
        <f>Portfolio!B$6*'CurrentFact-N10,20,40Unchanged'!F69</f>
        <v>3696.2945087936532</v>
      </c>
      <c r="H69">
        <f t="shared" si="3"/>
        <v>94440.182012431789</v>
      </c>
      <c r="I69">
        <f t="shared" si="1"/>
        <v>-7.4859213555464521</v>
      </c>
    </row>
    <row r="70" spans="1:9">
      <c r="A70" s="1">
        <v>39356</v>
      </c>
      <c r="B70">
        <f>(3/(1+('CurrentFact-N10,20,40Unchanged'!C70)/100)+103/POWER(1+('CurrentFact-N10,20,40Unchanged'!D70)/100,2))*100</f>
        <v>9707.5857774288397</v>
      </c>
      <c r="C70">
        <f>(3/(1+('CurrentFact-N10,20,40Unchanged'!C70+'CurrentFact-N10,20,40Unchanged'!G70)/100)+103/POWER(1+('CurrentFact-N10,20,40Unchanged'!D70+'CurrentFact-N10,20,40Unchanged'!G70)/100,2))*100</f>
        <v>9614.9673582483465</v>
      </c>
      <c r="D70">
        <f>(3/(1+('CurrentFact-N10,20,40Unchanged'!C70+'CurrentFact-N10,20,40Unchanged'!H70)/100)+103/POWER(1+('CurrentFact-N10,20,40Unchanged'!D70+'CurrentFact-N10,20,40Unchanged'!H70)/100,2))*100</f>
        <v>9601.2395558122898</v>
      </c>
      <c r="E70">
        <f>(3/(1+('CurrentFact-N10,20,40Unchanged'!C70+'CurrentFact-N10,20,40Unchanged'!I70)/100)+103/POWER(1+('CurrentFact-N10,20,40Unchanged'!D70+'CurrentFact-N10,20,40Unchanged'!I70)/100,2))*100</f>
        <v>9676.7454012054895</v>
      </c>
      <c r="F70">
        <f>Portfolio!B$5*'CurrentFact-N10,20,40Unchanged'!E70</f>
        <v>52143.895533915893</v>
      </c>
      <c r="G70">
        <f>Portfolio!B$6*'CurrentFact-N10,20,40Unchanged'!F70</f>
        <v>3696.2945087936532</v>
      </c>
      <c r="H70">
        <f t="shared" si="3"/>
        <v>94440.728135404512</v>
      </c>
      <c r="I70">
        <f t="shared" si="1"/>
        <v>-5.2633558416127926</v>
      </c>
    </row>
    <row r="71" spans="1:9">
      <c r="A71" s="1">
        <v>39357</v>
      </c>
      <c r="B71">
        <f>(3/(1+('CurrentFact-N10,20,40Unchanged'!C71)/100)+103/POWER(1+('CurrentFact-N10,20,40Unchanged'!D71)/100,2))*100</f>
        <v>9707.5857774288397</v>
      </c>
      <c r="C71">
        <f>(3/(1+('CurrentFact-N10,20,40Unchanged'!C71+'CurrentFact-N10,20,40Unchanged'!G71)/100)+103/POWER(1+('CurrentFact-N10,20,40Unchanged'!D71+'CurrentFact-N10,20,40Unchanged'!G71)/100,2))*100</f>
        <v>9614.9673582483465</v>
      </c>
      <c r="D71">
        <f>(3/(1+('CurrentFact-N10,20,40Unchanged'!C71+'CurrentFact-N10,20,40Unchanged'!H71)/100)+103/POWER(1+('CurrentFact-N10,20,40Unchanged'!D71+'CurrentFact-N10,20,40Unchanged'!H71)/100,2))*100</f>
        <v>9601.2395558122898</v>
      </c>
      <c r="E71">
        <f>(3/(1+('CurrentFact-N10,20,40Unchanged'!C71+'CurrentFact-N10,20,40Unchanged'!I71)/100)+103/POWER(1+('CurrentFact-N10,20,40Unchanged'!D71+'CurrentFact-N10,20,40Unchanged'!I71)/100,2))*100</f>
        <v>9673.0326980464833</v>
      </c>
      <c r="F71">
        <f>Portfolio!B$5*'CurrentFact-N10,20,40Unchanged'!E71</f>
        <v>52143.895533915893</v>
      </c>
      <c r="G71">
        <f>Portfolio!B$6*'CurrentFact-N10,20,40Unchanged'!F71</f>
        <v>3696.2945087936532</v>
      </c>
      <c r="H71">
        <f t="shared" si="3"/>
        <v>94437.015432245506</v>
      </c>
      <c r="I71">
        <f t="shared" si="1"/>
        <v>-8.174438380083302</v>
      </c>
    </row>
    <row r="72" spans="1:9">
      <c r="A72" s="1">
        <v>39358</v>
      </c>
      <c r="B72">
        <f>(3/(1+('CurrentFact-N10,20,40Unchanged'!C72)/100)+103/POWER(1+('CurrentFact-N10,20,40Unchanged'!D72)/100,2))*100</f>
        <v>9707.5857774288397</v>
      </c>
      <c r="C72">
        <f>(3/(1+('CurrentFact-N10,20,40Unchanged'!C72+'CurrentFact-N10,20,40Unchanged'!G72)/100)+103/POWER(1+('CurrentFact-N10,20,40Unchanged'!D72+'CurrentFact-N10,20,40Unchanged'!G72)/100,2))*100</f>
        <v>9614.9673582483465</v>
      </c>
      <c r="D72">
        <f>(3/(1+('CurrentFact-N10,20,40Unchanged'!C72+'CurrentFact-N10,20,40Unchanged'!H72)/100)+103/POWER(1+('CurrentFact-N10,20,40Unchanged'!D72+'CurrentFact-N10,20,40Unchanged'!H72)/100,2))*100</f>
        <v>9601.2395558122898</v>
      </c>
      <c r="E72">
        <f>(3/(1+('CurrentFact-N10,20,40Unchanged'!C72+'CurrentFact-N10,20,40Unchanged'!I72)/100)+103/POWER(1+('CurrentFact-N10,20,40Unchanged'!D72+'CurrentFact-N10,20,40Unchanged'!I72)/100,2))*100</f>
        <v>9674.3428190550749</v>
      </c>
      <c r="F72">
        <f>Portfolio!B$5*'CurrentFact-N10,20,40Unchanged'!E72</f>
        <v>52143.895533915893</v>
      </c>
      <c r="G72">
        <f>Portfolio!B$6*'CurrentFact-N10,20,40Unchanged'!F72</f>
        <v>3696.2945087936532</v>
      </c>
      <c r="H72">
        <f t="shared" si="3"/>
        <v>94438.325553254108</v>
      </c>
      <c r="I72">
        <f t="shared" si="1"/>
        <v>-6.9554059944930486</v>
      </c>
    </row>
    <row r="73" spans="1:9">
      <c r="A73" s="1">
        <v>39359</v>
      </c>
      <c r="B73">
        <f>(3/(1+('CurrentFact-N10,20,40Unchanged'!C73)/100)+103/POWER(1+('CurrentFact-N10,20,40Unchanged'!D73)/100,2))*100</f>
        <v>9707.5857774288397</v>
      </c>
      <c r="C73">
        <f>(3/(1+('CurrentFact-N10,20,40Unchanged'!C73+'CurrentFact-N10,20,40Unchanged'!G73)/100)+103/POWER(1+('CurrentFact-N10,20,40Unchanged'!D73+'CurrentFact-N10,20,40Unchanged'!G73)/100,2))*100</f>
        <v>9614.9673582483465</v>
      </c>
      <c r="D73">
        <f>(3/(1+('CurrentFact-N10,20,40Unchanged'!C73+'CurrentFact-N10,20,40Unchanged'!H73)/100)+103/POWER(1+('CurrentFact-N10,20,40Unchanged'!D73+'CurrentFact-N10,20,40Unchanged'!H73)/100,2))*100</f>
        <v>9601.2395558122898</v>
      </c>
      <c r="E73">
        <f>(3/(1+('CurrentFact-N10,20,40Unchanged'!C73+'CurrentFact-N10,20,40Unchanged'!I73)/100)+103/POWER(1+('CurrentFact-N10,20,40Unchanged'!D73+'CurrentFact-N10,20,40Unchanged'!I73)/100,2))*100</f>
        <v>9675.4529888018551</v>
      </c>
      <c r="F73">
        <f>Portfolio!B$5*'CurrentFact-N10,20,40Unchanged'!E73</f>
        <v>52143.895533915893</v>
      </c>
      <c r="G73">
        <f>Portfolio!B$6*'CurrentFact-N10,20,40Unchanged'!F73</f>
        <v>3696.2945087936532</v>
      </c>
      <c r="H73">
        <f t="shared" si="3"/>
        <v>94439.435723000875</v>
      </c>
      <c r="I73">
        <f t="shared" si="1"/>
        <v>-6.1549462351540569</v>
      </c>
    </row>
    <row r="74" spans="1:9">
      <c r="A74" s="1">
        <v>39360</v>
      </c>
      <c r="B74">
        <f>(3/(1+('CurrentFact-N10,20,40Unchanged'!C74)/100)+103/POWER(1+('CurrentFact-N10,20,40Unchanged'!D74)/100,2))*100</f>
        <v>9707.5857774288397</v>
      </c>
      <c r="C74">
        <f>(3/(1+('CurrentFact-N10,20,40Unchanged'!C74+'CurrentFact-N10,20,40Unchanged'!G74)/100)+103/POWER(1+('CurrentFact-N10,20,40Unchanged'!D74+'CurrentFact-N10,20,40Unchanged'!G74)/100,2))*100</f>
        <v>9614.9673582483465</v>
      </c>
      <c r="D74">
        <f>(3/(1+('CurrentFact-N10,20,40Unchanged'!C74+'CurrentFact-N10,20,40Unchanged'!H74)/100)+103/POWER(1+('CurrentFact-N10,20,40Unchanged'!D74+'CurrentFact-N10,20,40Unchanged'!H74)/100,2))*100</f>
        <v>9601.2395558122898</v>
      </c>
      <c r="E74">
        <f>(3/(1+('CurrentFact-N10,20,40Unchanged'!C74+'CurrentFact-N10,20,40Unchanged'!I74)/100)+103/POWER(1+('CurrentFact-N10,20,40Unchanged'!D74+'CurrentFact-N10,20,40Unchanged'!I74)/100,2))*100</f>
        <v>9671.5045655223075</v>
      </c>
      <c r="F74">
        <f>Portfolio!B$5*'CurrentFact-N10,20,40Unchanged'!E74</f>
        <v>52143.895533915893</v>
      </c>
      <c r="G74">
        <f>Portfolio!B$6*'CurrentFact-N10,20,40Unchanged'!F74</f>
        <v>3696.2945087936532</v>
      </c>
      <c r="H74">
        <f t="shared" si="3"/>
        <v>94435.487299721339</v>
      </c>
      <c r="I74">
        <f t="shared" si="1"/>
        <v>-11.469915686669992</v>
      </c>
    </row>
    <row r="75" spans="1:9">
      <c r="A75" s="1">
        <v>39363</v>
      </c>
      <c r="B75">
        <f>(3/(1+('CurrentFact-N10,20,40Unchanged'!C75)/100)+103/POWER(1+('CurrentFact-N10,20,40Unchanged'!D75)/100,2))*100</f>
        <v>9707.5857774288397</v>
      </c>
      <c r="C75">
        <f>(3/(1+('CurrentFact-N10,20,40Unchanged'!C75+'CurrentFact-N10,20,40Unchanged'!G75)/100)+103/POWER(1+('CurrentFact-N10,20,40Unchanged'!D75+'CurrentFact-N10,20,40Unchanged'!G75)/100,2))*100</f>
        <v>9614.9673582483465</v>
      </c>
      <c r="D75">
        <f>(3/(1+('CurrentFact-N10,20,40Unchanged'!C75+'CurrentFact-N10,20,40Unchanged'!H75)/100)+103/POWER(1+('CurrentFact-N10,20,40Unchanged'!D75+'CurrentFact-N10,20,40Unchanged'!H75)/100,2))*100</f>
        <v>9601.2395558122898</v>
      </c>
      <c r="E75">
        <f>(3/(1+('CurrentFact-N10,20,40Unchanged'!C75+'CurrentFact-N10,20,40Unchanged'!I75)/100)+103/POWER(1+('CurrentFact-N10,20,40Unchanged'!D75+'CurrentFact-N10,20,40Unchanged'!I75)/100,2))*100</f>
        <v>9673.6877249516419</v>
      </c>
      <c r="F75">
        <f>Portfolio!B$5*'CurrentFact-N10,20,40Unchanged'!E75</f>
        <v>52143.895533915893</v>
      </c>
      <c r="G75">
        <f>Portfolio!B$6*'CurrentFact-N10,20,40Unchanged'!F75</f>
        <v>3696.2945087936532</v>
      </c>
      <c r="H75">
        <f t="shared" si="3"/>
        <v>94437.670459150657</v>
      </c>
      <c r="I75">
        <f t="shared" si="1"/>
        <v>-10.489558336732443</v>
      </c>
    </row>
    <row r="76" spans="1:9">
      <c r="A76" s="1">
        <v>39364</v>
      </c>
      <c r="B76">
        <f>(3/(1+('CurrentFact-N10,20,40Unchanged'!C76)/100)+103/POWER(1+('CurrentFact-N10,20,40Unchanged'!D76)/100,2))*100</f>
        <v>9707.5857774288397</v>
      </c>
      <c r="C76">
        <f>(3/(1+('CurrentFact-N10,20,40Unchanged'!C76+'CurrentFact-N10,20,40Unchanged'!G76)/100)+103/POWER(1+('CurrentFact-N10,20,40Unchanged'!D76+'CurrentFact-N10,20,40Unchanged'!G76)/100,2))*100</f>
        <v>9614.9673582483465</v>
      </c>
      <c r="D76">
        <f>(3/(1+('CurrentFact-N10,20,40Unchanged'!C76+'CurrentFact-N10,20,40Unchanged'!H76)/100)+103/POWER(1+('CurrentFact-N10,20,40Unchanged'!D76+'CurrentFact-N10,20,40Unchanged'!H76)/100,2))*100</f>
        <v>9601.2395558122898</v>
      </c>
      <c r="E76">
        <f>(3/(1+('CurrentFact-N10,20,40Unchanged'!C76+'CurrentFact-N10,20,40Unchanged'!I76)/100)+103/POWER(1+('CurrentFact-N10,20,40Unchanged'!D76+'CurrentFact-N10,20,40Unchanged'!I76)/100,2))*100</f>
        <v>9673.8514921772967</v>
      </c>
      <c r="F76">
        <f>Portfolio!B$5*'CurrentFact-N10,20,40Unchanged'!E76</f>
        <v>52143.895533915893</v>
      </c>
      <c r="G76">
        <f>Portfolio!B$6*'CurrentFact-N10,20,40Unchanged'!F76</f>
        <v>3696.2945087936532</v>
      </c>
      <c r="H76">
        <f t="shared" si="3"/>
        <v>94437.834226376319</v>
      </c>
      <c r="I76">
        <f t="shared" si="1"/>
        <v>-8.5581137567496626</v>
      </c>
    </row>
    <row r="77" spans="1:9">
      <c r="A77" s="1">
        <v>39365</v>
      </c>
      <c r="B77">
        <f>(3/(1+('CurrentFact-N10,20,40Unchanged'!C77)/100)+103/POWER(1+('CurrentFact-N10,20,40Unchanged'!D77)/100,2))*100</f>
        <v>9707.5857774288397</v>
      </c>
      <c r="C77">
        <f>(3/(1+('CurrentFact-N10,20,40Unchanged'!C77+'CurrentFact-N10,20,40Unchanged'!G77)/100)+103/POWER(1+('CurrentFact-N10,20,40Unchanged'!D77+'CurrentFact-N10,20,40Unchanged'!G77)/100,2))*100</f>
        <v>9614.9673582483465</v>
      </c>
      <c r="D77">
        <f>(3/(1+('CurrentFact-N10,20,40Unchanged'!C77+'CurrentFact-N10,20,40Unchanged'!H77)/100)+103/POWER(1+('CurrentFact-N10,20,40Unchanged'!D77+'CurrentFact-N10,20,40Unchanged'!H77)/100,2))*100</f>
        <v>9601.2395558122898</v>
      </c>
      <c r="E77">
        <f>(3/(1+('CurrentFact-N10,20,40Unchanged'!C77+'CurrentFact-N10,20,40Unchanged'!I77)/100)+103/POWER(1+('CurrentFact-N10,20,40Unchanged'!D77+'CurrentFact-N10,20,40Unchanged'!I77)/100,2))*100</f>
        <v>9675.7442131577227</v>
      </c>
      <c r="F77">
        <f>Portfolio!B$5*'CurrentFact-N10,20,40Unchanged'!E77</f>
        <v>52143.895533915893</v>
      </c>
      <c r="G77">
        <f>Portfolio!B$6*'CurrentFact-N10,20,40Unchanged'!F77</f>
        <v>3696.2945087936532</v>
      </c>
      <c r="H77">
        <f t="shared" si="3"/>
        <v>94439.726947356743</v>
      </c>
      <c r="I77">
        <f t="shared" si="1"/>
        <v>-6.282764142844826</v>
      </c>
    </row>
    <row r="78" spans="1:9">
      <c r="A78" s="1">
        <v>39366</v>
      </c>
      <c r="B78">
        <f>(3/(1+('CurrentFact-N10,20,40Unchanged'!C78)/100)+103/POWER(1+('CurrentFact-N10,20,40Unchanged'!D78)/100,2))*100</f>
        <v>9707.5857774288397</v>
      </c>
      <c r="C78">
        <f>(3/(1+('CurrentFact-N10,20,40Unchanged'!C78+'CurrentFact-N10,20,40Unchanged'!G78)/100)+103/POWER(1+('CurrentFact-N10,20,40Unchanged'!D78+'CurrentFact-N10,20,40Unchanged'!G78)/100,2))*100</f>
        <v>9614.9673582483465</v>
      </c>
      <c r="D78">
        <f>(3/(1+('CurrentFact-N10,20,40Unchanged'!C78+'CurrentFact-N10,20,40Unchanged'!H78)/100)+103/POWER(1+('CurrentFact-N10,20,40Unchanged'!D78+'CurrentFact-N10,20,40Unchanged'!H78)/100,2))*100</f>
        <v>9601.2395558122898</v>
      </c>
      <c r="E78">
        <f>(3/(1+('CurrentFact-N10,20,40Unchanged'!C78+'CurrentFact-N10,20,40Unchanged'!I78)/100)+103/POWER(1+('CurrentFact-N10,20,40Unchanged'!D78+'CurrentFact-N10,20,40Unchanged'!I78)/100,2))*100</f>
        <v>9678.2201598923075</v>
      </c>
      <c r="F78">
        <f>Portfolio!B$5*'CurrentFact-N10,20,40Unchanged'!E78</f>
        <v>52143.895533915893</v>
      </c>
      <c r="G78">
        <f>Portfolio!B$6*'CurrentFact-N10,20,40Unchanged'!F78</f>
        <v>3696.2945087936532</v>
      </c>
      <c r="H78">
        <f t="shared" si="3"/>
        <v>94442.20289409133</v>
      </c>
      <c r="I78">
        <f t="shared" ref="I78:I141" si="4">H78-H68</f>
        <v>2.6397625026438618</v>
      </c>
    </row>
    <row r="79" spans="1:9">
      <c r="A79" s="1">
        <v>39367</v>
      </c>
      <c r="B79">
        <f>(3/(1+('CurrentFact-N10,20,40Unchanged'!C79)/100)+103/POWER(1+('CurrentFact-N10,20,40Unchanged'!D79)/100,2))*100</f>
        <v>9707.5857774288397</v>
      </c>
      <c r="C79">
        <f>(3/(1+('CurrentFact-N10,20,40Unchanged'!C79+'CurrentFact-N10,20,40Unchanged'!G79)/100)+103/POWER(1+('CurrentFact-N10,20,40Unchanged'!D79+'CurrentFact-N10,20,40Unchanged'!G79)/100,2))*100</f>
        <v>9614.9673582483465</v>
      </c>
      <c r="D79">
        <f>(3/(1+('CurrentFact-N10,20,40Unchanged'!C79+'CurrentFact-N10,20,40Unchanged'!H79)/100)+103/POWER(1+('CurrentFact-N10,20,40Unchanged'!D79+'CurrentFact-N10,20,40Unchanged'!H79)/100,2))*100</f>
        <v>9601.2395558122898</v>
      </c>
      <c r="E79">
        <f>(3/(1+('CurrentFact-N10,20,40Unchanged'!C79+'CurrentFact-N10,20,40Unchanged'!I79)/100)+103/POWER(1+('CurrentFact-N10,20,40Unchanged'!D79+'CurrentFact-N10,20,40Unchanged'!I79)/100,2))*100</f>
        <v>9677.1277119446768</v>
      </c>
      <c r="F79">
        <f>Portfolio!B$5*'CurrentFact-N10,20,40Unchanged'!E79</f>
        <v>52143.895533915893</v>
      </c>
      <c r="G79">
        <f>Portfolio!B$6*'CurrentFact-N10,20,40Unchanged'!F79</f>
        <v>3696.2945087936532</v>
      </c>
      <c r="H79">
        <f t="shared" si="3"/>
        <v>94441.110446143692</v>
      </c>
      <c r="I79">
        <f t="shared" si="4"/>
        <v>0.92843371190247126</v>
      </c>
    </row>
    <row r="80" spans="1:9">
      <c r="A80" s="1">
        <v>39370</v>
      </c>
      <c r="B80">
        <f>(3/(1+('CurrentFact-N10,20,40Unchanged'!C80)/100)+103/POWER(1+('CurrentFact-N10,20,40Unchanged'!D80)/100,2))*100</f>
        <v>9707.5857774288397</v>
      </c>
      <c r="C80">
        <f>(3/(1+('CurrentFact-N10,20,40Unchanged'!C80+'CurrentFact-N10,20,40Unchanged'!G80)/100)+103/POWER(1+('CurrentFact-N10,20,40Unchanged'!D80+'CurrentFact-N10,20,40Unchanged'!G80)/100,2))*100</f>
        <v>9614.9673582483465</v>
      </c>
      <c r="D80">
        <f>(3/(1+('CurrentFact-N10,20,40Unchanged'!C80+'CurrentFact-N10,20,40Unchanged'!H80)/100)+103/POWER(1+('CurrentFact-N10,20,40Unchanged'!D80+'CurrentFact-N10,20,40Unchanged'!H80)/100,2))*100</f>
        <v>9601.2395558122898</v>
      </c>
      <c r="E80">
        <f>(3/(1+('CurrentFact-N10,20,40Unchanged'!C80+'CurrentFact-N10,20,40Unchanged'!I80)/100)+103/POWER(1+('CurrentFact-N10,20,40Unchanged'!D80+'CurrentFact-N10,20,40Unchanged'!I80)/100,2))*100</f>
        <v>9672.3413563481736</v>
      </c>
      <c r="F80">
        <f>Portfolio!B$5*'CurrentFact-N10,20,40Unchanged'!E80</f>
        <v>52143.895533915893</v>
      </c>
      <c r="G80">
        <f>Portfolio!B$6*'CurrentFact-N10,20,40Unchanged'!F80</f>
        <v>3696.2945087936532</v>
      </c>
      <c r="H80">
        <f t="shared" si="3"/>
        <v>94436.32409054719</v>
      </c>
      <c r="I80">
        <f t="shared" si="4"/>
        <v>-4.4040448573214235</v>
      </c>
    </row>
    <row r="81" spans="1:9">
      <c r="A81" s="1">
        <v>39371</v>
      </c>
      <c r="B81">
        <f>(3/(1+('CurrentFact-N10,20,40Unchanged'!C81)/100)+103/POWER(1+('CurrentFact-N10,20,40Unchanged'!D81)/100,2))*100</f>
        <v>9707.5857774288397</v>
      </c>
      <c r="C81">
        <f>(3/(1+('CurrentFact-N10,20,40Unchanged'!C81+'CurrentFact-N10,20,40Unchanged'!G81)/100)+103/POWER(1+('CurrentFact-N10,20,40Unchanged'!D81+'CurrentFact-N10,20,40Unchanged'!G81)/100,2))*100</f>
        <v>9614.9673582483465</v>
      </c>
      <c r="D81">
        <f>(3/(1+('CurrentFact-N10,20,40Unchanged'!C81+'CurrentFact-N10,20,40Unchanged'!H81)/100)+103/POWER(1+('CurrentFact-N10,20,40Unchanged'!D81+'CurrentFact-N10,20,40Unchanged'!H81)/100,2))*100</f>
        <v>9601.2395558122898</v>
      </c>
      <c r="E81">
        <f>(3/(1+('CurrentFact-N10,20,40Unchanged'!C81+'CurrentFact-N10,20,40Unchanged'!I81)/100)+103/POWER(1+('CurrentFact-N10,20,40Unchanged'!D81+'CurrentFact-N10,20,40Unchanged'!I81)/100,2))*100</f>
        <v>9676.1810780625983</v>
      </c>
      <c r="F81">
        <f>Portfolio!B$5*'CurrentFact-N10,20,40Unchanged'!E81</f>
        <v>52143.895533915893</v>
      </c>
      <c r="G81">
        <f>Portfolio!B$6*'CurrentFact-N10,20,40Unchanged'!F81</f>
        <v>3696.2945087936532</v>
      </c>
      <c r="H81">
        <f t="shared" si="3"/>
        <v>94440.163812261628</v>
      </c>
      <c r="I81">
        <f t="shared" si="4"/>
        <v>3.1483800161222462</v>
      </c>
    </row>
    <row r="82" spans="1:9">
      <c r="A82" s="1">
        <v>39372</v>
      </c>
      <c r="B82">
        <f>(3/(1+('CurrentFact-N10,20,40Unchanged'!C82)/100)+103/POWER(1+('CurrentFact-N10,20,40Unchanged'!D82)/100,2))*100</f>
        <v>9707.5857774288397</v>
      </c>
      <c r="C82">
        <f>(3/(1+('CurrentFact-N10,20,40Unchanged'!C82+'CurrentFact-N10,20,40Unchanged'!G82)/100)+103/POWER(1+('CurrentFact-N10,20,40Unchanged'!D82+'CurrentFact-N10,20,40Unchanged'!G82)/100,2))*100</f>
        <v>9614.9673582483465</v>
      </c>
      <c r="D82">
        <f>(3/(1+('CurrentFact-N10,20,40Unchanged'!C82+'CurrentFact-N10,20,40Unchanged'!H82)/100)+103/POWER(1+('CurrentFact-N10,20,40Unchanged'!D82+'CurrentFact-N10,20,40Unchanged'!H82)/100,2))*100</f>
        <v>9601.2395558122898</v>
      </c>
      <c r="E82">
        <f>(3/(1+('CurrentFact-N10,20,40Unchanged'!C82+'CurrentFact-N10,20,40Unchanged'!I82)/100)+103/POWER(1+('CurrentFact-N10,20,40Unchanged'!D82+'CurrentFact-N10,20,40Unchanged'!I82)/100,2))*100</f>
        <v>9674.9615799806725</v>
      </c>
      <c r="F82">
        <f>Portfolio!B$5*'CurrentFact-N10,20,40Unchanged'!E82</f>
        <v>52143.895533915893</v>
      </c>
      <c r="G82">
        <f>Portfolio!B$6*'CurrentFact-N10,20,40Unchanged'!F82</f>
        <v>3696.2945087936532</v>
      </c>
      <c r="H82">
        <f t="shared" si="3"/>
        <v>94438.944314179695</v>
      </c>
      <c r="I82">
        <f t="shared" si="4"/>
        <v>0.61876092558668461</v>
      </c>
    </row>
    <row r="83" spans="1:9">
      <c r="A83" s="1">
        <v>39373</v>
      </c>
      <c r="B83">
        <f>(3/(1+('CurrentFact-N10,20,40Unchanged'!C83)/100)+103/POWER(1+('CurrentFact-N10,20,40Unchanged'!D83)/100,2))*100</f>
        <v>9707.5857774288397</v>
      </c>
      <c r="C83">
        <f>(3/(1+('CurrentFact-N10,20,40Unchanged'!C83+'CurrentFact-N10,20,40Unchanged'!G83)/100)+103/POWER(1+('CurrentFact-N10,20,40Unchanged'!D83+'CurrentFact-N10,20,40Unchanged'!G83)/100,2))*100</f>
        <v>9614.9673582483465</v>
      </c>
      <c r="D83">
        <f>(3/(1+('CurrentFact-N10,20,40Unchanged'!C83+'CurrentFact-N10,20,40Unchanged'!H83)/100)+103/POWER(1+('CurrentFact-N10,20,40Unchanged'!D83+'CurrentFact-N10,20,40Unchanged'!H83)/100,2))*100</f>
        <v>9601.2395558122898</v>
      </c>
      <c r="E83">
        <f>(3/(1+('CurrentFact-N10,20,40Unchanged'!C83+'CurrentFact-N10,20,40Unchanged'!I83)/100)+103/POWER(1+('CurrentFact-N10,20,40Unchanged'!D83+'CurrentFact-N10,20,40Unchanged'!I83)/100,2))*100</f>
        <v>9667.9948878388495</v>
      </c>
      <c r="F83">
        <f>Portfolio!B$5*'CurrentFact-N10,20,40Unchanged'!E83</f>
        <v>52143.895533915893</v>
      </c>
      <c r="G83">
        <f>Portfolio!B$6*'CurrentFact-N10,20,40Unchanged'!F83</f>
        <v>3696.2945087936532</v>
      </c>
      <c r="H83">
        <f t="shared" si="3"/>
        <v>94431.97762203787</v>
      </c>
      <c r="I83">
        <f t="shared" si="4"/>
        <v>-7.4581009630055632</v>
      </c>
    </row>
    <row r="84" spans="1:9">
      <c r="A84" s="1">
        <v>39374</v>
      </c>
      <c r="B84">
        <f>(3/(1+('CurrentFact-N10,20,40Unchanged'!C84)/100)+103/POWER(1+('CurrentFact-N10,20,40Unchanged'!D84)/100,2))*100</f>
        <v>9707.5857774288397</v>
      </c>
      <c r="C84">
        <f>(3/(1+('CurrentFact-N10,20,40Unchanged'!C84+'CurrentFact-N10,20,40Unchanged'!G84)/100)+103/POWER(1+('CurrentFact-N10,20,40Unchanged'!D84+'CurrentFact-N10,20,40Unchanged'!G84)/100,2))*100</f>
        <v>9614.9673582483465</v>
      </c>
      <c r="D84">
        <f>(3/(1+('CurrentFact-N10,20,40Unchanged'!C84+'CurrentFact-N10,20,40Unchanged'!H84)/100)+103/POWER(1+('CurrentFact-N10,20,40Unchanged'!D84+'CurrentFact-N10,20,40Unchanged'!H84)/100,2))*100</f>
        <v>9601.2395558122898</v>
      </c>
      <c r="E84">
        <f>(3/(1+('CurrentFact-N10,20,40Unchanged'!C84+'CurrentFact-N10,20,40Unchanged'!I84)/100)+103/POWER(1+('CurrentFact-N10,20,40Unchanged'!D84+'CurrentFact-N10,20,40Unchanged'!I84)/100,2))*100</f>
        <v>9670.4314528997838</v>
      </c>
      <c r="F84">
        <f>Portfolio!B$5*'CurrentFact-N10,20,40Unchanged'!E84</f>
        <v>52143.895533915893</v>
      </c>
      <c r="G84">
        <f>Portfolio!B$6*'CurrentFact-N10,20,40Unchanged'!F84</f>
        <v>3696.2945087936532</v>
      </c>
      <c r="H84">
        <f t="shared" si="3"/>
        <v>94434.41418709881</v>
      </c>
      <c r="I84">
        <f t="shared" si="4"/>
        <v>-1.0731126225291518</v>
      </c>
    </row>
    <row r="85" spans="1:9">
      <c r="A85" s="1">
        <v>39377</v>
      </c>
      <c r="B85">
        <f>(3/(1+('CurrentFact-N10,20,40Unchanged'!C85)/100)+103/POWER(1+('CurrentFact-N10,20,40Unchanged'!D85)/100,2))*100</f>
        <v>9707.5857774288397</v>
      </c>
      <c r="C85">
        <f>(3/(1+('CurrentFact-N10,20,40Unchanged'!C85+'CurrentFact-N10,20,40Unchanged'!G85)/100)+103/POWER(1+('CurrentFact-N10,20,40Unchanged'!D85+'CurrentFact-N10,20,40Unchanged'!G85)/100,2))*100</f>
        <v>9614.9673582483465</v>
      </c>
      <c r="D85">
        <f>(3/(1+('CurrentFact-N10,20,40Unchanged'!C85+'CurrentFact-N10,20,40Unchanged'!H85)/100)+103/POWER(1+('CurrentFact-N10,20,40Unchanged'!D85+'CurrentFact-N10,20,40Unchanged'!H85)/100,2))*100</f>
        <v>9601.2395558122898</v>
      </c>
      <c r="E85">
        <f>(3/(1+('CurrentFact-N10,20,40Unchanged'!C85+'CurrentFact-N10,20,40Unchanged'!I85)/100)+103/POWER(1+('CurrentFact-N10,20,40Unchanged'!D85+'CurrentFact-N10,20,40Unchanged'!I85)/100,2))*100</f>
        <v>9672.9781178175181</v>
      </c>
      <c r="F85">
        <f>Portfolio!B$5*'CurrentFact-N10,20,40Unchanged'!E85</f>
        <v>52143.895533915893</v>
      </c>
      <c r="G85">
        <f>Portfolio!B$6*'CurrentFact-N10,20,40Unchanged'!F85</f>
        <v>3696.2945087936532</v>
      </c>
      <c r="H85">
        <f t="shared" si="3"/>
        <v>94436.960852016549</v>
      </c>
      <c r="I85">
        <f t="shared" si="4"/>
        <v>-0.70960713410750031</v>
      </c>
    </row>
    <row r="86" spans="1:9">
      <c r="A86" s="1">
        <v>39378</v>
      </c>
      <c r="B86">
        <f>(3/(1+('CurrentFact-N10,20,40Unchanged'!C86)/100)+103/POWER(1+('CurrentFact-N10,20,40Unchanged'!D86)/100,2))*100</f>
        <v>9707.5857774288397</v>
      </c>
      <c r="C86">
        <f>(3/(1+('CurrentFact-N10,20,40Unchanged'!C86+'CurrentFact-N10,20,40Unchanged'!G86)/100)+103/POWER(1+('CurrentFact-N10,20,40Unchanged'!D86+'CurrentFact-N10,20,40Unchanged'!G86)/100,2))*100</f>
        <v>9614.9673582483465</v>
      </c>
      <c r="D86">
        <f>(3/(1+('CurrentFact-N10,20,40Unchanged'!C86+'CurrentFact-N10,20,40Unchanged'!H86)/100)+103/POWER(1+('CurrentFact-N10,20,40Unchanged'!D86+'CurrentFact-N10,20,40Unchanged'!H86)/100,2))*100</f>
        <v>9601.2395558122898</v>
      </c>
      <c r="E86">
        <f>(3/(1+('CurrentFact-N10,20,40Unchanged'!C86+'CurrentFact-N10,20,40Unchanged'!I86)/100)+103/POWER(1+('CurrentFact-N10,20,40Unchanged'!D86+'CurrentFact-N10,20,40Unchanged'!I86)/100,2))*100</f>
        <v>9670.7588245401621</v>
      </c>
      <c r="F86">
        <f>Portfolio!B$5*'CurrentFact-N10,20,40Unchanged'!E86</f>
        <v>52143.895533915893</v>
      </c>
      <c r="G86">
        <f>Portfolio!B$6*'CurrentFact-N10,20,40Unchanged'!F86</f>
        <v>3696.2945087936532</v>
      </c>
      <c r="H86">
        <f t="shared" si="3"/>
        <v>94434.741558739188</v>
      </c>
      <c r="I86">
        <f t="shared" si="4"/>
        <v>-3.0926676371309441</v>
      </c>
    </row>
    <row r="87" spans="1:9">
      <c r="A87" s="1">
        <v>39379</v>
      </c>
      <c r="B87">
        <f>(3/(1+('CurrentFact-N10,20,40Unchanged'!C87)/100)+103/POWER(1+('CurrentFact-N10,20,40Unchanged'!D87)/100,2))*100</f>
        <v>9707.5857774288397</v>
      </c>
      <c r="C87">
        <f>(3/(1+('CurrentFact-N10,20,40Unchanged'!C87+'CurrentFact-N10,20,40Unchanged'!G87)/100)+103/POWER(1+('CurrentFact-N10,20,40Unchanged'!D87+'CurrentFact-N10,20,40Unchanged'!G87)/100,2))*100</f>
        <v>9614.9673582483465</v>
      </c>
      <c r="D87">
        <f>(3/(1+('CurrentFact-N10,20,40Unchanged'!C87+'CurrentFact-N10,20,40Unchanged'!H87)/100)+103/POWER(1+('CurrentFact-N10,20,40Unchanged'!D87+'CurrentFact-N10,20,40Unchanged'!H87)/100,2))*100</f>
        <v>9601.2395558122898</v>
      </c>
      <c r="E87">
        <f>(3/(1+('CurrentFact-N10,20,40Unchanged'!C87+'CurrentFact-N10,20,40Unchanged'!I87)/100)+103/POWER(1+('CurrentFact-N10,20,40Unchanged'!D87+'CurrentFact-N10,20,40Unchanged'!I87)/100,2))*100</f>
        <v>9669.8676874657613</v>
      </c>
      <c r="F87">
        <f>Portfolio!B$5*'CurrentFact-N10,20,40Unchanged'!E87</f>
        <v>52143.895533915893</v>
      </c>
      <c r="G87">
        <f>Portfolio!B$6*'CurrentFact-N10,20,40Unchanged'!F87</f>
        <v>3696.2945087936532</v>
      </c>
      <c r="H87">
        <f t="shared" si="3"/>
        <v>94433.850421664785</v>
      </c>
      <c r="I87">
        <f t="shared" si="4"/>
        <v>-5.8765256919577951</v>
      </c>
    </row>
    <row r="88" spans="1:9">
      <c r="A88" s="1">
        <v>39380</v>
      </c>
      <c r="B88">
        <f>(3/(1+('CurrentFact-N10,20,40Unchanged'!C88)/100)+103/POWER(1+('CurrentFact-N10,20,40Unchanged'!D88)/100,2))*100</f>
        <v>9707.5857774288397</v>
      </c>
      <c r="C88">
        <f>(3/(1+('CurrentFact-N10,20,40Unchanged'!C88+'CurrentFact-N10,20,40Unchanged'!G88)/100)+103/POWER(1+('CurrentFact-N10,20,40Unchanged'!D88+'CurrentFact-N10,20,40Unchanged'!G88)/100,2))*100</f>
        <v>9614.9673582483465</v>
      </c>
      <c r="D88">
        <f>(3/(1+('CurrentFact-N10,20,40Unchanged'!C88+'CurrentFact-N10,20,40Unchanged'!H88)/100)+103/POWER(1+('CurrentFact-N10,20,40Unchanged'!D88+'CurrentFact-N10,20,40Unchanged'!H88)/100,2))*100</f>
        <v>9601.2395558122898</v>
      </c>
      <c r="E88">
        <f>(3/(1+('CurrentFact-N10,20,40Unchanged'!C88+'CurrentFact-N10,20,40Unchanged'!I88)/100)+103/POWER(1+('CurrentFact-N10,20,40Unchanged'!D88+'CurrentFact-N10,20,40Unchanged'!I88)/100,2))*100</f>
        <v>9674.4884042634476</v>
      </c>
      <c r="F88">
        <f>Portfolio!B$5*'CurrentFact-N10,20,40Unchanged'!E88</f>
        <v>52143.895533915893</v>
      </c>
      <c r="G88">
        <f>Portfolio!B$6*'CurrentFact-N10,20,40Unchanged'!F88</f>
        <v>3696.2945087936532</v>
      </c>
      <c r="H88">
        <f t="shared" si="3"/>
        <v>94438.471138462482</v>
      </c>
      <c r="I88">
        <f t="shared" si="4"/>
        <v>-3.7317556288471678</v>
      </c>
    </row>
    <row r="89" spans="1:9">
      <c r="A89" s="1">
        <v>39381</v>
      </c>
      <c r="B89">
        <f>(3/(1+('CurrentFact-N10,20,40Unchanged'!C89)/100)+103/POWER(1+('CurrentFact-N10,20,40Unchanged'!D89)/100,2))*100</f>
        <v>9707.5857774288397</v>
      </c>
      <c r="C89">
        <f>(3/(1+('CurrentFact-N10,20,40Unchanged'!C89+'CurrentFact-N10,20,40Unchanged'!G89)/100)+103/POWER(1+('CurrentFact-N10,20,40Unchanged'!D89+'CurrentFact-N10,20,40Unchanged'!G89)/100,2))*100</f>
        <v>9614.9673582483465</v>
      </c>
      <c r="D89">
        <f>(3/(1+('CurrentFact-N10,20,40Unchanged'!C89+'CurrentFact-N10,20,40Unchanged'!H89)/100)+103/POWER(1+('CurrentFact-N10,20,40Unchanged'!D89+'CurrentFact-N10,20,40Unchanged'!H89)/100,2))*100</f>
        <v>9601.2395558122898</v>
      </c>
      <c r="E89">
        <f>(3/(1+('CurrentFact-N10,20,40Unchanged'!C89+'CurrentFact-N10,20,40Unchanged'!I89)/100)+103/POWER(1+('CurrentFact-N10,20,40Unchanged'!D89+'CurrentFact-N10,20,40Unchanged'!I89)/100,2))*100</f>
        <v>9676.8000136403025</v>
      </c>
      <c r="F89">
        <f>Portfolio!B$5*'CurrentFact-N10,20,40Unchanged'!E89</f>
        <v>52143.895533915893</v>
      </c>
      <c r="G89">
        <f>Portfolio!B$6*'CurrentFact-N10,20,40Unchanged'!F89</f>
        <v>3696.2945087936532</v>
      </c>
      <c r="H89">
        <f t="shared" si="3"/>
        <v>94440.782747839316</v>
      </c>
      <c r="I89">
        <f t="shared" si="4"/>
        <v>-0.32769830437609926</v>
      </c>
    </row>
    <row r="90" spans="1:9">
      <c r="A90" s="1">
        <v>39384</v>
      </c>
      <c r="B90">
        <f>(3/(1+('CurrentFact-N10,20,40Unchanged'!C90)/100)+103/POWER(1+('CurrentFact-N10,20,40Unchanged'!D90)/100,2))*100</f>
        <v>9707.5857774288397</v>
      </c>
      <c r="C90">
        <f>(3/(1+('CurrentFact-N10,20,40Unchanged'!C90+'CurrentFact-N10,20,40Unchanged'!G90)/100)+103/POWER(1+('CurrentFact-N10,20,40Unchanged'!D90+'CurrentFact-N10,20,40Unchanged'!G90)/100,2))*100</f>
        <v>9614.9673582483465</v>
      </c>
      <c r="D90">
        <f>(3/(1+('CurrentFact-N10,20,40Unchanged'!C90+'CurrentFact-N10,20,40Unchanged'!H90)/100)+103/POWER(1+('CurrentFact-N10,20,40Unchanged'!D90+'CurrentFact-N10,20,40Unchanged'!H90)/100,2))*100</f>
        <v>9601.2395558122898</v>
      </c>
      <c r="E90">
        <f>(3/(1+('CurrentFact-N10,20,40Unchanged'!C90+'CurrentFact-N10,20,40Unchanged'!I90)/100)+103/POWER(1+('CurrentFact-N10,20,40Unchanged'!D90+'CurrentFact-N10,20,40Unchanged'!I90)/100,2))*100</f>
        <v>9679.0031959085572</v>
      </c>
      <c r="F90">
        <f>Portfolio!B$5*'CurrentFact-N10,20,40Unchanged'!E90</f>
        <v>52143.895533915893</v>
      </c>
      <c r="G90">
        <f>Portfolio!B$6*'CurrentFact-N10,20,40Unchanged'!F90</f>
        <v>3696.2945087936532</v>
      </c>
      <c r="H90">
        <f t="shared" si="3"/>
        <v>94442.985930107592</v>
      </c>
      <c r="I90">
        <f t="shared" si="4"/>
        <v>6.6618395604018588</v>
      </c>
    </row>
    <row r="91" spans="1:9">
      <c r="A91" s="1">
        <v>39385</v>
      </c>
      <c r="B91">
        <f>(3/(1+('CurrentFact-N10,20,40Unchanged'!C91)/100)+103/POWER(1+('CurrentFact-N10,20,40Unchanged'!D91)/100,2))*100</f>
        <v>9707.5857774288397</v>
      </c>
      <c r="C91">
        <f>(3/(1+('CurrentFact-N10,20,40Unchanged'!C91+'CurrentFact-N10,20,40Unchanged'!G91)/100)+103/POWER(1+('CurrentFact-N10,20,40Unchanged'!D91+'CurrentFact-N10,20,40Unchanged'!G91)/100,2))*100</f>
        <v>9614.9673582483465</v>
      </c>
      <c r="D91">
        <f>(3/(1+('CurrentFact-N10,20,40Unchanged'!C91+'CurrentFact-N10,20,40Unchanged'!H91)/100)+103/POWER(1+('CurrentFact-N10,20,40Unchanged'!D91+'CurrentFact-N10,20,40Unchanged'!H91)/100,2))*100</f>
        <v>9601.2395558122898</v>
      </c>
      <c r="E91">
        <f>(3/(1+('CurrentFact-N10,20,40Unchanged'!C91+'CurrentFact-N10,20,40Unchanged'!I91)/100)+103/POWER(1+('CurrentFact-N10,20,40Unchanged'!D91+'CurrentFact-N10,20,40Unchanged'!I91)/100,2))*100</f>
        <v>9680.3691851352687</v>
      </c>
      <c r="F91">
        <f>Portfolio!B$5*'CurrentFact-N10,20,40Unchanged'!E91</f>
        <v>52143.895533915893</v>
      </c>
      <c r="G91">
        <f>Portfolio!B$6*'CurrentFact-N10,20,40Unchanged'!F91</f>
        <v>3696.2945087936532</v>
      </c>
      <c r="H91">
        <f t="shared" si="3"/>
        <v>94444.351919334295</v>
      </c>
      <c r="I91">
        <f t="shared" si="4"/>
        <v>4.1881070726667531</v>
      </c>
    </row>
    <row r="92" spans="1:9">
      <c r="A92" s="1">
        <v>39386</v>
      </c>
      <c r="B92">
        <f>(3/(1+('CurrentFact-N10,20,40Unchanged'!C92)/100)+103/POWER(1+('CurrentFact-N10,20,40Unchanged'!D92)/100,2))*100</f>
        <v>9707.5857774288397</v>
      </c>
      <c r="C92">
        <f>(3/(1+('CurrentFact-N10,20,40Unchanged'!C92+'CurrentFact-N10,20,40Unchanged'!G92)/100)+103/POWER(1+('CurrentFact-N10,20,40Unchanged'!D92+'CurrentFact-N10,20,40Unchanged'!G92)/100,2))*100</f>
        <v>9614.9673582483465</v>
      </c>
      <c r="D92">
        <f>(3/(1+('CurrentFact-N10,20,40Unchanged'!C92+'CurrentFact-N10,20,40Unchanged'!H92)/100)+103/POWER(1+('CurrentFact-N10,20,40Unchanged'!D92+'CurrentFact-N10,20,40Unchanged'!H92)/100,2))*100</f>
        <v>9601.2395558122898</v>
      </c>
      <c r="E92">
        <f>(3/(1+('CurrentFact-N10,20,40Unchanged'!C92+'CurrentFact-N10,20,40Unchanged'!I92)/100)+103/POWER(1+('CurrentFact-N10,20,40Unchanged'!D92+'CurrentFact-N10,20,40Unchanged'!I92)/100,2))*100</f>
        <v>9680.4056146090297</v>
      </c>
      <c r="F92">
        <f>Portfolio!B$5*'CurrentFact-N10,20,40Unchanged'!E92</f>
        <v>52143.895533915893</v>
      </c>
      <c r="G92">
        <f>Portfolio!B$6*'CurrentFact-N10,20,40Unchanged'!F92</f>
        <v>3696.2945087936532</v>
      </c>
      <c r="H92">
        <f t="shared" si="3"/>
        <v>94444.388348808046</v>
      </c>
      <c r="I92">
        <f t="shared" si="4"/>
        <v>5.4440346283518011</v>
      </c>
    </row>
    <row r="93" spans="1:9">
      <c r="A93" s="1">
        <v>39387</v>
      </c>
      <c r="B93">
        <f>(3/(1+('CurrentFact-N10,20,40Unchanged'!C93)/100)+103/POWER(1+('CurrentFact-N10,20,40Unchanged'!D93)/100,2))*100</f>
        <v>9707.5857774288397</v>
      </c>
      <c r="C93">
        <f>(3/(1+('CurrentFact-N10,20,40Unchanged'!C93+'CurrentFact-N10,20,40Unchanged'!G93)/100)+103/POWER(1+('CurrentFact-N10,20,40Unchanged'!D93+'CurrentFact-N10,20,40Unchanged'!G93)/100,2))*100</f>
        <v>9614.9673582483465</v>
      </c>
      <c r="D93">
        <f>(3/(1+('CurrentFact-N10,20,40Unchanged'!C93+'CurrentFact-N10,20,40Unchanged'!H93)/100)+103/POWER(1+('CurrentFact-N10,20,40Unchanged'!D93+'CurrentFact-N10,20,40Unchanged'!H93)/100,2))*100</f>
        <v>9601.2395558122898</v>
      </c>
      <c r="E93">
        <f>(3/(1+('CurrentFact-N10,20,40Unchanged'!C93+'CurrentFact-N10,20,40Unchanged'!I93)/100)+103/POWER(1+('CurrentFact-N10,20,40Unchanged'!D93+'CurrentFact-N10,20,40Unchanged'!I93)/100,2))*100</f>
        <v>9679.6770472220851</v>
      </c>
      <c r="F93">
        <f>Portfolio!B$5*'CurrentFact-N10,20,40Unchanged'!E93</f>
        <v>52143.895533915893</v>
      </c>
      <c r="G93">
        <f>Portfolio!B$6*'CurrentFact-N10,20,40Unchanged'!F93</f>
        <v>3696.2945087936532</v>
      </c>
      <c r="H93">
        <f t="shared" si="3"/>
        <v>94443.659781421098</v>
      </c>
      <c r="I93">
        <f t="shared" si="4"/>
        <v>11.682159383228282</v>
      </c>
    </row>
    <row r="94" spans="1:9">
      <c r="A94" s="1">
        <v>39388</v>
      </c>
      <c r="B94">
        <f>(3/(1+('CurrentFact-N10,20,40Unchanged'!C94)/100)+103/POWER(1+('CurrentFact-N10,20,40Unchanged'!D94)/100,2))*100</f>
        <v>9707.5857774288397</v>
      </c>
      <c r="C94">
        <f>(3/(1+('CurrentFact-N10,20,40Unchanged'!C94+'CurrentFact-N10,20,40Unchanged'!G94)/100)+103/POWER(1+('CurrentFact-N10,20,40Unchanged'!D94+'CurrentFact-N10,20,40Unchanged'!G94)/100,2))*100</f>
        <v>9614.9673582483465</v>
      </c>
      <c r="D94">
        <f>(3/(1+('CurrentFact-N10,20,40Unchanged'!C94+'CurrentFact-N10,20,40Unchanged'!H94)/100)+103/POWER(1+('CurrentFact-N10,20,40Unchanged'!D94+'CurrentFact-N10,20,40Unchanged'!H94)/100,2))*100</f>
        <v>9601.2395558122898</v>
      </c>
      <c r="E94">
        <f>(3/(1+('CurrentFact-N10,20,40Unchanged'!C94+'CurrentFact-N10,20,40Unchanged'!I94)/100)+103/POWER(1+('CurrentFact-N10,20,40Unchanged'!D94+'CurrentFact-N10,20,40Unchanged'!I94)/100,2))*100</f>
        <v>9681.7172470058304</v>
      </c>
      <c r="F94">
        <f>Portfolio!B$5*'CurrentFact-N10,20,40Unchanged'!E94</f>
        <v>52143.895533915893</v>
      </c>
      <c r="G94">
        <f>Portfolio!B$6*'CurrentFact-N10,20,40Unchanged'!F94</f>
        <v>3696.2945087936532</v>
      </c>
      <c r="H94">
        <f t="shared" si="3"/>
        <v>94445.699981204845</v>
      </c>
      <c r="I94">
        <f t="shared" si="4"/>
        <v>11.28579410603561</v>
      </c>
    </row>
    <row r="95" spans="1:9">
      <c r="A95" s="1">
        <v>39391</v>
      </c>
      <c r="B95">
        <f>(3/(1+('CurrentFact-N10,20,40Unchanged'!C95)/100)+103/POWER(1+('CurrentFact-N10,20,40Unchanged'!D95)/100,2))*100</f>
        <v>9707.5857774288397</v>
      </c>
      <c r="C95">
        <f>(3/(1+('CurrentFact-N10,20,40Unchanged'!C95+'CurrentFact-N10,20,40Unchanged'!G95)/100)+103/POWER(1+('CurrentFact-N10,20,40Unchanged'!D95+'CurrentFact-N10,20,40Unchanged'!G95)/100,2))*100</f>
        <v>9614.9673582483465</v>
      </c>
      <c r="D95">
        <f>(3/(1+('CurrentFact-N10,20,40Unchanged'!C95+'CurrentFact-N10,20,40Unchanged'!H95)/100)+103/POWER(1+('CurrentFact-N10,20,40Unchanged'!D95+'CurrentFact-N10,20,40Unchanged'!H95)/100,2))*100</f>
        <v>9601.2395558122898</v>
      </c>
      <c r="E95">
        <f>(3/(1+('CurrentFact-N10,20,40Unchanged'!C95+'CurrentFact-N10,20,40Unchanged'!I95)/100)+103/POWER(1+('CurrentFact-N10,20,40Unchanged'!D95+'CurrentFact-N10,20,40Unchanged'!I95)/100,2))*100</f>
        <v>9680.6424173310115</v>
      </c>
      <c r="F95">
        <f>Portfolio!B$5*'CurrentFact-N10,20,40Unchanged'!E95</f>
        <v>52143.895533915893</v>
      </c>
      <c r="G95">
        <f>Portfolio!B$6*'CurrentFact-N10,20,40Unchanged'!F95</f>
        <v>3696.2945087936532</v>
      </c>
      <c r="H95">
        <f t="shared" si="3"/>
        <v>94444.625151530025</v>
      </c>
      <c r="I95">
        <f t="shared" si="4"/>
        <v>7.6642995134752709</v>
      </c>
    </row>
    <row r="96" spans="1:9">
      <c r="A96" s="1">
        <v>39392</v>
      </c>
      <c r="B96">
        <f>(3/(1+('CurrentFact-N10,20,40Unchanged'!C96)/100)+103/POWER(1+('CurrentFact-N10,20,40Unchanged'!D96)/100,2))*100</f>
        <v>9707.5857774288397</v>
      </c>
      <c r="C96">
        <f>(3/(1+('CurrentFact-N10,20,40Unchanged'!C96+'CurrentFact-N10,20,40Unchanged'!G96)/100)+103/POWER(1+('CurrentFact-N10,20,40Unchanged'!D96+'CurrentFact-N10,20,40Unchanged'!G96)/100,2))*100</f>
        <v>9614.9673582483465</v>
      </c>
      <c r="D96">
        <f>(3/(1+('CurrentFact-N10,20,40Unchanged'!C96+'CurrentFact-N10,20,40Unchanged'!H96)/100)+103/POWER(1+('CurrentFact-N10,20,40Unchanged'!D96+'CurrentFact-N10,20,40Unchanged'!H96)/100,2))*100</f>
        <v>9601.2395558122898</v>
      </c>
      <c r="E96">
        <f>(3/(1+('CurrentFact-N10,20,40Unchanged'!C96+'CurrentFact-N10,20,40Unchanged'!I96)/100)+103/POWER(1+('CurrentFact-N10,20,40Unchanged'!D96+'CurrentFact-N10,20,40Unchanged'!I96)/100,2))*100</f>
        <v>9681.7354664282466</v>
      </c>
      <c r="F96">
        <f>Portfolio!B$5*'CurrentFact-N10,20,40Unchanged'!E96</f>
        <v>52143.895533915893</v>
      </c>
      <c r="G96">
        <f>Portfolio!B$6*'CurrentFact-N10,20,40Unchanged'!F96</f>
        <v>3696.2945087936532</v>
      </c>
      <c r="H96">
        <f t="shared" si="3"/>
        <v>94445.718200627278</v>
      </c>
      <c r="I96">
        <f t="shared" si="4"/>
        <v>10.976641888089944</v>
      </c>
    </row>
    <row r="97" spans="1:9">
      <c r="A97" s="1">
        <v>39393</v>
      </c>
      <c r="B97">
        <f>(3/(1+('CurrentFact-N10,20,40Unchanged'!C97)/100)+103/POWER(1+('CurrentFact-N10,20,40Unchanged'!D97)/100,2))*100</f>
        <v>9707.5857774288397</v>
      </c>
      <c r="C97">
        <f>(3/(1+('CurrentFact-N10,20,40Unchanged'!C97+'CurrentFact-N10,20,40Unchanged'!G97)/100)+103/POWER(1+('CurrentFact-N10,20,40Unchanged'!D97+'CurrentFact-N10,20,40Unchanged'!G97)/100,2))*100</f>
        <v>9614.9673582483465</v>
      </c>
      <c r="D97">
        <f>(3/(1+('CurrentFact-N10,20,40Unchanged'!C97+'CurrentFact-N10,20,40Unchanged'!H97)/100)+103/POWER(1+('CurrentFact-N10,20,40Unchanged'!D97+'CurrentFact-N10,20,40Unchanged'!H97)/100,2))*100</f>
        <v>9601.2395558122898</v>
      </c>
      <c r="E97">
        <f>(3/(1+('CurrentFact-N10,20,40Unchanged'!C97+'CurrentFact-N10,20,40Unchanged'!I97)/100)+103/POWER(1+('CurrentFact-N10,20,40Unchanged'!D97+'CurrentFact-N10,20,40Unchanged'!I97)/100,2))*100</f>
        <v>9681.6990276353554</v>
      </c>
      <c r="F97">
        <f>Portfolio!B$5*'CurrentFact-N10,20,40Unchanged'!E97</f>
        <v>52143.895533915893</v>
      </c>
      <c r="G97">
        <f>Portfolio!B$6*'CurrentFact-N10,20,40Unchanged'!F97</f>
        <v>3696.2945087936532</v>
      </c>
      <c r="H97">
        <f t="shared" si="3"/>
        <v>94445.681761834378</v>
      </c>
      <c r="I97">
        <f t="shared" si="4"/>
        <v>11.831340169592295</v>
      </c>
    </row>
    <row r="98" spans="1:9">
      <c r="A98" s="1">
        <v>39394</v>
      </c>
      <c r="B98">
        <f>(3/(1+('CurrentFact-N10,20,40Unchanged'!C98)/100)+103/POWER(1+('CurrentFact-N10,20,40Unchanged'!D98)/100,2))*100</f>
        <v>9707.5857774288397</v>
      </c>
      <c r="C98">
        <f>(3/(1+('CurrentFact-N10,20,40Unchanged'!C98+'CurrentFact-N10,20,40Unchanged'!G98)/100)+103/POWER(1+('CurrentFact-N10,20,40Unchanged'!D98+'CurrentFact-N10,20,40Unchanged'!G98)/100,2))*100</f>
        <v>9614.9673582483465</v>
      </c>
      <c r="D98">
        <f>(3/(1+('CurrentFact-N10,20,40Unchanged'!C98+'CurrentFact-N10,20,40Unchanged'!H98)/100)+103/POWER(1+('CurrentFact-N10,20,40Unchanged'!D98+'CurrentFact-N10,20,40Unchanged'!H98)/100,2))*100</f>
        <v>9601.2395558122898</v>
      </c>
      <c r="E98">
        <f>(3/(1+('CurrentFact-N10,20,40Unchanged'!C98+'CurrentFact-N10,20,40Unchanged'!I98)/100)+103/POWER(1+('CurrentFact-N10,20,40Unchanged'!D98+'CurrentFact-N10,20,40Unchanged'!I98)/100,2))*100</f>
        <v>9683.1020398709661</v>
      </c>
      <c r="F98">
        <f>Portfolio!B$5*'CurrentFact-N10,20,40Unchanged'!E98</f>
        <v>52143.895533915893</v>
      </c>
      <c r="G98">
        <f>Portfolio!B$6*'CurrentFact-N10,20,40Unchanged'!F98</f>
        <v>3696.2945087936532</v>
      </c>
      <c r="H98">
        <f t="shared" si="3"/>
        <v>94447.084774069983</v>
      </c>
      <c r="I98">
        <f t="shared" si="4"/>
        <v>8.6136356075003278</v>
      </c>
    </row>
    <row r="99" spans="1:9">
      <c r="A99" s="1">
        <v>39395</v>
      </c>
      <c r="B99">
        <f>(3/(1+('CurrentFact-N10,20,40Unchanged'!C99)/100)+103/POWER(1+('CurrentFact-N10,20,40Unchanged'!D99)/100,2))*100</f>
        <v>9707.5857774288397</v>
      </c>
      <c r="C99">
        <f>(3/(1+('CurrentFact-N10,20,40Unchanged'!C99+'CurrentFact-N10,20,40Unchanged'!G99)/100)+103/POWER(1+('CurrentFact-N10,20,40Unchanged'!D99+'CurrentFact-N10,20,40Unchanged'!G99)/100,2))*100</f>
        <v>9614.9673582483465</v>
      </c>
      <c r="D99">
        <f>(3/(1+('CurrentFact-N10,20,40Unchanged'!C99+'CurrentFact-N10,20,40Unchanged'!H99)/100)+103/POWER(1+('CurrentFact-N10,20,40Unchanged'!D99+'CurrentFact-N10,20,40Unchanged'!H99)/100,2))*100</f>
        <v>9601.2395558122898</v>
      </c>
      <c r="E99">
        <f>(3/(1+('CurrentFact-N10,20,40Unchanged'!C99+'CurrentFact-N10,20,40Unchanged'!I99)/100)+103/POWER(1+('CurrentFact-N10,20,40Unchanged'!D99+'CurrentFact-N10,20,40Unchanged'!I99)/100,2))*100</f>
        <v>9683.2113773965266</v>
      </c>
      <c r="F99">
        <f>Portfolio!B$5*'CurrentFact-N10,20,40Unchanged'!E99</f>
        <v>52143.895533915893</v>
      </c>
      <c r="G99">
        <f>Portfolio!B$6*'CurrentFact-N10,20,40Unchanged'!F99</f>
        <v>3696.2945087936532</v>
      </c>
      <c r="H99">
        <f t="shared" ref="H99:H130" si="5">SUM(B99:G99)</f>
        <v>94447.194111595541</v>
      </c>
      <c r="I99">
        <f t="shared" si="4"/>
        <v>6.41136375622591</v>
      </c>
    </row>
    <row r="100" spans="1:9">
      <c r="A100" s="1">
        <v>39398</v>
      </c>
      <c r="B100">
        <f>(3/(1+('CurrentFact-N10,20,40Unchanged'!C100)/100)+103/POWER(1+('CurrentFact-N10,20,40Unchanged'!D100)/100,2))*100</f>
        <v>9707.5857774288397</v>
      </c>
      <c r="C100">
        <f>(3/(1+('CurrentFact-N10,20,40Unchanged'!C100+'CurrentFact-N10,20,40Unchanged'!G100)/100)+103/POWER(1+('CurrentFact-N10,20,40Unchanged'!D100+'CurrentFact-N10,20,40Unchanged'!G100)/100,2))*100</f>
        <v>9614.9673582483465</v>
      </c>
      <c r="D100">
        <f>(3/(1+('CurrentFact-N10,20,40Unchanged'!C100+'CurrentFact-N10,20,40Unchanged'!H100)/100)+103/POWER(1+('CurrentFact-N10,20,40Unchanged'!D100+'CurrentFact-N10,20,40Unchanged'!H100)/100,2))*100</f>
        <v>9601.2395558122898</v>
      </c>
      <c r="E100">
        <f>(3/(1+('CurrentFact-N10,20,40Unchanged'!C100+'CurrentFact-N10,20,40Unchanged'!I100)/100)+103/POWER(1+('CurrentFact-N10,20,40Unchanged'!D100+'CurrentFact-N10,20,40Unchanged'!I100)/100,2))*100</f>
        <v>9684.1226042922844</v>
      </c>
      <c r="F100">
        <f>Portfolio!B$5*'CurrentFact-N10,20,40Unchanged'!E100</f>
        <v>52143.895533915893</v>
      </c>
      <c r="G100">
        <f>Portfolio!B$6*'CurrentFact-N10,20,40Unchanged'!F100</f>
        <v>3696.2945087936532</v>
      </c>
      <c r="H100">
        <f t="shared" si="5"/>
        <v>94448.10533849131</v>
      </c>
      <c r="I100">
        <f t="shared" si="4"/>
        <v>5.1194083837181097</v>
      </c>
    </row>
    <row r="101" spans="1:9">
      <c r="A101" s="1">
        <v>39399</v>
      </c>
      <c r="B101">
        <f>(3/(1+('CurrentFact-N10,20,40Unchanged'!C101)/100)+103/POWER(1+('CurrentFact-N10,20,40Unchanged'!D101)/100,2))*100</f>
        <v>9707.5857774288397</v>
      </c>
      <c r="C101">
        <f>(3/(1+('CurrentFact-N10,20,40Unchanged'!C101+'CurrentFact-N10,20,40Unchanged'!G101)/100)+103/POWER(1+('CurrentFact-N10,20,40Unchanged'!D101+'CurrentFact-N10,20,40Unchanged'!G101)/100,2))*100</f>
        <v>9614.9673582483465</v>
      </c>
      <c r="D101">
        <f>(3/(1+('CurrentFact-N10,20,40Unchanged'!C101+'CurrentFact-N10,20,40Unchanged'!H101)/100)+103/POWER(1+('CurrentFact-N10,20,40Unchanged'!D101+'CurrentFact-N10,20,40Unchanged'!H101)/100,2))*100</f>
        <v>9601.2395558122898</v>
      </c>
      <c r="E101">
        <f>(3/(1+('CurrentFact-N10,20,40Unchanged'!C101+'CurrentFact-N10,20,40Unchanged'!I101)/100)+103/POWER(1+('CurrentFact-N10,20,40Unchanged'!D101+'CurrentFact-N10,20,40Unchanged'!I101)/100,2))*100</f>
        <v>9684.8334520784665</v>
      </c>
      <c r="F101">
        <f>Portfolio!B$5*'CurrentFact-N10,20,40Unchanged'!E101</f>
        <v>52143.895533915893</v>
      </c>
      <c r="G101">
        <f>Portfolio!B$6*'CurrentFact-N10,20,40Unchanged'!F101</f>
        <v>3696.2945087936532</v>
      </c>
      <c r="H101">
        <f t="shared" si="5"/>
        <v>94448.816186277487</v>
      </c>
      <c r="I101">
        <f t="shared" si="4"/>
        <v>4.4642669431923423</v>
      </c>
    </row>
    <row r="102" spans="1:9">
      <c r="A102" s="1">
        <v>39400</v>
      </c>
      <c r="B102">
        <f>(3/(1+('CurrentFact-N10,20,40Unchanged'!C102)/100)+103/POWER(1+('CurrentFact-N10,20,40Unchanged'!D102)/100,2))*100</f>
        <v>9707.5857774288397</v>
      </c>
      <c r="C102">
        <f>(3/(1+('CurrentFact-N10,20,40Unchanged'!C102+'CurrentFact-N10,20,40Unchanged'!G102)/100)+103/POWER(1+('CurrentFact-N10,20,40Unchanged'!D102+'CurrentFact-N10,20,40Unchanged'!G102)/100,2))*100</f>
        <v>9614.9673582483465</v>
      </c>
      <c r="D102">
        <f>(3/(1+('CurrentFact-N10,20,40Unchanged'!C102+'CurrentFact-N10,20,40Unchanged'!H102)/100)+103/POWER(1+('CurrentFact-N10,20,40Unchanged'!D102+'CurrentFact-N10,20,40Unchanged'!H102)/100,2))*100</f>
        <v>9601.2395558122898</v>
      </c>
      <c r="E102">
        <f>(3/(1+('CurrentFact-N10,20,40Unchanged'!C102+'CurrentFact-N10,20,40Unchanged'!I102)/100)+103/POWER(1+('CurrentFact-N10,20,40Unchanged'!D102+'CurrentFact-N10,20,40Unchanged'!I102)/100,2))*100</f>
        <v>9684.4142257946733</v>
      </c>
      <c r="F102">
        <f>Portfolio!B$5*'CurrentFact-N10,20,40Unchanged'!E102</f>
        <v>52143.895533915893</v>
      </c>
      <c r="G102">
        <f>Portfolio!B$6*'CurrentFact-N10,20,40Unchanged'!F102</f>
        <v>3696.2945087936532</v>
      </c>
      <c r="H102">
        <f t="shared" si="5"/>
        <v>94448.396959993697</v>
      </c>
      <c r="I102">
        <f t="shared" si="4"/>
        <v>4.0086111856508069</v>
      </c>
    </row>
    <row r="103" spans="1:9">
      <c r="A103" s="1">
        <v>39401</v>
      </c>
      <c r="B103">
        <f>(3/(1+('CurrentFact-N10,20,40Unchanged'!C103)/100)+103/POWER(1+('CurrentFact-N10,20,40Unchanged'!D103)/100,2))*100</f>
        <v>9707.5857774288397</v>
      </c>
      <c r="C103">
        <f>(3/(1+('CurrentFact-N10,20,40Unchanged'!C103+'CurrentFact-N10,20,40Unchanged'!G103)/100)+103/POWER(1+('CurrentFact-N10,20,40Unchanged'!D103+'CurrentFact-N10,20,40Unchanged'!G103)/100,2))*100</f>
        <v>9614.9673582483465</v>
      </c>
      <c r="D103">
        <f>(3/(1+('CurrentFact-N10,20,40Unchanged'!C103+'CurrentFact-N10,20,40Unchanged'!H103)/100)+103/POWER(1+('CurrentFact-N10,20,40Unchanged'!D103+'CurrentFact-N10,20,40Unchanged'!H103)/100,2))*100</f>
        <v>9601.2395558122898</v>
      </c>
      <c r="E103">
        <f>(3/(1+('CurrentFact-N10,20,40Unchanged'!C103+'CurrentFact-N10,20,40Unchanged'!I103)/100)+103/POWER(1+('CurrentFact-N10,20,40Unchanged'!D103+'CurrentFact-N10,20,40Unchanged'!I103)/100,2))*100</f>
        <v>9683.9950252631097</v>
      </c>
      <c r="F103">
        <f>Portfolio!B$5*'CurrentFact-N10,20,40Unchanged'!E103</f>
        <v>52143.895533915893</v>
      </c>
      <c r="G103">
        <f>Portfolio!B$6*'CurrentFact-N10,20,40Unchanged'!F103</f>
        <v>3696.2945087936532</v>
      </c>
      <c r="H103">
        <f t="shared" si="5"/>
        <v>94447.977759462141</v>
      </c>
      <c r="I103">
        <f t="shared" si="4"/>
        <v>4.3179780410428066</v>
      </c>
    </row>
    <row r="104" spans="1:9">
      <c r="A104" s="1">
        <v>39402</v>
      </c>
      <c r="B104">
        <f>(3/(1+('CurrentFact-N10,20,40Unchanged'!C104)/100)+103/POWER(1+('CurrentFact-N10,20,40Unchanged'!D104)/100,2))*100</f>
        <v>9707.5857774288397</v>
      </c>
      <c r="C104">
        <f>(3/(1+('CurrentFact-N10,20,40Unchanged'!C104+'CurrentFact-N10,20,40Unchanged'!G104)/100)+103/POWER(1+('CurrentFact-N10,20,40Unchanged'!D104+'CurrentFact-N10,20,40Unchanged'!G104)/100,2))*100</f>
        <v>9614.9673582483465</v>
      </c>
      <c r="D104">
        <f>(3/(1+('CurrentFact-N10,20,40Unchanged'!C104+'CurrentFact-N10,20,40Unchanged'!H104)/100)+103/POWER(1+('CurrentFact-N10,20,40Unchanged'!D104+'CurrentFact-N10,20,40Unchanged'!H104)/100,2))*100</f>
        <v>9601.2395558122898</v>
      </c>
      <c r="E104">
        <f>(3/(1+('CurrentFact-N10,20,40Unchanged'!C104+'CurrentFact-N10,20,40Unchanged'!I104)/100)+103/POWER(1+('CurrentFact-N10,20,40Unchanged'!D104+'CurrentFact-N10,20,40Unchanged'!I104)/100,2))*100</f>
        <v>9684.5235857668922</v>
      </c>
      <c r="F104">
        <f>Portfolio!B$5*'CurrentFact-N10,20,40Unchanged'!E104</f>
        <v>52143.895533915893</v>
      </c>
      <c r="G104">
        <f>Portfolio!B$6*'CurrentFact-N10,20,40Unchanged'!F104</f>
        <v>3696.2945087936532</v>
      </c>
      <c r="H104">
        <f t="shared" si="5"/>
        <v>94448.506319965905</v>
      </c>
      <c r="I104">
        <f t="shared" si="4"/>
        <v>2.806338761060033</v>
      </c>
    </row>
    <row r="105" spans="1:9">
      <c r="A105" s="1">
        <v>39405</v>
      </c>
      <c r="B105">
        <f>(3/(1+('CurrentFact-N10,20,40Unchanged'!C105)/100)+103/POWER(1+('CurrentFact-N10,20,40Unchanged'!D105)/100,2))*100</f>
        <v>9707.5857774288397</v>
      </c>
      <c r="C105">
        <f>(3/(1+('CurrentFact-N10,20,40Unchanged'!C105+'CurrentFact-N10,20,40Unchanged'!G105)/100)+103/POWER(1+('CurrentFact-N10,20,40Unchanged'!D105+'CurrentFact-N10,20,40Unchanged'!G105)/100,2))*100</f>
        <v>9614.9673582483465</v>
      </c>
      <c r="D105">
        <f>(3/(1+('CurrentFact-N10,20,40Unchanged'!C105+'CurrentFact-N10,20,40Unchanged'!H105)/100)+103/POWER(1+('CurrentFact-N10,20,40Unchanged'!D105+'CurrentFact-N10,20,40Unchanged'!H105)/100,2))*100</f>
        <v>9601.2395558122898</v>
      </c>
      <c r="E105">
        <f>(3/(1+('CurrentFact-N10,20,40Unchanged'!C105+'CurrentFact-N10,20,40Unchanged'!I105)/100)+103/POWER(1+('CurrentFact-N10,20,40Unchanged'!D105+'CurrentFact-N10,20,40Unchanged'!I105)/100,2))*100</f>
        <v>9683.7034246212697</v>
      </c>
      <c r="F105">
        <f>Portfolio!B$5*'CurrentFact-N10,20,40Unchanged'!E105</f>
        <v>52143.895533915893</v>
      </c>
      <c r="G105">
        <f>Portfolio!B$6*'CurrentFact-N10,20,40Unchanged'!F105</f>
        <v>3696.2945087936532</v>
      </c>
      <c r="H105">
        <f t="shared" si="5"/>
        <v>94447.686158820288</v>
      </c>
      <c r="I105">
        <f t="shared" si="4"/>
        <v>3.0610072902636603</v>
      </c>
    </row>
    <row r="106" spans="1:9">
      <c r="A106" s="1">
        <v>39406</v>
      </c>
      <c r="B106">
        <f>(3/(1+('CurrentFact-N10,20,40Unchanged'!C106)/100)+103/POWER(1+('CurrentFact-N10,20,40Unchanged'!D106)/100,2))*100</f>
        <v>9707.5857774288397</v>
      </c>
      <c r="C106">
        <f>(3/(1+('CurrentFact-N10,20,40Unchanged'!C106+'CurrentFact-N10,20,40Unchanged'!G106)/100)+103/POWER(1+('CurrentFact-N10,20,40Unchanged'!D106+'CurrentFact-N10,20,40Unchanged'!G106)/100,2))*100</f>
        <v>9614.9673582483465</v>
      </c>
      <c r="D106">
        <f>(3/(1+('CurrentFact-N10,20,40Unchanged'!C106+'CurrentFact-N10,20,40Unchanged'!H106)/100)+103/POWER(1+('CurrentFact-N10,20,40Unchanged'!D106+'CurrentFact-N10,20,40Unchanged'!H106)/100,2))*100</f>
        <v>9601.2395558122898</v>
      </c>
      <c r="E106">
        <f>(3/(1+('CurrentFact-N10,20,40Unchanged'!C106+'CurrentFact-N10,20,40Unchanged'!I106)/100)+103/POWER(1+('CurrentFact-N10,20,40Unchanged'!D106+'CurrentFact-N10,20,40Unchanged'!I106)/100,2))*100</f>
        <v>9684.1226042922844</v>
      </c>
      <c r="F106">
        <f>Portfolio!B$5*'CurrentFact-N10,20,40Unchanged'!E106</f>
        <v>52143.895533915893</v>
      </c>
      <c r="G106">
        <f>Portfolio!B$6*'CurrentFact-N10,20,40Unchanged'!F106</f>
        <v>3696.2945087936532</v>
      </c>
      <c r="H106">
        <f t="shared" si="5"/>
        <v>94448.10533849131</v>
      </c>
      <c r="I106">
        <f t="shared" si="4"/>
        <v>2.387137864032411</v>
      </c>
    </row>
    <row r="107" spans="1:9">
      <c r="A107" s="1">
        <v>39407</v>
      </c>
      <c r="B107">
        <f>(3/(1+('CurrentFact-N10,20,40Unchanged'!C107)/100)+103/POWER(1+('CurrentFact-N10,20,40Unchanged'!D107)/100,2))*100</f>
        <v>9707.5857774288397</v>
      </c>
      <c r="C107">
        <f>(3/(1+('CurrentFact-N10,20,40Unchanged'!C107+'CurrentFact-N10,20,40Unchanged'!G107)/100)+103/POWER(1+('CurrentFact-N10,20,40Unchanged'!D107+'CurrentFact-N10,20,40Unchanged'!G107)/100,2))*100</f>
        <v>9614.9673582483465</v>
      </c>
      <c r="D107">
        <f>(3/(1+('CurrentFact-N10,20,40Unchanged'!C107+'CurrentFact-N10,20,40Unchanged'!H107)/100)+103/POWER(1+('CurrentFact-N10,20,40Unchanged'!D107+'CurrentFact-N10,20,40Unchanged'!H107)/100,2))*100</f>
        <v>9601.2395558122898</v>
      </c>
      <c r="E107">
        <f>(3/(1+('CurrentFact-N10,20,40Unchanged'!C107+'CurrentFact-N10,20,40Unchanged'!I107)/100)+103/POWER(1+('CurrentFact-N10,20,40Unchanged'!D107+'CurrentFact-N10,20,40Unchanged'!I107)/100,2))*100</f>
        <v>9683.9038981990943</v>
      </c>
      <c r="F107">
        <f>Portfolio!B$5*'CurrentFact-N10,20,40Unchanged'!E107</f>
        <v>52143.895533915893</v>
      </c>
      <c r="G107">
        <f>Portfolio!B$6*'CurrentFact-N10,20,40Unchanged'!F107</f>
        <v>3696.2945087936532</v>
      </c>
      <c r="H107">
        <f t="shared" si="5"/>
        <v>94447.88663239812</v>
      </c>
      <c r="I107">
        <f t="shared" si="4"/>
        <v>2.2048705637425883</v>
      </c>
    </row>
    <row r="108" spans="1:9">
      <c r="A108" s="1">
        <v>39408</v>
      </c>
      <c r="B108">
        <f>(3/(1+('CurrentFact-N10,20,40Unchanged'!C108)/100)+103/POWER(1+('CurrentFact-N10,20,40Unchanged'!D108)/100,2))*100</f>
        <v>9707.5857774288397</v>
      </c>
      <c r="C108">
        <f>(3/(1+('CurrentFact-N10,20,40Unchanged'!C108+'CurrentFact-N10,20,40Unchanged'!G108)/100)+103/POWER(1+('CurrentFact-N10,20,40Unchanged'!D108+'CurrentFact-N10,20,40Unchanged'!G108)/100,2))*100</f>
        <v>9614.9673582483465</v>
      </c>
      <c r="D108">
        <f>(3/(1+('CurrentFact-N10,20,40Unchanged'!C108+'CurrentFact-N10,20,40Unchanged'!H108)/100)+103/POWER(1+('CurrentFact-N10,20,40Unchanged'!D108+'CurrentFact-N10,20,40Unchanged'!H108)/100,2))*100</f>
        <v>9601.2395558122898</v>
      </c>
      <c r="E108">
        <f>(3/(1+('CurrentFact-N10,20,40Unchanged'!C108+'CurrentFact-N10,20,40Unchanged'!I108)/100)+103/POWER(1+('CurrentFact-N10,20,40Unchanged'!D108+'CurrentFact-N10,20,40Unchanged'!I108)/100,2))*100</f>
        <v>9684.5235857668922</v>
      </c>
      <c r="F108">
        <f>Portfolio!B$5*'CurrentFact-N10,20,40Unchanged'!E108</f>
        <v>52143.895533915893</v>
      </c>
      <c r="G108">
        <f>Portfolio!B$6*'CurrentFact-N10,20,40Unchanged'!F108</f>
        <v>3696.2945087936532</v>
      </c>
      <c r="H108">
        <f t="shared" si="5"/>
        <v>94448.506319965905</v>
      </c>
      <c r="I108">
        <f t="shared" si="4"/>
        <v>1.4215458959224634</v>
      </c>
    </row>
    <row r="109" spans="1:9">
      <c r="A109" s="1">
        <v>39409</v>
      </c>
      <c r="B109">
        <f>(3/(1+('CurrentFact-N10,20,40Unchanged'!C109)/100)+103/POWER(1+('CurrentFact-N10,20,40Unchanged'!D109)/100,2))*100</f>
        <v>9707.5857774288397</v>
      </c>
      <c r="C109">
        <f>(3/(1+('CurrentFact-N10,20,40Unchanged'!C109+'CurrentFact-N10,20,40Unchanged'!G109)/100)+103/POWER(1+('CurrentFact-N10,20,40Unchanged'!D109+'CurrentFact-N10,20,40Unchanged'!G109)/100,2))*100</f>
        <v>9614.9673582483465</v>
      </c>
      <c r="D109">
        <f>(3/(1+('CurrentFact-N10,20,40Unchanged'!C109+'CurrentFact-N10,20,40Unchanged'!H109)/100)+103/POWER(1+('CurrentFact-N10,20,40Unchanged'!D109+'CurrentFact-N10,20,40Unchanged'!H109)/100,2))*100</f>
        <v>9601.2395558122898</v>
      </c>
      <c r="E109">
        <f>(3/(1+('CurrentFact-N10,20,40Unchanged'!C109+'CurrentFact-N10,20,40Unchanged'!I109)/100)+103/POWER(1+('CurrentFact-N10,20,40Unchanged'!D109+'CurrentFact-N10,20,40Unchanged'!I109)/100,2))*100</f>
        <v>9685.5443789132642</v>
      </c>
      <c r="F109">
        <f>Portfolio!B$5*'CurrentFact-N10,20,40Unchanged'!E109</f>
        <v>52143.895533915893</v>
      </c>
      <c r="G109">
        <f>Portfolio!B$6*'CurrentFact-N10,20,40Unchanged'!F109</f>
        <v>3696.2945087936532</v>
      </c>
      <c r="H109">
        <f t="shared" si="5"/>
        <v>94449.527113112286</v>
      </c>
      <c r="I109">
        <f t="shared" si="4"/>
        <v>2.3330015167448437</v>
      </c>
    </row>
    <row r="110" spans="1:9">
      <c r="A110" s="1">
        <v>39412</v>
      </c>
      <c r="B110">
        <f>(3/(1+('CurrentFact-N10,20,40Unchanged'!C110)/100)+103/POWER(1+('CurrentFact-N10,20,40Unchanged'!D110)/100,2))*100</f>
        <v>9707.5857774288397</v>
      </c>
      <c r="C110">
        <f>(3/(1+('CurrentFact-N10,20,40Unchanged'!C110+'CurrentFact-N10,20,40Unchanged'!G110)/100)+103/POWER(1+('CurrentFact-N10,20,40Unchanged'!D110+'CurrentFact-N10,20,40Unchanged'!G110)/100,2))*100</f>
        <v>9614.9673582483465</v>
      </c>
      <c r="D110">
        <f>(3/(1+('CurrentFact-N10,20,40Unchanged'!C110+'CurrentFact-N10,20,40Unchanged'!H110)/100)+103/POWER(1+('CurrentFact-N10,20,40Unchanged'!D110+'CurrentFact-N10,20,40Unchanged'!H110)/100,2))*100</f>
        <v>9601.2395558122898</v>
      </c>
      <c r="E110">
        <f>(3/(1+('CurrentFact-N10,20,40Unchanged'!C110+'CurrentFact-N10,20,40Unchanged'!I110)/100)+103/POWER(1+('CurrentFact-N10,20,40Unchanged'!D110+'CurrentFact-N10,20,40Unchanged'!I110)/100,2))*100</f>
        <v>9685.3256241759664</v>
      </c>
      <c r="F110">
        <f>Portfolio!B$5*'CurrentFact-N10,20,40Unchanged'!E110</f>
        <v>52143.895533915893</v>
      </c>
      <c r="G110">
        <f>Portfolio!B$6*'CurrentFact-N10,20,40Unchanged'!F110</f>
        <v>3696.2945087936532</v>
      </c>
      <c r="H110">
        <f t="shared" si="5"/>
        <v>94449.308358374983</v>
      </c>
      <c r="I110">
        <f t="shared" si="4"/>
        <v>1.2030198836728232</v>
      </c>
    </row>
    <row r="111" spans="1:9">
      <c r="A111" s="1">
        <v>39413</v>
      </c>
      <c r="B111">
        <f>(3/(1+('CurrentFact-N10,20,40Unchanged'!C111)/100)+103/POWER(1+('CurrentFact-N10,20,40Unchanged'!D111)/100,2))*100</f>
        <v>9707.5857774288397</v>
      </c>
      <c r="C111">
        <f>(3/(1+('CurrentFact-N10,20,40Unchanged'!C111+'CurrentFact-N10,20,40Unchanged'!G111)/100)+103/POWER(1+('CurrentFact-N10,20,40Unchanged'!D111+'CurrentFact-N10,20,40Unchanged'!G111)/100,2))*100</f>
        <v>9614.9673582483465</v>
      </c>
      <c r="D111">
        <f>(3/(1+('CurrentFact-N10,20,40Unchanged'!C111+'CurrentFact-N10,20,40Unchanged'!H111)/100)+103/POWER(1+('CurrentFact-N10,20,40Unchanged'!D111+'CurrentFact-N10,20,40Unchanged'!H111)/100,2))*100</f>
        <v>9601.2395558122898</v>
      </c>
      <c r="E111">
        <f>(3/(1+('CurrentFact-N10,20,40Unchanged'!C111+'CurrentFact-N10,20,40Unchanged'!I111)/100)+103/POWER(1+('CurrentFact-N10,20,40Unchanged'!D111+'CurrentFact-N10,20,40Unchanged'!I111)/100,2))*100</f>
        <v>9684.7969973590189</v>
      </c>
      <c r="F111">
        <f>Portfolio!B$5*'CurrentFact-N10,20,40Unchanged'!E111</f>
        <v>52143.895533915893</v>
      </c>
      <c r="G111">
        <f>Portfolio!B$6*'CurrentFact-N10,20,40Unchanged'!F111</f>
        <v>3696.2945087936532</v>
      </c>
      <c r="H111">
        <f t="shared" si="5"/>
        <v>94448.779731558054</v>
      </c>
      <c r="I111">
        <f t="shared" si="4"/>
        <v>-3.6454719433095306E-2</v>
      </c>
    </row>
    <row r="112" spans="1:9">
      <c r="A112" s="1">
        <v>39414</v>
      </c>
      <c r="B112">
        <f>(3/(1+('CurrentFact-N10,20,40Unchanged'!C112)/100)+103/POWER(1+('CurrentFact-N10,20,40Unchanged'!D112)/100,2))*100</f>
        <v>9707.5857774288397</v>
      </c>
      <c r="C112">
        <f>(3/(1+('CurrentFact-N10,20,40Unchanged'!C112+'CurrentFact-N10,20,40Unchanged'!G112)/100)+103/POWER(1+('CurrentFact-N10,20,40Unchanged'!D112+'CurrentFact-N10,20,40Unchanged'!G112)/100,2))*100</f>
        <v>9614.9673582483465</v>
      </c>
      <c r="D112">
        <f>(3/(1+('CurrentFact-N10,20,40Unchanged'!C112+'CurrentFact-N10,20,40Unchanged'!H112)/100)+103/POWER(1+('CurrentFact-N10,20,40Unchanged'!D112+'CurrentFact-N10,20,40Unchanged'!H112)/100,2))*100</f>
        <v>9601.2395558122898</v>
      </c>
      <c r="E112">
        <f>(3/(1+('CurrentFact-N10,20,40Unchanged'!C112+'CurrentFact-N10,20,40Unchanged'!I112)/100)+103/POWER(1+('CurrentFact-N10,20,40Unchanged'!D112+'CurrentFact-N10,20,40Unchanged'!I112)/100,2))*100</f>
        <v>9685.1615626001931</v>
      </c>
      <c r="F112">
        <f>Portfolio!B$5*'CurrentFact-N10,20,40Unchanged'!E112</f>
        <v>52143.895533915893</v>
      </c>
      <c r="G112">
        <f>Portfolio!B$6*'CurrentFact-N10,20,40Unchanged'!F112</f>
        <v>3696.2945087936532</v>
      </c>
      <c r="H112">
        <f t="shared" si="5"/>
        <v>94449.144296799219</v>
      </c>
      <c r="I112">
        <f t="shared" si="4"/>
        <v>0.74733680552162696</v>
      </c>
    </row>
    <row r="113" spans="1:9">
      <c r="A113" s="1">
        <v>39415</v>
      </c>
      <c r="B113">
        <f>(3/(1+('CurrentFact-N10,20,40Unchanged'!C113)/100)+103/POWER(1+('CurrentFact-N10,20,40Unchanged'!D113)/100,2))*100</f>
        <v>9707.5857774288397</v>
      </c>
      <c r="C113">
        <f>(3/(1+('CurrentFact-N10,20,40Unchanged'!C113+'CurrentFact-N10,20,40Unchanged'!G113)/100)+103/POWER(1+('CurrentFact-N10,20,40Unchanged'!D113+'CurrentFact-N10,20,40Unchanged'!G113)/100,2))*100</f>
        <v>9614.9673582483465</v>
      </c>
      <c r="D113">
        <f>(3/(1+('CurrentFact-N10,20,40Unchanged'!C113+'CurrentFact-N10,20,40Unchanged'!H113)/100)+103/POWER(1+('CurrentFact-N10,20,40Unchanged'!D113+'CurrentFact-N10,20,40Unchanged'!H113)/100,2))*100</f>
        <v>9601.2395558122898</v>
      </c>
      <c r="E113">
        <f>(3/(1+('CurrentFact-N10,20,40Unchanged'!C113+'CurrentFact-N10,20,40Unchanged'!I113)/100)+103/POWER(1+('CurrentFact-N10,20,40Unchanged'!D113+'CurrentFact-N10,20,40Unchanged'!I113)/100,2))*100</f>
        <v>9682.6282609042173</v>
      </c>
      <c r="F113">
        <f>Portfolio!B$5*'CurrentFact-N10,20,40Unchanged'!E113</f>
        <v>52143.895533915893</v>
      </c>
      <c r="G113">
        <f>Portfolio!B$6*'CurrentFact-N10,20,40Unchanged'!F113</f>
        <v>3696.2945087936532</v>
      </c>
      <c r="H113">
        <f t="shared" si="5"/>
        <v>94446.610995103241</v>
      </c>
      <c r="I113">
        <f t="shared" si="4"/>
        <v>-1.3667643588996725</v>
      </c>
    </row>
    <row r="114" spans="1:9">
      <c r="A114" s="1">
        <v>39416</v>
      </c>
      <c r="B114">
        <f>(3/(1+('CurrentFact-N10,20,40Unchanged'!C114)/100)+103/POWER(1+('CurrentFact-N10,20,40Unchanged'!D114)/100,2))*100</f>
        <v>9707.5857774288397</v>
      </c>
      <c r="C114">
        <f>(3/(1+('CurrentFact-N10,20,40Unchanged'!C114+'CurrentFact-N10,20,40Unchanged'!G114)/100)+103/POWER(1+('CurrentFact-N10,20,40Unchanged'!D114+'CurrentFact-N10,20,40Unchanged'!G114)/100,2))*100</f>
        <v>9614.9673582483465</v>
      </c>
      <c r="D114">
        <f>(3/(1+('CurrentFact-N10,20,40Unchanged'!C114+'CurrentFact-N10,20,40Unchanged'!H114)/100)+103/POWER(1+('CurrentFact-N10,20,40Unchanged'!D114+'CurrentFact-N10,20,40Unchanged'!H114)/100,2))*100</f>
        <v>9601.2395558122898</v>
      </c>
      <c r="E114">
        <f>(3/(1+('CurrentFact-N10,20,40Unchanged'!C114+'CurrentFact-N10,20,40Unchanged'!I114)/100)+103/POWER(1+('CurrentFact-N10,20,40Unchanged'!D114+'CurrentFact-N10,20,40Unchanged'!I114)/100,2))*100</f>
        <v>9682.6647049953754</v>
      </c>
      <c r="F114">
        <f>Portfolio!B$5*'CurrentFact-N10,20,40Unchanged'!E114</f>
        <v>52143.895533915893</v>
      </c>
      <c r="G114">
        <f>Portfolio!B$6*'CurrentFact-N10,20,40Unchanged'!F114</f>
        <v>3696.2945087936532</v>
      </c>
      <c r="H114">
        <f t="shared" si="5"/>
        <v>94446.647439194407</v>
      </c>
      <c r="I114">
        <f t="shared" si="4"/>
        <v>-1.8588807714986615</v>
      </c>
    </row>
    <row r="115" spans="1:9">
      <c r="A115" s="1">
        <v>39419</v>
      </c>
      <c r="B115">
        <f>(3/(1+('CurrentFact-N10,20,40Unchanged'!C115)/100)+103/POWER(1+('CurrentFact-N10,20,40Unchanged'!D115)/100,2))*100</f>
        <v>9707.5857774288397</v>
      </c>
      <c r="C115">
        <f>(3/(1+('CurrentFact-N10,20,40Unchanged'!C115+'CurrentFact-N10,20,40Unchanged'!G115)/100)+103/POWER(1+('CurrentFact-N10,20,40Unchanged'!D115+'CurrentFact-N10,20,40Unchanged'!G115)/100,2))*100</f>
        <v>9614.9673582483465</v>
      </c>
      <c r="D115">
        <f>(3/(1+('CurrentFact-N10,20,40Unchanged'!C115+'CurrentFact-N10,20,40Unchanged'!H115)/100)+103/POWER(1+('CurrentFact-N10,20,40Unchanged'!D115+'CurrentFact-N10,20,40Unchanged'!H115)/100,2))*100</f>
        <v>9601.2395558122898</v>
      </c>
      <c r="E115">
        <f>(3/(1+('CurrentFact-N10,20,40Unchanged'!C115+'CurrentFact-N10,20,40Unchanged'!I115)/100)+103/POWER(1+('CurrentFact-N10,20,40Unchanged'!D115+'CurrentFact-N10,20,40Unchanged'!I115)/100,2))*100</f>
        <v>9683.7945488274545</v>
      </c>
      <c r="F115">
        <f>Portfolio!B$5*'CurrentFact-N10,20,40Unchanged'!E115</f>
        <v>52143.895533915893</v>
      </c>
      <c r="G115">
        <f>Portfolio!B$6*'CurrentFact-N10,20,40Unchanged'!F115</f>
        <v>3696.2945087936532</v>
      </c>
      <c r="H115">
        <f t="shared" si="5"/>
        <v>94447.777283026488</v>
      </c>
      <c r="I115">
        <f t="shared" si="4"/>
        <v>9.112420619931072E-2</v>
      </c>
    </row>
    <row r="116" spans="1:9">
      <c r="A116" s="1">
        <v>39420</v>
      </c>
      <c r="B116">
        <f>(3/(1+('CurrentFact-N10,20,40Unchanged'!C116)/100)+103/POWER(1+('CurrentFact-N10,20,40Unchanged'!D116)/100,2))*100</f>
        <v>9707.5857774288397</v>
      </c>
      <c r="C116">
        <f>(3/(1+('CurrentFact-N10,20,40Unchanged'!C116+'CurrentFact-N10,20,40Unchanged'!G116)/100)+103/POWER(1+('CurrentFact-N10,20,40Unchanged'!D116+'CurrentFact-N10,20,40Unchanged'!G116)/100,2))*100</f>
        <v>9614.9673582483465</v>
      </c>
      <c r="D116">
        <f>(3/(1+('CurrentFact-N10,20,40Unchanged'!C116+'CurrentFact-N10,20,40Unchanged'!H116)/100)+103/POWER(1+('CurrentFact-N10,20,40Unchanged'!D116+'CurrentFact-N10,20,40Unchanged'!H116)/100,2))*100</f>
        <v>9601.2395558122898</v>
      </c>
      <c r="E116">
        <f>(3/(1+('CurrentFact-N10,20,40Unchanged'!C116+'CurrentFact-N10,20,40Unchanged'!I116)/100)+103/POWER(1+('CurrentFact-N10,20,40Unchanged'!D116+'CurrentFact-N10,20,40Unchanged'!I116)/100,2))*100</f>
        <v>9683.8674487800654</v>
      </c>
      <c r="F116">
        <f>Portfolio!B$5*'CurrentFact-N10,20,40Unchanged'!E116</f>
        <v>52143.895533915893</v>
      </c>
      <c r="G116">
        <f>Portfolio!B$6*'CurrentFact-N10,20,40Unchanged'!F116</f>
        <v>3696.2945087936532</v>
      </c>
      <c r="H116">
        <f t="shared" si="5"/>
        <v>94447.850182979091</v>
      </c>
      <c r="I116">
        <f t="shared" si="4"/>
        <v>-0.25515551221906208</v>
      </c>
    </row>
    <row r="117" spans="1:9">
      <c r="A117" s="1">
        <v>39421</v>
      </c>
      <c r="B117">
        <f>(3/(1+('CurrentFact-N10,20,40Unchanged'!C117)/100)+103/POWER(1+('CurrentFact-N10,20,40Unchanged'!D117)/100,2))*100</f>
        <v>9707.5857774288397</v>
      </c>
      <c r="C117">
        <f>(3/(1+('CurrentFact-N10,20,40Unchanged'!C117+'CurrentFact-N10,20,40Unchanged'!G117)/100)+103/POWER(1+('CurrentFact-N10,20,40Unchanged'!D117+'CurrentFact-N10,20,40Unchanged'!G117)/100,2))*100</f>
        <v>9614.9673582483465</v>
      </c>
      <c r="D117">
        <f>(3/(1+('CurrentFact-N10,20,40Unchanged'!C117+'CurrentFact-N10,20,40Unchanged'!H117)/100)+103/POWER(1+('CurrentFact-N10,20,40Unchanged'!D117+'CurrentFact-N10,20,40Unchanged'!H117)/100,2))*100</f>
        <v>9601.2395558122898</v>
      </c>
      <c r="E117">
        <f>(3/(1+('CurrentFact-N10,20,40Unchanged'!C117+'CurrentFact-N10,20,40Unchanged'!I117)/100)+103/POWER(1+('CurrentFact-N10,20,40Unchanged'!D117+'CurrentFact-N10,20,40Unchanged'!I117)/100,2))*100</f>
        <v>9684.8881354165733</v>
      </c>
      <c r="F117">
        <f>Portfolio!B$5*'CurrentFact-N10,20,40Unchanged'!E117</f>
        <v>52143.895533915893</v>
      </c>
      <c r="G117">
        <f>Portfolio!B$6*'CurrentFact-N10,20,40Unchanged'!F117</f>
        <v>3696.2945087936532</v>
      </c>
      <c r="H117">
        <f t="shared" si="5"/>
        <v>94448.870869615595</v>
      </c>
      <c r="I117">
        <f t="shared" si="4"/>
        <v>0.9842372174753109</v>
      </c>
    </row>
    <row r="118" spans="1:9">
      <c r="A118" s="1">
        <v>39422</v>
      </c>
      <c r="B118">
        <f>(3/(1+('CurrentFact-N10,20,40Unchanged'!C118)/100)+103/POWER(1+('CurrentFact-N10,20,40Unchanged'!D118)/100,2))*100</f>
        <v>9707.5857774288397</v>
      </c>
      <c r="C118">
        <f>(3/(1+('CurrentFact-N10,20,40Unchanged'!C118+'CurrentFact-N10,20,40Unchanged'!G118)/100)+103/POWER(1+('CurrentFact-N10,20,40Unchanged'!D118+'CurrentFact-N10,20,40Unchanged'!G118)/100,2))*100</f>
        <v>9614.9673582483465</v>
      </c>
      <c r="D118">
        <f>(3/(1+('CurrentFact-N10,20,40Unchanged'!C118+'CurrentFact-N10,20,40Unchanged'!H118)/100)+103/POWER(1+('CurrentFact-N10,20,40Unchanged'!D118+'CurrentFact-N10,20,40Unchanged'!H118)/100,2))*100</f>
        <v>9601.2395558122898</v>
      </c>
      <c r="E118">
        <f>(3/(1+('CurrentFact-N10,20,40Unchanged'!C118+'CurrentFact-N10,20,40Unchanged'!I118)/100)+103/POWER(1+('CurrentFact-N10,20,40Unchanged'!D118+'CurrentFact-N10,20,40Unchanged'!I118)/100,2))*100</f>
        <v>9683.4847328690485</v>
      </c>
      <c r="F118">
        <f>Portfolio!B$5*'CurrentFact-N10,20,40Unchanged'!E118</f>
        <v>52143.895533915893</v>
      </c>
      <c r="G118">
        <f>Portfolio!B$6*'CurrentFact-N10,20,40Unchanged'!F118</f>
        <v>3696.2945087936532</v>
      </c>
      <c r="H118">
        <f t="shared" si="5"/>
        <v>94447.467467068083</v>
      </c>
      <c r="I118">
        <f t="shared" si="4"/>
        <v>-1.0388528978219256</v>
      </c>
    </row>
    <row r="119" spans="1:9">
      <c r="A119" s="1">
        <v>39423</v>
      </c>
      <c r="B119">
        <f>(3/(1+('CurrentFact-N10,20,40Unchanged'!C119)/100)+103/POWER(1+('CurrentFact-N10,20,40Unchanged'!D119)/100,2))*100</f>
        <v>9707.5857774288397</v>
      </c>
      <c r="C119">
        <f>(3/(1+('CurrentFact-N10,20,40Unchanged'!C119+'CurrentFact-N10,20,40Unchanged'!G119)/100)+103/POWER(1+('CurrentFact-N10,20,40Unchanged'!D119+'CurrentFact-N10,20,40Unchanged'!G119)/100,2))*100</f>
        <v>9614.9673582483465</v>
      </c>
      <c r="D119">
        <f>(3/(1+('CurrentFact-N10,20,40Unchanged'!C119+'CurrentFact-N10,20,40Unchanged'!H119)/100)+103/POWER(1+('CurrentFact-N10,20,40Unchanged'!D119+'CurrentFact-N10,20,40Unchanged'!H119)/100,2))*100</f>
        <v>9601.2395558122898</v>
      </c>
      <c r="E119">
        <f>(3/(1+('CurrentFact-N10,20,40Unchanged'!C119+'CurrentFact-N10,20,40Unchanged'!I119)/100)+103/POWER(1+('CurrentFact-N10,20,40Unchanged'!D119+'CurrentFact-N10,20,40Unchanged'!I119)/100,2))*100</f>
        <v>9681.954098335942</v>
      </c>
      <c r="F119">
        <f>Portfolio!B$5*'CurrentFact-N10,20,40Unchanged'!E119</f>
        <v>52143.895533915893</v>
      </c>
      <c r="G119">
        <f>Portfolio!B$6*'CurrentFact-N10,20,40Unchanged'!F119</f>
        <v>3696.2945087936532</v>
      </c>
      <c r="H119">
        <f t="shared" si="5"/>
        <v>94445.936832534964</v>
      </c>
      <c r="I119">
        <f t="shared" si="4"/>
        <v>-3.5902805773221189</v>
      </c>
    </row>
    <row r="120" spans="1:9">
      <c r="A120" s="1">
        <v>39426</v>
      </c>
      <c r="B120">
        <f>(3/(1+('CurrentFact-N10,20,40Unchanged'!C120)/100)+103/POWER(1+('CurrentFact-N10,20,40Unchanged'!D120)/100,2))*100</f>
        <v>9707.5857774288397</v>
      </c>
      <c r="C120">
        <f>(3/(1+('CurrentFact-N10,20,40Unchanged'!C120+'CurrentFact-N10,20,40Unchanged'!G120)/100)+103/POWER(1+('CurrentFact-N10,20,40Unchanged'!D120+'CurrentFact-N10,20,40Unchanged'!G120)/100,2))*100</f>
        <v>9614.9673582483465</v>
      </c>
      <c r="D120">
        <f>(3/(1+('CurrentFact-N10,20,40Unchanged'!C120+'CurrentFact-N10,20,40Unchanged'!H120)/100)+103/POWER(1+('CurrentFact-N10,20,40Unchanged'!D120+'CurrentFact-N10,20,40Unchanged'!H120)/100,2))*100</f>
        <v>9601.2395558122898</v>
      </c>
      <c r="E120">
        <f>(3/(1+('CurrentFact-N10,20,40Unchanged'!C120+'CurrentFact-N10,20,40Unchanged'!I120)/100)+103/POWER(1+('CurrentFact-N10,20,40Unchanged'!D120+'CurrentFact-N10,20,40Unchanged'!I120)/100,2))*100</f>
        <v>9681.7901232696204</v>
      </c>
      <c r="F120">
        <f>Portfolio!B$5*'CurrentFact-N10,20,40Unchanged'!E120</f>
        <v>52143.895533915893</v>
      </c>
      <c r="G120">
        <f>Portfolio!B$6*'CurrentFact-N10,20,40Unchanged'!F120</f>
        <v>3696.2945087936532</v>
      </c>
      <c r="H120">
        <f t="shared" si="5"/>
        <v>94445.772857468633</v>
      </c>
      <c r="I120">
        <f t="shared" si="4"/>
        <v>-3.5355009063496254</v>
      </c>
    </row>
    <row r="121" spans="1:9">
      <c r="A121" s="1">
        <v>39427</v>
      </c>
      <c r="B121">
        <f>(3/(1+('CurrentFact-N10,20,40Unchanged'!C121)/100)+103/POWER(1+('CurrentFact-N10,20,40Unchanged'!D121)/100,2))*100</f>
        <v>9707.5857774288397</v>
      </c>
      <c r="C121">
        <f>(3/(1+('CurrentFact-N10,20,40Unchanged'!C121+'CurrentFact-N10,20,40Unchanged'!G121)/100)+103/POWER(1+('CurrentFact-N10,20,40Unchanged'!D121+'CurrentFact-N10,20,40Unchanged'!G121)/100,2))*100</f>
        <v>9614.9673582483465</v>
      </c>
      <c r="D121">
        <f>(3/(1+('CurrentFact-N10,20,40Unchanged'!C121+'CurrentFact-N10,20,40Unchanged'!H121)/100)+103/POWER(1+('CurrentFact-N10,20,40Unchanged'!D121+'CurrentFact-N10,20,40Unchanged'!H121)/100,2))*100</f>
        <v>9601.2395558122898</v>
      </c>
      <c r="E121">
        <f>(3/(1+('CurrentFact-N10,20,40Unchanged'!C121+'CurrentFact-N10,20,40Unchanged'!I121)/100)+103/POWER(1+('CurrentFact-N10,20,40Unchanged'!D121+'CurrentFact-N10,20,40Unchanged'!I121)/100,2))*100</f>
        <v>9683.2113773965266</v>
      </c>
      <c r="F121">
        <f>Portfolio!B$5*'CurrentFact-N10,20,40Unchanged'!E121</f>
        <v>52143.895533915893</v>
      </c>
      <c r="G121">
        <f>Portfolio!B$6*'CurrentFact-N10,20,40Unchanged'!F121</f>
        <v>3696.2945087936532</v>
      </c>
      <c r="H121">
        <f t="shared" si="5"/>
        <v>94447.194111595541</v>
      </c>
      <c r="I121">
        <f t="shared" si="4"/>
        <v>-1.5856199625122827</v>
      </c>
    </row>
    <row r="122" spans="1:9">
      <c r="A122" s="1">
        <v>39428</v>
      </c>
      <c r="B122">
        <f>(3/(1+('CurrentFact-N10,20,40Unchanged'!C122)/100)+103/POWER(1+('CurrentFact-N10,20,40Unchanged'!D122)/100,2))*100</f>
        <v>9707.5857774288397</v>
      </c>
      <c r="C122">
        <f>(3/(1+('CurrentFact-N10,20,40Unchanged'!C122+'CurrentFact-N10,20,40Unchanged'!G122)/100)+103/POWER(1+('CurrentFact-N10,20,40Unchanged'!D122+'CurrentFact-N10,20,40Unchanged'!G122)/100,2))*100</f>
        <v>9614.9673582483465</v>
      </c>
      <c r="D122">
        <f>(3/(1+('CurrentFact-N10,20,40Unchanged'!C122+'CurrentFact-N10,20,40Unchanged'!H122)/100)+103/POWER(1+('CurrentFact-N10,20,40Unchanged'!D122+'CurrentFact-N10,20,40Unchanged'!H122)/100,2))*100</f>
        <v>9601.2395558122898</v>
      </c>
      <c r="E122">
        <f>(3/(1+('CurrentFact-N10,20,40Unchanged'!C122+'CurrentFact-N10,20,40Unchanged'!I122)/100)+103/POWER(1+('CurrentFact-N10,20,40Unchanged'!D122+'CurrentFact-N10,20,40Unchanged'!I122)/100,2))*100</f>
        <v>9683.7034246212697</v>
      </c>
      <c r="F122">
        <f>Portfolio!B$5*'CurrentFact-N10,20,40Unchanged'!E122</f>
        <v>52143.895533915893</v>
      </c>
      <c r="G122">
        <f>Portfolio!B$6*'CurrentFact-N10,20,40Unchanged'!F122</f>
        <v>3696.2945087936532</v>
      </c>
      <c r="H122">
        <f t="shared" si="5"/>
        <v>94447.686158820288</v>
      </c>
      <c r="I122">
        <f t="shared" si="4"/>
        <v>-1.4581379789306084</v>
      </c>
    </row>
    <row r="123" spans="1:9">
      <c r="A123" s="1">
        <v>39429</v>
      </c>
      <c r="B123">
        <f>(3/(1+('CurrentFact-N10,20,40Unchanged'!C123)/100)+103/POWER(1+('CurrentFact-N10,20,40Unchanged'!D123)/100,2))*100</f>
        <v>9707.5857774288397</v>
      </c>
      <c r="C123">
        <f>(3/(1+('CurrentFact-N10,20,40Unchanged'!C123+'CurrentFact-N10,20,40Unchanged'!G123)/100)+103/POWER(1+('CurrentFact-N10,20,40Unchanged'!D123+'CurrentFact-N10,20,40Unchanged'!G123)/100,2))*100</f>
        <v>9614.9673582483465</v>
      </c>
      <c r="D123">
        <f>(3/(1+('CurrentFact-N10,20,40Unchanged'!C123+'CurrentFact-N10,20,40Unchanged'!H123)/100)+103/POWER(1+('CurrentFact-N10,20,40Unchanged'!D123+'CurrentFact-N10,20,40Unchanged'!H123)/100,2))*100</f>
        <v>9601.2395558122898</v>
      </c>
      <c r="E123">
        <f>(3/(1+('CurrentFact-N10,20,40Unchanged'!C123+'CurrentFact-N10,20,40Unchanged'!I123)/100)+103/POWER(1+('CurrentFact-N10,20,40Unchanged'!D123+'CurrentFact-N10,20,40Unchanged'!I123)/100,2))*100</f>
        <v>9684.8699087441364</v>
      </c>
      <c r="F123">
        <f>Portfolio!B$5*'CurrentFact-N10,20,40Unchanged'!E123</f>
        <v>52143.895533915893</v>
      </c>
      <c r="G123">
        <f>Portfolio!B$6*'CurrentFact-N10,20,40Unchanged'!F123</f>
        <v>3696.2945087936532</v>
      </c>
      <c r="H123">
        <f t="shared" si="5"/>
        <v>94448.852642943151</v>
      </c>
      <c r="I123">
        <f t="shared" si="4"/>
        <v>2.2416478399100015</v>
      </c>
    </row>
    <row r="124" spans="1:9">
      <c r="A124" s="1">
        <v>39430</v>
      </c>
      <c r="B124">
        <f>(3/(1+('CurrentFact-N10,20,40Unchanged'!C124)/100)+103/POWER(1+('CurrentFact-N10,20,40Unchanged'!D124)/100,2))*100</f>
        <v>9707.5857774288397</v>
      </c>
      <c r="C124">
        <f>(3/(1+('CurrentFact-N10,20,40Unchanged'!C124+'CurrentFact-N10,20,40Unchanged'!G124)/100)+103/POWER(1+('CurrentFact-N10,20,40Unchanged'!D124+'CurrentFact-N10,20,40Unchanged'!G124)/100,2))*100</f>
        <v>9614.9673582483465</v>
      </c>
      <c r="D124">
        <f>(3/(1+('CurrentFact-N10,20,40Unchanged'!C124+'CurrentFact-N10,20,40Unchanged'!H124)/100)+103/POWER(1+('CurrentFact-N10,20,40Unchanged'!D124+'CurrentFact-N10,20,40Unchanged'!H124)/100,2))*100</f>
        <v>9601.2395558122898</v>
      </c>
      <c r="E124">
        <f>(3/(1+('CurrentFact-N10,20,40Unchanged'!C124+'CurrentFact-N10,20,40Unchanged'!I124)/100)+103/POWER(1+('CurrentFact-N10,20,40Unchanged'!D124+'CurrentFact-N10,20,40Unchanged'!I124)/100,2))*100</f>
        <v>9684.3959987351082</v>
      </c>
      <c r="F124">
        <f>Portfolio!B$5*'CurrentFact-N10,20,40Unchanged'!E124</f>
        <v>52143.895533915893</v>
      </c>
      <c r="G124">
        <f>Portfolio!B$6*'CurrentFact-N10,20,40Unchanged'!F124</f>
        <v>3696.2945087936532</v>
      </c>
      <c r="H124">
        <f t="shared" si="5"/>
        <v>94448.378732934128</v>
      </c>
      <c r="I124">
        <f t="shared" si="4"/>
        <v>1.7312937397218775</v>
      </c>
    </row>
    <row r="125" spans="1:9">
      <c r="A125" s="1">
        <v>39433</v>
      </c>
      <c r="B125">
        <f>(3/(1+('CurrentFact-N10,20,40Unchanged'!C125)/100)+103/POWER(1+('CurrentFact-N10,20,40Unchanged'!D125)/100,2))*100</f>
        <v>9707.5857774288397</v>
      </c>
      <c r="C125">
        <f>(3/(1+('CurrentFact-N10,20,40Unchanged'!C125+'CurrentFact-N10,20,40Unchanged'!G125)/100)+103/POWER(1+('CurrentFact-N10,20,40Unchanged'!D125+'CurrentFact-N10,20,40Unchanged'!G125)/100,2))*100</f>
        <v>9614.9673582483465</v>
      </c>
      <c r="D125">
        <f>(3/(1+('CurrentFact-N10,20,40Unchanged'!C125+'CurrentFact-N10,20,40Unchanged'!H125)/100)+103/POWER(1+('CurrentFact-N10,20,40Unchanged'!D125+'CurrentFact-N10,20,40Unchanged'!H125)/100,2))*100</f>
        <v>9601.2395558122898</v>
      </c>
      <c r="E125">
        <f>(3/(1+('CurrentFact-N10,20,40Unchanged'!C125+'CurrentFact-N10,20,40Unchanged'!I125)/100)+103/POWER(1+('CurrentFact-N10,20,40Unchanged'!D125+'CurrentFact-N10,20,40Unchanged'!I125)/100,2))*100</f>
        <v>9682.3185014697392</v>
      </c>
      <c r="F125">
        <f>Portfolio!B$5*'CurrentFact-N10,20,40Unchanged'!E125</f>
        <v>52143.895533915893</v>
      </c>
      <c r="G125">
        <f>Portfolio!B$6*'CurrentFact-N10,20,40Unchanged'!F125</f>
        <v>3696.2945087936532</v>
      </c>
      <c r="H125">
        <f t="shared" si="5"/>
        <v>94446.301235668769</v>
      </c>
      <c r="I125">
        <f t="shared" si="4"/>
        <v>-1.4760473577189259</v>
      </c>
    </row>
    <row r="126" spans="1:9">
      <c r="A126" s="1">
        <v>39434</v>
      </c>
      <c r="B126">
        <f>(3/(1+('CurrentFact-N10,20,40Unchanged'!C126)/100)+103/POWER(1+('CurrentFact-N10,20,40Unchanged'!D126)/100,2))*100</f>
        <v>9707.5857774288397</v>
      </c>
      <c r="C126">
        <f>(3/(1+('CurrentFact-N10,20,40Unchanged'!C126+'CurrentFact-N10,20,40Unchanged'!G126)/100)+103/POWER(1+('CurrentFact-N10,20,40Unchanged'!D126+'CurrentFact-N10,20,40Unchanged'!G126)/100,2))*100</f>
        <v>9614.9673582483465</v>
      </c>
      <c r="D126">
        <f>(3/(1+('CurrentFact-N10,20,40Unchanged'!C126+'CurrentFact-N10,20,40Unchanged'!H126)/100)+103/POWER(1+('CurrentFact-N10,20,40Unchanged'!D126+'CurrentFact-N10,20,40Unchanged'!H126)/100,2))*100</f>
        <v>9601.2395558122898</v>
      </c>
      <c r="E126">
        <f>(3/(1+('CurrentFact-N10,20,40Unchanged'!C126+'CurrentFact-N10,20,40Unchanged'!I126)/100)+103/POWER(1+('CurrentFact-N10,20,40Unchanged'!D126+'CurrentFact-N10,20,40Unchanged'!I126)/100,2))*100</f>
        <v>9680.5877703046626</v>
      </c>
      <c r="F126">
        <f>Portfolio!B$5*'CurrentFact-N10,20,40Unchanged'!E126</f>
        <v>52143.895533915893</v>
      </c>
      <c r="G126">
        <f>Portfolio!B$6*'CurrentFact-N10,20,40Unchanged'!F126</f>
        <v>3696.2945087936532</v>
      </c>
      <c r="H126">
        <f t="shared" si="5"/>
        <v>94444.570504503688</v>
      </c>
      <c r="I126">
        <f t="shared" si="4"/>
        <v>-3.2796784754027613</v>
      </c>
    </row>
    <row r="127" spans="1:9">
      <c r="A127" s="1">
        <v>39435</v>
      </c>
      <c r="B127">
        <f>(3/(1+('CurrentFact-N10,20,40Unchanged'!C127)/100)+103/POWER(1+('CurrentFact-N10,20,40Unchanged'!D127)/100,2))*100</f>
        <v>9707.5857774288397</v>
      </c>
      <c r="C127">
        <f>(3/(1+('CurrentFact-N10,20,40Unchanged'!C127+'CurrentFact-N10,20,40Unchanged'!G127)/100)+103/POWER(1+('CurrentFact-N10,20,40Unchanged'!D127+'CurrentFact-N10,20,40Unchanged'!G127)/100,2))*100</f>
        <v>9614.9673582483465</v>
      </c>
      <c r="D127">
        <f>(3/(1+('CurrentFact-N10,20,40Unchanged'!C127+'CurrentFact-N10,20,40Unchanged'!H127)/100)+103/POWER(1+('CurrentFact-N10,20,40Unchanged'!D127+'CurrentFact-N10,20,40Unchanged'!H127)/100,2))*100</f>
        <v>9601.2395558122898</v>
      </c>
      <c r="E127">
        <f>(3/(1+('CurrentFact-N10,20,40Unchanged'!C127+'CurrentFact-N10,20,40Unchanged'!I127)/100)+103/POWER(1+('CurrentFact-N10,20,40Unchanged'!D127+'CurrentFact-N10,20,40Unchanged'!I127)/100,2))*100</f>
        <v>9681.7901232696204</v>
      </c>
      <c r="F127">
        <f>Portfolio!B$5*'CurrentFact-N10,20,40Unchanged'!E127</f>
        <v>52143.895533915893</v>
      </c>
      <c r="G127">
        <f>Portfolio!B$6*'CurrentFact-N10,20,40Unchanged'!F127</f>
        <v>3696.2945087936532</v>
      </c>
      <c r="H127">
        <f t="shared" si="5"/>
        <v>94445.772857468633</v>
      </c>
      <c r="I127">
        <f t="shared" si="4"/>
        <v>-3.0980121469619917</v>
      </c>
    </row>
    <row r="128" spans="1:9">
      <c r="A128" s="1">
        <v>39436</v>
      </c>
      <c r="B128">
        <f>(3/(1+('CurrentFact-N10,20,40Unchanged'!C128)/100)+103/POWER(1+('CurrentFact-N10,20,40Unchanged'!D128)/100,2))*100</f>
        <v>9707.5857774288397</v>
      </c>
      <c r="C128">
        <f>(3/(1+('CurrentFact-N10,20,40Unchanged'!C128+'CurrentFact-N10,20,40Unchanged'!G128)/100)+103/POWER(1+('CurrentFact-N10,20,40Unchanged'!D128+'CurrentFact-N10,20,40Unchanged'!G128)/100,2))*100</f>
        <v>9614.9673582483465</v>
      </c>
      <c r="D128">
        <f>(3/(1+('CurrentFact-N10,20,40Unchanged'!C128+'CurrentFact-N10,20,40Unchanged'!H128)/100)+103/POWER(1+('CurrentFact-N10,20,40Unchanged'!D128+'CurrentFact-N10,20,40Unchanged'!H128)/100,2))*100</f>
        <v>9601.2395558122898</v>
      </c>
      <c r="E128">
        <f>(3/(1+('CurrentFact-N10,20,40Unchanged'!C128+'CurrentFact-N10,20,40Unchanged'!I128)/100)+103/POWER(1+('CurrentFact-N10,20,40Unchanged'!D128+'CurrentFact-N10,20,40Unchanged'!I128)/100,2))*100</f>
        <v>9684.6694031322149</v>
      </c>
      <c r="F128">
        <f>Portfolio!B$5*'CurrentFact-N10,20,40Unchanged'!E128</f>
        <v>52143.895533915893</v>
      </c>
      <c r="G128">
        <f>Portfolio!B$6*'CurrentFact-N10,20,40Unchanged'!F128</f>
        <v>3696.2945087936532</v>
      </c>
      <c r="H128">
        <f t="shared" si="5"/>
        <v>94448.652137331228</v>
      </c>
      <c r="I128">
        <f t="shared" si="4"/>
        <v>1.1846702631446533</v>
      </c>
    </row>
    <row r="129" spans="1:9">
      <c r="A129" s="1">
        <v>39437</v>
      </c>
      <c r="B129">
        <f>(3/(1+('CurrentFact-N10,20,40Unchanged'!C129)/100)+103/POWER(1+('CurrentFact-N10,20,40Unchanged'!D129)/100,2))*100</f>
        <v>9707.5857774288397</v>
      </c>
      <c r="C129">
        <f>(3/(1+('CurrentFact-N10,20,40Unchanged'!C129+'CurrentFact-N10,20,40Unchanged'!G129)/100)+103/POWER(1+('CurrentFact-N10,20,40Unchanged'!D129+'CurrentFact-N10,20,40Unchanged'!G129)/100,2))*100</f>
        <v>9614.9673582483465</v>
      </c>
      <c r="D129">
        <f>(3/(1+('CurrentFact-N10,20,40Unchanged'!C129+'CurrentFact-N10,20,40Unchanged'!H129)/100)+103/POWER(1+('CurrentFact-N10,20,40Unchanged'!D129+'CurrentFact-N10,20,40Unchanged'!H129)/100,2))*100</f>
        <v>9601.2395558122898</v>
      </c>
      <c r="E129">
        <f>(3/(1+('CurrentFact-N10,20,40Unchanged'!C129+'CurrentFact-N10,20,40Unchanged'!I129)/100)+103/POWER(1+('CurrentFact-N10,20,40Unchanged'!D129+'CurrentFact-N10,20,40Unchanged'!I129)/100,2))*100</f>
        <v>9683.594076940919</v>
      </c>
      <c r="F129">
        <f>Portfolio!B$5*'CurrentFact-N10,20,40Unchanged'!E129</f>
        <v>52143.895533915893</v>
      </c>
      <c r="G129">
        <f>Portfolio!B$6*'CurrentFact-N10,20,40Unchanged'!F129</f>
        <v>3696.2945087936532</v>
      </c>
      <c r="H129">
        <f t="shared" si="5"/>
        <v>94447.576811139937</v>
      </c>
      <c r="I129">
        <f t="shared" si="4"/>
        <v>1.6399786049732938</v>
      </c>
    </row>
    <row r="130" spans="1:9">
      <c r="A130" s="1">
        <v>39440</v>
      </c>
      <c r="B130">
        <f>(3/(1+('CurrentFact-N10,20,40Unchanged'!C130)/100)+103/POWER(1+('CurrentFact-N10,20,40Unchanged'!D130)/100,2))*100</f>
        <v>9707.5857774288397</v>
      </c>
      <c r="C130">
        <f>(3/(1+('CurrentFact-N10,20,40Unchanged'!C130+'CurrentFact-N10,20,40Unchanged'!G130)/100)+103/POWER(1+('CurrentFact-N10,20,40Unchanged'!D130+'CurrentFact-N10,20,40Unchanged'!G130)/100,2))*100</f>
        <v>9614.9673582483465</v>
      </c>
      <c r="D130">
        <f>(3/(1+('CurrentFact-N10,20,40Unchanged'!C130+'CurrentFact-N10,20,40Unchanged'!H130)/100)+103/POWER(1+('CurrentFact-N10,20,40Unchanged'!D130+'CurrentFact-N10,20,40Unchanged'!H130)/100,2))*100</f>
        <v>9601.2395558122898</v>
      </c>
      <c r="E130">
        <f>(3/(1+('CurrentFact-N10,20,40Unchanged'!C130+'CurrentFact-N10,20,40Unchanged'!I130)/100)+103/POWER(1+('CurrentFact-N10,20,40Unchanged'!D130+'CurrentFact-N10,20,40Unchanged'!I130)/100,2))*100</f>
        <v>9683.0291486470051</v>
      </c>
      <c r="F130">
        <f>Portfolio!B$5*'CurrentFact-N10,20,40Unchanged'!E130</f>
        <v>52143.895533915893</v>
      </c>
      <c r="G130">
        <f>Portfolio!B$6*'CurrentFact-N10,20,40Unchanged'!F130</f>
        <v>3696.2945087936532</v>
      </c>
      <c r="H130">
        <f t="shared" si="5"/>
        <v>94447.01188284604</v>
      </c>
      <c r="I130">
        <f t="shared" si="4"/>
        <v>1.2390253774065059</v>
      </c>
    </row>
    <row r="131" spans="1:9">
      <c r="A131" s="1">
        <v>39441</v>
      </c>
      <c r="B131">
        <f>(3/(1+('CurrentFact-N10,20,40Unchanged'!C131)/100)+103/POWER(1+('CurrentFact-N10,20,40Unchanged'!D131)/100,2))*100</f>
        <v>9707.5857774288397</v>
      </c>
      <c r="C131">
        <f>(3/(1+('CurrentFact-N10,20,40Unchanged'!C131+'CurrentFact-N10,20,40Unchanged'!G131)/100)+103/POWER(1+('CurrentFact-N10,20,40Unchanged'!D131+'CurrentFact-N10,20,40Unchanged'!G131)/100,2))*100</f>
        <v>9614.9673582483465</v>
      </c>
      <c r="D131">
        <f>(3/(1+('CurrentFact-N10,20,40Unchanged'!C131+'CurrentFact-N10,20,40Unchanged'!H131)/100)+103/POWER(1+('CurrentFact-N10,20,40Unchanged'!D131+'CurrentFact-N10,20,40Unchanged'!H131)/100,2))*100</f>
        <v>9601.2395558122898</v>
      </c>
      <c r="E131">
        <f>(3/(1+('CurrentFact-N10,20,40Unchanged'!C131+'CurrentFact-N10,20,40Unchanged'!I131)/100)+103/POWER(1+('CurrentFact-N10,20,40Unchanged'!D131+'CurrentFact-N10,20,40Unchanged'!I131)/100,2))*100</f>
        <v>9683.3753889296495</v>
      </c>
      <c r="F131">
        <f>Portfolio!B$5*'CurrentFact-N10,20,40Unchanged'!E131</f>
        <v>52143.895533915893</v>
      </c>
      <c r="G131">
        <f>Portfolio!B$6*'CurrentFact-N10,20,40Unchanged'!F131</f>
        <v>3696.2945087936532</v>
      </c>
      <c r="H131">
        <f t="shared" ref="H131:H162" si="6">SUM(B131:G131)</f>
        <v>94447.358123128681</v>
      </c>
      <c r="I131">
        <f t="shared" si="4"/>
        <v>0.16401153313927352</v>
      </c>
    </row>
    <row r="132" spans="1:9">
      <c r="A132" s="1">
        <v>39442</v>
      </c>
      <c r="B132">
        <f>(3/(1+('CurrentFact-N10,20,40Unchanged'!C132)/100)+103/POWER(1+('CurrentFact-N10,20,40Unchanged'!D132)/100,2))*100</f>
        <v>9707.5857774288397</v>
      </c>
      <c r="C132">
        <f>(3/(1+('CurrentFact-N10,20,40Unchanged'!C132+'CurrentFact-N10,20,40Unchanged'!G132)/100)+103/POWER(1+('CurrentFact-N10,20,40Unchanged'!D132+'CurrentFact-N10,20,40Unchanged'!G132)/100,2))*100</f>
        <v>9614.9673582483465</v>
      </c>
      <c r="D132">
        <f>(3/(1+('CurrentFact-N10,20,40Unchanged'!C132+'CurrentFact-N10,20,40Unchanged'!H132)/100)+103/POWER(1+('CurrentFact-N10,20,40Unchanged'!D132+'CurrentFact-N10,20,40Unchanged'!H132)/100,2))*100</f>
        <v>9601.2395558122898</v>
      </c>
      <c r="E132">
        <f>(3/(1+('CurrentFact-N10,20,40Unchanged'!C132+'CurrentFact-N10,20,40Unchanged'!I132)/100)+103/POWER(1+('CurrentFact-N10,20,40Unchanged'!D132+'CurrentFact-N10,20,40Unchanged'!I132)/100,2))*100</f>
        <v>9682.755812656851</v>
      </c>
      <c r="F132">
        <f>Portfolio!B$5*'CurrentFact-N10,20,40Unchanged'!E132</f>
        <v>52143.895533915893</v>
      </c>
      <c r="G132">
        <f>Portfolio!B$6*'CurrentFact-N10,20,40Unchanged'!F132</f>
        <v>3696.2945087936532</v>
      </c>
      <c r="H132">
        <f t="shared" si="6"/>
        <v>94446.738546855864</v>
      </c>
      <c r="I132">
        <f t="shared" si="4"/>
        <v>-0.94761196442414075</v>
      </c>
    </row>
    <row r="133" spans="1:9">
      <c r="A133" s="1">
        <v>39443</v>
      </c>
      <c r="B133">
        <f>(3/(1+('CurrentFact-N10,20,40Unchanged'!C133)/100)+103/POWER(1+('CurrentFact-N10,20,40Unchanged'!D133)/100,2))*100</f>
        <v>9707.5857774288397</v>
      </c>
      <c r="C133">
        <f>(3/(1+('CurrentFact-N10,20,40Unchanged'!C133+'CurrentFact-N10,20,40Unchanged'!G133)/100)+103/POWER(1+('CurrentFact-N10,20,40Unchanged'!D133+'CurrentFact-N10,20,40Unchanged'!G133)/100,2))*100</f>
        <v>9614.9673582483465</v>
      </c>
      <c r="D133">
        <f>(3/(1+('CurrentFact-N10,20,40Unchanged'!C133+'CurrentFact-N10,20,40Unchanged'!H133)/100)+103/POWER(1+('CurrentFact-N10,20,40Unchanged'!D133+'CurrentFact-N10,20,40Unchanged'!H133)/100,2))*100</f>
        <v>9601.2395558122898</v>
      </c>
      <c r="E133">
        <f>(3/(1+('CurrentFact-N10,20,40Unchanged'!C133+'CurrentFact-N10,20,40Unchanged'!I133)/100)+103/POWER(1+('CurrentFact-N10,20,40Unchanged'!D133+'CurrentFact-N10,20,40Unchanged'!I133)/100,2))*100</f>
        <v>9682.2456191808233</v>
      </c>
      <c r="F133">
        <f>Portfolio!B$5*'CurrentFact-N10,20,40Unchanged'!E133</f>
        <v>52143.895533915893</v>
      </c>
      <c r="G133">
        <f>Portfolio!B$6*'CurrentFact-N10,20,40Unchanged'!F133</f>
        <v>3696.2945087936532</v>
      </c>
      <c r="H133">
        <f t="shared" si="6"/>
        <v>94446.228353379847</v>
      </c>
      <c r="I133">
        <f t="shared" si="4"/>
        <v>-2.6242895633040462</v>
      </c>
    </row>
    <row r="134" spans="1:9">
      <c r="A134" s="1">
        <v>39444</v>
      </c>
      <c r="B134">
        <f>(3/(1+('CurrentFact-N10,20,40Unchanged'!C134)/100)+103/POWER(1+('CurrentFact-N10,20,40Unchanged'!D134)/100,2))*100</f>
        <v>9707.5857774288397</v>
      </c>
      <c r="C134">
        <f>(3/(1+('CurrentFact-N10,20,40Unchanged'!C134+'CurrentFact-N10,20,40Unchanged'!G134)/100)+103/POWER(1+('CurrentFact-N10,20,40Unchanged'!D134+'CurrentFact-N10,20,40Unchanged'!G134)/100,2))*100</f>
        <v>9614.9673582483465</v>
      </c>
      <c r="D134">
        <f>(3/(1+('CurrentFact-N10,20,40Unchanged'!C134+'CurrentFact-N10,20,40Unchanged'!H134)/100)+103/POWER(1+('CurrentFact-N10,20,40Unchanged'!D134+'CurrentFact-N10,20,40Unchanged'!H134)/100,2))*100</f>
        <v>9601.2395558122898</v>
      </c>
      <c r="E134">
        <f>(3/(1+('CurrentFact-N10,20,40Unchanged'!C134+'CurrentFact-N10,20,40Unchanged'!I134)/100)+103/POWER(1+('CurrentFact-N10,20,40Unchanged'!D134+'CurrentFact-N10,20,40Unchanged'!I134)/100,2))*100</f>
        <v>9682.3002803851778</v>
      </c>
      <c r="F134">
        <f>Portfolio!B$5*'CurrentFact-N10,20,40Unchanged'!E134</f>
        <v>52143.895533915893</v>
      </c>
      <c r="G134">
        <f>Portfolio!B$6*'CurrentFact-N10,20,40Unchanged'!F134</f>
        <v>3696.2945087936532</v>
      </c>
      <c r="H134">
        <f t="shared" si="6"/>
        <v>94446.283014584202</v>
      </c>
      <c r="I134">
        <f t="shared" si="4"/>
        <v>-2.0957183499267558</v>
      </c>
    </row>
    <row r="135" spans="1:9">
      <c r="A135" s="1">
        <v>39447</v>
      </c>
      <c r="B135">
        <f>(3/(1+('CurrentFact-N10,20,40Unchanged'!C135)/100)+103/POWER(1+('CurrentFact-N10,20,40Unchanged'!D135)/100,2))*100</f>
        <v>9707.5857774288397</v>
      </c>
      <c r="C135">
        <f>(3/(1+('CurrentFact-N10,20,40Unchanged'!C135+'CurrentFact-N10,20,40Unchanged'!G135)/100)+103/POWER(1+('CurrentFact-N10,20,40Unchanged'!D135+'CurrentFact-N10,20,40Unchanged'!G135)/100,2))*100</f>
        <v>9614.9673582483465</v>
      </c>
      <c r="D135">
        <f>(3/(1+('CurrentFact-N10,20,40Unchanged'!C135+'CurrentFact-N10,20,40Unchanged'!H135)/100)+103/POWER(1+('CurrentFact-N10,20,40Unchanged'!D135+'CurrentFact-N10,20,40Unchanged'!H135)/100,2))*100</f>
        <v>9601.2395558122898</v>
      </c>
      <c r="E135">
        <f>(3/(1+('CurrentFact-N10,20,40Unchanged'!C135+'CurrentFact-N10,20,40Unchanged'!I135)/100)+103/POWER(1+('CurrentFact-N10,20,40Unchanged'!D135+'CurrentFact-N10,20,40Unchanged'!I135)/100,2))*100</f>
        <v>9682.6282609042173</v>
      </c>
      <c r="F135">
        <f>Portfolio!B$5*'CurrentFact-N10,20,40Unchanged'!E135</f>
        <v>52143.895533915893</v>
      </c>
      <c r="G135">
        <f>Portfolio!B$6*'CurrentFact-N10,20,40Unchanged'!F135</f>
        <v>3696.2945087936532</v>
      </c>
      <c r="H135">
        <f t="shared" si="6"/>
        <v>94446.610995103241</v>
      </c>
      <c r="I135">
        <f t="shared" si="4"/>
        <v>0.30975943447265308</v>
      </c>
    </row>
    <row r="136" spans="1:9">
      <c r="A136" s="1">
        <v>39448</v>
      </c>
      <c r="B136">
        <f>(3/(1+('CurrentFact-N10,20,40Unchanged'!C136)/100)+103/POWER(1+('CurrentFact-N10,20,40Unchanged'!D136)/100,2))*100</f>
        <v>9707.5857774288397</v>
      </c>
      <c r="C136">
        <f>(3/(1+('CurrentFact-N10,20,40Unchanged'!C136+'CurrentFact-N10,20,40Unchanged'!G136)/100)+103/POWER(1+('CurrentFact-N10,20,40Unchanged'!D136+'CurrentFact-N10,20,40Unchanged'!G136)/100,2))*100</f>
        <v>9614.9673582483465</v>
      </c>
      <c r="D136">
        <f>(3/(1+('CurrentFact-N10,20,40Unchanged'!C136+'CurrentFact-N10,20,40Unchanged'!H136)/100)+103/POWER(1+('CurrentFact-N10,20,40Unchanged'!D136+'CurrentFact-N10,20,40Unchanged'!H136)/100,2))*100</f>
        <v>9601.2395558122898</v>
      </c>
      <c r="E136">
        <f>(3/(1+('CurrentFact-N10,20,40Unchanged'!C136+'CurrentFact-N10,20,40Unchanged'!I136)/100)+103/POWER(1+('CurrentFact-N10,20,40Unchanged'!D136+'CurrentFact-N10,20,40Unchanged'!I136)/100,2))*100</f>
        <v>9683.739873105038</v>
      </c>
      <c r="F136">
        <f>Portfolio!B$5*'CurrentFact-N10,20,40Unchanged'!E136</f>
        <v>52143.895533915893</v>
      </c>
      <c r="G136">
        <f>Portfolio!B$6*'CurrentFact-N10,20,40Unchanged'!F136</f>
        <v>3696.2945087936532</v>
      </c>
      <c r="H136">
        <f t="shared" si="6"/>
        <v>94447.722607304051</v>
      </c>
      <c r="I136">
        <f t="shared" si="4"/>
        <v>3.152102800362627</v>
      </c>
    </row>
    <row r="137" spans="1:9">
      <c r="A137" s="1">
        <v>39449</v>
      </c>
      <c r="B137">
        <f>(3/(1+('CurrentFact-N10,20,40Unchanged'!C137)/100)+103/POWER(1+('CurrentFact-N10,20,40Unchanged'!D137)/100,2))*100</f>
        <v>9707.5857774288397</v>
      </c>
      <c r="C137">
        <f>(3/(1+('CurrentFact-N10,20,40Unchanged'!C137+'CurrentFact-N10,20,40Unchanged'!G137)/100)+103/POWER(1+('CurrentFact-N10,20,40Unchanged'!D137+'CurrentFact-N10,20,40Unchanged'!G137)/100,2))*100</f>
        <v>9614.9673582483465</v>
      </c>
      <c r="D137">
        <f>(3/(1+('CurrentFact-N10,20,40Unchanged'!C137+'CurrentFact-N10,20,40Unchanged'!H137)/100)+103/POWER(1+('CurrentFact-N10,20,40Unchanged'!D137+'CurrentFact-N10,20,40Unchanged'!H137)/100,2))*100</f>
        <v>9601.2395558122898</v>
      </c>
      <c r="E137">
        <f>(3/(1+('CurrentFact-N10,20,40Unchanged'!C137+'CurrentFact-N10,20,40Unchanged'!I137)/100)+103/POWER(1+('CurrentFact-N10,20,40Unchanged'!D137+'CurrentFact-N10,20,40Unchanged'!I137)/100,2))*100</f>
        <v>9684.1590569043819</v>
      </c>
      <c r="F137">
        <f>Portfolio!B$5*'CurrentFact-N10,20,40Unchanged'!E137</f>
        <v>52143.895533915893</v>
      </c>
      <c r="G137">
        <f>Portfolio!B$6*'CurrentFact-N10,20,40Unchanged'!F137</f>
        <v>3696.2945087936532</v>
      </c>
      <c r="H137">
        <f t="shared" si="6"/>
        <v>94448.141791103408</v>
      </c>
      <c r="I137">
        <f t="shared" si="4"/>
        <v>2.3689336347742938</v>
      </c>
    </row>
    <row r="138" spans="1:9">
      <c r="A138" s="1">
        <v>39450</v>
      </c>
      <c r="B138">
        <f>(3/(1+('CurrentFact-N10,20,40Unchanged'!C138)/100)+103/POWER(1+('CurrentFact-N10,20,40Unchanged'!D138)/100,2))*100</f>
        <v>9707.5857774288397</v>
      </c>
      <c r="C138">
        <f>(3/(1+('CurrentFact-N10,20,40Unchanged'!C138+'CurrentFact-N10,20,40Unchanged'!G138)/100)+103/POWER(1+('CurrentFact-N10,20,40Unchanged'!D138+'CurrentFact-N10,20,40Unchanged'!G138)/100,2))*100</f>
        <v>9614.9673582483465</v>
      </c>
      <c r="D138">
        <f>(3/(1+('CurrentFact-N10,20,40Unchanged'!C138+'CurrentFact-N10,20,40Unchanged'!H138)/100)+103/POWER(1+('CurrentFact-N10,20,40Unchanged'!D138+'CurrentFact-N10,20,40Unchanged'!H138)/100,2))*100</f>
        <v>9601.2395558122898</v>
      </c>
      <c r="E138">
        <f>(3/(1+('CurrentFact-N10,20,40Unchanged'!C138+'CurrentFact-N10,20,40Unchanged'!I138)/100)+103/POWER(1+('CurrentFact-N10,20,40Unchanged'!D138+'CurrentFact-N10,20,40Unchanged'!I138)/100,2))*100</f>
        <v>9682.1545170539957</v>
      </c>
      <c r="F138">
        <f>Portfolio!B$5*'CurrentFact-N10,20,40Unchanged'!E138</f>
        <v>52143.895533915893</v>
      </c>
      <c r="G138">
        <f>Portfolio!B$6*'CurrentFact-N10,20,40Unchanged'!F138</f>
        <v>3696.2945087936532</v>
      </c>
      <c r="H138">
        <f t="shared" si="6"/>
        <v>94446.137251253022</v>
      </c>
      <c r="I138">
        <f t="shared" si="4"/>
        <v>-2.514886078206473</v>
      </c>
    </row>
    <row r="139" spans="1:9">
      <c r="A139" s="1">
        <v>39451</v>
      </c>
      <c r="B139">
        <f>(3/(1+('CurrentFact-N10,20,40Unchanged'!C139)/100)+103/POWER(1+('CurrentFact-N10,20,40Unchanged'!D139)/100,2))*100</f>
        <v>9707.5857774288397</v>
      </c>
      <c r="C139">
        <f>(3/(1+('CurrentFact-N10,20,40Unchanged'!C139+'CurrentFact-N10,20,40Unchanged'!G139)/100)+103/POWER(1+('CurrentFact-N10,20,40Unchanged'!D139+'CurrentFact-N10,20,40Unchanged'!G139)/100,2))*100</f>
        <v>9614.9673582483465</v>
      </c>
      <c r="D139">
        <f>(3/(1+('CurrentFact-N10,20,40Unchanged'!C139+'CurrentFact-N10,20,40Unchanged'!H139)/100)+103/POWER(1+('CurrentFact-N10,20,40Unchanged'!D139+'CurrentFact-N10,20,40Unchanged'!H139)/100,2))*100</f>
        <v>9601.2395558122898</v>
      </c>
      <c r="E139">
        <f>(3/(1+('CurrentFact-N10,20,40Unchanged'!C139+'CurrentFact-N10,20,40Unchanged'!I139)/100)+103/POWER(1+('CurrentFact-N10,20,40Unchanged'!D139+'CurrentFact-N10,20,40Unchanged'!I139)/100,2))*100</f>
        <v>9678.6571906891168</v>
      </c>
      <c r="F139">
        <f>Portfolio!B$5*'CurrentFact-N10,20,40Unchanged'!E139</f>
        <v>52143.895533915893</v>
      </c>
      <c r="G139">
        <f>Portfolio!B$6*'CurrentFact-N10,20,40Unchanged'!F139</f>
        <v>3696.2945087936532</v>
      </c>
      <c r="H139">
        <f t="shared" si="6"/>
        <v>94442.63992488815</v>
      </c>
      <c r="I139">
        <f t="shared" si="4"/>
        <v>-4.9368862517876551</v>
      </c>
    </row>
    <row r="140" spans="1:9">
      <c r="A140" s="1">
        <v>39454</v>
      </c>
      <c r="B140">
        <f>(3/(1+('CurrentFact-N10,20,40Unchanged'!C140)/100)+103/POWER(1+('CurrentFact-N10,20,40Unchanged'!D140)/100,2))*100</f>
        <v>9707.5857774288397</v>
      </c>
      <c r="C140">
        <f>(3/(1+('CurrentFact-N10,20,40Unchanged'!C140+'CurrentFact-N10,20,40Unchanged'!G140)/100)+103/POWER(1+('CurrentFact-N10,20,40Unchanged'!D140+'CurrentFact-N10,20,40Unchanged'!G140)/100,2))*100</f>
        <v>9614.9673582483465</v>
      </c>
      <c r="D140">
        <f>(3/(1+('CurrentFact-N10,20,40Unchanged'!C140+'CurrentFact-N10,20,40Unchanged'!H140)/100)+103/POWER(1+('CurrentFact-N10,20,40Unchanged'!D140+'CurrentFact-N10,20,40Unchanged'!H140)/100,2))*100</f>
        <v>9601.2395558122898</v>
      </c>
      <c r="E140">
        <f>(3/(1+('CurrentFact-N10,20,40Unchanged'!C140+'CurrentFact-N10,20,40Unchanged'!I140)/100)+103/POWER(1+('CurrentFact-N10,20,40Unchanged'!D140+'CurrentFact-N10,20,40Unchanged'!I140)/100,2))*100</f>
        <v>9681.3346598198714</v>
      </c>
      <c r="F140">
        <f>Portfolio!B$5*'CurrentFact-N10,20,40Unchanged'!E140</f>
        <v>52143.895533915893</v>
      </c>
      <c r="G140">
        <f>Portfolio!B$6*'CurrentFact-N10,20,40Unchanged'!F140</f>
        <v>3696.2945087936532</v>
      </c>
      <c r="H140">
        <f t="shared" si="6"/>
        <v>94445.317394018901</v>
      </c>
      <c r="I140">
        <f t="shared" si="4"/>
        <v>-1.6944888271391392</v>
      </c>
    </row>
    <row r="141" spans="1:9">
      <c r="A141" s="1">
        <v>39455</v>
      </c>
      <c r="B141">
        <f>(3/(1+('CurrentFact-N10,20,40Unchanged'!C141)/100)+103/POWER(1+('CurrentFact-N10,20,40Unchanged'!D141)/100,2))*100</f>
        <v>9707.5857774288397</v>
      </c>
      <c r="C141">
        <f>(3/(1+('CurrentFact-N10,20,40Unchanged'!C141+'CurrentFact-N10,20,40Unchanged'!G141)/100)+103/POWER(1+('CurrentFact-N10,20,40Unchanged'!D141+'CurrentFact-N10,20,40Unchanged'!G141)/100,2))*100</f>
        <v>9614.9673582483465</v>
      </c>
      <c r="D141">
        <f>(3/(1+('CurrentFact-N10,20,40Unchanged'!C141+'CurrentFact-N10,20,40Unchanged'!H141)/100)+103/POWER(1+('CurrentFact-N10,20,40Unchanged'!D141+'CurrentFact-N10,20,40Unchanged'!H141)/100,2))*100</f>
        <v>9601.2395558122898</v>
      </c>
      <c r="E141">
        <f>(3/(1+('CurrentFact-N10,20,40Unchanged'!C141+'CurrentFact-N10,20,40Unchanged'!I141)/100)+103/POWER(1+('CurrentFact-N10,20,40Unchanged'!D141+'CurrentFact-N10,20,40Unchanged'!I141)/100,2))*100</f>
        <v>9682.0087570471096</v>
      </c>
      <c r="F141">
        <f>Portfolio!B$5*'CurrentFact-N10,20,40Unchanged'!E141</f>
        <v>52143.895533915893</v>
      </c>
      <c r="G141">
        <f>Portfolio!B$6*'CurrentFact-N10,20,40Unchanged'!F141</f>
        <v>3696.2945087936532</v>
      </c>
      <c r="H141">
        <f t="shared" si="6"/>
        <v>94445.991491246124</v>
      </c>
      <c r="I141">
        <f t="shared" si="4"/>
        <v>-1.3666318825562485</v>
      </c>
    </row>
    <row r="142" spans="1:9">
      <c r="A142" s="1">
        <v>39456</v>
      </c>
      <c r="B142">
        <f>(3/(1+('CurrentFact-N10,20,40Unchanged'!C142)/100)+103/POWER(1+('CurrentFact-N10,20,40Unchanged'!D142)/100,2))*100</f>
        <v>9707.5857774288397</v>
      </c>
      <c r="C142">
        <f>(3/(1+('CurrentFact-N10,20,40Unchanged'!C142+'CurrentFact-N10,20,40Unchanged'!G142)/100)+103/POWER(1+('CurrentFact-N10,20,40Unchanged'!D142+'CurrentFact-N10,20,40Unchanged'!G142)/100,2))*100</f>
        <v>9614.9673582483465</v>
      </c>
      <c r="D142">
        <f>(3/(1+('CurrentFact-N10,20,40Unchanged'!C142+'CurrentFact-N10,20,40Unchanged'!H142)/100)+103/POWER(1+('CurrentFact-N10,20,40Unchanged'!D142+'CurrentFact-N10,20,40Unchanged'!H142)/100,2))*100</f>
        <v>9601.2395558122898</v>
      </c>
      <c r="E142">
        <f>(3/(1+('CurrentFact-N10,20,40Unchanged'!C142+'CurrentFact-N10,20,40Unchanged'!I142)/100)+103/POWER(1+('CurrentFact-N10,20,40Unchanged'!D142+'CurrentFact-N10,20,40Unchanged'!I142)/100,2))*100</f>
        <v>9681.5897159781507</v>
      </c>
      <c r="F142">
        <f>Portfolio!B$5*'CurrentFact-N10,20,40Unchanged'!E142</f>
        <v>52143.895533915893</v>
      </c>
      <c r="G142">
        <f>Portfolio!B$6*'CurrentFact-N10,20,40Unchanged'!F142</f>
        <v>3696.2945087936532</v>
      </c>
      <c r="H142">
        <f t="shared" si="6"/>
        <v>94445.572450177177</v>
      </c>
      <c r="I142">
        <f t="shared" ref="I142:I187" si="7">H142-H132</f>
        <v>-1.1660966786876088</v>
      </c>
    </row>
    <row r="143" spans="1:9">
      <c r="A143" s="1">
        <v>39457</v>
      </c>
      <c r="B143">
        <f>(3/(1+('CurrentFact-N10,20,40Unchanged'!C143)/100)+103/POWER(1+('CurrentFact-N10,20,40Unchanged'!D143)/100,2))*100</f>
        <v>9707.5857774288397</v>
      </c>
      <c r="C143">
        <f>(3/(1+('CurrentFact-N10,20,40Unchanged'!C143+'CurrentFact-N10,20,40Unchanged'!G143)/100)+103/POWER(1+('CurrentFact-N10,20,40Unchanged'!D143+'CurrentFact-N10,20,40Unchanged'!G143)/100,2))*100</f>
        <v>9614.9673582483465</v>
      </c>
      <c r="D143">
        <f>(3/(1+('CurrentFact-N10,20,40Unchanged'!C143+'CurrentFact-N10,20,40Unchanged'!H143)/100)+103/POWER(1+('CurrentFact-N10,20,40Unchanged'!D143+'CurrentFact-N10,20,40Unchanged'!H143)/100,2))*100</f>
        <v>9601.2395558122898</v>
      </c>
      <c r="E143">
        <f>(3/(1+('CurrentFact-N10,20,40Unchanged'!C143+'CurrentFact-N10,20,40Unchanged'!I143)/100)+103/POWER(1+('CurrentFact-N10,20,40Unchanged'!D143+'CurrentFact-N10,20,40Unchanged'!I143)/100,2))*100</f>
        <v>9681.0431805243425</v>
      </c>
      <c r="F143">
        <f>Portfolio!B$5*'CurrentFact-N10,20,40Unchanged'!E143</f>
        <v>52143.895533915893</v>
      </c>
      <c r="G143">
        <f>Portfolio!B$6*'CurrentFact-N10,20,40Unchanged'!F143</f>
        <v>3696.2945087936532</v>
      </c>
      <c r="H143">
        <f t="shared" si="6"/>
        <v>94445.025914723374</v>
      </c>
      <c r="I143">
        <f t="shared" si="7"/>
        <v>-1.2024386564735323</v>
      </c>
    </row>
    <row r="144" spans="1:9">
      <c r="A144" s="1">
        <v>39458</v>
      </c>
      <c r="B144">
        <f>(3/(1+('CurrentFact-N10,20,40Unchanged'!C144)/100)+103/POWER(1+('CurrentFact-N10,20,40Unchanged'!D144)/100,2))*100</f>
        <v>9707.5857774288397</v>
      </c>
      <c r="C144">
        <f>(3/(1+('CurrentFact-N10,20,40Unchanged'!C144+'CurrentFact-N10,20,40Unchanged'!G144)/100)+103/POWER(1+('CurrentFact-N10,20,40Unchanged'!D144+'CurrentFact-N10,20,40Unchanged'!G144)/100,2))*100</f>
        <v>9614.9673582483465</v>
      </c>
      <c r="D144">
        <f>(3/(1+('CurrentFact-N10,20,40Unchanged'!C144+'CurrentFact-N10,20,40Unchanged'!H144)/100)+103/POWER(1+('CurrentFact-N10,20,40Unchanged'!D144+'CurrentFact-N10,20,40Unchanged'!H144)/100,2))*100</f>
        <v>9601.2395558122898</v>
      </c>
      <c r="E144">
        <f>(3/(1+('CurrentFact-N10,20,40Unchanged'!C144+'CurrentFact-N10,20,40Unchanged'!I144)/100)+103/POWER(1+('CurrentFact-N10,20,40Unchanged'!D144+'CurrentFact-N10,20,40Unchanged'!I144)/100,2))*100</f>
        <v>9682.4824900929671</v>
      </c>
      <c r="F144">
        <f>Portfolio!B$5*'CurrentFact-N10,20,40Unchanged'!E144</f>
        <v>52143.895533915893</v>
      </c>
      <c r="G144">
        <f>Portfolio!B$6*'CurrentFact-N10,20,40Unchanged'!F144</f>
        <v>3696.2945087936532</v>
      </c>
      <c r="H144">
        <f t="shared" si="6"/>
        <v>94446.465224291984</v>
      </c>
      <c r="I144">
        <f t="shared" si="7"/>
        <v>0.18220970778202172</v>
      </c>
    </row>
    <row r="145" spans="1:9">
      <c r="A145" s="1">
        <v>39461</v>
      </c>
      <c r="B145">
        <f>(3/(1+('CurrentFact-N10,20,40Unchanged'!C145)/100)+103/POWER(1+('CurrentFact-N10,20,40Unchanged'!D145)/100,2))*100</f>
        <v>9707.5857774288397</v>
      </c>
      <c r="C145">
        <f>(3/(1+('CurrentFact-N10,20,40Unchanged'!C145+'CurrentFact-N10,20,40Unchanged'!G145)/100)+103/POWER(1+('CurrentFact-N10,20,40Unchanged'!D145+'CurrentFact-N10,20,40Unchanged'!G145)/100,2))*100</f>
        <v>9614.9673582483465</v>
      </c>
      <c r="D145">
        <f>(3/(1+('CurrentFact-N10,20,40Unchanged'!C145+'CurrentFact-N10,20,40Unchanged'!H145)/100)+103/POWER(1+('CurrentFact-N10,20,40Unchanged'!D145+'CurrentFact-N10,20,40Unchanged'!H145)/100,2))*100</f>
        <v>9601.2395558122898</v>
      </c>
      <c r="E145">
        <f>(3/(1+('CurrentFact-N10,20,40Unchanged'!C145+'CurrentFact-N10,20,40Unchanged'!I145)/100)+103/POWER(1+('CurrentFact-N10,20,40Unchanged'!D145+'CurrentFact-N10,20,40Unchanged'!I145)/100,2))*100</f>
        <v>9682.5007116969864</v>
      </c>
      <c r="F145">
        <f>Portfolio!B$5*'CurrentFact-N10,20,40Unchanged'!E145</f>
        <v>52143.895533915893</v>
      </c>
      <c r="G145">
        <f>Portfolio!B$6*'CurrentFact-N10,20,40Unchanged'!F145</f>
        <v>3696.2945087936532</v>
      </c>
      <c r="H145">
        <f t="shared" si="6"/>
        <v>94446.48344589601</v>
      </c>
      <c r="I145">
        <f t="shared" si="7"/>
        <v>-0.12754920723091345</v>
      </c>
    </row>
    <row r="146" spans="1:9">
      <c r="A146" s="1">
        <v>39462</v>
      </c>
      <c r="B146">
        <f>(3/(1+('CurrentFact-N10,20,40Unchanged'!C146)/100)+103/POWER(1+('CurrentFact-N10,20,40Unchanged'!D146)/100,2))*100</f>
        <v>9707.5857774288397</v>
      </c>
      <c r="C146">
        <f>(3/(1+('CurrentFact-N10,20,40Unchanged'!C146+'CurrentFact-N10,20,40Unchanged'!G146)/100)+103/POWER(1+('CurrentFact-N10,20,40Unchanged'!D146+'CurrentFact-N10,20,40Unchanged'!G146)/100,2))*100</f>
        <v>9614.9673582483465</v>
      </c>
      <c r="D146">
        <f>(3/(1+('CurrentFact-N10,20,40Unchanged'!C146+'CurrentFact-N10,20,40Unchanged'!H146)/100)+103/POWER(1+('CurrentFact-N10,20,40Unchanged'!D146+'CurrentFact-N10,20,40Unchanged'!H146)/100,2))*100</f>
        <v>9601.2395558122898</v>
      </c>
      <c r="E146">
        <f>(3/(1+('CurrentFact-N10,20,40Unchanged'!C146+'CurrentFact-N10,20,40Unchanged'!I146)/100)+103/POWER(1+('CurrentFact-N10,20,40Unchanged'!D146+'CurrentFact-N10,20,40Unchanged'!I146)/100,2))*100</f>
        <v>9683.0655932861519</v>
      </c>
      <c r="F146">
        <f>Portfolio!B$5*'CurrentFact-N10,20,40Unchanged'!E146</f>
        <v>52143.895533915893</v>
      </c>
      <c r="G146">
        <f>Portfolio!B$6*'CurrentFact-N10,20,40Unchanged'!F146</f>
        <v>3696.2945087936532</v>
      </c>
      <c r="H146">
        <f t="shared" si="6"/>
        <v>94447.048327485187</v>
      </c>
      <c r="I146">
        <f t="shared" si="7"/>
        <v>-0.67427981886430643</v>
      </c>
    </row>
    <row r="147" spans="1:9">
      <c r="A147" s="1">
        <v>39463</v>
      </c>
      <c r="B147">
        <f>(3/(1+('CurrentFact-N10,20,40Unchanged'!C147)/100)+103/POWER(1+('CurrentFact-N10,20,40Unchanged'!D147)/100,2))*100</f>
        <v>9707.5857774288397</v>
      </c>
      <c r="C147">
        <f>(3/(1+('CurrentFact-N10,20,40Unchanged'!C147+'CurrentFact-N10,20,40Unchanged'!G147)/100)+103/POWER(1+('CurrentFact-N10,20,40Unchanged'!D147+'CurrentFact-N10,20,40Unchanged'!G147)/100,2))*100</f>
        <v>9614.9673582483465</v>
      </c>
      <c r="D147">
        <f>(3/(1+('CurrentFact-N10,20,40Unchanged'!C147+'CurrentFact-N10,20,40Unchanged'!H147)/100)+103/POWER(1+('CurrentFact-N10,20,40Unchanged'!D147+'CurrentFact-N10,20,40Unchanged'!H147)/100,2))*100</f>
        <v>9601.2395558122898</v>
      </c>
      <c r="E147">
        <f>(3/(1+('CurrentFact-N10,20,40Unchanged'!C147+'CurrentFact-N10,20,40Unchanged'!I147)/100)+103/POWER(1+('CurrentFact-N10,20,40Unchanged'!D147+'CurrentFact-N10,20,40Unchanged'!I147)/100,2))*100</f>
        <v>9682.3185014697392</v>
      </c>
      <c r="F147">
        <f>Portfolio!B$5*'CurrentFact-N10,20,40Unchanged'!E147</f>
        <v>52143.895533915893</v>
      </c>
      <c r="G147">
        <f>Portfolio!B$6*'CurrentFact-N10,20,40Unchanged'!F147</f>
        <v>3696.2945087936532</v>
      </c>
      <c r="H147">
        <f t="shared" si="6"/>
        <v>94446.301235668769</v>
      </c>
      <c r="I147">
        <f t="shared" si="7"/>
        <v>-1.8405554346391</v>
      </c>
    </row>
    <row r="148" spans="1:9">
      <c r="A148" s="1">
        <v>39464</v>
      </c>
      <c r="B148">
        <f>(3/(1+('CurrentFact-N10,20,40Unchanged'!C148)/100)+103/POWER(1+('CurrentFact-N10,20,40Unchanged'!D148)/100,2))*100</f>
        <v>9707.5857774288397</v>
      </c>
      <c r="C148">
        <f>(3/(1+('CurrentFact-N10,20,40Unchanged'!C148+'CurrentFact-N10,20,40Unchanged'!G148)/100)+103/POWER(1+('CurrentFact-N10,20,40Unchanged'!D148+'CurrentFact-N10,20,40Unchanged'!G148)/100,2))*100</f>
        <v>9614.9673582483465</v>
      </c>
      <c r="D148">
        <f>(3/(1+('CurrentFact-N10,20,40Unchanged'!C148+'CurrentFact-N10,20,40Unchanged'!H148)/100)+103/POWER(1+('CurrentFact-N10,20,40Unchanged'!D148+'CurrentFact-N10,20,40Unchanged'!H148)/100,2))*100</f>
        <v>9601.2395558122898</v>
      </c>
      <c r="E148">
        <f>(3/(1+('CurrentFact-N10,20,40Unchanged'!C148+'CurrentFact-N10,20,40Unchanged'!I148)/100)+103/POWER(1+('CurrentFact-N10,20,40Unchanged'!D148+'CurrentFact-N10,20,40Unchanged'!I148)/100,2))*100</f>
        <v>9682.9562582542785</v>
      </c>
      <c r="F148">
        <f>Portfolio!B$5*'CurrentFact-N10,20,40Unchanged'!E148</f>
        <v>52143.895533915893</v>
      </c>
      <c r="G148">
        <f>Portfolio!B$6*'CurrentFact-N10,20,40Unchanged'!F148</f>
        <v>3696.2945087936532</v>
      </c>
      <c r="H148">
        <f t="shared" si="6"/>
        <v>94446.938992453302</v>
      </c>
      <c r="I148">
        <f t="shared" si="7"/>
        <v>0.80174120028095786</v>
      </c>
    </row>
    <row r="149" spans="1:9">
      <c r="A149" s="1">
        <v>39465</v>
      </c>
      <c r="B149">
        <f>(3/(1+('CurrentFact-N10,20,40Unchanged'!C149)/100)+103/POWER(1+('CurrentFact-N10,20,40Unchanged'!D149)/100,2))*100</f>
        <v>9707.5857774288397</v>
      </c>
      <c r="C149">
        <f>(3/(1+('CurrentFact-N10,20,40Unchanged'!C149+'CurrentFact-N10,20,40Unchanged'!G149)/100)+103/POWER(1+('CurrentFact-N10,20,40Unchanged'!D149+'CurrentFact-N10,20,40Unchanged'!G149)/100,2))*100</f>
        <v>9614.9673582483465</v>
      </c>
      <c r="D149">
        <f>(3/(1+('CurrentFact-N10,20,40Unchanged'!C149+'CurrentFact-N10,20,40Unchanged'!H149)/100)+103/POWER(1+('CurrentFact-N10,20,40Unchanged'!D149+'CurrentFact-N10,20,40Unchanged'!H149)/100,2))*100</f>
        <v>9601.2395558122898</v>
      </c>
      <c r="E149">
        <f>(3/(1+('CurrentFact-N10,20,40Unchanged'!C149+'CurrentFact-N10,20,40Unchanged'!I149)/100)+103/POWER(1+('CurrentFact-N10,20,40Unchanged'!D149+'CurrentFact-N10,20,40Unchanged'!I149)/100,2))*100</f>
        <v>9681.1889185102937</v>
      </c>
      <c r="F149">
        <f>Portfolio!B$5*'CurrentFact-N10,20,40Unchanged'!E149</f>
        <v>52143.895533915893</v>
      </c>
      <c r="G149">
        <f>Portfolio!B$6*'CurrentFact-N10,20,40Unchanged'!F149</f>
        <v>3696.2945087936532</v>
      </c>
      <c r="H149">
        <f t="shared" si="6"/>
        <v>94445.171652709309</v>
      </c>
      <c r="I149">
        <f t="shared" si="7"/>
        <v>2.5317278211587109</v>
      </c>
    </row>
    <row r="150" spans="1:9">
      <c r="A150" s="1">
        <v>39468</v>
      </c>
      <c r="B150">
        <f>(3/(1+('CurrentFact-N10,20,40Unchanged'!C150)/100)+103/POWER(1+('CurrentFact-N10,20,40Unchanged'!D150)/100,2))*100</f>
        <v>9707.5857774288397</v>
      </c>
      <c r="C150">
        <f>(3/(1+('CurrentFact-N10,20,40Unchanged'!C150+'CurrentFact-N10,20,40Unchanged'!G150)/100)+103/POWER(1+('CurrentFact-N10,20,40Unchanged'!D150+'CurrentFact-N10,20,40Unchanged'!G150)/100,2))*100</f>
        <v>9614.9673582483465</v>
      </c>
      <c r="D150">
        <f>(3/(1+('CurrentFact-N10,20,40Unchanged'!C150+'CurrentFact-N10,20,40Unchanged'!H150)/100)+103/POWER(1+('CurrentFact-N10,20,40Unchanged'!D150+'CurrentFact-N10,20,40Unchanged'!H150)/100,2))*100</f>
        <v>9601.2395558122898</v>
      </c>
      <c r="E150">
        <f>(3/(1+('CurrentFact-N10,20,40Unchanged'!C150+'CurrentFact-N10,20,40Unchanged'!I150)/100)+103/POWER(1+('CurrentFact-N10,20,40Unchanged'!D150+'CurrentFact-N10,20,40Unchanged'!I150)/100,2))*100</f>
        <v>9681.1160491018709</v>
      </c>
      <c r="F150">
        <f>Portfolio!B$5*'CurrentFact-N10,20,40Unchanged'!E150</f>
        <v>52143.895533915893</v>
      </c>
      <c r="G150">
        <f>Portfolio!B$6*'CurrentFact-N10,20,40Unchanged'!F150</f>
        <v>3696.2945087936532</v>
      </c>
      <c r="H150">
        <f t="shared" si="6"/>
        <v>94445.098783300899</v>
      </c>
      <c r="I150">
        <f t="shared" si="7"/>
        <v>-0.21861071800231002</v>
      </c>
    </row>
    <row r="151" spans="1:9">
      <c r="A151" s="1">
        <v>39469</v>
      </c>
      <c r="B151">
        <f>(3/(1+('CurrentFact-N10,20,40Unchanged'!C151)/100)+103/POWER(1+('CurrentFact-N10,20,40Unchanged'!D151)/100,2))*100</f>
        <v>9707.5857774288397</v>
      </c>
      <c r="C151">
        <f>(3/(1+('CurrentFact-N10,20,40Unchanged'!C151+'CurrentFact-N10,20,40Unchanged'!G151)/100)+103/POWER(1+('CurrentFact-N10,20,40Unchanged'!D151+'CurrentFact-N10,20,40Unchanged'!G151)/100,2))*100</f>
        <v>9614.9673582483465</v>
      </c>
      <c r="D151">
        <f>(3/(1+('CurrentFact-N10,20,40Unchanged'!C151+'CurrentFact-N10,20,40Unchanged'!H151)/100)+103/POWER(1+('CurrentFact-N10,20,40Unchanged'!D151+'CurrentFact-N10,20,40Unchanged'!H151)/100,2))*100</f>
        <v>9601.2395558122898</v>
      </c>
      <c r="E151">
        <f>(3/(1+('CurrentFact-N10,20,40Unchanged'!C151+'CurrentFact-N10,20,40Unchanged'!I151)/100)+103/POWER(1+('CurrentFact-N10,20,40Unchanged'!D151+'CurrentFact-N10,20,40Unchanged'!I151)/100,2))*100</f>
        <v>9681.2253543947754</v>
      </c>
      <c r="F151">
        <f>Portfolio!B$5*'CurrentFact-N10,20,40Unchanged'!E151</f>
        <v>52143.895533915893</v>
      </c>
      <c r="G151">
        <f>Portfolio!B$6*'CurrentFact-N10,20,40Unchanged'!F151</f>
        <v>3696.2945087936532</v>
      </c>
      <c r="H151">
        <f t="shared" si="6"/>
        <v>94445.20808859379</v>
      </c>
      <c r="I151">
        <f t="shared" si="7"/>
        <v>-0.78340265233418904</v>
      </c>
    </row>
    <row r="152" spans="1:9">
      <c r="A152" s="1">
        <v>39470</v>
      </c>
      <c r="B152">
        <f>(3/(1+('CurrentFact-N10,20,40Unchanged'!C152)/100)+103/POWER(1+('CurrentFact-N10,20,40Unchanged'!D152)/100,2))*100</f>
        <v>9707.5857774288397</v>
      </c>
      <c r="C152">
        <f>(3/(1+('CurrentFact-N10,20,40Unchanged'!C152+'CurrentFact-N10,20,40Unchanged'!G152)/100)+103/POWER(1+('CurrentFact-N10,20,40Unchanged'!D152+'CurrentFact-N10,20,40Unchanged'!G152)/100,2))*100</f>
        <v>9614.9673582483465</v>
      </c>
      <c r="D152">
        <f>(3/(1+('CurrentFact-N10,20,40Unchanged'!C152+'CurrentFact-N10,20,40Unchanged'!H152)/100)+103/POWER(1+('CurrentFact-N10,20,40Unchanged'!D152+'CurrentFact-N10,20,40Unchanged'!H152)/100,2))*100</f>
        <v>9601.2395558122898</v>
      </c>
      <c r="E152">
        <f>(3/(1+('CurrentFact-N10,20,40Unchanged'!C152+'CurrentFact-N10,20,40Unchanged'!I152)/100)+103/POWER(1+('CurrentFact-N10,20,40Unchanged'!D152+'CurrentFact-N10,20,40Unchanged'!I152)/100,2))*100</f>
        <v>9680.6788500996772</v>
      </c>
      <c r="F152">
        <f>Portfolio!B$5*'CurrentFact-N10,20,40Unchanged'!E152</f>
        <v>52143.895533915893</v>
      </c>
      <c r="G152">
        <f>Portfolio!B$6*'CurrentFact-N10,20,40Unchanged'!F152</f>
        <v>3696.2945087936532</v>
      </c>
      <c r="H152">
        <f t="shared" si="6"/>
        <v>94444.661584298708</v>
      </c>
      <c r="I152">
        <f t="shared" si="7"/>
        <v>-0.91086587846803013</v>
      </c>
    </row>
    <row r="153" spans="1:9">
      <c r="A153" s="1">
        <v>39471</v>
      </c>
      <c r="B153">
        <f>(3/(1+('CurrentFact-N10,20,40Unchanged'!C153)/100)+103/POWER(1+('CurrentFact-N10,20,40Unchanged'!D153)/100,2))*100</f>
        <v>9707.5857774288397</v>
      </c>
      <c r="C153">
        <f>(3/(1+('CurrentFact-N10,20,40Unchanged'!C153+'CurrentFact-N10,20,40Unchanged'!G153)/100)+103/POWER(1+('CurrentFact-N10,20,40Unchanged'!D153+'CurrentFact-N10,20,40Unchanged'!G153)/100,2))*100</f>
        <v>9614.9673582483465</v>
      </c>
      <c r="D153">
        <f>(3/(1+('CurrentFact-N10,20,40Unchanged'!C153+'CurrentFact-N10,20,40Unchanged'!H153)/100)+103/POWER(1+('CurrentFact-N10,20,40Unchanged'!D153+'CurrentFact-N10,20,40Unchanged'!H153)/100,2))*100</f>
        <v>9601.2395558122898</v>
      </c>
      <c r="E153">
        <f>(3/(1+('CurrentFact-N10,20,40Unchanged'!C153+'CurrentFact-N10,20,40Unchanged'!I153)/100)+103/POWER(1+('CurrentFact-N10,20,40Unchanged'!D153+'CurrentFact-N10,20,40Unchanged'!I153)/100,2))*100</f>
        <v>9682.4824900929671</v>
      </c>
      <c r="F153">
        <f>Portfolio!B$5*'CurrentFact-N10,20,40Unchanged'!E153</f>
        <v>52143.895533915893</v>
      </c>
      <c r="G153">
        <f>Portfolio!B$6*'CurrentFact-N10,20,40Unchanged'!F153</f>
        <v>3696.2945087936532</v>
      </c>
      <c r="H153">
        <f t="shared" si="6"/>
        <v>94446.465224291984</v>
      </c>
      <c r="I153">
        <f t="shared" si="7"/>
        <v>1.4393095686100423</v>
      </c>
    </row>
    <row r="154" spans="1:9">
      <c r="A154" s="1">
        <v>39472</v>
      </c>
      <c r="B154">
        <f>(3/(1+('CurrentFact-N10,20,40Unchanged'!C154)/100)+103/POWER(1+('CurrentFact-N10,20,40Unchanged'!D154)/100,2))*100</f>
        <v>9707.5857774288397</v>
      </c>
      <c r="C154">
        <f>(3/(1+('CurrentFact-N10,20,40Unchanged'!C154+'CurrentFact-N10,20,40Unchanged'!G154)/100)+103/POWER(1+('CurrentFact-N10,20,40Unchanged'!D154+'CurrentFact-N10,20,40Unchanged'!G154)/100,2))*100</f>
        <v>9614.9673582483465</v>
      </c>
      <c r="D154">
        <f>(3/(1+('CurrentFact-N10,20,40Unchanged'!C154+'CurrentFact-N10,20,40Unchanged'!H154)/100)+103/POWER(1+('CurrentFact-N10,20,40Unchanged'!D154+'CurrentFact-N10,20,40Unchanged'!H154)/100,2))*100</f>
        <v>9601.2395558122898</v>
      </c>
      <c r="E154">
        <f>(3/(1+('CurrentFact-N10,20,40Unchanged'!C154+'CurrentFact-N10,20,40Unchanged'!I154)/100)+103/POWER(1+('CurrentFact-N10,20,40Unchanged'!D154+'CurrentFact-N10,20,40Unchanged'!I154)/100,2))*100</f>
        <v>9681.2982250495716</v>
      </c>
      <c r="F154">
        <f>Portfolio!B$5*'CurrentFact-N10,20,40Unchanged'!E154</f>
        <v>52143.895533915893</v>
      </c>
      <c r="G154">
        <f>Portfolio!B$6*'CurrentFact-N10,20,40Unchanged'!F154</f>
        <v>3696.2945087936532</v>
      </c>
      <c r="H154">
        <f t="shared" si="6"/>
        <v>94445.280959248601</v>
      </c>
      <c r="I154">
        <f t="shared" si="7"/>
        <v>-1.1842650433827657</v>
      </c>
    </row>
    <row r="155" spans="1:9">
      <c r="A155" s="1">
        <v>39475</v>
      </c>
      <c r="B155">
        <f>(3/(1+('CurrentFact-N10,20,40Unchanged'!C155)/100)+103/POWER(1+('CurrentFact-N10,20,40Unchanged'!D155)/100,2))*100</f>
        <v>9707.5857774288397</v>
      </c>
      <c r="C155">
        <f>(3/(1+('CurrentFact-N10,20,40Unchanged'!C155+'CurrentFact-N10,20,40Unchanged'!G155)/100)+103/POWER(1+('CurrentFact-N10,20,40Unchanged'!D155+'CurrentFact-N10,20,40Unchanged'!G155)/100,2))*100</f>
        <v>9614.9673582483465</v>
      </c>
      <c r="D155">
        <f>(3/(1+('CurrentFact-N10,20,40Unchanged'!C155+'CurrentFact-N10,20,40Unchanged'!H155)/100)+103/POWER(1+('CurrentFact-N10,20,40Unchanged'!D155+'CurrentFact-N10,20,40Unchanged'!H155)/100,2))*100</f>
        <v>9601.2395558122898</v>
      </c>
      <c r="E155">
        <f>(3/(1+('CurrentFact-N10,20,40Unchanged'!C155+'CurrentFact-N10,20,40Unchanged'!I155)/100)+103/POWER(1+('CurrentFact-N10,20,40Unchanged'!D155+'CurrentFact-N10,20,40Unchanged'!I155)/100,2))*100</f>
        <v>9681.2800068736287</v>
      </c>
      <c r="F155">
        <f>Portfolio!B$5*'CurrentFact-N10,20,40Unchanged'!E155</f>
        <v>52143.895533915893</v>
      </c>
      <c r="G155">
        <f>Portfolio!B$6*'CurrentFact-N10,20,40Unchanged'!F155</f>
        <v>3696.2945087936532</v>
      </c>
      <c r="H155">
        <f t="shared" si="6"/>
        <v>94445.262741072656</v>
      </c>
      <c r="I155">
        <f t="shared" si="7"/>
        <v>-1.2207048233540263</v>
      </c>
    </row>
    <row r="156" spans="1:9">
      <c r="A156" s="1">
        <v>39476</v>
      </c>
      <c r="B156">
        <f>(3/(1+('CurrentFact-N10,20,40Unchanged'!C156)/100)+103/POWER(1+('CurrentFact-N10,20,40Unchanged'!D156)/100,2))*100</f>
        <v>9707.5857774288397</v>
      </c>
      <c r="C156">
        <f>(3/(1+('CurrentFact-N10,20,40Unchanged'!C156+'CurrentFact-N10,20,40Unchanged'!G156)/100)+103/POWER(1+('CurrentFact-N10,20,40Unchanged'!D156+'CurrentFact-N10,20,40Unchanged'!G156)/100,2))*100</f>
        <v>9614.9673582483465</v>
      </c>
      <c r="D156">
        <f>(3/(1+('CurrentFact-N10,20,40Unchanged'!C156+'CurrentFact-N10,20,40Unchanged'!H156)/100)+103/POWER(1+('CurrentFact-N10,20,40Unchanged'!D156+'CurrentFact-N10,20,40Unchanged'!H156)/100,2))*100</f>
        <v>9601.2395558122898</v>
      </c>
      <c r="E156">
        <f>(3/(1+('CurrentFact-N10,20,40Unchanged'!C156+'CurrentFact-N10,20,40Unchanged'!I156)/100)+103/POWER(1+('CurrentFact-N10,20,40Unchanged'!D156+'CurrentFact-N10,20,40Unchanged'!I156)/100,2))*100</f>
        <v>9681.4257502605342</v>
      </c>
      <c r="F156">
        <f>Portfolio!B$5*'CurrentFact-N10,20,40Unchanged'!E156</f>
        <v>52143.895533915893</v>
      </c>
      <c r="G156">
        <f>Portfolio!B$6*'CurrentFact-N10,20,40Unchanged'!F156</f>
        <v>3696.2945087936532</v>
      </c>
      <c r="H156">
        <f t="shared" si="6"/>
        <v>94445.408484459564</v>
      </c>
      <c r="I156">
        <f t="shared" si="7"/>
        <v>-1.6398430256231222</v>
      </c>
    </row>
    <row r="157" spans="1:9">
      <c r="A157" s="1">
        <v>39477</v>
      </c>
      <c r="B157">
        <f>(3/(1+('CurrentFact-N10,20,40Unchanged'!C157)/100)+103/POWER(1+('CurrentFact-N10,20,40Unchanged'!D157)/100,2))*100</f>
        <v>9707.5857774288397</v>
      </c>
      <c r="C157">
        <f>(3/(1+('CurrentFact-N10,20,40Unchanged'!C157+'CurrentFact-N10,20,40Unchanged'!G157)/100)+103/POWER(1+('CurrentFact-N10,20,40Unchanged'!D157+'CurrentFact-N10,20,40Unchanged'!G157)/100,2))*100</f>
        <v>9614.9673582483465</v>
      </c>
      <c r="D157">
        <f>(3/(1+('CurrentFact-N10,20,40Unchanged'!C157+'CurrentFact-N10,20,40Unchanged'!H157)/100)+103/POWER(1+('CurrentFact-N10,20,40Unchanged'!D157+'CurrentFact-N10,20,40Unchanged'!H157)/100,2))*100</f>
        <v>9601.2395558122898</v>
      </c>
      <c r="E157">
        <f>(3/(1+('CurrentFact-N10,20,40Unchanged'!C157+'CurrentFact-N10,20,40Unchanged'!I157)/100)+103/POWER(1+('CurrentFact-N10,20,40Unchanged'!D157+'CurrentFact-N10,20,40Unchanged'!I157)/100,2))*100</f>
        <v>9682.3549437946931</v>
      </c>
      <c r="F157">
        <f>Portfolio!B$5*'CurrentFact-N10,20,40Unchanged'!E157</f>
        <v>52143.895533915893</v>
      </c>
      <c r="G157">
        <f>Portfolio!B$6*'CurrentFact-N10,20,40Unchanged'!F157</f>
        <v>3696.2945087936532</v>
      </c>
      <c r="H157">
        <f t="shared" si="6"/>
        <v>94446.337677993724</v>
      </c>
      <c r="I157">
        <f t="shared" si="7"/>
        <v>3.6442324955714867E-2</v>
      </c>
    </row>
    <row r="158" spans="1:9">
      <c r="A158" s="1">
        <v>39478</v>
      </c>
      <c r="B158">
        <f>(3/(1+('CurrentFact-N10,20,40Unchanged'!C158)/100)+103/POWER(1+('CurrentFact-N10,20,40Unchanged'!D158)/100,2))*100</f>
        <v>9707.5857774288397</v>
      </c>
      <c r="C158">
        <f>(3/(1+('CurrentFact-N10,20,40Unchanged'!C158+'CurrentFact-N10,20,40Unchanged'!G158)/100)+103/POWER(1+('CurrentFact-N10,20,40Unchanged'!D158+'CurrentFact-N10,20,40Unchanged'!G158)/100,2))*100</f>
        <v>9614.9673582483465</v>
      </c>
      <c r="D158">
        <f>(3/(1+('CurrentFact-N10,20,40Unchanged'!C158+'CurrentFact-N10,20,40Unchanged'!H158)/100)+103/POWER(1+('CurrentFact-N10,20,40Unchanged'!D158+'CurrentFact-N10,20,40Unchanged'!H158)/100,2))*100</f>
        <v>9601.2395558122898</v>
      </c>
      <c r="E158">
        <f>(3/(1+('CurrentFact-N10,20,40Unchanged'!C158+'CurrentFact-N10,20,40Unchanged'!I158)/100)+103/POWER(1+('CurrentFact-N10,20,40Unchanged'!D158+'CurrentFact-N10,20,40Unchanged'!I158)/100,2))*100</f>
        <v>9683.739873105038</v>
      </c>
      <c r="F158">
        <f>Portfolio!B$5*'CurrentFact-N10,20,40Unchanged'!E158</f>
        <v>52143.895533915893</v>
      </c>
      <c r="G158">
        <f>Portfolio!B$6*'CurrentFact-N10,20,40Unchanged'!F158</f>
        <v>3696.2945087936532</v>
      </c>
      <c r="H158">
        <f t="shared" si="6"/>
        <v>94447.722607304051</v>
      </c>
      <c r="I158">
        <f t="shared" si="7"/>
        <v>0.78361485074856319</v>
      </c>
    </row>
    <row r="159" spans="1:9">
      <c r="A159" s="1">
        <v>39479</v>
      </c>
      <c r="B159">
        <f>(3/(1+('CurrentFact-N10,20,40Unchanged'!C159)/100)+103/POWER(1+('CurrentFact-N10,20,40Unchanged'!D159)/100,2))*100</f>
        <v>9707.5857774288397</v>
      </c>
      <c r="C159">
        <f>(3/(1+('CurrentFact-N10,20,40Unchanged'!C159+'CurrentFact-N10,20,40Unchanged'!G159)/100)+103/POWER(1+('CurrentFact-N10,20,40Unchanged'!D159+'CurrentFact-N10,20,40Unchanged'!G159)/100,2))*100</f>
        <v>9614.9673582483465</v>
      </c>
      <c r="D159">
        <f>(3/(1+('CurrentFact-N10,20,40Unchanged'!C159+'CurrentFact-N10,20,40Unchanged'!H159)/100)+103/POWER(1+('CurrentFact-N10,20,40Unchanged'!D159+'CurrentFact-N10,20,40Unchanged'!H159)/100,2))*100</f>
        <v>9601.2395558122898</v>
      </c>
      <c r="E159">
        <f>(3/(1+('CurrentFact-N10,20,40Unchanged'!C159+'CurrentFact-N10,20,40Unchanged'!I159)/100)+103/POWER(1+('CurrentFact-N10,20,40Unchanged'!D159+'CurrentFact-N10,20,40Unchanged'!I159)/100,2))*100</f>
        <v>9683.5029573304655</v>
      </c>
      <c r="F159">
        <f>Portfolio!B$5*'CurrentFact-N10,20,40Unchanged'!E159</f>
        <v>52143.895533915893</v>
      </c>
      <c r="G159">
        <f>Portfolio!B$6*'CurrentFact-N10,20,40Unchanged'!F159</f>
        <v>3696.2945087936532</v>
      </c>
      <c r="H159">
        <f t="shared" si="6"/>
        <v>94447.485691529495</v>
      </c>
      <c r="I159">
        <f t="shared" si="7"/>
        <v>2.3140388201863971</v>
      </c>
    </row>
    <row r="160" spans="1:9">
      <c r="A160" s="1">
        <v>39482</v>
      </c>
      <c r="B160">
        <f>(3/(1+('CurrentFact-N10,20,40Unchanged'!C160)/100)+103/POWER(1+('CurrentFact-N10,20,40Unchanged'!D160)/100,2))*100</f>
        <v>9707.5857774288397</v>
      </c>
      <c r="C160">
        <f>(3/(1+('CurrentFact-N10,20,40Unchanged'!C160+'CurrentFact-N10,20,40Unchanged'!G160)/100)+103/POWER(1+('CurrentFact-N10,20,40Unchanged'!D160+'CurrentFact-N10,20,40Unchanged'!G160)/100,2))*100</f>
        <v>9614.9673582483465</v>
      </c>
      <c r="D160">
        <f>(3/(1+('CurrentFact-N10,20,40Unchanged'!C160+'CurrentFact-N10,20,40Unchanged'!H160)/100)+103/POWER(1+('CurrentFact-N10,20,40Unchanged'!D160+'CurrentFact-N10,20,40Unchanged'!H160)/100,2))*100</f>
        <v>9601.2395558122898</v>
      </c>
      <c r="E160">
        <f>(3/(1+('CurrentFact-N10,20,40Unchanged'!C160+'CurrentFact-N10,20,40Unchanged'!I160)/100)+103/POWER(1+('CurrentFact-N10,20,40Unchanged'!D160+'CurrentFact-N10,20,40Unchanged'!I160)/100,2))*100</f>
        <v>9683.4118372809407</v>
      </c>
      <c r="F160">
        <f>Portfolio!B$5*'CurrentFact-N10,20,40Unchanged'!E160</f>
        <v>52143.895533915893</v>
      </c>
      <c r="G160">
        <f>Portfolio!B$6*'CurrentFact-N10,20,40Unchanged'!F160</f>
        <v>3696.2945087936532</v>
      </c>
      <c r="H160">
        <f t="shared" si="6"/>
        <v>94447.394571479963</v>
      </c>
      <c r="I160">
        <f t="shared" si="7"/>
        <v>2.2957881790644024</v>
      </c>
    </row>
    <row r="161" spans="1:9">
      <c r="A161" s="1">
        <v>39483</v>
      </c>
      <c r="B161">
        <f>(3/(1+('CurrentFact-N10,20,40Unchanged'!C161)/100)+103/POWER(1+('CurrentFact-N10,20,40Unchanged'!D161)/100,2))*100</f>
        <v>9707.5857774288397</v>
      </c>
      <c r="C161">
        <f>(3/(1+('CurrentFact-N10,20,40Unchanged'!C161+'CurrentFact-N10,20,40Unchanged'!G161)/100)+103/POWER(1+('CurrentFact-N10,20,40Unchanged'!D161+'CurrentFact-N10,20,40Unchanged'!G161)/100,2))*100</f>
        <v>9614.9673582483465</v>
      </c>
      <c r="D161">
        <f>(3/(1+('CurrentFact-N10,20,40Unchanged'!C161+'CurrentFact-N10,20,40Unchanged'!H161)/100)+103/POWER(1+('CurrentFact-N10,20,40Unchanged'!D161+'CurrentFact-N10,20,40Unchanged'!H161)/100,2))*100</f>
        <v>9601.2395558122898</v>
      </c>
      <c r="E161">
        <f>(3/(1+('CurrentFact-N10,20,40Unchanged'!C161+'CurrentFact-N10,20,40Unchanged'!I161)/100)+103/POWER(1+('CurrentFact-N10,20,40Unchanged'!D161+'CurrentFact-N10,20,40Unchanged'!I161)/100,2))*100</f>
        <v>9684.2501876058432</v>
      </c>
      <c r="F161">
        <f>Portfolio!B$5*'CurrentFact-N10,20,40Unchanged'!E161</f>
        <v>52143.895533915893</v>
      </c>
      <c r="G161">
        <f>Portfolio!B$6*'CurrentFact-N10,20,40Unchanged'!F161</f>
        <v>3696.2945087936532</v>
      </c>
      <c r="H161">
        <f t="shared" si="6"/>
        <v>94448.232921804869</v>
      </c>
      <c r="I161">
        <f t="shared" si="7"/>
        <v>3.0248332110786578</v>
      </c>
    </row>
    <row r="162" spans="1:9">
      <c r="A162" s="1">
        <v>39484</v>
      </c>
      <c r="B162">
        <f>(3/(1+('CurrentFact-N10,20,40Unchanged'!C162)/100)+103/POWER(1+('CurrentFact-N10,20,40Unchanged'!D162)/100,2))*100</f>
        <v>9707.5857774288397</v>
      </c>
      <c r="C162">
        <f>(3/(1+('CurrentFact-N10,20,40Unchanged'!C162+'CurrentFact-N10,20,40Unchanged'!G162)/100)+103/POWER(1+('CurrentFact-N10,20,40Unchanged'!D162+'CurrentFact-N10,20,40Unchanged'!G162)/100,2))*100</f>
        <v>9614.9673582483465</v>
      </c>
      <c r="D162">
        <f>(3/(1+('CurrentFact-N10,20,40Unchanged'!C162+'CurrentFact-N10,20,40Unchanged'!H162)/100)+103/POWER(1+('CurrentFact-N10,20,40Unchanged'!D162+'CurrentFact-N10,20,40Unchanged'!H162)/100,2))*100</f>
        <v>9601.2395558122898</v>
      </c>
      <c r="E162">
        <f>(3/(1+('CurrentFact-N10,20,40Unchanged'!C162+'CurrentFact-N10,20,40Unchanged'!I162)/100)+103/POWER(1+('CurrentFact-N10,20,40Unchanged'!D162+'CurrentFact-N10,20,40Unchanged'!I162)/100,2))*100</f>
        <v>9683.8309978308025</v>
      </c>
      <c r="F162">
        <f>Portfolio!B$5*'CurrentFact-N10,20,40Unchanged'!E162</f>
        <v>52143.895533915893</v>
      </c>
      <c r="G162">
        <f>Portfolio!B$6*'CurrentFact-N10,20,40Unchanged'!F162</f>
        <v>3696.2945087936532</v>
      </c>
      <c r="H162">
        <f t="shared" si="6"/>
        <v>94447.813732029826</v>
      </c>
      <c r="I162">
        <f t="shared" si="7"/>
        <v>3.1521477311180206</v>
      </c>
    </row>
    <row r="163" spans="1:9">
      <c r="A163" s="1">
        <v>39485</v>
      </c>
      <c r="B163">
        <f>(3/(1+('CurrentFact-N10,20,40Unchanged'!C163)/100)+103/POWER(1+('CurrentFact-N10,20,40Unchanged'!D163)/100,2))*100</f>
        <v>9707.5857774288397</v>
      </c>
      <c r="C163">
        <f>(3/(1+('CurrentFact-N10,20,40Unchanged'!C163+'CurrentFact-N10,20,40Unchanged'!G163)/100)+103/POWER(1+('CurrentFact-N10,20,40Unchanged'!D163+'CurrentFact-N10,20,40Unchanged'!G163)/100,2))*100</f>
        <v>9614.9673582483465</v>
      </c>
      <c r="D163">
        <f>(3/(1+('CurrentFact-N10,20,40Unchanged'!C163+'CurrentFact-N10,20,40Unchanged'!H163)/100)+103/POWER(1+('CurrentFact-N10,20,40Unchanged'!D163+'CurrentFact-N10,20,40Unchanged'!H163)/100,2))*100</f>
        <v>9601.2395558122898</v>
      </c>
      <c r="E163">
        <f>(3/(1+('CurrentFact-N10,20,40Unchanged'!C163+'CurrentFact-N10,20,40Unchanged'!I163)/100)+103/POWER(1+('CurrentFact-N10,20,40Unchanged'!D163+'CurrentFact-N10,20,40Unchanged'!I163)/100,2))*100</f>
        <v>9681.4257502605342</v>
      </c>
      <c r="F163">
        <f>Portfolio!B$5*'CurrentFact-N10,20,40Unchanged'!E163</f>
        <v>52143.895533915893</v>
      </c>
      <c r="G163">
        <f>Portfolio!B$6*'CurrentFact-N10,20,40Unchanged'!F163</f>
        <v>3696.2945087936532</v>
      </c>
      <c r="H163">
        <f t="shared" ref="H163:H187" si="8">SUM(B163:G163)</f>
        <v>94445.408484459564</v>
      </c>
      <c r="I163">
        <f t="shared" si="7"/>
        <v>-1.0567398324201349</v>
      </c>
    </row>
    <row r="164" spans="1:9">
      <c r="A164" s="1">
        <v>39486</v>
      </c>
      <c r="B164">
        <f>(3/(1+('CurrentFact-N10,20,40Unchanged'!C164)/100)+103/POWER(1+('CurrentFact-N10,20,40Unchanged'!D164)/100,2))*100</f>
        <v>9707.5857774288397</v>
      </c>
      <c r="C164">
        <f>(3/(1+('CurrentFact-N10,20,40Unchanged'!C164+'CurrentFact-N10,20,40Unchanged'!G164)/100)+103/POWER(1+('CurrentFact-N10,20,40Unchanged'!D164+'CurrentFact-N10,20,40Unchanged'!G164)/100,2))*100</f>
        <v>9614.9673582483465</v>
      </c>
      <c r="D164">
        <f>(3/(1+('CurrentFact-N10,20,40Unchanged'!C164+'CurrentFact-N10,20,40Unchanged'!H164)/100)+103/POWER(1+('CurrentFact-N10,20,40Unchanged'!D164+'CurrentFact-N10,20,40Unchanged'!H164)/100,2))*100</f>
        <v>9601.2395558122898</v>
      </c>
      <c r="E164">
        <f>(3/(1+('CurrentFact-N10,20,40Unchanged'!C164+'CurrentFact-N10,20,40Unchanged'!I164)/100)+103/POWER(1+('CurrentFact-N10,20,40Unchanged'!D164+'CurrentFact-N10,20,40Unchanged'!I164)/100,2))*100</f>
        <v>9677.7467427287811</v>
      </c>
      <c r="F164">
        <f>Portfolio!B$5*'CurrentFact-N10,20,40Unchanged'!E164</f>
        <v>52143.895533915893</v>
      </c>
      <c r="G164">
        <f>Portfolio!B$6*'CurrentFact-N10,20,40Unchanged'!F164</f>
        <v>3696.2945087936532</v>
      </c>
      <c r="H164">
        <f t="shared" si="8"/>
        <v>94441.729476927809</v>
      </c>
      <c r="I164">
        <f t="shared" si="7"/>
        <v>-3.5514823207922745</v>
      </c>
    </row>
    <row r="165" spans="1:9">
      <c r="A165" s="1">
        <v>39489</v>
      </c>
      <c r="B165">
        <f>(3/(1+('CurrentFact-N10,20,40Unchanged'!C165)/100)+103/POWER(1+('CurrentFact-N10,20,40Unchanged'!D165)/100,2))*100</f>
        <v>9707.5857774288397</v>
      </c>
      <c r="C165">
        <f>(3/(1+('CurrentFact-N10,20,40Unchanged'!C165+'CurrentFact-N10,20,40Unchanged'!G165)/100)+103/POWER(1+('CurrentFact-N10,20,40Unchanged'!D165+'CurrentFact-N10,20,40Unchanged'!G165)/100,2))*100</f>
        <v>9614.9673582483465</v>
      </c>
      <c r="D165">
        <f>(3/(1+('CurrentFact-N10,20,40Unchanged'!C165+'CurrentFact-N10,20,40Unchanged'!H165)/100)+103/POWER(1+('CurrentFact-N10,20,40Unchanged'!D165+'CurrentFact-N10,20,40Unchanged'!H165)/100,2))*100</f>
        <v>9601.2395558122898</v>
      </c>
      <c r="E165">
        <f>(3/(1+('CurrentFact-N10,20,40Unchanged'!C165+'CurrentFact-N10,20,40Unchanged'!I165)/100)+103/POWER(1+('CurrentFact-N10,20,40Unchanged'!D165+'CurrentFact-N10,20,40Unchanged'!I165)/100,2))*100</f>
        <v>9678.3294139205445</v>
      </c>
      <c r="F165">
        <f>Portfolio!B$5*'CurrentFact-N10,20,40Unchanged'!E165</f>
        <v>52143.895533915893</v>
      </c>
      <c r="G165">
        <f>Portfolio!B$6*'CurrentFact-N10,20,40Unchanged'!F165</f>
        <v>3696.2945087936532</v>
      </c>
      <c r="H165">
        <f t="shared" si="8"/>
        <v>94442.31214811957</v>
      </c>
      <c r="I165">
        <f t="shared" si="7"/>
        <v>-2.9505929530860158</v>
      </c>
    </row>
    <row r="166" spans="1:9">
      <c r="A166" s="1">
        <v>39490</v>
      </c>
      <c r="B166">
        <f>(3/(1+('CurrentFact-N10,20,40Unchanged'!C166)/100)+103/POWER(1+('CurrentFact-N10,20,40Unchanged'!D166)/100,2))*100</f>
        <v>9707.5857774288397</v>
      </c>
      <c r="C166">
        <f>(3/(1+('CurrentFact-N10,20,40Unchanged'!C166+'CurrentFact-N10,20,40Unchanged'!G166)/100)+103/POWER(1+('CurrentFact-N10,20,40Unchanged'!D166+'CurrentFact-N10,20,40Unchanged'!G166)/100,2))*100</f>
        <v>9614.9673582483465</v>
      </c>
      <c r="D166">
        <f>(3/(1+('CurrentFact-N10,20,40Unchanged'!C166+'CurrentFact-N10,20,40Unchanged'!H166)/100)+103/POWER(1+('CurrentFact-N10,20,40Unchanged'!D166+'CurrentFact-N10,20,40Unchanged'!H166)/100,2))*100</f>
        <v>9601.2395558122898</v>
      </c>
      <c r="E166">
        <f>(3/(1+('CurrentFact-N10,20,40Unchanged'!C166+'CurrentFact-N10,20,40Unchanged'!I166)/100)+103/POWER(1+('CurrentFact-N10,20,40Unchanged'!D166+'CurrentFact-N10,20,40Unchanged'!I166)/100,2))*100</f>
        <v>9679.8591821495302</v>
      </c>
      <c r="F166">
        <f>Portfolio!B$5*'CurrentFact-N10,20,40Unchanged'!E166</f>
        <v>52143.895533915893</v>
      </c>
      <c r="G166">
        <f>Portfolio!B$6*'CurrentFact-N10,20,40Unchanged'!F166</f>
        <v>3696.2945087936532</v>
      </c>
      <c r="H166">
        <f t="shared" si="8"/>
        <v>94443.841916348552</v>
      </c>
      <c r="I166">
        <f t="shared" si="7"/>
        <v>-1.5665681110112928</v>
      </c>
    </row>
    <row r="167" spans="1:9">
      <c r="A167" s="1">
        <v>39491</v>
      </c>
      <c r="B167">
        <f>(3/(1+('CurrentFact-N10,20,40Unchanged'!C167)/100)+103/POWER(1+('CurrentFact-N10,20,40Unchanged'!D167)/100,2))*100</f>
        <v>9707.5857774288397</v>
      </c>
      <c r="C167">
        <f>(3/(1+('CurrentFact-N10,20,40Unchanged'!C167+'CurrentFact-N10,20,40Unchanged'!G167)/100)+103/POWER(1+('CurrentFact-N10,20,40Unchanged'!D167+'CurrentFact-N10,20,40Unchanged'!G167)/100,2))*100</f>
        <v>9614.9673582483465</v>
      </c>
      <c r="D167">
        <f>(3/(1+('CurrentFact-N10,20,40Unchanged'!C167+'CurrentFact-N10,20,40Unchanged'!H167)/100)+103/POWER(1+('CurrentFact-N10,20,40Unchanged'!D167+'CurrentFact-N10,20,40Unchanged'!H167)/100,2))*100</f>
        <v>9601.2395558122898</v>
      </c>
      <c r="E167">
        <f>(3/(1+('CurrentFact-N10,20,40Unchanged'!C167+'CurrentFact-N10,20,40Unchanged'!I167)/100)+103/POWER(1+('CurrentFact-N10,20,40Unchanged'!D167+'CurrentFact-N10,20,40Unchanged'!I167)/100,2))*100</f>
        <v>9680.2416810069553</v>
      </c>
      <c r="F167">
        <f>Portfolio!B$5*'CurrentFact-N10,20,40Unchanged'!E167</f>
        <v>52143.895533915893</v>
      </c>
      <c r="G167">
        <f>Portfolio!B$6*'CurrentFact-N10,20,40Unchanged'!F167</f>
        <v>3696.2945087936532</v>
      </c>
      <c r="H167">
        <f t="shared" si="8"/>
        <v>94444.224415205972</v>
      </c>
      <c r="I167">
        <f t="shared" si="7"/>
        <v>-2.1132627877523191</v>
      </c>
    </row>
    <row r="168" spans="1:9">
      <c r="A168" s="1">
        <v>39492</v>
      </c>
      <c r="B168">
        <f>(3/(1+('CurrentFact-N10,20,40Unchanged'!C168)/100)+103/POWER(1+('CurrentFact-N10,20,40Unchanged'!D168)/100,2))*100</f>
        <v>9707.5857774288397</v>
      </c>
      <c r="C168">
        <f>(3/(1+('CurrentFact-N10,20,40Unchanged'!C168+'CurrentFact-N10,20,40Unchanged'!G168)/100)+103/POWER(1+('CurrentFact-N10,20,40Unchanged'!D168+'CurrentFact-N10,20,40Unchanged'!G168)/100,2))*100</f>
        <v>9614.9673582483465</v>
      </c>
      <c r="D168">
        <f>(3/(1+('CurrentFact-N10,20,40Unchanged'!C168+'CurrentFact-N10,20,40Unchanged'!H168)/100)+103/POWER(1+('CurrentFact-N10,20,40Unchanged'!D168+'CurrentFact-N10,20,40Unchanged'!H168)/100,2))*100</f>
        <v>9601.2395558122898</v>
      </c>
      <c r="E168">
        <f>(3/(1+('CurrentFact-N10,20,40Unchanged'!C168+'CurrentFact-N10,20,40Unchanged'!I168)/100)+103/POWER(1+('CurrentFact-N10,20,40Unchanged'!D168+'CurrentFact-N10,20,40Unchanged'!I168)/100,2))*100</f>
        <v>9675.9990479662356</v>
      </c>
      <c r="F168">
        <f>Portfolio!B$5*'CurrentFact-N10,20,40Unchanged'!E168</f>
        <v>52143.895533915893</v>
      </c>
      <c r="G168">
        <f>Portfolio!B$6*'CurrentFact-N10,20,40Unchanged'!F168</f>
        <v>3696.2945087936532</v>
      </c>
      <c r="H168">
        <f t="shared" si="8"/>
        <v>94439.981782165269</v>
      </c>
      <c r="I168">
        <f t="shared" si="7"/>
        <v>-7.7408251387823839</v>
      </c>
    </row>
    <row r="169" spans="1:9">
      <c r="A169" s="1">
        <v>39493</v>
      </c>
      <c r="B169">
        <f>(3/(1+('CurrentFact-N10,20,40Unchanged'!C169)/100)+103/POWER(1+('CurrentFact-N10,20,40Unchanged'!D169)/100,2))*100</f>
        <v>9707.5857774288397</v>
      </c>
      <c r="C169">
        <f>(3/(1+('CurrentFact-N10,20,40Unchanged'!C169+'CurrentFact-N10,20,40Unchanged'!G169)/100)+103/POWER(1+('CurrentFact-N10,20,40Unchanged'!D169+'CurrentFact-N10,20,40Unchanged'!G169)/100,2))*100</f>
        <v>9614.9673582483465</v>
      </c>
      <c r="D169">
        <f>(3/(1+('CurrentFact-N10,20,40Unchanged'!C169+'CurrentFact-N10,20,40Unchanged'!H169)/100)+103/POWER(1+('CurrentFact-N10,20,40Unchanged'!D169+'CurrentFact-N10,20,40Unchanged'!H169)/100,2))*100</f>
        <v>9601.2395558122898</v>
      </c>
      <c r="E169">
        <f>(3/(1+('CurrentFact-N10,20,40Unchanged'!C169+'CurrentFact-N10,20,40Unchanged'!I169)/100)+103/POWER(1+('CurrentFact-N10,20,40Unchanged'!D169+'CurrentFact-N10,20,40Unchanged'!I169)/100,2))*100</f>
        <v>9672.5050890457296</v>
      </c>
      <c r="F169">
        <f>Portfolio!B$5*'CurrentFact-N10,20,40Unchanged'!E169</f>
        <v>52143.895533915893</v>
      </c>
      <c r="G169">
        <f>Portfolio!B$6*'CurrentFact-N10,20,40Unchanged'!F169</f>
        <v>3696.2945087936532</v>
      </c>
      <c r="H169">
        <f t="shared" si="8"/>
        <v>94436.487823244752</v>
      </c>
      <c r="I169">
        <f t="shared" si="7"/>
        <v>-10.997868284743163</v>
      </c>
    </row>
    <row r="170" spans="1:9">
      <c r="A170" s="1">
        <v>39496</v>
      </c>
      <c r="B170">
        <f>(3/(1+('CurrentFact-N10,20,40Unchanged'!C170)/100)+103/POWER(1+('CurrentFact-N10,20,40Unchanged'!D170)/100,2))*100</f>
        <v>9707.5857774288397</v>
      </c>
      <c r="C170">
        <f>(3/(1+('CurrentFact-N10,20,40Unchanged'!C170+'CurrentFact-N10,20,40Unchanged'!G170)/100)+103/POWER(1+('CurrentFact-N10,20,40Unchanged'!D170+'CurrentFact-N10,20,40Unchanged'!G170)/100,2))*100</f>
        <v>9614.9673582483465</v>
      </c>
      <c r="D170">
        <f>(3/(1+('CurrentFact-N10,20,40Unchanged'!C170+'CurrentFact-N10,20,40Unchanged'!H170)/100)+103/POWER(1+('CurrentFact-N10,20,40Unchanged'!D170+'CurrentFact-N10,20,40Unchanged'!H170)/100,2))*100</f>
        <v>9601.2395558122898</v>
      </c>
      <c r="E170">
        <f>(3/(1+('CurrentFact-N10,20,40Unchanged'!C170+'CurrentFact-N10,20,40Unchanged'!I170)/100)+103/POWER(1+('CurrentFact-N10,20,40Unchanged'!D170+'CurrentFact-N10,20,40Unchanged'!I170)/100,2))*100</f>
        <v>9674.0152636029943</v>
      </c>
      <c r="F170">
        <f>Portfolio!B$5*'CurrentFact-N10,20,40Unchanged'!E170</f>
        <v>52143.895533915893</v>
      </c>
      <c r="G170">
        <f>Portfolio!B$6*'CurrentFact-N10,20,40Unchanged'!F170</f>
        <v>3696.2945087936532</v>
      </c>
      <c r="H170">
        <f t="shared" si="8"/>
        <v>94437.997997802013</v>
      </c>
      <c r="I170">
        <f t="shared" si="7"/>
        <v>-9.396573677950073</v>
      </c>
    </row>
    <row r="171" spans="1:9">
      <c r="A171" s="1">
        <v>39497</v>
      </c>
      <c r="B171">
        <f>(3/(1+('CurrentFact-N10,20,40Unchanged'!C171)/100)+103/POWER(1+('CurrentFact-N10,20,40Unchanged'!D171)/100,2))*100</f>
        <v>9707.5857774288397</v>
      </c>
      <c r="C171">
        <f>(3/(1+('CurrentFact-N10,20,40Unchanged'!C171+'CurrentFact-N10,20,40Unchanged'!G171)/100)+103/POWER(1+('CurrentFact-N10,20,40Unchanged'!D171+'CurrentFact-N10,20,40Unchanged'!G171)/100,2))*100</f>
        <v>9614.9673582483465</v>
      </c>
      <c r="D171">
        <f>(3/(1+('CurrentFact-N10,20,40Unchanged'!C171+'CurrentFact-N10,20,40Unchanged'!H171)/100)+103/POWER(1+('CurrentFact-N10,20,40Unchanged'!D171+'CurrentFact-N10,20,40Unchanged'!H171)/100,2))*100</f>
        <v>9601.2395558122898</v>
      </c>
      <c r="E171">
        <f>(3/(1+('CurrentFact-N10,20,40Unchanged'!C171+'CurrentFact-N10,20,40Unchanged'!I171)/100)+103/POWER(1+('CurrentFact-N10,20,40Unchanged'!D171+'CurrentFact-N10,20,40Unchanged'!I171)/100,2))*100</f>
        <v>9674.3610174584901</v>
      </c>
      <c r="F171">
        <f>Portfolio!B$5*'CurrentFact-N10,20,40Unchanged'!E171</f>
        <v>52143.895533915893</v>
      </c>
      <c r="G171">
        <f>Portfolio!B$6*'CurrentFact-N10,20,40Unchanged'!F171</f>
        <v>3696.2945087936532</v>
      </c>
      <c r="H171">
        <f t="shared" si="8"/>
        <v>94438.343751657521</v>
      </c>
      <c r="I171">
        <f t="shared" si="7"/>
        <v>-9.8891701473476132</v>
      </c>
    </row>
    <row r="172" spans="1:9">
      <c r="A172" s="1">
        <v>39498</v>
      </c>
      <c r="B172">
        <f>(3/(1+('CurrentFact-N10,20,40Unchanged'!C172)/100)+103/POWER(1+('CurrentFact-N10,20,40Unchanged'!D172)/100,2))*100</f>
        <v>9707.5857774288397</v>
      </c>
      <c r="C172">
        <f>(3/(1+('CurrentFact-N10,20,40Unchanged'!C172+'CurrentFact-N10,20,40Unchanged'!G172)/100)+103/POWER(1+('CurrentFact-N10,20,40Unchanged'!D172+'CurrentFact-N10,20,40Unchanged'!G172)/100,2))*100</f>
        <v>9614.9673582483465</v>
      </c>
      <c r="D172">
        <f>(3/(1+('CurrentFact-N10,20,40Unchanged'!C172+'CurrentFact-N10,20,40Unchanged'!H172)/100)+103/POWER(1+('CurrentFact-N10,20,40Unchanged'!D172+'CurrentFact-N10,20,40Unchanged'!H172)/100,2))*100</f>
        <v>9601.2395558122898</v>
      </c>
      <c r="E172">
        <f>(3/(1+('CurrentFact-N10,20,40Unchanged'!C172+'CurrentFact-N10,20,40Unchanged'!I172)/100)+103/POWER(1+('CurrentFact-N10,20,40Unchanged'!D172+'CurrentFact-N10,20,40Unchanged'!I172)/100,2))*100</f>
        <v>9674.7431854966417</v>
      </c>
      <c r="F172">
        <f>Portfolio!B$5*'CurrentFact-N10,20,40Unchanged'!E172</f>
        <v>52143.895533915893</v>
      </c>
      <c r="G172">
        <f>Portfolio!B$6*'CurrentFact-N10,20,40Unchanged'!F172</f>
        <v>3696.2945087936532</v>
      </c>
      <c r="H172">
        <f t="shared" si="8"/>
        <v>94438.725919695658</v>
      </c>
      <c r="I172">
        <f t="shared" si="7"/>
        <v>-9.0878123341681203</v>
      </c>
    </row>
    <row r="173" spans="1:9">
      <c r="A173" s="1">
        <v>39499</v>
      </c>
      <c r="B173">
        <f>(3/(1+('CurrentFact-N10,20,40Unchanged'!C173)/100)+103/POWER(1+('CurrentFact-N10,20,40Unchanged'!D173)/100,2))*100</f>
        <v>9707.5857774288397</v>
      </c>
      <c r="C173">
        <f>(3/(1+('CurrentFact-N10,20,40Unchanged'!C173+'CurrentFact-N10,20,40Unchanged'!G173)/100)+103/POWER(1+('CurrentFact-N10,20,40Unchanged'!D173+'CurrentFact-N10,20,40Unchanged'!G173)/100,2))*100</f>
        <v>9614.9673582483465</v>
      </c>
      <c r="D173">
        <f>(3/(1+('CurrentFact-N10,20,40Unchanged'!C173+'CurrentFact-N10,20,40Unchanged'!H173)/100)+103/POWER(1+('CurrentFact-N10,20,40Unchanged'!D173+'CurrentFact-N10,20,40Unchanged'!H173)/100,2))*100</f>
        <v>9601.2395558122898</v>
      </c>
      <c r="E173">
        <f>(3/(1+('CurrentFact-N10,20,40Unchanged'!C173+'CurrentFact-N10,20,40Unchanged'!I173)/100)+103/POWER(1+('CurrentFact-N10,20,40Unchanged'!D173+'CurrentFact-N10,20,40Unchanged'!I173)/100,2))*100</f>
        <v>9678.9485628995772</v>
      </c>
      <c r="F173">
        <f>Portfolio!B$5*'CurrentFact-N10,20,40Unchanged'!E173</f>
        <v>52143.895533915893</v>
      </c>
      <c r="G173">
        <f>Portfolio!B$6*'CurrentFact-N10,20,40Unchanged'!F173</f>
        <v>3696.2945087936532</v>
      </c>
      <c r="H173">
        <f t="shared" si="8"/>
        <v>94442.931297098607</v>
      </c>
      <c r="I173">
        <f t="shared" si="7"/>
        <v>-2.4771873609570321</v>
      </c>
    </row>
    <row r="174" spans="1:9">
      <c r="A174" s="1">
        <v>39500</v>
      </c>
      <c r="B174">
        <f>(3/(1+('CurrentFact-N10,20,40Unchanged'!C174)/100)+103/POWER(1+('CurrentFact-N10,20,40Unchanged'!D174)/100,2))*100</f>
        <v>9707.5857774288397</v>
      </c>
      <c r="C174">
        <f>(3/(1+('CurrentFact-N10,20,40Unchanged'!C174+'CurrentFact-N10,20,40Unchanged'!G174)/100)+103/POWER(1+('CurrentFact-N10,20,40Unchanged'!D174+'CurrentFact-N10,20,40Unchanged'!G174)/100,2))*100</f>
        <v>9614.9673582483465</v>
      </c>
      <c r="D174">
        <f>(3/(1+('CurrentFact-N10,20,40Unchanged'!C174+'CurrentFact-N10,20,40Unchanged'!H174)/100)+103/POWER(1+('CurrentFact-N10,20,40Unchanged'!D174+'CurrentFact-N10,20,40Unchanged'!H174)/100,2))*100</f>
        <v>9601.2395558122898</v>
      </c>
      <c r="E174">
        <f>(3/(1+('CurrentFact-N10,20,40Unchanged'!C174+'CurrentFact-N10,20,40Unchanged'!I174)/100)+103/POWER(1+('CurrentFact-N10,20,40Unchanged'!D174+'CurrentFact-N10,20,40Unchanged'!I174)/100,2))*100</f>
        <v>9678.4386715537785</v>
      </c>
      <c r="F174">
        <f>Portfolio!B$5*'CurrentFact-N10,20,40Unchanged'!E174</f>
        <v>52143.895533915893</v>
      </c>
      <c r="G174">
        <f>Portfolio!B$6*'CurrentFact-N10,20,40Unchanged'!F174</f>
        <v>3696.2945087936532</v>
      </c>
      <c r="H174">
        <f t="shared" si="8"/>
        <v>94442.421405752801</v>
      </c>
      <c r="I174">
        <f t="shared" si="7"/>
        <v>0.6919288249919191</v>
      </c>
    </row>
    <row r="175" spans="1:9">
      <c r="A175" s="1">
        <v>39503</v>
      </c>
      <c r="B175">
        <f>(3/(1+('CurrentFact-N10,20,40Unchanged'!C175)/100)+103/POWER(1+('CurrentFact-N10,20,40Unchanged'!D175)/100,2))*100</f>
        <v>9707.5857774288397</v>
      </c>
      <c r="C175">
        <f>(3/(1+('CurrentFact-N10,20,40Unchanged'!C175+'CurrentFact-N10,20,40Unchanged'!G175)/100)+103/POWER(1+('CurrentFact-N10,20,40Unchanged'!D175+'CurrentFact-N10,20,40Unchanged'!G175)/100,2))*100</f>
        <v>9614.9673582483465</v>
      </c>
      <c r="D175">
        <f>(3/(1+('CurrentFact-N10,20,40Unchanged'!C175+'CurrentFact-N10,20,40Unchanged'!H175)/100)+103/POWER(1+('CurrentFact-N10,20,40Unchanged'!D175+'CurrentFact-N10,20,40Unchanged'!H175)/100,2))*100</f>
        <v>9601.2395558122898</v>
      </c>
      <c r="E175">
        <f>(3/(1+('CurrentFact-N10,20,40Unchanged'!C175+'CurrentFact-N10,20,40Unchanged'!I175)/100)+103/POWER(1+('CurrentFact-N10,20,40Unchanged'!D175+'CurrentFact-N10,20,40Unchanged'!I175)/100,2))*100</f>
        <v>9679.5313437128316</v>
      </c>
      <c r="F175">
        <f>Portfolio!B$5*'CurrentFact-N10,20,40Unchanged'!E175</f>
        <v>52143.895533915893</v>
      </c>
      <c r="G175">
        <f>Portfolio!B$6*'CurrentFact-N10,20,40Unchanged'!F175</f>
        <v>3696.2945087936532</v>
      </c>
      <c r="H175">
        <f t="shared" si="8"/>
        <v>94443.514077911852</v>
      </c>
      <c r="I175">
        <f t="shared" si="7"/>
        <v>1.2019297922815895</v>
      </c>
    </row>
    <row r="176" spans="1:9">
      <c r="A176" s="1">
        <v>39504</v>
      </c>
      <c r="B176">
        <f>(3/(1+('CurrentFact-N10,20,40Unchanged'!C176)/100)+103/POWER(1+('CurrentFact-N10,20,40Unchanged'!D176)/100,2))*100</f>
        <v>9707.5857774288397</v>
      </c>
      <c r="C176">
        <f>(3/(1+('CurrentFact-N10,20,40Unchanged'!C176+'CurrentFact-N10,20,40Unchanged'!G176)/100)+103/POWER(1+('CurrentFact-N10,20,40Unchanged'!D176+'CurrentFact-N10,20,40Unchanged'!G176)/100,2))*100</f>
        <v>9614.9673582483465</v>
      </c>
      <c r="D176">
        <f>(3/(1+('CurrentFact-N10,20,40Unchanged'!C176+'CurrentFact-N10,20,40Unchanged'!H176)/100)+103/POWER(1+('CurrentFact-N10,20,40Unchanged'!D176+'CurrentFact-N10,20,40Unchanged'!H176)/100,2))*100</f>
        <v>9601.2395558122898</v>
      </c>
      <c r="E176">
        <f>(3/(1+('CurrentFact-N10,20,40Unchanged'!C176+'CurrentFact-N10,20,40Unchanged'!I176)/100)+103/POWER(1+('CurrentFact-N10,20,40Unchanged'!D176+'CurrentFact-N10,20,40Unchanged'!I176)/100,2))*100</f>
        <v>9680.1506074427598</v>
      </c>
      <c r="F176">
        <f>Portfolio!B$5*'CurrentFact-N10,20,40Unchanged'!E176</f>
        <v>52143.895533915893</v>
      </c>
      <c r="G176">
        <f>Portfolio!B$6*'CurrentFact-N10,20,40Unchanged'!F176</f>
        <v>3696.2945087936532</v>
      </c>
      <c r="H176">
        <f t="shared" si="8"/>
        <v>94444.133341641776</v>
      </c>
      <c r="I176">
        <f t="shared" si="7"/>
        <v>0.29142529322416522</v>
      </c>
    </row>
    <row r="177" spans="1:9">
      <c r="A177" s="1">
        <v>39505</v>
      </c>
      <c r="B177">
        <f>(3/(1+('CurrentFact-N10,20,40Unchanged'!C177)/100)+103/POWER(1+('CurrentFact-N10,20,40Unchanged'!D177)/100,2))*100</f>
        <v>9707.5857774288397</v>
      </c>
      <c r="C177">
        <f>(3/(1+('CurrentFact-N10,20,40Unchanged'!C177+'CurrentFact-N10,20,40Unchanged'!G177)/100)+103/POWER(1+('CurrentFact-N10,20,40Unchanged'!D177+'CurrentFact-N10,20,40Unchanged'!G177)/100,2))*100</f>
        <v>9614.9673582483465</v>
      </c>
      <c r="D177">
        <f>(3/(1+('CurrentFact-N10,20,40Unchanged'!C177+'CurrentFact-N10,20,40Unchanged'!H177)/100)+103/POWER(1+('CurrentFact-N10,20,40Unchanged'!D177+'CurrentFact-N10,20,40Unchanged'!H177)/100,2))*100</f>
        <v>9601.2395558122898</v>
      </c>
      <c r="E177">
        <f>(3/(1+('CurrentFact-N10,20,40Unchanged'!C177+'CurrentFact-N10,20,40Unchanged'!I177)/100)+103/POWER(1+('CurrentFact-N10,20,40Unchanged'!D177+'CurrentFact-N10,20,40Unchanged'!I177)/100,2))*100</f>
        <v>9680.8063629512781</v>
      </c>
      <c r="F177">
        <f>Portfolio!B$5*'CurrentFact-N10,20,40Unchanged'!E177</f>
        <v>52143.895533915893</v>
      </c>
      <c r="G177">
        <f>Portfolio!B$6*'CurrentFact-N10,20,40Unchanged'!F177</f>
        <v>3696.2945087936532</v>
      </c>
      <c r="H177">
        <f t="shared" si="8"/>
        <v>94444.789097150293</v>
      </c>
      <c r="I177">
        <f t="shared" si="7"/>
        <v>0.56468194432090968</v>
      </c>
    </row>
    <row r="178" spans="1:9">
      <c r="A178" s="1">
        <v>39506</v>
      </c>
      <c r="B178">
        <f>(3/(1+('CurrentFact-N10,20,40Unchanged'!C178)/100)+103/POWER(1+('CurrentFact-N10,20,40Unchanged'!D178)/100,2))*100</f>
        <v>9707.5857774288397</v>
      </c>
      <c r="C178">
        <f>(3/(1+('CurrentFact-N10,20,40Unchanged'!C178+'CurrentFact-N10,20,40Unchanged'!G178)/100)+103/POWER(1+('CurrentFact-N10,20,40Unchanged'!D178+'CurrentFact-N10,20,40Unchanged'!G178)/100,2))*100</f>
        <v>9614.9673582483465</v>
      </c>
      <c r="D178">
        <f>(3/(1+('CurrentFact-N10,20,40Unchanged'!C178+'CurrentFact-N10,20,40Unchanged'!H178)/100)+103/POWER(1+('CurrentFact-N10,20,40Unchanged'!D178+'CurrentFact-N10,20,40Unchanged'!H178)/100,2))*100</f>
        <v>9601.2395558122898</v>
      </c>
      <c r="E178">
        <f>(3/(1+('CurrentFact-N10,20,40Unchanged'!C178+'CurrentFact-N10,20,40Unchanged'!I178)/100)+103/POWER(1+('CurrentFact-N10,20,40Unchanged'!D178+'CurrentFact-N10,20,40Unchanged'!I178)/100,2))*100</f>
        <v>9680.788146177485</v>
      </c>
      <c r="F178">
        <f>Portfolio!B$5*'CurrentFact-N10,20,40Unchanged'!E178</f>
        <v>52143.895533915893</v>
      </c>
      <c r="G178">
        <f>Portfolio!B$6*'CurrentFact-N10,20,40Unchanged'!F178</f>
        <v>3696.2945087936532</v>
      </c>
      <c r="H178">
        <f t="shared" si="8"/>
        <v>94444.770880376513</v>
      </c>
      <c r="I178">
        <f t="shared" si="7"/>
        <v>4.7890982112439815</v>
      </c>
    </row>
    <row r="179" spans="1:9">
      <c r="A179" s="1">
        <v>39507</v>
      </c>
      <c r="B179">
        <f>(3/(1+('CurrentFact-N10,20,40Unchanged'!C179)/100)+103/POWER(1+('CurrentFact-N10,20,40Unchanged'!D179)/100,2))*100</f>
        <v>9707.5857774288397</v>
      </c>
      <c r="C179">
        <f>(3/(1+('CurrentFact-N10,20,40Unchanged'!C179+'CurrentFact-N10,20,40Unchanged'!G179)/100)+103/POWER(1+('CurrentFact-N10,20,40Unchanged'!D179+'CurrentFact-N10,20,40Unchanged'!G179)/100,2))*100</f>
        <v>9614.9673582483465</v>
      </c>
      <c r="D179">
        <f>(3/(1+('CurrentFact-N10,20,40Unchanged'!C179+'CurrentFact-N10,20,40Unchanged'!H179)/100)+103/POWER(1+('CurrentFact-N10,20,40Unchanged'!D179+'CurrentFact-N10,20,40Unchanged'!H179)/100,2))*100</f>
        <v>9601.2395558122898</v>
      </c>
      <c r="E179">
        <f>(3/(1+('CurrentFact-N10,20,40Unchanged'!C179+'CurrentFact-N10,20,40Unchanged'!I179)/100)+103/POWER(1+('CurrentFact-N10,20,40Unchanged'!D179+'CurrentFact-N10,20,40Unchanged'!I179)/100,2))*100</f>
        <v>9682.9562582542785</v>
      </c>
      <c r="F179">
        <f>Portfolio!B$5*'CurrentFact-N10,20,40Unchanged'!E179</f>
        <v>52143.895533915893</v>
      </c>
      <c r="G179">
        <f>Portfolio!B$6*'CurrentFact-N10,20,40Unchanged'!F179</f>
        <v>3696.2945087936532</v>
      </c>
      <c r="H179">
        <f t="shared" si="8"/>
        <v>94446.938992453302</v>
      </c>
      <c r="I179">
        <f t="shared" si="7"/>
        <v>10.451169208550709</v>
      </c>
    </row>
    <row r="180" spans="1:9">
      <c r="A180" s="1">
        <v>39510</v>
      </c>
      <c r="B180">
        <f>(3/(1+('CurrentFact-N10,20,40Unchanged'!C180)/100)+103/POWER(1+('CurrentFact-N10,20,40Unchanged'!D180)/100,2))*100</f>
        <v>9707.5857774288397</v>
      </c>
      <c r="C180">
        <f>(3/(1+('CurrentFact-N10,20,40Unchanged'!C180+'CurrentFact-N10,20,40Unchanged'!G180)/100)+103/POWER(1+('CurrentFact-N10,20,40Unchanged'!D180+'CurrentFact-N10,20,40Unchanged'!G180)/100,2))*100</f>
        <v>9614.9673582483465</v>
      </c>
      <c r="D180">
        <f>(3/(1+('CurrentFact-N10,20,40Unchanged'!C180+'CurrentFact-N10,20,40Unchanged'!H180)/100)+103/POWER(1+('CurrentFact-N10,20,40Unchanged'!D180+'CurrentFact-N10,20,40Unchanged'!H180)/100,2))*100</f>
        <v>9601.2395558122898</v>
      </c>
      <c r="E180">
        <f>(3/(1+('CurrentFact-N10,20,40Unchanged'!C180+'CurrentFact-N10,20,40Unchanged'!I180)/100)+103/POWER(1+('CurrentFact-N10,20,40Unchanged'!D180+'CurrentFact-N10,20,40Unchanged'!I180)/100,2))*100</f>
        <v>9682.9562582542785</v>
      </c>
      <c r="F180">
        <f>Portfolio!B$5*'CurrentFact-N10,20,40Unchanged'!E180</f>
        <v>52143.895533915893</v>
      </c>
      <c r="G180">
        <f>Portfolio!B$6*'CurrentFact-N10,20,40Unchanged'!F180</f>
        <v>3696.2945087936532</v>
      </c>
      <c r="H180">
        <f t="shared" si="8"/>
        <v>94446.938992453302</v>
      </c>
      <c r="I180">
        <f t="shared" si="7"/>
        <v>8.9409946512896568</v>
      </c>
    </row>
    <row r="181" spans="1:9">
      <c r="A181" s="1">
        <v>39511</v>
      </c>
      <c r="B181">
        <f>(3/(1+('CurrentFact-N10,20,40Unchanged'!C181)/100)+103/POWER(1+('CurrentFact-N10,20,40Unchanged'!D181)/100,2))*100</f>
        <v>9707.5857774288397</v>
      </c>
      <c r="C181">
        <f>(3/(1+('CurrentFact-N10,20,40Unchanged'!C181+'CurrentFact-N10,20,40Unchanged'!G181)/100)+103/POWER(1+('CurrentFact-N10,20,40Unchanged'!D181+'CurrentFact-N10,20,40Unchanged'!G181)/100,2))*100</f>
        <v>9614.9673582483465</v>
      </c>
      <c r="D181">
        <f>(3/(1+('CurrentFact-N10,20,40Unchanged'!C181+'CurrentFact-N10,20,40Unchanged'!H181)/100)+103/POWER(1+('CurrentFact-N10,20,40Unchanged'!D181+'CurrentFact-N10,20,40Unchanged'!H181)/100,2))*100</f>
        <v>9601.2395558122898</v>
      </c>
      <c r="E181">
        <f>(3/(1+('CurrentFact-N10,20,40Unchanged'!C181+'CurrentFact-N10,20,40Unchanged'!I181)/100)+103/POWER(1+('CurrentFact-N10,20,40Unchanged'!D181+'CurrentFact-N10,20,40Unchanged'!I181)/100,2))*100</f>
        <v>9683.4300615345237</v>
      </c>
      <c r="F181">
        <f>Portfolio!B$5*'CurrentFact-N10,20,40Unchanged'!E181</f>
        <v>52143.895533915893</v>
      </c>
      <c r="G181">
        <f>Portfolio!B$6*'CurrentFact-N10,20,40Unchanged'!F181</f>
        <v>3696.2945087936532</v>
      </c>
      <c r="H181">
        <f t="shared" si="8"/>
        <v>94447.412795733544</v>
      </c>
      <c r="I181">
        <f t="shared" si="7"/>
        <v>9.069044076022692</v>
      </c>
    </row>
    <row r="182" spans="1:9">
      <c r="A182" s="1">
        <v>39512</v>
      </c>
      <c r="B182">
        <f>(3/(1+('CurrentFact-N10,20,40Unchanged'!C182)/100)+103/POWER(1+('CurrentFact-N10,20,40Unchanged'!D182)/100,2))*100</f>
        <v>9707.5857774288397</v>
      </c>
      <c r="C182">
        <f>(3/(1+('CurrentFact-N10,20,40Unchanged'!C182+'CurrentFact-N10,20,40Unchanged'!G182)/100)+103/POWER(1+('CurrentFact-N10,20,40Unchanged'!D182+'CurrentFact-N10,20,40Unchanged'!G182)/100,2))*100</f>
        <v>9614.9673582483465</v>
      </c>
      <c r="D182">
        <f>(3/(1+('CurrentFact-N10,20,40Unchanged'!C182+'CurrentFact-N10,20,40Unchanged'!H182)/100)+103/POWER(1+('CurrentFact-N10,20,40Unchanged'!D182+'CurrentFact-N10,20,40Unchanged'!H182)/100,2))*100</f>
        <v>9601.2395558122898</v>
      </c>
      <c r="E182">
        <f>(3/(1+('CurrentFact-N10,20,40Unchanged'!C182+'CurrentFact-N10,20,40Unchanged'!I182)/100)+103/POWER(1+('CurrentFact-N10,20,40Unchanged'!D182+'CurrentFact-N10,20,40Unchanged'!I182)/100,2))*100</f>
        <v>9683.8492232794542</v>
      </c>
      <c r="F182">
        <f>Portfolio!B$5*'CurrentFact-N10,20,40Unchanged'!E182</f>
        <v>52143.895533915893</v>
      </c>
      <c r="G182">
        <f>Portfolio!B$6*'CurrentFact-N10,20,40Unchanged'!F182</f>
        <v>3696.2945087936532</v>
      </c>
      <c r="H182">
        <f t="shared" si="8"/>
        <v>94447.831957478484</v>
      </c>
      <c r="I182">
        <f t="shared" si="7"/>
        <v>9.1060377828252967</v>
      </c>
    </row>
    <row r="183" spans="1:9">
      <c r="A183" s="1">
        <v>39513</v>
      </c>
      <c r="B183">
        <f>(3/(1+('CurrentFact-N10,20,40Unchanged'!C183)/100)+103/POWER(1+('CurrentFact-N10,20,40Unchanged'!D183)/100,2))*100</f>
        <v>9707.5857774288397</v>
      </c>
      <c r="C183">
        <f>(3/(1+('CurrentFact-N10,20,40Unchanged'!C183+'CurrentFact-N10,20,40Unchanged'!G183)/100)+103/POWER(1+('CurrentFact-N10,20,40Unchanged'!D183+'CurrentFact-N10,20,40Unchanged'!G183)/100,2))*100</f>
        <v>9614.9673582483465</v>
      </c>
      <c r="D183">
        <f>(3/(1+('CurrentFact-N10,20,40Unchanged'!C183+'CurrentFact-N10,20,40Unchanged'!H183)/100)+103/POWER(1+('CurrentFact-N10,20,40Unchanged'!D183+'CurrentFact-N10,20,40Unchanged'!H183)/100,2))*100</f>
        <v>9601.2395558122898</v>
      </c>
      <c r="E183">
        <f>(3/(1+('CurrentFact-N10,20,40Unchanged'!C183+'CurrentFact-N10,20,40Unchanged'!I183)/100)+103/POWER(1+('CurrentFact-N10,20,40Unchanged'!D183+'CurrentFact-N10,20,40Unchanged'!I183)/100,2))*100</f>
        <v>9682.755812656851</v>
      </c>
      <c r="F183">
        <f>Portfolio!B$5*'CurrentFact-N10,20,40Unchanged'!E183</f>
        <v>52143.895533915893</v>
      </c>
      <c r="G183">
        <f>Portfolio!B$6*'CurrentFact-N10,20,40Unchanged'!F183</f>
        <v>3696.2945087936532</v>
      </c>
      <c r="H183">
        <f t="shared" si="8"/>
        <v>94446.738546855864</v>
      </c>
      <c r="I183">
        <f t="shared" si="7"/>
        <v>3.807249757257523</v>
      </c>
    </row>
    <row r="184" spans="1:9">
      <c r="A184" s="1">
        <v>39514</v>
      </c>
      <c r="B184">
        <f>(3/(1+('CurrentFact-N10,20,40Unchanged'!C184)/100)+103/POWER(1+('CurrentFact-N10,20,40Unchanged'!D184)/100,2))*100</f>
        <v>9707.5857774288397</v>
      </c>
      <c r="C184">
        <f>(3/(1+('CurrentFact-N10,20,40Unchanged'!C184+'CurrentFact-N10,20,40Unchanged'!G184)/100)+103/POWER(1+('CurrentFact-N10,20,40Unchanged'!D184+'CurrentFact-N10,20,40Unchanged'!G184)/100,2))*100</f>
        <v>9614.9673582483465</v>
      </c>
      <c r="D184">
        <f>(3/(1+('CurrentFact-N10,20,40Unchanged'!C184+'CurrentFact-N10,20,40Unchanged'!H184)/100)+103/POWER(1+('CurrentFact-N10,20,40Unchanged'!D184+'CurrentFact-N10,20,40Unchanged'!H184)/100,2))*100</f>
        <v>9601.2395558122898</v>
      </c>
      <c r="E184">
        <f>(3/(1+('CurrentFact-N10,20,40Unchanged'!C184+'CurrentFact-N10,20,40Unchanged'!I184)/100)+103/POWER(1+('CurrentFact-N10,20,40Unchanged'!D184+'CurrentFact-N10,20,40Unchanged'!I184)/100,2))*100</f>
        <v>9683.0838165525784</v>
      </c>
      <c r="F184">
        <f>Portfolio!B$5*'CurrentFact-N10,20,40Unchanged'!E184</f>
        <v>52143.895533915893</v>
      </c>
      <c r="G184">
        <f>Portfolio!B$6*'CurrentFact-N10,20,40Unchanged'!F184</f>
        <v>3696.2945087936532</v>
      </c>
      <c r="H184">
        <f t="shared" si="8"/>
        <v>94447.066550751595</v>
      </c>
      <c r="I184">
        <f t="shared" si="7"/>
        <v>4.6451449987944216</v>
      </c>
    </row>
    <row r="185" spans="1:9">
      <c r="A185" s="1">
        <v>39517</v>
      </c>
      <c r="B185">
        <f>(3/(1+('CurrentFact-N10,20,40Unchanged'!C185)/100)+103/POWER(1+('CurrentFact-N10,20,40Unchanged'!D185)/100,2))*100</f>
        <v>9707.5857774288397</v>
      </c>
      <c r="C185">
        <f>(3/(1+('CurrentFact-N10,20,40Unchanged'!C185+'CurrentFact-N10,20,40Unchanged'!G185)/100)+103/POWER(1+('CurrentFact-N10,20,40Unchanged'!D185+'CurrentFact-N10,20,40Unchanged'!G185)/100,2))*100</f>
        <v>9614.9673582483465</v>
      </c>
      <c r="D185">
        <f>(3/(1+('CurrentFact-N10,20,40Unchanged'!C185+'CurrentFact-N10,20,40Unchanged'!H185)/100)+103/POWER(1+('CurrentFact-N10,20,40Unchanged'!D185+'CurrentFact-N10,20,40Unchanged'!H185)/100,2))*100</f>
        <v>9601.2395558122898</v>
      </c>
      <c r="E185">
        <f>(3/(1+('CurrentFact-N10,20,40Unchanged'!C185+'CurrentFact-N10,20,40Unchanged'!I185)/100)+103/POWER(1+('CurrentFact-N10,20,40Unchanged'!D185+'CurrentFact-N10,20,40Unchanged'!I185)/100,2))*100</f>
        <v>9684.8516803853108</v>
      </c>
      <c r="F185">
        <f>Portfolio!B$5*'CurrentFact-N10,20,40Unchanged'!E185</f>
        <v>52143.895533915893</v>
      </c>
      <c r="G185">
        <f>Portfolio!B$6*'CurrentFact-N10,20,40Unchanged'!F185</f>
        <v>3696.2945087936532</v>
      </c>
      <c r="H185">
        <f t="shared" si="8"/>
        <v>94448.834414584329</v>
      </c>
      <c r="I185">
        <f t="shared" si="7"/>
        <v>5.3203366724774241</v>
      </c>
    </row>
    <row r="186" spans="1:9">
      <c r="A186" s="1">
        <v>39518</v>
      </c>
      <c r="B186">
        <f>(3/(1+('CurrentFact-N10,20,40Unchanged'!C186)/100)+103/POWER(1+('CurrentFact-N10,20,40Unchanged'!D186)/100,2))*100</f>
        <v>9707.5857774288397</v>
      </c>
      <c r="C186">
        <f>(3/(1+('CurrentFact-N10,20,40Unchanged'!C186+'CurrentFact-N10,20,40Unchanged'!G186)/100)+103/POWER(1+('CurrentFact-N10,20,40Unchanged'!D186+'CurrentFact-N10,20,40Unchanged'!G186)/100,2))*100</f>
        <v>9614.9673582483465</v>
      </c>
      <c r="D186">
        <f>(3/(1+('CurrentFact-N10,20,40Unchanged'!C186+'CurrentFact-N10,20,40Unchanged'!H186)/100)+103/POWER(1+('CurrentFact-N10,20,40Unchanged'!D186+'CurrentFact-N10,20,40Unchanged'!H186)/100,2))*100</f>
        <v>9601.2395558122898</v>
      </c>
      <c r="E186">
        <f>(3/(1+('CurrentFact-N10,20,40Unchanged'!C186+'CurrentFact-N10,20,40Unchanged'!I186)/100)+103/POWER(1+('CurrentFact-N10,20,40Unchanged'!D186+'CurrentFact-N10,20,40Unchanged'!I186)/100,2))*100</f>
        <v>9684.9063638793396</v>
      </c>
      <c r="F186">
        <f>Portfolio!B$5*'CurrentFact-N10,20,40Unchanged'!E186</f>
        <v>52143.895533915893</v>
      </c>
      <c r="G186">
        <f>Portfolio!B$6*'CurrentFact-N10,20,40Unchanged'!F186</f>
        <v>3696.2945087936532</v>
      </c>
      <c r="H186">
        <f t="shared" si="8"/>
        <v>94448.889098078362</v>
      </c>
      <c r="I186">
        <f t="shared" si="7"/>
        <v>4.7557564365852159</v>
      </c>
    </row>
    <row r="187" spans="1:9">
      <c r="A187" s="1">
        <v>39519</v>
      </c>
      <c r="B187">
        <f>(3/(1+('CurrentFact-N10,20,40Unchanged'!C187)/100)+103/POWER(1+('CurrentFact-N10,20,40Unchanged'!D187)/100,2))*100</f>
        <v>9707.5857774288397</v>
      </c>
      <c r="C187">
        <f>(3/(1+('CurrentFact-N10,20,40Unchanged'!C187+'CurrentFact-N10,20,40Unchanged'!G187)/100)+103/POWER(1+('CurrentFact-N10,20,40Unchanged'!D187+'CurrentFact-N10,20,40Unchanged'!G187)/100,2))*100</f>
        <v>9614.9673582483465</v>
      </c>
      <c r="D187">
        <f>(3/(1+('CurrentFact-N10,20,40Unchanged'!C187+'CurrentFact-N10,20,40Unchanged'!H187)/100)+103/POWER(1+('CurrentFact-N10,20,40Unchanged'!D187+'CurrentFact-N10,20,40Unchanged'!H187)/100,2))*100</f>
        <v>9601.2395558122898</v>
      </c>
      <c r="E187">
        <f>(3/(1+('CurrentFact-N10,20,40Unchanged'!C187+'CurrentFact-N10,20,40Unchanged'!I187)/100)+103/POWER(1+('CurrentFact-N10,20,40Unchanged'!D187+'CurrentFact-N10,20,40Unchanged'!I187)/100,2))*100</f>
        <v>9685.6902195630955</v>
      </c>
      <c r="F187">
        <f>Portfolio!B$5*'CurrentFact-N10,20,40Unchanged'!E187</f>
        <v>52143.895533915893</v>
      </c>
      <c r="G187">
        <f>Portfolio!B$6*'CurrentFact-N10,20,40Unchanged'!F187</f>
        <v>3696.2945087936532</v>
      </c>
      <c r="H187">
        <f t="shared" si="8"/>
        <v>94449.672953762114</v>
      </c>
      <c r="I187">
        <f t="shared" si="7"/>
        <v>4.883856611821102</v>
      </c>
    </row>
    <row r="188" spans="1:9">
      <c r="A188" s="1">
        <v>39520</v>
      </c>
      <c r="B188">
        <f>(3/(1+('CurrentFact-N10,20,40Unchanged'!C188)/100)+103/POWER(1+('CurrentFact-N10,20,40Unchanged'!D188)/100,2))*100</f>
        <v>9707.5857774288397</v>
      </c>
      <c r="C188">
        <f>(3/(1+('CurrentFact-N10,20,40Unchanged'!C188+'CurrentFact-N10,20,40Unchanged'!G188)/100)+103/POWER(1+('CurrentFact-N10,20,40Unchanged'!D188+'CurrentFact-N10,20,40Unchanged'!G188)/100,2))*100</f>
        <v>9614.9673582483465</v>
      </c>
      <c r="D188">
        <f>(3/(1+('CurrentFact-N10,20,40Unchanged'!C188+'CurrentFact-N10,20,40Unchanged'!H188)/100)+103/POWER(1+('CurrentFact-N10,20,40Unchanged'!D188+'CurrentFact-N10,20,40Unchanged'!H188)/100,2))*100</f>
        <v>9601.2395558122898</v>
      </c>
      <c r="E188">
        <f>(3/(1+('CurrentFact-N10,20,40Unchanged'!C188+'CurrentFact-N10,20,40Unchanged'!I188)/100)+103/POWER(1+('CurrentFact-N10,20,40Unchanged'!D188+'CurrentFact-N10,20,40Unchanged'!I188)/100,2))*100</f>
        <v>9589.2580894582061</v>
      </c>
      <c r="F188">
        <f>Portfolio!B$5*'CurrentFact-N10,20,40Unchanged'!E188</f>
        <v>52143.895533915893</v>
      </c>
      <c r="G188">
        <f>Portfolio!B$6*'CurrentFact-N10,20,40Unchanged'!F188</f>
        <v>3696.2945087936532</v>
      </c>
      <c r="H188">
        <f t="shared" ref="H188:H251" si="9">SUM(B188:G188)</f>
        <v>94353.240823657223</v>
      </c>
      <c r="I188">
        <f t="shared" ref="I188:I251" si="10">H188-H178</f>
        <v>-91.53005671928986</v>
      </c>
    </row>
    <row r="189" spans="1:9">
      <c r="A189" s="1">
        <v>39521</v>
      </c>
      <c r="B189">
        <f>(3/(1+('CurrentFact-N10,20,40Unchanged'!C189)/100)+103/POWER(1+('CurrentFact-N10,20,40Unchanged'!D189)/100,2))*100</f>
        <v>9707.5857774288397</v>
      </c>
      <c r="C189">
        <f>(3/(1+('CurrentFact-N10,20,40Unchanged'!C189+'CurrentFact-N10,20,40Unchanged'!G189)/100)+103/POWER(1+('CurrentFact-N10,20,40Unchanged'!D189+'CurrentFact-N10,20,40Unchanged'!G189)/100,2))*100</f>
        <v>9614.9673582483465</v>
      </c>
      <c r="D189">
        <f>(3/(1+('CurrentFact-N10,20,40Unchanged'!C189+'CurrentFact-N10,20,40Unchanged'!H189)/100)+103/POWER(1+('CurrentFact-N10,20,40Unchanged'!D189+'CurrentFact-N10,20,40Unchanged'!H189)/100,2))*100</f>
        <v>9601.2395558122898</v>
      </c>
      <c r="E189">
        <f>(3/(1+('CurrentFact-N10,20,40Unchanged'!C189+'CurrentFact-N10,20,40Unchanged'!I189)/100)+103/POWER(1+('CurrentFact-N10,20,40Unchanged'!D189+'CurrentFact-N10,20,40Unchanged'!I189)/100,2))*100</f>
        <v>9597.6060240066054</v>
      </c>
      <c r="F189">
        <f>Portfolio!B$5*'CurrentFact-N10,20,40Unchanged'!E189</f>
        <v>52143.895533915893</v>
      </c>
      <c r="G189">
        <f>Portfolio!B$6*'CurrentFact-N10,20,40Unchanged'!F189</f>
        <v>3696.2945087936532</v>
      </c>
      <c r="H189">
        <f t="shared" si="9"/>
        <v>94361.588758205631</v>
      </c>
      <c r="I189">
        <f t="shared" si="10"/>
        <v>-85.350234247671324</v>
      </c>
    </row>
    <row r="190" spans="1:9">
      <c r="A190" s="1">
        <v>39524</v>
      </c>
      <c r="B190">
        <f>(3/(1+('CurrentFact-N10,20,40Unchanged'!C190)/100)+103/POWER(1+('CurrentFact-N10,20,40Unchanged'!D190)/100,2))*100</f>
        <v>9707.5857774288397</v>
      </c>
      <c r="C190">
        <f>(3/(1+('CurrentFact-N10,20,40Unchanged'!C190+'CurrentFact-N10,20,40Unchanged'!G190)/100)+103/POWER(1+('CurrentFact-N10,20,40Unchanged'!D190+'CurrentFact-N10,20,40Unchanged'!G190)/100,2))*100</f>
        <v>9614.9673582483465</v>
      </c>
      <c r="D190">
        <f>(3/(1+('CurrentFact-N10,20,40Unchanged'!C190+'CurrentFact-N10,20,40Unchanged'!H190)/100)+103/POWER(1+('CurrentFact-N10,20,40Unchanged'!D190+'CurrentFact-N10,20,40Unchanged'!H190)/100,2))*100</f>
        <v>9601.2395558122898</v>
      </c>
      <c r="E190">
        <f>(3/(1+('CurrentFact-N10,20,40Unchanged'!C190+'CurrentFact-N10,20,40Unchanged'!I190)/100)+103/POWER(1+('CurrentFact-N10,20,40Unchanged'!D190+'CurrentFact-N10,20,40Unchanged'!I190)/100,2))*100</f>
        <v>9597.8361216698795</v>
      </c>
      <c r="F190">
        <f>Portfolio!B$5*'CurrentFact-N10,20,40Unchanged'!E190</f>
        <v>52143.895533915893</v>
      </c>
      <c r="G190">
        <f>Portfolio!B$6*'CurrentFact-N10,20,40Unchanged'!F190</f>
        <v>3696.2945087936532</v>
      </c>
      <c r="H190">
        <f t="shared" si="9"/>
        <v>94361.818855868914</v>
      </c>
      <c r="I190">
        <f t="shared" si="10"/>
        <v>-85.120136584388092</v>
      </c>
    </row>
    <row r="191" spans="1:9">
      <c r="A191" s="1">
        <v>39525</v>
      </c>
      <c r="B191">
        <f>(3/(1+('CurrentFact-N10,20,40Unchanged'!C191)/100)+103/POWER(1+('CurrentFact-N10,20,40Unchanged'!D191)/100,2))*100</f>
        <v>9707.5857774288397</v>
      </c>
      <c r="C191">
        <f>(3/(1+('CurrentFact-N10,20,40Unchanged'!C191+'CurrentFact-N10,20,40Unchanged'!G191)/100)+103/POWER(1+('CurrentFact-N10,20,40Unchanged'!D191+'CurrentFact-N10,20,40Unchanged'!G191)/100,2))*100</f>
        <v>9614.9673582483465</v>
      </c>
      <c r="D191">
        <f>(3/(1+('CurrentFact-N10,20,40Unchanged'!C191+'CurrentFact-N10,20,40Unchanged'!H191)/100)+103/POWER(1+('CurrentFact-N10,20,40Unchanged'!D191+'CurrentFact-N10,20,40Unchanged'!H191)/100,2))*100</f>
        <v>9601.2395558122898</v>
      </c>
      <c r="E191">
        <f>(3/(1+('CurrentFact-N10,20,40Unchanged'!C191+'CurrentFact-N10,20,40Unchanged'!I191)/100)+103/POWER(1+('CurrentFact-N10,20,40Unchanged'!D191+'CurrentFact-N10,20,40Unchanged'!I191)/100,2))*100</f>
        <v>9579.5719024089885</v>
      </c>
      <c r="F191">
        <f>Portfolio!B$5*'CurrentFact-N10,20,40Unchanged'!E191</f>
        <v>52143.895533915893</v>
      </c>
      <c r="G191">
        <f>Portfolio!B$6*'CurrentFact-N10,20,40Unchanged'!F191</f>
        <v>3696.2945087936532</v>
      </c>
      <c r="H191">
        <f t="shared" si="9"/>
        <v>94343.554636608023</v>
      </c>
      <c r="I191">
        <f t="shared" si="10"/>
        <v>-103.85815912552061</v>
      </c>
    </row>
    <row r="192" spans="1:9">
      <c r="A192" s="1">
        <v>39526</v>
      </c>
      <c r="B192">
        <f>(3/(1+('CurrentFact-N10,20,40Unchanged'!C192)/100)+103/POWER(1+('CurrentFact-N10,20,40Unchanged'!D192)/100,2))*100</f>
        <v>9707.5857774288397</v>
      </c>
      <c r="C192">
        <f>(3/(1+('CurrentFact-N10,20,40Unchanged'!C192+'CurrentFact-N10,20,40Unchanged'!G192)/100)+103/POWER(1+('CurrentFact-N10,20,40Unchanged'!D192+'CurrentFact-N10,20,40Unchanged'!G192)/100,2))*100</f>
        <v>9614.9673582483465</v>
      </c>
      <c r="D192">
        <f>(3/(1+('CurrentFact-N10,20,40Unchanged'!C192+'CurrentFact-N10,20,40Unchanged'!H192)/100)+103/POWER(1+('CurrentFact-N10,20,40Unchanged'!D192+'CurrentFact-N10,20,40Unchanged'!H192)/100,2))*100</f>
        <v>9601.2395558122898</v>
      </c>
      <c r="E192">
        <f>(3/(1+('CurrentFact-N10,20,40Unchanged'!C192+'CurrentFact-N10,20,40Unchanged'!I192)/100)+103/POWER(1+('CurrentFact-N10,20,40Unchanged'!D192+'CurrentFact-N10,20,40Unchanged'!I192)/100,2))*100</f>
        <v>9580.9411701051649</v>
      </c>
      <c r="F192">
        <f>Portfolio!B$5*'CurrentFact-N10,20,40Unchanged'!E192</f>
        <v>52143.895533915893</v>
      </c>
      <c r="G192">
        <f>Portfolio!B$6*'CurrentFact-N10,20,40Unchanged'!F192</f>
        <v>3696.2945087936532</v>
      </c>
      <c r="H192">
        <f t="shared" si="9"/>
        <v>94344.923904304189</v>
      </c>
      <c r="I192">
        <f t="shared" si="10"/>
        <v>-102.90805317429476</v>
      </c>
    </row>
    <row r="193" spans="1:9">
      <c r="A193" s="1">
        <v>39527</v>
      </c>
      <c r="B193">
        <f>(3/(1+('CurrentFact-N10,20,40Unchanged'!C193)/100)+103/POWER(1+('CurrentFact-N10,20,40Unchanged'!D193)/100,2))*100</f>
        <v>9707.5857774288397</v>
      </c>
      <c r="C193">
        <f>(3/(1+('CurrentFact-N10,20,40Unchanged'!C193+'CurrentFact-N10,20,40Unchanged'!G193)/100)+103/POWER(1+('CurrentFact-N10,20,40Unchanged'!D193+'CurrentFact-N10,20,40Unchanged'!G193)/100,2))*100</f>
        <v>9614.9673582483465</v>
      </c>
      <c r="D193">
        <f>(3/(1+('CurrentFact-N10,20,40Unchanged'!C193+'CurrentFact-N10,20,40Unchanged'!H193)/100)+103/POWER(1+('CurrentFact-N10,20,40Unchanged'!D193+'CurrentFact-N10,20,40Unchanged'!H193)/100,2))*100</f>
        <v>9601.2395558122898</v>
      </c>
      <c r="E193">
        <f>(3/(1+('CurrentFact-N10,20,40Unchanged'!C193+'CurrentFact-N10,20,40Unchanged'!I193)/100)+103/POWER(1+('CurrentFact-N10,20,40Unchanged'!D193+'CurrentFact-N10,20,40Unchanged'!I193)/100,2))*100</f>
        <v>9566.9783808950415</v>
      </c>
      <c r="F193">
        <f>Portfolio!B$5*'CurrentFact-N10,20,40Unchanged'!E193</f>
        <v>52143.895533915893</v>
      </c>
      <c r="G193">
        <f>Portfolio!B$6*'CurrentFact-N10,20,40Unchanged'!F193</f>
        <v>3696.2945087936532</v>
      </c>
      <c r="H193">
        <f t="shared" si="9"/>
        <v>94330.961115094076</v>
      </c>
      <c r="I193">
        <f t="shared" si="10"/>
        <v>-115.77743176178774</v>
      </c>
    </row>
    <row r="194" spans="1:9">
      <c r="A194" s="1">
        <v>39528</v>
      </c>
      <c r="B194">
        <f>(3/(1+('CurrentFact-N10,20,40Unchanged'!C194)/100)+103/POWER(1+('CurrentFact-N10,20,40Unchanged'!D194)/100,2))*100</f>
        <v>9707.5857774288397</v>
      </c>
      <c r="C194">
        <f>(3/(1+('CurrentFact-N10,20,40Unchanged'!C194+'CurrentFact-N10,20,40Unchanged'!G194)/100)+103/POWER(1+('CurrentFact-N10,20,40Unchanged'!D194+'CurrentFact-N10,20,40Unchanged'!G194)/100,2))*100</f>
        <v>9614.9673582483465</v>
      </c>
      <c r="D194">
        <f>(3/(1+('CurrentFact-N10,20,40Unchanged'!C194+'CurrentFact-N10,20,40Unchanged'!H194)/100)+103/POWER(1+('CurrentFact-N10,20,40Unchanged'!D194+'CurrentFact-N10,20,40Unchanged'!H194)/100,2))*100</f>
        <v>9601.2395558122898</v>
      </c>
      <c r="E194">
        <f>(3/(1+('CurrentFact-N10,20,40Unchanged'!C194+'CurrentFact-N10,20,40Unchanged'!I194)/100)+103/POWER(1+('CurrentFact-N10,20,40Unchanged'!D194+'CurrentFact-N10,20,40Unchanged'!I194)/100,2))*100</f>
        <v>9595.1066468859244</v>
      </c>
      <c r="F194">
        <f>Portfolio!B$5*'CurrentFact-N10,20,40Unchanged'!E194</f>
        <v>52143.895533915893</v>
      </c>
      <c r="G194">
        <f>Portfolio!B$6*'CurrentFact-N10,20,40Unchanged'!F194</f>
        <v>3696.2945087936532</v>
      </c>
      <c r="H194">
        <f t="shared" si="9"/>
        <v>94359.089381084952</v>
      </c>
      <c r="I194">
        <f t="shared" si="10"/>
        <v>-87.977169666643022</v>
      </c>
    </row>
    <row r="195" spans="1:9">
      <c r="A195" s="1">
        <v>39531</v>
      </c>
      <c r="B195">
        <f>(3/(1+('CurrentFact-N10,20,40Unchanged'!C195)/100)+103/POWER(1+('CurrentFact-N10,20,40Unchanged'!D195)/100,2))*100</f>
        <v>9707.5857774288397</v>
      </c>
      <c r="C195">
        <f>(3/(1+('CurrentFact-N10,20,40Unchanged'!C195+'CurrentFact-N10,20,40Unchanged'!G195)/100)+103/POWER(1+('CurrentFact-N10,20,40Unchanged'!D195+'CurrentFact-N10,20,40Unchanged'!G195)/100,2))*100</f>
        <v>9614.9673582483465</v>
      </c>
      <c r="D195">
        <f>(3/(1+('CurrentFact-N10,20,40Unchanged'!C195+'CurrentFact-N10,20,40Unchanged'!H195)/100)+103/POWER(1+('CurrentFact-N10,20,40Unchanged'!D195+'CurrentFact-N10,20,40Unchanged'!H195)/100,2))*100</f>
        <v>9601.2395558122898</v>
      </c>
      <c r="E195">
        <f>(3/(1+('CurrentFact-N10,20,40Unchanged'!C195+'CurrentFact-N10,20,40Unchanged'!I195)/100)+103/POWER(1+('CurrentFact-N10,20,40Unchanged'!D195+'CurrentFact-N10,20,40Unchanged'!I195)/100,2))*100</f>
        <v>9597.8818766610057</v>
      </c>
      <c r="F195">
        <f>Portfolio!B$5*'CurrentFact-N10,20,40Unchanged'!E195</f>
        <v>52143.895533915893</v>
      </c>
      <c r="G195">
        <f>Portfolio!B$6*'CurrentFact-N10,20,40Unchanged'!F195</f>
        <v>3696.2945087936532</v>
      </c>
      <c r="H195">
        <f t="shared" si="9"/>
        <v>94361.864610860037</v>
      </c>
      <c r="I195">
        <f t="shared" si="10"/>
        <v>-86.969803724292433</v>
      </c>
    </row>
    <row r="196" spans="1:9">
      <c r="A196" s="1">
        <v>39532</v>
      </c>
      <c r="B196">
        <f>(3/(1+('CurrentFact-N10,20,40Unchanged'!C196)/100)+103/POWER(1+('CurrentFact-N10,20,40Unchanged'!D196)/100,2))*100</f>
        <v>9707.5857774288397</v>
      </c>
      <c r="C196">
        <f>(3/(1+('CurrentFact-N10,20,40Unchanged'!C196+'CurrentFact-N10,20,40Unchanged'!G196)/100)+103/POWER(1+('CurrentFact-N10,20,40Unchanged'!D196+'CurrentFact-N10,20,40Unchanged'!G196)/100,2))*100</f>
        <v>9614.9673582483465</v>
      </c>
      <c r="D196">
        <f>(3/(1+('CurrentFact-N10,20,40Unchanged'!C196+'CurrentFact-N10,20,40Unchanged'!H196)/100)+103/POWER(1+('CurrentFact-N10,20,40Unchanged'!D196+'CurrentFact-N10,20,40Unchanged'!H196)/100,2))*100</f>
        <v>9601.2395558122898</v>
      </c>
      <c r="E196">
        <f>(3/(1+('CurrentFact-N10,20,40Unchanged'!C196+'CurrentFact-N10,20,40Unchanged'!I196)/100)+103/POWER(1+('CurrentFact-N10,20,40Unchanged'!D196+'CurrentFact-N10,20,40Unchanged'!I196)/100,2))*100</f>
        <v>9593.512268056651</v>
      </c>
      <c r="F196">
        <f>Portfolio!B$5*'CurrentFact-N10,20,40Unchanged'!E196</f>
        <v>52143.895533915893</v>
      </c>
      <c r="G196">
        <f>Portfolio!B$6*'CurrentFact-N10,20,40Unchanged'!F196</f>
        <v>3696.2945087936532</v>
      </c>
      <c r="H196">
        <f t="shared" si="9"/>
        <v>94357.495002255673</v>
      </c>
      <c r="I196">
        <f t="shared" si="10"/>
        <v>-91.394095822688541</v>
      </c>
    </row>
    <row r="197" spans="1:9">
      <c r="A197" s="1">
        <v>39533</v>
      </c>
      <c r="B197">
        <f>(3/(1+('CurrentFact-N10,20,40Unchanged'!C197)/100)+103/POWER(1+('CurrentFact-N10,20,40Unchanged'!D197)/100,2))*100</f>
        <v>9707.5857774288397</v>
      </c>
      <c r="C197">
        <f>(3/(1+('CurrentFact-N10,20,40Unchanged'!C197+'CurrentFact-N10,20,40Unchanged'!G197)/100)+103/POWER(1+('CurrentFact-N10,20,40Unchanged'!D197+'CurrentFact-N10,20,40Unchanged'!G197)/100,2))*100</f>
        <v>9614.9673582483465</v>
      </c>
      <c r="D197">
        <f>(3/(1+('CurrentFact-N10,20,40Unchanged'!C197+'CurrentFact-N10,20,40Unchanged'!H197)/100)+103/POWER(1+('CurrentFact-N10,20,40Unchanged'!D197+'CurrentFact-N10,20,40Unchanged'!H197)/100,2))*100</f>
        <v>9601.2395558122898</v>
      </c>
      <c r="E197">
        <f>(3/(1+('CurrentFact-N10,20,40Unchanged'!C197+'CurrentFact-N10,20,40Unchanged'!I197)/100)+103/POWER(1+('CurrentFact-N10,20,40Unchanged'!D197+'CurrentFact-N10,20,40Unchanged'!I197)/100,2))*100</f>
        <v>9605.8240799477662</v>
      </c>
      <c r="F197">
        <f>Portfolio!B$5*'CurrentFact-N10,20,40Unchanged'!E197</f>
        <v>52143.895533915893</v>
      </c>
      <c r="G197">
        <f>Portfolio!B$6*'CurrentFact-N10,20,40Unchanged'!F197</f>
        <v>3696.2945087936532</v>
      </c>
      <c r="H197">
        <f t="shared" si="9"/>
        <v>94369.806814146781</v>
      </c>
      <c r="I197">
        <f t="shared" si="10"/>
        <v>-79.866139615332941</v>
      </c>
    </row>
    <row r="198" spans="1:9">
      <c r="A198" s="1">
        <v>39534</v>
      </c>
      <c r="B198">
        <f>(3/(1+('CurrentFact-N10,20,40Unchanged'!C198)/100)+103/POWER(1+('CurrentFact-N10,20,40Unchanged'!D198)/100,2))*100</f>
        <v>9707.5857774288397</v>
      </c>
      <c r="C198">
        <f>(3/(1+('CurrentFact-N10,20,40Unchanged'!C198+'CurrentFact-N10,20,40Unchanged'!G198)/100)+103/POWER(1+('CurrentFact-N10,20,40Unchanged'!D198+'CurrentFact-N10,20,40Unchanged'!G198)/100,2))*100</f>
        <v>9614.9673582483465</v>
      </c>
      <c r="D198">
        <f>(3/(1+('CurrentFact-N10,20,40Unchanged'!C198+'CurrentFact-N10,20,40Unchanged'!H198)/100)+103/POWER(1+('CurrentFact-N10,20,40Unchanged'!D198+'CurrentFact-N10,20,40Unchanged'!H198)/100,2))*100</f>
        <v>9601.2395558122898</v>
      </c>
      <c r="E198">
        <f>(3/(1+('CurrentFact-N10,20,40Unchanged'!C198+'CurrentFact-N10,20,40Unchanged'!I198)/100)+103/POWER(1+('CurrentFact-N10,20,40Unchanged'!D198+'CurrentFact-N10,20,40Unchanged'!I198)/100,2))*100</f>
        <v>9574.2395176244208</v>
      </c>
      <c r="F198">
        <f>Portfolio!B$5*'CurrentFact-N10,20,40Unchanged'!E198</f>
        <v>52143.895533915893</v>
      </c>
      <c r="G198">
        <f>Portfolio!B$6*'CurrentFact-N10,20,40Unchanged'!F198</f>
        <v>3696.2945087936532</v>
      </c>
      <c r="H198">
        <f t="shared" si="9"/>
        <v>94338.222251823434</v>
      </c>
      <c r="I198">
        <f t="shared" si="10"/>
        <v>-15.018571833788883</v>
      </c>
    </row>
    <row r="199" spans="1:9">
      <c r="A199" s="1">
        <v>39535</v>
      </c>
      <c r="B199">
        <f>(3/(1+('CurrentFact-N10,20,40Unchanged'!C199)/100)+103/POWER(1+('CurrentFact-N10,20,40Unchanged'!D199)/100,2))*100</f>
        <v>9707.5857774288397</v>
      </c>
      <c r="C199">
        <f>(3/(1+('CurrentFact-N10,20,40Unchanged'!C199+'CurrentFact-N10,20,40Unchanged'!G199)/100)+103/POWER(1+('CurrentFact-N10,20,40Unchanged'!D199+'CurrentFact-N10,20,40Unchanged'!G199)/100,2))*100</f>
        <v>9614.9673582483465</v>
      </c>
      <c r="D199">
        <f>(3/(1+('CurrentFact-N10,20,40Unchanged'!C199+'CurrentFact-N10,20,40Unchanged'!H199)/100)+103/POWER(1+('CurrentFact-N10,20,40Unchanged'!D199+'CurrentFact-N10,20,40Unchanged'!H199)/100,2))*100</f>
        <v>9601.2395558122898</v>
      </c>
      <c r="E199">
        <f>(3/(1+('CurrentFact-N10,20,40Unchanged'!C199+'CurrentFact-N10,20,40Unchanged'!I199)/100)+103/POWER(1+('CurrentFact-N10,20,40Unchanged'!D199+'CurrentFact-N10,20,40Unchanged'!I199)/100,2))*100</f>
        <v>9604.3289785749912</v>
      </c>
      <c r="F199">
        <f>Portfolio!B$5*'CurrentFact-N10,20,40Unchanged'!E199</f>
        <v>52143.895533915893</v>
      </c>
      <c r="G199">
        <f>Portfolio!B$6*'CurrentFact-N10,20,40Unchanged'!F199</f>
        <v>3696.2945087936532</v>
      </c>
      <c r="H199">
        <f t="shared" si="9"/>
        <v>94368.311712774012</v>
      </c>
      <c r="I199">
        <f t="shared" si="10"/>
        <v>6.7229545683803735</v>
      </c>
    </row>
    <row r="200" spans="1:9">
      <c r="A200" s="1">
        <v>39538</v>
      </c>
      <c r="B200">
        <f>(3/(1+('CurrentFact-N10,20,40Unchanged'!C200)/100)+103/POWER(1+('CurrentFact-N10,20,40Unchanged'!D200)/100,2))*100</f>
        <v>9707.5857774288397</v>
      </c>
      <c r="C200">
        <f>(3/(1+('CurrentFact-N10,20,40Unchanged'!C200+'CurrentFact-N10,20,40Unchanged'!G200)/100)+103/POWER(1+('CurrentFact-N10,20,40Unchanged'!D200+'CurrentFact-N10,20,40Unchanged'!G200)/100,2))*100</f>
        <v>9614.9673582483465</v>
      </c>
      <c r="D200">
        <f>(3/(1+('CurrentFact-N10,20,40Unchanged'!C200+'CurrentFact-N10,20,40Unchanged'!H200)/100)+103/POWER(1+('CurrentFact-N10,20,40Unchanged'!D200+'CurrentFact-N10,20,40Unchanged'!H200)/100,2))*100</f>
        <v>9601.2395558122898</v>
      </c>
      <c r="E200">
        <f>(3/(1+('CurrentFact-N10,20,40Unchanged'!C200+'CurrentFact-N10,20,40Unchanged'!I200)/100)+103/POWER(1+('CurrentFact-N10,20,40Unchanged'!D200+'CurrentFact-N10,20,40Unchanged'!I200)/100,2))*100</f>
        <v>9584.0197129333137</v>
      </c>
      <c r="F200">
        <f>Portfolio!B$5*'CurrentFact-N10,20,40Unchanged'!E200</f>
        <v>52143.895533915893</v>
      </c>
      <c r="G200">
        <f>Portfolio!B$6*'CurrentFact-N10,20,40Unchanged'!F200</f>
        <v>3696.2945087936532</v>
      </c>
      <c r="H200">
        <f t="shared" si="9"/>
        <v>94348.002447132341</v>
      </c>
      <c r="I200">
        <f t="shared" si="10"/>
        <v>-13.816408736573067</v>
      </c>
    </row>
    <row r="201" spans="1:9">
      <c r="A201" s="1">
        <v>39539</v>
      </c>
      <c r="B201">
        <f>(3/(1+('CurrentFact-N10,20,40Unchanged'!C201)/100)+103/POWER(1+('CurrentFact-N10,20,40Unchanged'!D201)/100,2))*100</f>
        <v>9707.5857774288397</v>
      </c>
      <c r="C201">
        <f>(3/(1+('CurrentFact-N10,20,40Unchanged'!C201+'CurrentFact-N10,20,40Unchanged'!G201)/100)+103/POWER(1+('CurrentFact-N10,20,40Unchanged'!D201+'CurrentFact-N10,20,40Unchanged'!G201)/100,2))*100</f>
        <v>9614.9673582483465</v>
      </c>
      <c r="D201">
        <f>(3/(1+('CurrentFact-N10,20,40Unchanged'!C201+'CurrentFact-N10,20,40Unchanged'!H201)/100)+103/POWER(1+('CurrentFact-N10,20,40Unchanged'!D201+'CurrentFact-N10,20,40Unchanged'!H201)/100,2))*100</f>
        <v>9601.2395558122898</v>
      </c>
      <c r="E201">
        <f>(3/(1+('CurrentFact-N10,20,40Unchanged'!C201+'CurrentFact-N10,20,40Unchanged'!I201)/100)+103/POWER(1+('CurrentFact-N10,20,40Unchanged'!D201+'CurrentFact-N10,20,40Unchanged'!I201)/100,2))*100</f>
        <v>9596.2826920747411</v>
      </c>
      <c r="F201">
        <f>Portfolio!B$5*'CurrentFact-N10,20,40Unchanged'!E201</f>
        <v>52143.895533915893</v>
      </c>
      <c r="G201">
        <f>Portfolio!B$6*'CurrentFact-N10,20,40Unchanged'!F201</f>
        <v>3696.2945087936532</v>
      </c>
      <c r="H201">
        <f t="shared" si="9"/>
        <v>94360.265426273763</v>
      </c>
      <c r="I201">
        <f t="shared" si="10"/>
        <v>16.710789665739867</v>
      </c>
    </row>
    <row r="202" spans="1:9">
      <c r="A202" s="1">
        <v>39540</v>
      </c>
      <c r="B202">
        <f>(3/(1+('CurrentFact-N10,20,40Unchanged'!C202)/100)+103/POWER(1+('CurrentFact-N10,20,40Unchanged'!D202)/100,2))*100</f>
        <v>9707.5857774288397</v>
      </c>
      <c r="C202">
        <f>(3/(1+('CurrentFact-N10,20,40Unchanged'!C202+'CurrentFact-N10,20,40Unchanged'!G202)/100)+103/POWER(1+('CurrentFact-N10,20,40Unchanged'!D202+'CurrentFact-N10,20,40Unchanged'!G202)/100,2))*100</f>
        <v>9614.9673582483465</v>
      </c>
      <c r="D202">
        <f>(3/(1+('CurrentFact-N10,20,40Unchanged'!C202+'CurrentFact-N10,20,40Unchanged'!H202)/100)+103/POWER(1+('CurrentFact-N10,20,40Unchanged'!D202+'CurrentFact-N10,20,40Unchanged'!H202)/100,2))*100</f>
        <v>9601.2395558122898</v>
      </c>
      <c r="E202">
        <f>(3/(1+('CurrentFact-N10,20,40Unchanged'!C202+'CurrentFact-N10,20,40Unchanged'!I202)/100)+103/POWER(1+('CurrentFact-N10,20,40Unchanged'!D202+'CurrentFact-N10,20,40Unchanged'!I202)/100,2))*100</f>
        <v>9566.297220702867</v>
      </c>
      <c r="F202">
        <f>Portfolio!B$5*'CurrentFact-N10,20,40Unchanged'!E202</f>
        <v>52143.895533915893</v>
      </c>
      <c r="G202">
        <f>Portfolio!B$6*'CurrentFact-N10,20,40Unchanged'!F202</f>
        <v>3696.2945087936532</v>
      </c>
      <c r="H202">
        <f t="shared" si="9"/>
        <v>94330.279954901896</v>
      </c>
      <c r="I202">
        <f t="shared" si="10"/>
        <v>-14.643949402292492</v>
      </c>
    </row>
    <row r="203" spans="1:9">
      <c r="A203" s="1">
        <v>39541</v>
      </c>
      <c r="B203">
        <f>(3/(1+('CurrentFact-N10,20,40Unchanged'!C203)/100)+103/POWER(1+('CurrentFact-N10,20,40Unchanged'!D203)/100,2))*100</f>
        <v>9707.5857774288397</v>
      </c>
      <c r="C203">
        <f>(3/(1+('CurrentFact-N10,20,40Unchanged'!C203+'CurrentFact-N10,20,40Unchanged'!G203)/100)+103/POWER(1+('CurrentFact-N10,20,40Unchanged'!D203+'CurrentFact-N10,20,40Unchanged'!G203)/100,2))*100</f>
        <v>9614.9673582483465</v>
      </c>
      <c r="D203">
        <f>(3/(1+('CurrentFact-N10,20,40Unchanged'!C203+'CurrentFact-N10,20,40Unchanged'!H203)/100)+103/POWER(1+('CurrentFact-N10,20,40Unchanged'!D203+'CurrentFact-N10,20,40Unchanged'!H203)/100,2))*100</f>
        <v>9601.2395558122898</v>
      </c>
      <c r="E203">
        <f>(3/(1+('CurrentFact-N10,20,40Unchanged'!C203+'CurrentFact-N10,20,40Unchanged'!I203)/100)+103/POWER(1+('CurrentFact-N10,20,40Unchanged'!D203+'CurrentFact-N10,20,40Unchanged'!I203)/100,2))*100</f>
        <v>9583.3199530551301</v>
      </c>
      <c r="F203">
        <f>Portfolio!B$5*'CurrentFact-N10,20,40Unchanged'!E203</f>
        <v>52143.895533915893</v>
      </c>
      <c r="G203">
        <f>Portfolio!B$6*'CurrentFact-N10,20,40Unchanged'!F203</f>
        <v>3696.2945087936532</v>
      </c>
      <c r="H203">
        <f t="shared" si="9"/>
        <v>94347.302687254152</v>
      </c>
      <c r="I203">
        <f t="shared" si="10"/>
        <v>16.341572160075884</v>
      </c>
    </row>
    <row r="204" spans="1:9">
      <c r="A204" s="1">
        <v>39542</v>
      </c>
      <c r="B204">
        <f>(3/(1+('CurrentFact-N10,20,40Unchanged'!C204)/100)+103/POWER(1+('CurrentFact-N10,20,40Unchanged'!D204)/100,2))*100</f>
        <v>9707.5857774288397</v>
      </c>
      <c r="C204">
        <f>(3/(1+('CurrentFact-N10,20,40Unchanged'!C204+'CurrentFact-N10,20,40Unchanged'!G204)/100)+103/POWER(1+('CurrentFact-N10,20,40Unchanged'!D204+'CurrentFact-N10,20,40Unchanged'!G204)/100,2))*100</f>
        <v>9614.9673582483465</v>
      </c>
      <c r="D204">
        <f>(3/(1+('CurrentFact-N10,20,40Unchanged'!C204+'CurrentFact-N10,20,40Unchanged'!H204)/100)+103/POWER(1+('CurrentFact-N10,20,40Unchanged'!D204+'CurrentFact-N10,20,40Unchanged'!H204)/100,2))*100</f>
        <v>9601.2395558122898</v>
      </c>
      <c r="E204">
        <f>(3/(1+('CurrentFact-N10,20,40Unchanged'!C204+'CurrentFact-N10,20,40Unchanged'!I204)/100)+103/POWER(1+('CurrentFact-N10,20,40Unchanged'!D204+'CurrentFact-N10,20,40Unchanged'!I204)/100,2))*100</f>
        <v>9589.3712012098749</v>
      </c>
      <c r="F204">
        <f>Portfolio!B$5*'CurrentFact-N10,20,40Unchanged'!E204</f>
        <v>52143.895533915893</v>
      </c>
      <c r="G204">
        <f>Portfolio!B$6*'CurrentFact-N10,20,40Unchanged'!F204</f>
        <v>3696.2945087936532</v>
      </c>
      <c r="H204">
        <f t="shared" si="9"/>
        <v>94353.353935408901</v>
      </c>
      <c r="I204">
        <f t="shared" si="10"/>
        <v>-5.7354456760513131</v>
      </c>
    </row>
    <row r="205" spans="1:9">
      <c r="A205" s="1">
        <v>39545</v>
      </c>
      <c r="B205">
        <f>(3/(1+('CurrentFact-N10,20,40Unchanged'!C205)/100)+103/POWER(1+('CurrentFact-N10,20,40Unchanged'!D205)/100,2))*100</f>
        <v>9707.5857774288397</v>
      </c>
      <c r="C205">
        <f>(3/(1+('CurrentFact-N10,20,40Unchanged'!C205+'CurrentFact-N10,20,40Unchanged'!G205)/100)+103/POWER(1+('CurrentFact-N10,20,40Unchanged'!D205+'CurrentFact-N10,20,40Unchanged'!G205)/100,2))*100</f>
        <v>9614.9673582483465</v>
      </c>
      <c r="D205">
        <f>(3/(1+('CurrentFact-N10,20,40Unchanged'!C205+'CurrentFact-N10,20,40Unchanged'!H205)/100)+103/POWER(1+('CurrentFact-N10,20,40Unchanged'!D205+'CurrentFact-N10,20,40Unchanged'!H205)/100,2))*100</f>
        <v>9601.2395558122898</v>
      </c>
      <c r="E205">
        <f>(3/(1+('CurrentFact-N10,20,40Unchanged'!C205+'CurrentFact-N10,20,40Unchanged'!I205)/100)+103/POWER(1+('CurrentFact-N10,20,40Unchanged'!D205+'CurrentFact-N10,20,40Unchanged'!I205)/100,2))*100</f>
        <v>9594.5449984779607</v>
      </c>
      <c r="F205">
        <f>Portfolio!B$5*'CurrentFact-N10,20,40Unchanged'!E205</f>
        <v>52143.895533915893</v>
      </c>
      <c r="G205">
        <f>Portfolio!B$6*'CurrentFact-N10,20,40Unchanged'!F205</f>
        <v>3696.2945087936532</v>
      </c>
      <c r="H205">
        <f t="shared" si="9"/>
        <v>94358.527732676986</v>
      </c>
      <c r="I205">
        <f t="shared" si="10"/>
        <v>-3.3368781830504304</v>
      </c>
    </row>
    <row r="206" spans="1:9">
      <c r="A206" s="1">
        <v>39546</v>
      </c>
      <c r="B206">
        <f>(3/(1+('CurrentFact-N10,20,40Unchanged'!C206)/100)+103/POWER(1+('CurrentFact-N10,20,40Unchanged'!D206)/100,2))*100</f>
        <v>9707.5857774288397</v>
      </c>
      <c r="C206">
        <f>(3/(1+('CurrentFact-N10,20,40Unchanged'!C206+'CurrentFact-N10,20,40Unchanged'!G206)/100)+103/POWER(1+('CurrentFact-N10,20,40Unchanged'!D206+'CurrentFact-N10,20,40Unchanged'!G206)/100,2))*100</f>
        <v>9614.9673582483465</v>
      </c>
      <c r="D206">
        <f>(3/(1+('CurrentFact-N10,20,40Unchanged'!C206+'CurrentFact-N10,20,40Unchanged'!H206)/100)+103/POWER(1+('CurrentFact-N10,20,40Unchanged'!D206+'CurrentFact-N10,20,40Unchanged'!H206)/100,2))*100</f>
        <v>9601.2395558122898</v>
      </c>
      <c r="E206">
        <f>(3/(1+('CurrentFact-N10,20,40Unchanged'!C206+'CurrentFact-N10,20,40Unchanged'!I206)/100)+103/POWER(1+('CurrentFact-N10,20,40Unchanged'!D206+'CurrentFact-N10,20,40Unchanged'!I206)/100,2))*100</f>
        <v>9574.3661645693555</v>
      </c>
      <c r="F206">
        <f>Portfolio!B$5*'CurrentFact-N10,20,40Unchanged'!E206</f>
        <v>52143.895533915893</v>
      </c>
      <c r="G206">
        <f>Portfolio!B$6*'CurrentFact-N10,20,40Unchanged'!F206</f>
        <v>3696.2945087936532</v>
      </c>
      <c r="H206">
        <f t="shared" si="9"/>
        <v>94338.348898768381</v>
      </c>
      <c r="I206">
        <f t="shared" si="10"/>
        <v>-19.146103487291839</v>
      </c>
    </row>
    <row r="207" spans="1:9">
      <c r="A207" s="1">
        <v>39547</v>
      </c>
      <c r="B207">
        <f>(3/(1+('CurrentFact-N10,20,40Unchanged'!C207)/100)+103/POWER(1+('CurrentFact-N10,20,40Unchanged'!D207)/100,2))*100</f>
        <v>9707.5857774288397</v>
      </c>
      <c r="C207">
        <f>(3/(1+('CurrentFact-N10,20,40Unchanged'!C207+'CurrentFact-N10,20,40Unchanged'!G207)/100)+103/POWER(1+('CurrentFact-N10,20,40Unchanged'!D207+'CurrentFact-N10,20,40Unchanged'!G207)/100,2))*100</f>
        <v>9614.9673582483465</v>
      </c>
      <c r="D207">
        <f>(3/(1+('CurrentFact-N10,20,40Unchanged'!C207+'CurrentFact-N10,20,40Unchanged'!H207)/100)+103/POWER(1+('CurrentFact-N10,20,40Unchanged'!D207+'CurrentFact-N10,20,40Unchanged'!H207)/100,2))*100</f>
        <v>9601.2395558122898</v>
      </c>
      <c r="E207">
        <f>(3/(1+('CurrentFact-N10,20,40Unchanged'!C207+'CurrentFact-N10,20,40Unchanged'!I207)/100)+103/POWER(1+('CurrentFact-N10,20,40Unchanged'!D207+'CurrentFact-N10,20,40Unchanged'!I207)/100,2))*100</f>
        <v>9580.8463983977254</v>
      </c>
      <c r="F207">
        <f>Portfolio!B$5*'CurrentFact-N10,20,40Unchanged'!E207</f>
        <v>52143.895533915893</v>
      </c>
      <c r="G207">
        <f>Portfolio!B$6*'CurrentFact-N10,20,40Unchanged'!F207</f>
        <v>3696.2945087936532</v>
      </c>
      <c r="H207">
        <f t="shared" si="9"/>
        <v>94344.829132596758</v>
      </c>
      <c r="I207">
        <f t="shared" si="10"/>
        <v>-24.97768155002268</v>
      </c>
    </row>
    <row r="208" spans="1:9">
      <c r="A208" s="1">
        <v>39548</v>
      </c>
      <c r="B208">
        <f>(3/(1+('CurrentFact-N10,20,40Unchanged'!C208)/100)+103/POWER(1+('CurrentFact-N10,20,40Unchanged'!D208)/100,2))*100</f>
        <v>9707.5857774288397</v>
      </c>
      <c r="C208">
        <f>(3/(1+('CurrentFact-N10,20,40Unchanged'!C208+'CurrentFact-N10,20,40Unchanged'!G208)/100)+103/POWER(1+('CurrentFact-N10,20,40Unchanged'!D208+'CurrentFact-N10,20,40Unchanged'!G208)/100,2))*100</f>
        <v>9614.9673582483465</v>
      </c>
      <c r="D208">
        <f>(3/(1+('CurrentFact-N10,20,40Unchanged'!C208+'CurrentFact-N10,20,40Unchanged'!H208)/100)+103/POWER(1+('CurrentFact-N10,20,40Unchanged'!D208+'CurrentFact-N10,20,40Unchanged'!H208)/100,2))*100</f>
        <v>9601.2395558122898</v>
      </c>
      <c r="E208">
        <f>(3/(1+('CurrentFact-N10,20,40Unchanged'!C208+'CurrentFact-N10,20,40Unchanged'!I208)/100)+103/POWER(1+('CurrentFact-N10,20,40Unchanged'!D208+'CurrentFact-N10,20,40Unchanged'!I208)/100,2))*100</f>
        <v>9560.0837518491226</v>
      </c>
      <c r="F208">
        <f>Portfolio!B$5*'CurrentFact-N10,20,40Unchanged'!E208</f>
        <v>52143.895533915893</v>
      </c>
      <c r="G208">
        <f>Portfolio!B$6*'CurrentFact-N10,20,40Unchanged'!F208</f>
        <v>3696.2945087936532</v>
      </c>
      <c r="H208">
        <f t="shared" si="9"/>
        <v>94324.066486048148</v>
      </c>
      <c r="I208">
        <f t="shared" si="10"/>
        <v>-14.155765775285545</v>
      </c>
    </row>
    <row r="209" spans="1:9">
      <c r="A209" s="1">
        <v>39549</v>
      </c>
      <c r="B209">
        <f>(3/(1+('CurrentFact-N10,20,40Unchanged'!C209)/100)+103/POWER(1+('CurrentFact-N10,20,40Unchanged'!D209)/100,2))*100</f>
        <v>9707.5857774288397</v>
      </c>
      <c r="C209">
        <f>(3/(1+('CurrentFact-N10,20,40Unchanged'!C209+'CurrentFact-N10,20,40Unchanged'!G209)/100)+103/POWER(1+('CurrentFact-N10,20,40Unchanged'!D209+'CurrentFact-N10,20,40Unchanged'!G209)/100,2))*100</f>
        <v>9614.9673582483465</v>
      </c>
      <c r="D209">
        <f>(3/(1+('CurrentFact-N10,20,40Unchanged'!C209+'CurrentFact-N10,20,40Unchanged'!H209)/100)+103/POWER(1+('CurrentFact-N10,20,40Unchanged'!D209+'CurrentFact-N10,20,40Unchanged'!H209)/100,2))*100</f>
        <v>9601.2395558122898</v>
      </c>
      <c r="E209">
        <f>(3/(1+('CurrentFact-N10,20,40Unchanged'!C209+'CurrentFact-N10,20,40Unchanged'!I209)/100)+103/POWER(1+('CurrentFact-N10,20,40Unchanged'!D209+'CurrentFact-N10,20,40Unchanged'!I209)/100,2))*100</f>
        <v>9580.2486579575962</v>
      </c>
      <c r="F209">
        <f>Portfolio!B$5*'CurrentFact-N10,20,40Unchanged'!E209</f>
        <v>52143.895533915893</v>
      </c>
      <c r="G209">
        <f>Portfolio!B$6*'CurrentFact-N10,20,40Unchanged'!F209</f>
        <v>3696.2945087936532</v>
      </c>
      <c r="H209">
        <f t="shared" si="9"/>
        <v>94344.231392156624</v>
      </c>
      <c r="I209">
        <f t="shared" si="10"/>
        <v>-24.08032061738777</v>
      </c>
    </row>
    <row r="210" spans="1:9">
      <c r="A210" s="1">
        <v>39552</v>
      </c>
      <c r="B210">
        <f>(3/(1+('CurrentFact-N10,20,40Unchanged'!C210)/100)+103/POWER(1+('CurrentFact-N10,20,40Unchanged'!D210)/100,2))*100</f>
        <v>9707.5857774288397</v>
      </c>
      <c r="C210">
        <f>(3/(1+('CurrentFact-N10,20,40Unchanged'!C210+'CurrentFact-N10,20,40Unchanged'!G210)/100)+103/POWER(1+('CurrentFact-N10,20,40Unchanged'!D210+'CurrentFact-N10,20,40Unchanged'!G210)/100,2))*100</f>
        <v>9614.9673582483465</v>
      </c>
      <c r="D210">
        <f>(3/(1+('CurrentFact-N10,20,40Unchanged'!C210+'CurrentFact-N10,20,40Unchanged'!H210)/100)+103/POWER(1+('CurrentFact-N10,20,40Unchanged'!D210+'CurrentFact-N10,20,40Unchanged'!H210)/100,2))*100</f>
        <v>9601.2395558122898</v>
      </c>
      <c r="E210">
        <f>(3/(1+('CurrentFact-N10,20,40Unchanged'!C210+'CurrentFact-N10,20,40Unchanged'!I210)/100)+103/POWER(1+('CurrentFact-N10,20,40Unchanged'!D210+'CurrentFact-N10,20,40Unchanged'!I210)/100,2))*100</f>
        <v>9582.5568860344702</v>
      </c>
      <c r="F210">
        <f>Portfolio!B$5*'CurrentFact-N10,20,40Unchanged'!E210</f>
        <v>52143.895533915893</v>
      </c>
      <c r="G210">
        <f>Portfolio!B$6*'CurrentFact-N10,20,40Unchanged'!F210</f>
        <v>3696.2945087936532</v>
      </c>
      <c r="H210">
        <f t="shared" si="9"/>
        <v>94346.539620233496</v>
      </c>
      <c r="I210">
        <f t="shared" si="10"/>
        <v>-1.4628268988453783</v>
      </c>
    </row>
    <row r="211" spans="1:9">
      <c r="A211" s="1">
        <v>39553</v>
      </c>
      <c r="B211">
        <f>(3/(1+('CurrentFact-N10,20,40Unchanged'!C211)/100)+103/POWER(1+('CurrentFact-N10,20,40Unchanged'!D211)/100,2))*100</f>
        <v>9707.5857774288397</v>
      </c>
      <c r="C211">
        <f>(3/(1+('CurrentFact-N10,20,40Unchanged'!C211+'CurrentFact-N10,20,40Unchanged'!G211)/100)+103/POWER(1+('CurrentFact-N10,20,40Unchanged'!D211+'CurrentFact-N10,20,40Unchanged'!G211)/100,2))*100</f>
        <v>9614.9673582483465</v>
      </c>
      <c r="D211">
        <f>(3/(1+('CurrentFact-N10,20,40Unchanged'!C211+'CurrentFact-N10,20,40Unchanged'!H211)/100)+103/POWER(1+('CurrentFact-N10,20,40Unchanged'!D211+'CurrentFact-N10,20,40Unchanged'!H211)/100,2))*100</f>
        <v>9601.2395558122898</v>
      </c>
      <c r="E211">
        <f>(3/(1+('CurrentFact-N10,20,40Unchanged'!C211+'CurrentFact-N10,20,40Unchanged'!I211)/100)+103/POWER(1+('CurrentFact-N10,20,40Unchanged'!D211+'CurrentFact-N10,20,40Unchanged'!I211)/100,2))*100</f>
        <v>9588.2605122606528</v>
      </c>
      <c r="F211">
        <f>Portfolio!B$5*'CurrentFact-N10,20,40Unchanged'!E211</f>
        <v>52143.895533915893</v>
      </c>
      <c r="G211">
        <f>Portfolio!B$6*'CurrentFact-N10,20,40Unchanged'!F211</f>
        <v>3696.2945087936532</v>
      </c>
      <c r="H211">
        <f t="shared" si="9"/>
        <v>94352.243246459679</v>
      </c>
      <c r="I211">
        <f t="shared" si="10"/>
        <v>-8.0221798140846658</v>
      </c>
    </row>
    <row r="212" spans="1:9">
      <c r="A212" s="1">
        <v>39554</v>
      </c>
      <c r="B212">
        <f>(3/(1+('CurrentFact-N10,20,40Unchanged'!C212)/100)+103/POWER(1+('CurrentFact-N10,20,40Unchanged'!D212)/100,2))*100</f>
        <v>9707.5857774288397</v>
      </c>
      <c r="C212">
        <f>(3/(1+('CurrentFact-N10,20,40Unchanged'!C212+'CurrentFact-N10,20,40Unchanged'!G212)/100)+103/POWER(1+('CurrentFact-N10,20,40Unchanged'!D212+'CurrentFact-N10,20,40Unchanged'!G212)/100,2))*100</f>
        <v>9614.9673582483465</v>
      </c>
      <c r="D212">
        <f>(3/(1+('CurrentFact-N10,20,40Unchanged'!C212+'CurrentFact-N10,20,40Unchanged'!H212)/100)+103/POWER(1+('CurrentFact-N10,20,40Unchanged'!D212+'CurrentFact-N10,20,40Unchanged'!H212)/100,2))*100</f>
        <v>9601.2395558122898</v>
      </c>
      <c r="E212">
        <f>(3/(1+('CurrentFact-N10,20,40Unchanged'!C212+'CurrentFact-N10,20,40Unchanged'!I212)/100)+103/POWER(1+('CurrentFact-N10,20,40Unchanged'!D212+'CurrentFact-N10,20,40Unchanged'!I212)/100,2))*100</f>
        <v>9588.9558904481692</v>
      </c>
      <c r="F212">
        <f>Portfolio!B$5*'CurrentFact-N10,20,40Unchanged'!E212</f>
        <v>52143.895533915893</v>
      </c>
      <c r="G212">
        <f>Portfolio!B$6*'CurrentFact-N10,20,40Unchanged'!F212</f>
        <v>3696.2945087936532</v>
      </c>
      <c r="H212">
        <f t="shared" si="9"/>
        <v>94352.938624647184</v>
      </c>
      <c r="I212">
        <f t="shared" si="10"/>
        <v>22.658669745287625</v>
      </c>
    </row>
    <row r="213" spans="1:9">
      <c r="A213" s="1">
        <v>39555</v>
      </c>
      <c r="B213">
        <f>(3/(1+('CurrentFact-N10,20,40Unchanged'!C213)/100)+103/POWER(1+('CurrentFact-N10,20,40Unchanged'!D213)/100,2))*100</f>
        <v>9707.5857774288397</v>
      </c>
      <c r="C213">
        <f>(3/(1+('CurrentFact-N10,20,40Unchanged'!C213+'CurrentFact-N10,20,40Unchanged'!G213)/100)+103/POWER(1+('CurrentFact-N10,20,40Unchanged'!D213+'CurrentFact-N10,20,40Unchanged'!G213)/100,2))*100</f>
        <v>9614.9673582483465</v>
      </c>
      <c r="D213">
        <f>(3/(1+('CurrentFact-N10,20,40Unchanged'!C213+'CurrentFact-N10,20,40Unchanged'!H213)/100)+103/POWER(1+('CurrentFact-N10,20,40Unchanged'!D213+'CurrentFact-N10,20,40Unchanged'!H213)/100,2))*100</f>
        <v>9601.2395558122898</v>
      </c>
      <c r="E213">
        <f>(3/(1+('CurrentFact-N10,20,40Unchanged'!C213+'CurrentFact-N10,20,40Unchanged'!I213)/100)+103/POWER(1+('CurrentFact-N10,20,40Unchanged'!D213+'CurrentFact-N10,20,40Unchanged'!I213)/100,2))*100</f>
        <v>9598.4157720027233</v>
      </c>
      <c r="F213">
        <f>Portfolio!B$5*'CurrentFact-N10,20,40Unchanged'!E213</f>
        <v>52143.895533915893</v>
      </c>
      <c r="G213">
        <f>Portfolio!B$6*'CurrentFact-N10,20,40Unchanged'!F213</f>
        <v>3696.2945087936532</v>
      </c>
      <c r="H213">
        <f t="shared" si="9"/>
        <v>94362.398506201745</v>
      </c>
      <c r="I213">
        <f t="shared" si="10"/>
        <v>15.095818947593216</v>
      </c>
    </row>
    <row r="214" spans="1:9">
      <c r="A214" s="1">
        <v>39556</v>
      </c>
      <c r="B214">
        <f>(3/(1+('CurrentFact-N10,20,40Unchanged'!C214)/100)+103/POWER(1+('CurrentFact-N10,20,40Unchanged'!D214)/100,2))*100</f>
        <v>9707.5857774288397</v>
      </c>
      <c r="C214">
        <f>(3/(1+('CurrentFact-N10,20,40Unchanged'!C214+'CurrentFact-N10,20,40Unchanged'!G214)/100)+103/POWER(1+('CurrentFact-N10,20,40Unchanged'!D214+'CurrentFact-N10,20,40Unchanged'!G214)/100,2))*100</f>
        <v>9614.9673582483465</v>
      </c>
      <c r="D214">
        <f>(3/(1+('CurrentFact-N10,20,40Unchanged'!C214+'CurrentFact-N10,20,40Unchanged'!H214)/100)+103/POWER(1+('CurrentFact-N10,20,40Unchanged'!D214+'CurrentFact-N10,20,40Unchanged'!H214)/100,2))*100</f>
        <v>9601.2395558122898</v>
      </c>
      <c r="E214">
        <f>(3/(1+('CurrentFact-N10,20,40Unchanged'!C214+'CurrentFact-N10,20,40Unchanged'!I214)/100)+103/POWER(1+('CurrentFact-N10,20,40Unchanged'!D214+'CurrentFact-N10,20,40Unchanged'!I214)/100,2))*100</f>
        <v>9574.0016744813965</v>
      </c>
      <c r="F214">
        <f>Portfolio!B$5*'CurrentFact-N10,20,40Unchanged'!E214</f>
        <v>52143.895533915893</v>
      </c>
      <c r="G214">
        <f>Portfolio!B$6*'CurrentFact-N10,20,40Unchanged'!F214</f>
        <v>3696.2945087936532</v>
      </c>
      <c r="H214">
        <f t="shared" si="9"/>
        <v>94337.984408680422</v>
      </c>
      <c r="I214">
        <f t="shared" si="10"/>
        <v>-15.369526728478377</v>
      </c>
    </row>
    <row r="215" spans="1:9">
      <c r="A215" s="1">
        <v>39559</v>
      </c>
      <c r="B215">
        <f>(3/(1+('CurrentFact-N10,20,40Unchanged'!C215)/100)+103/POWER(1+('CurrentFact-N10,20,40Unchanged'!D215)/100,2))*100</f>
        <v>9707.5857774288397</v>
      </c>
      <c r="C215">
        <f>(3/(1+('CurrentFact-N10,20,40Unchanged'!C215+'CurrentFact-N10,20,40Unchanged'!G215)/100)+103/POWER(1+('CurrentFact-N10,20,40Unchanged'!D215+'CurrentFact-N10,20,40Unchanged'!G215)/100,2))*100</f>
        <v>9614.9673582483465</v>
      </c>
      <c r="D215">
        <f>(3/(1+('CurrentFact-N10,20,40Unchanged'!C215+'CurrentFact-N10,20,40Unchanged'!H215)/100)+103/POWER(1+('CurrentFact-N10,20,40Unchanged'!D215+'CurrentFact-N10,20,40Unchanged'!H215)/100,2))*100</f>
        <v>9601.2395558122898</v>
      </c>
      <c r="E215">
        <f>(3/(1+('CurrentFact-N10,20,40Unchanged'!C215+'CurrentFact-N10,20,40Unchanged'!I215)/100)+103/POWER(1+('CurrentFact-N10,20,40Unchanged'!D215+'CurrentFact-N10,20,40Unchanged'!I215)/100,2))*100</f>
        <v>9578.8215550486748</v>
      </c>
      <c r="F215">
        <f>Portfolio!B$5*'CurrentFact-N10,20,40Unchanged'!E215</f>
        <v>52143.895533915893</v>
      </c>
      <c r="G215">
        <f>Portfolio!B$6*'CurrentFact-N10,20,40Unchanged'!F215</f>
        <v>3696.2945087936532</v>
      </c>
      <c r="H215">
        <f t="shared" si="9"/>
        <v>94342.804289247695</v>
      </c>
      <c r="I215">
        <f t="shared" si="10"/>
        <v>-15.723443429291365</v>
      </c>
    </row>
    <row r="216" spans="1:9">
      <c r="A216" s="1">
        <v>39560</v>
      </c>
      <c r="B216">
        <f>(3/(1+('CurrentFact-N10,20,40Unchanged'!C216)/100)+103/POWER(1+('CurrentFact-N10,20,40Unchanged'!D216)/100,2))*100</f>
        <v>9707.5857774288397</v>
      </c>
      <c r="C216">
        <f>(3/(1+('CurrentFact-N10,20,40Unchanged'!C216+'CurrentFact-N10,20,40Unchanged'!G216)/100)+103/POWER(1+('CurrentFact-N10,20,40Unchanged'!D216+'CurrentFact-N10,20,40Unchanged'!G216)/100,2))*100</f>
        <v>9614.9673582483465</v>
      </c>
      <c r="D216">
        <f>(3/(1+('CurrentFact-N10,20,40Unchanged'!C216+'CurrentFact-N10,20,40Unchanged'!H216)/100)+103/POWER(1+('CurrentFact-N10,20,40Unchanged'!D216+'CurrentFact-N10,20,40Unchanged'!H216)/100,2))*100</f>
        <v>9601.2395558122898</v>
      </c>
      <c r="E216">
        <f>(3/(1+('CurrentFact-N10,20,40Unchanged'!C216+'CurrentFact-N10,20,40Unchanged'!I216)/100)+103/POWER(1+('CurrentFact-N10,20,40Unchanged'!D216+'CurrentFact-N10,20,40Unchanged'!I216)/100,2))*100</f>
        <v>9571.338688744112</v>
      </c>
      <c r="F216">
        <f>Portfolio!B$5*'CurrentFact-N10,20,40Unchanged'!E216</f>
        <v>52143.895533915893</v>
      </c>
      <c r="G216">
        <f>Portfolio!B$6*'CurrentFact-N10,20,40Unchanged'!F216</f>
        <v>3696.2945087936532</v>
      </c>
      <c r="H216">
        <f t="shared" si="9"/>
        <v>94335.321422943147</v>
      </c>
      <c r="I216">
        <f t="shared" si="10"/>
        <v>-3.0274758252344327</v>
      </c>
    </row>
    <row r="217" spans="1:9">
      <c r="A217" s="1">
        <v>39561</v>
      </c>
      <c r="B217">
        <f>(3/(1+('CurrentFact-N10,20,40Unchanged'!C217)/100)+103/POWER(1+('CurrentFact-N10,20,40Unchanged'!D217)/100,2))*100</f>
        <v>9707.5857774288397</v>
      </c>
      <c r="C217">
        <f>(3/(1+('CurrentFact-N10,20,40Unchanged'!C217+'CurrentFact-N10,20,40Unchanged'!G217)/100)+103/POWER(1+('CurrentFact-N10,20,40Unchanged'!D217+'CurrentFact-N10,20,40Unchanged'!G217)/100,2))*100</f>
        <v>9614.9673582483465</v>
      </c>
      <c r="D217">
        <f>(3/(1+('CurrentFact-N10,20,40Unchanged'!C217+'CurrentFact-N10,20,40Unchanged'!H217)/100)+103/POWER(1+('CurrentFact-N10,20,40Unchanged'!D217+'CurrentFact-N10,20,40Unchanged'!H217)/100,2))*100</f>
        <v>9601.2395558122898</v>
      </c>
      <c r="E217">
        <f>(3/(1+('CurrentFact-N10,20,40Unchanged'!C217+'CurrentFact-N10,20,40Unchanged'!I217)/100)+103/POWER(1+('CurrentFact-N10,20,40Unchanged'!D217+'CurrentFact-N10,20,40Unchanged'!I217)/100,2))*100</f>
        <v>9564.9972332803336</v>
      </c>
      <c r="F217">
        <f>Portfolio!B$5*'CurrentFact-N10,20,40Unchanged'!E217</f>
        <v>52143.895533915893</v>
      </c>
      <c r="G217">
        <f>Portfolio!B$6*'CurrentFact-N10,20,40Unchanged'!F217</f>
        <v>3696.2945087936532</v>
      </c>
      <c r="H217">
        <f t="shared" si="9"/>
        <v>94328.979967479361</v>
      </c>
      <c r="I217">
        <f t="shared" si="10"/>
        <v>-15.849165117397206</v>
      </c>
    </row>
    <row r="218" spans="1:9">
      <c r="A218" s="1">
        <v>39562</v>
      </c>
      <c r="B218">
        <f>(3/(1+('CurrentFact-N10,20,40Unchanged'!C218)/100)+103/POWER(1+('CurrentFact-N10,20,40Unchanged'!D218)/100,2))*100</f>
        <v>9707.5857774288397</v>
      </c>
      <c r="C218">
        <f>(3/(1+('CurrentFact-N10,20,40Unchanged'!C218+'CurrentFact-N10,20,40Unchanged'!G218)/100)+103/POWER(1+('CurrentFact-N10,20,40Unchanged'!D218+'CurrentFact-N10,20,40Unchanged'!G218)/100,2))*100</f>
        <v>9614.9673582483465</v>
      </c>
      <c r="D218">
        <f>(3/(1+('CurrentFact-N10,20,40Unchanged'!C218+'CurrentFact-N10,20,40Unchanged'!H218)/100)+103/POWER(1+('CurrentFact-N10,20,40Unchanged'!D218+'CurrentFact-N10,20,40Unchanged'!H218)/100,2))*100</f>
        <v>9601.2395558122898</v>
      </c>
      <c r="E218">
        <f>(3/(1+('CurrentFact-N10,20,40Unchanged'!C218+'CurrentFact-N10,20,40Unchanged'!I218)/100)+103/POWER(1+('CurrentFact-N10,20,40Unchanged'!D218+'CurrentFact-N10,20,40Unchanged'!I218)/100,2))*100</f>
        <v>9568.3619975594156</v>
      </c>
      <c r="F218">
        <f>Portfolio!B$5*'CurrentFact-N10,20,40Unchanged'!E218</f>
        <v>52143.895533915893</v>
      </c>
      <c r="G218">
        <f>Portfolio!B$6*'CurrentFact-N10,20,40Unchanged'!F218</f>
        <v>3696.2945087936532</v>
      </c>
      <c r="H218">
        <f t="shared" si="9"/>
        <v>94332.344731758436</v>
      </c>
      <c r="I218">
        <f t="shared" si="10"/>
        <v>8.2782457102875924</v>
      </c>
    </row>
    <row r="219" spans="1:9">
      <c r="A219" s="1">
        <v>39563</v>
      </c>
      <c r="B219">
        <f>(3/(1+('CurrentFact-N10,20,40Unchanged'!C219)/100)+103/POWER(1+('CurrentFact-N10,20,40Unchanged'!D219)/100,2))*100</f>
        <v>9707.5857774288397</v>
      </c>
      <c r="C219">
        <f>(3/(1+('CurrentFact-N10,20,40Unchanged'!C219+'CurrentFact-N10,20,40Unchanged'!G219)/100)+103/POWER(1+('CurrentFact-N10,20,40Unchanged'!D219+'CurrentFact-N10,20,40Unchanged'!G219)/100,2))*100</f>
        <v>9614.9673582483465</v>
      </c>
      <c r="D219">
        <f>(3/(1+('CurrentFact-N10,20,40Unchanged'!C219+'CurrentFact-N10,20,40Unchanged'!H219)/100)+103/POWER(1+('CurrentFact-N10,20,40Unchanged'!D219+'CurrentFact-N10,20,40Unchanged'!H219)/100,2))*100</f>
        <v>9601.2395558122898</v>
      </c>
      <c r="E219">
        <f>(3/(1+('CurrentFact-N10,20,40Unchanged'!C219+'CurrentFact-N10,20,40Unchanged'!I219)/100)+103/POWER(1+('CurrentFact-N10,20,40Unchanged'!D219+'CurrentFact-N10,20,40Unchanged'!I219)/100,2))*100</f>
        <v>9583.07679334557</v>
      </c>
      <c r="F219">
        <f>Portfolio!B$5*'CurrentFact-N10,20,40Unchanged'!E219</f>
        <v>52143.895533915893</v>
      </c>
      <c r="G219">
        <f>Portfolio!B$6*'CurrentFact-N10,20,40Unchanged'!F219</f>
        <v>3696.2945087936532</v>
      </c>
      <c r="H219">
        <f t="shared" si="9"/>
        <v>94347.059527544596</v>
      </c>
      <c r="I219">
        <f t="shared" si="10"/>
        <v>2.8281353879719973</v>
      </c>
    </row>
    <row r="220" spans="1:9">
      <c r="A220" s="1">
        <v>39566</v>
      </c>
      <c r="B220">
        <f>(3/(1+('CurrentFact-N10,20,40Unchanged'!C220)/100)+103/POWER(1+('CurrentFact-N10,20,40Unchanged'!D220)/100,2))*100</f>
        <v>9707.5857774288397</v>
      </c>
      <c r="C220">
        <f>(3/(1+('CurrentFact-N10,20,40Unchanged'!C220+'CurrentFact-N10,20,40Unchanged'!G220)/100)+103/POWER(1+('CurrentFact-N10,20,40Unchanged'!D220+'CurrentFact-N10,20,40Unchanged'!G220)/100,2))*100</f>
        <v>9614.9673582483465</v>
      </c>
      <c r="D220">
        <f>(3/(1+('CurrentFact-N10,20,40Unchanged'!C220+'CurrentFact-N10,20,40Unchanged'!H220)/100)+103/POWER(1+('CurrentFact-N10,20,40Unchanged'!D220+'CurrentFact-N10,20,40Unchanged'!H220)/100,2))*100</f>
        <v>9601.2395558122898</v>
      </c>
      <c r="E220">
        <f>(3/(1+('CurrentFact-N10,20,40Unchanged'!C220+'CurrentFact-N10,20,40Unchanged'!I220)/100)+103/POWER(1+('CurrentFact-N10,20,40Unchanged'!D220+'CurrentFact-N10,20,40Unchanged'!I220)/100,2))*100</f>
        <v>9589.0555331349078</v>
      </c>
      <c r="F220">
        <f>Portfolio!B$5*'CurrentFact-N10,20,40Unchanged'!E220</f>
        <v>52143.895533915893</v>
      </c>
      <c r="G220">
        <f>Portfolio!B$6*'CurrentFact-N10,20,40Unchanged'!F220</f>
        <v>3696.2945087936532</v>
      </c>
      <c r="H220">
        <f t="shared" si="9"/>
        <v>94353.038267333934</v>
      </c>
      <c r="I220">
        <f t="shared" si="10"/>
        <v>6.4986471004376654</v>
      </c>
    </row>
    <row r="221" spans="1:9">
      <c r="A221" s="1">
        <v>39567</v>
      </c>
      <c r="B221">
        <f>(3/(1+('CurrentFact-N10,20,40Unchanged'!C221)/100)+103/POWER(1+('CurrentFact-N10,20,40Unchanged'!D221)/100,2))*100</f>
        <v>9707.5857774288397</v>
      </c>
      <c r="C221">
        <f>(3/(1+('CurrentFact-N10,20,40Unchanged'!C221+'CurrentFact-N10,20,40Unchanged'!G221)/100)+103/POWER(1+('CurrentFact-N10,20,40Unchanged'!D221+'CurrentFact-N10,20,40Unchanged'!G221)/100,2))*100</f>
        <v>9614.9673582483465</v>
      </c>
      <c r="D221">
        <f>(3/(1+('CurrentFact-N10,20,40Unchanged'!C221+'CurrentFact-N10,20,40Unchanged'!H221)/100)+103/POWER(1+('CurrentFact-N10,20,40Unchanged'!D221+'CurrentFact-N10,20,40Unchanged'!H221)/100,2))*100</f>
        <v>9601.2395558122898</v>
      </c>
      <c r="E221">
        <f>(3/(1+('CurrentFact-N10,20,40Unchanged'!C221+'CurrentFact-N10,20,40Unchanged'!I221)/100)+103/POWER(1+('CurrentFact-N10,20,40Unchanged'!D221+'CurrentFact-N10,20,40Unchanged'!I221)/100,2))*100</f>
        <v>9602.1762351557063</v>
      </c>
      <c r="F221">
        <f>Portfolio!B$5*'CurrentFact-N10,20,40Unchanged'!E221</f>
        <v>52143.895533915893</v>
      </c>
      <c r="G221">
        <f>Portfolio!B$6*'CurrentFact-N10,20,40Unchanged'!F221</f>
        <v>3696.2945087936532</v>
      </c>
      <c r="H221">
        <f t="shared" si="9"/>
        <v>94366.158969354728</v>
      </c>
      <c r="I221">
        <f t="shared" si="10"/>
        <v>13.915722895049839</v>
      </c>
    </row>
    <row r="222" spans="1:9">
      <c r="A222" s="1">
        <v>39568</v>
      </c>
      <c r="B222">
        <f>(3/(1+('CurrentFact-N10,20,40Unchanged'!C222)/100)+103/POWER(1+('CurrentFact-N10,20,40Unchanged'!D222)/100,2))*100</f>
        <v>9707.5857774288397</v>
      </c>
      <c r="C222">
        <f>(3/(1+('CurrentFact-N10,20,40Unchanged'!C222+'CurrentFact-N10,20,40Unchanged'!G222)/100)+103/POWER(1+('CurrentFact-N10,20,40Unchanged'!D222+'CurrentFact-N10,20,40Unchanged'!G222)/100,2))*100</f>
        <v>9614.9673582483465</v>
      </c>
      <c r="D222">
        <f>(3/(1+('CurrentFact-N10,20,40Unchanged'!C222+'CurrentFact-N10,20,40Unchanged'!H222)/100)+103/POWER(1+('CurrentFact-N10,20,40Unchanged'!D222+'CurrentFact-N10,20,40Unchanged'!H222)/100,2))*100</f>
        <v>9601.2395558122898</v>
      </c>
      <c r="E222">
        <f>(3/(1+('CurrentFact-N10,20,40Unchanged'!C222+'CurrentFact-N10,20,40Unchanged'!I222)/100)+103/POWER(1+('CurrentFact-N10,20,40Unchanged'!D222+'CurrentFact-N10,20,40Unchanged'!I222)/100,2))*100</f>
        <v>9579.9676664463095</v>
      </c>
      <c r="F222">
        <f>Portfolio!B$5*'CurrentFact-N10,20,40Unchanged'!E222</f>
        <v>52143.895533915893</v>
      </c>
      <c r="G222">
        <f>Portfolio!B$6*'CurrentFact-N10,20,40Unchanged'!F222</f>
        <v>3696.2945087936532</v>
      </c>
      <c r="H222">
        <f t="shared" si="9"/>
        <v>94343.950400645335</v>
      </c>
      <c r="I222">
        <f t="shared" si="10"/>
        <v>-8.9882240018487209</v>
      </c>
    </row>
    <row r="223" spans="1:9">
      <c r="A223" s="1">
        <v>39569</v>
      </c>
      <c r="B223">
        <f>(3/(1+('CurrentFact-N10,20,40Unchanged'!C223)/100)+103/POWER(1+('CurrentFact-N10,20,40Unchanged'!D223)/100,2))*100</f>
        <v>9707.5857774288397</v>
      </c>
      <c r="C223">
        <f>(3/(1+('CurrentFact-N10,20,40Unchanged'!C223+'CurrentFact-N10,20,40Unchanged'!G223)/100)+103/POWER(1+('CurrentFact-N10,20,40Unchanged'!D223+'CurrentFact-N10,20,40Unchanged'!G223)/100,2))*100</f>
        <v>9614.9673582483465</v>
      </c>
      <c r="D223">
        <f>(3/(1+('CurrentFact-N10,20,40Unchanged'!C223+'CurrentFact-N10,20,40Unchanged'!H223)/100)+103/POWER(1+('CurrentFact-N10,20,40Unchanged'!D223+'CurrentFact-N10,20,40Unchanged'!H223)/100,2))*100</f>
        <v>9601.2395558122898</v>
      </c>
      <c r="E223">
        <f>(3/(1+('CurrentFact-N10,20,40Unchanged'!C223+'CurrentFact-N10,20,40Unchanged'!I223)/100)+103/POWER(1+('CurrentFact-N10,20,40Unchanged'!D223+'CurrentFact-N10,20,40Unchanged'!I223)/100,2))*100</f>
        <v>9580.1346776542978</v>
      </c>
      <c r="F223">
        <f>Portfolio!B$5*'CurrentFact-N10,20,40Unchanged'!E223</f>
        <v>52143.895533915893</v>
      </c>
      <c r="G223">
        <f>Portfolio!B$6*'CurrentFact-N10,20,40Unchanged'!F223</f>
        <v>3696.2945087936532</v>
      </c>
      <c r="H223">
        <f t="shared" si="9"/>
        <v>94344.117411853324</v>
      </c>
      <c r="I223">
        <f t="shared" si="10"/>
        <v>-18.281094348421902</v>
      </c>
    </row>
    <row r="224" spans="1:9">
      <c r="A224" s="1">
        <v>39570</v>
      </c>
      <c r="B224">
        <f>(3/(1+('CurrentFact-N10,20,40Unchanged'!C224)/100)+103/POWER(1+('CurrentFact-N10,20,40Unchanged'!D224)/100,2))*100</f>
        <v>9707.5857774288397</v>
      </c>
      <c r="C224">
        <f>(3/(1+('CurrentFact-N10,20,40Unchanged'!C224+'CurrentFact-N10,20,40Unchanged'!G224)/100)+103/POWER(1+('CurrentFact-N10,20,40Unchanged'!D224+'CurrentFact-N10,20,40Unchanged'!G224)/100,2))*100</f>
        <v>9614.9673582483465</v>
      </c>
      <c r="D224">
        <f>(3/(1+('CurrentFact-N10,20,40Unchanged'!C224+'CurrentFact-N10,20,40Unchanged'!H224)/100)+103/POWER(1+('CurrentFact-N10,20,40Unchanged'!D224+'CurrentFact-N10,20,40Unchanged'!H224)/100,2))*100</f>
        <v>9601.2395558122898</v>
      </c>
      <c r="E224">
        <f>(3/(1+('CurrentFact-N10,20,40Unchanged'!C224+'CurrentFact-N10,20,40Unchanged'!I224)/100)+103/POWER(1+('CurrentFact-N10,20,40Unchanged'!D224+'CurrentFact-N10,20,40Unchanged'!I224)/100,2))*100</f>
        <v>9575.7117053808579</v>
      </c>
      <c r="F224">
        <f>Portfolio!B$5*'CurrentFact-N10,20,40Unchanged'!E224</f>
        <v>52143.895533915893</v>
      </c>
      <c r="G224">
        <f>Portfolio!B$6*'CurrentFact-N10,20,40Unchanged'!F224</f>
        <v>3696.2945087936532</v>
      </c>
      <c r="H224">
        <f t="shared" si="9"/>
        <v>94339.694439579878</v>
      </c>
      <c r="I224">
        <f t="shared" si="10"/>
        <v>1.7100308994558873</v>
      </c>
    </row>
    <row r="225" spans="1:9">
      <c r="A225" s="1">
        <v>39573</v>
      </c>
      <c r="B225">
        <f>(3/(1+('CurrentFact-N10,20,40Unchanged'!C225)/100)+103/POWER(1+('CurrentFact-N10,20,40Unchanged'!D225)/100,2))*100</f>
        <v>9707.5857774288397</v>
      </c>
      <c r="C225">
        <f>(3/(1+('CurrentFact-N10,20,40Unchanged'!C225+'CurrentFact-N10,20,40Unchanged'!G225)/100)+103/POWER(1+('CurrentFact-N10,20,40Unchanged'!D225+'CurrentFact-N10,20,40Unchanged'!G225)/100,2))*100</f>
        <v>9614.9673582483465</v>
      </c>
      <c r="D225">
        <f>(3/(1+('CurrentFact-N10,20,40Unchanged'!C225+'CurrentFact-N10,20,40Unchanged'!H225)/100)+103/POWER(1+('CurrentFact-N10,20,40Unchanged'!D225+'CurrentFact-N10,20,40Unchanged'!H225)/100,2))*100</f>
        <v>9601.2395558122898</v>
      </c>
      <c r="E225">
        <f>(3/(1+('CurrentFact-N10,20,40Unchanged'!C225+'CurrentFact-N10,20,40Unchanged'!I225)/100)+103/POWER(1+('CurrentFact-N10,20,40Unchanged'!D225+'CurrentFact-N10,20,40Unchanged'!I225)/100,2))*100</f>
        <v>9586.7872422010187</v>
      </c>
      <c r="F225">
        <f>Portfolio!B$5*'CurrentFact-N10,20,40Unchanged'!E225</f>
        <v>52143.895533915893</v>
      </c>
      <c r="G225">
        <f>Portfolio!B$6*'CurrentFact-N10,20,40Unchanged'!F225</f>
        <v>3696.2945087936532</v>
      </c>
      <c r="H225">
        <f t="shared" si="9"/>
        <v>94350.769976400043</v>
      </c>
      <c r="I225">
        <f t="shared" si="10"/>
        <v>7.9656871523475274</v>
      </c>
    </row>
    <row r="226" spans="1:9">
      <c r="A226" s="1">
        <v>39574</v>
      </c>
      <c r="B226">
        <f>(3/(1+('CurrentFact-N10,20,40Unchanged'!C226)/100)+103/POWER(1+('CurrentFact-N10,20,40Unchanged'!D226)/100,2))*100</f>
        <v>9707.5857774288397</v>
      </c>
      <c r="C226">
        <f>(3/(1+('CurrentFact-N10,20,40Unchanged'!C226+'CurrentFact-N10,20,40Unchanged'!G226)/100)+103/POWER(1+('CurrentFact-N10,20,40Unchanged'!D226+'CurrentFact-N10,20,40Unchanged'!G226)/100,2))*100</f>
        <v>9614.9673582483465</v>
      </c>
      <c r="D226">
        <f>(3/(1+('CurrentFact-N10,20,40Unchanged'!C226+'CurrentFact-N10,20,40Unchanged'!H226)/100)+103/POWER(1+('CurrentFact-N10,20,40Unchanged'!D226+'CurrentFact-N10,20,40Unchanged'!H226)/100,2))*100</f>
        <v>9601.2395558122898</v>
      </c>
      <c r="E226">
        <f>(3/(1+('CurrentFact-N10,20,40Unchanged'!C226+'CurrentFact-N10,20,40Unchanged'!I226)/100)+103/POWER(1+('CurrentFact-N10,20,40Unchanged'!D226+'CurrentFact-N10,20,40Unchanged'!I226)/100,2))*100</f>
        <v>9589.0739632985569</v>
      </c>
      <c r="F226">
        <f>Portfolio!B$5*'CurrentFact-N10,20,40Unchanged'!E226</f>
        <v>52143.895533915893</v>
      </c>
      <c r="G226">
        <f>Portfolio!B$6*'CurrentFact-N10,20,40Unchanged'!F226</f>
        <v>3696.2945087936532</v>
      </c>
      <c r="H226">
        <f t="shared" si="9"/>
        <v>94353.056697497581</v>
      </c>
      <c r="I226">
        <f t="shared" si="10"/>
        <v>17.735274554434</v>
      </c>
    </row>
    <row r="227" spans="1:9">
      <c r="A227" s="1">
        <v>39575</v>
      </c>
      <c r="B227">
        <f>(3/(1+('CurrentFact-N10,20,40Unchanged'!C227)/100)+103/POWER(1+('CurrentFact-N10,20,40Unchanged'!D227)/100,2))*100</f>
        <v>9707.5857774288397</v>
      </c>
      <c r="C227">
        <f>(3/(1+('CurrentFact-N10,20,40Unchanged'!C227+'CurrentFact-N10,20,40Unchanged'!G227)/100)+103/POWER(1+('CurrentFact-N10,20,40Unchanged'!D227+'CurrentFact-N10,20,40Unchanged'!G227)/100,2))*100</f>
        <v>9614.9673582483465</v>
      </c>
      <c r="D227">
        <f>(3/(1+('CurrentFact-N10,20,40Unchanged'!C227+'CurrentFact-N10,20,40Unchanged'!H227)/100)+103/POWER(1+('CurrentFact-N10,20,40Unchanged'!D227+'CurrentFact-N10,20,40Unchanged'!H227)/100,2))*100</f>
        <v>9601.2395558122898</v>
      </c>
      <c r="E227">
        <f>(3/(1+('CurrentFact-N10,20,40Unchanged'!C227+'CurrentFact-N10,20,40Unchanged'!I227)/100)+103/POWER(1+('CurrentFact-N10,20,40Unchanged'!D227+'CurrentFact-N10,20,40Unchanged'!I227)/100,2))*100</f>
        <v>9592.5744248146493</v>
      </c>
      <c r="F227">
        <f>Portfolio!B$5*'CurrentFact-N10,20,40Unchanged'!E227</f>
        <v>52143.895533915893</v>
      </c>
      <c r="G227">
        <f>Portfolio!B$6*'CurrentFact-N10,20,40Unchanged'!F227</f>
        <v>3696.2945087936532</v>
      </c>
      <c r="H227">
        <f t="shared" si="9"/>
        <v>94356.557159013668</v>
      </c>
      <c r="I227">
        <f t="shared" si="10"/>
        <v>27.577191534306621</v>
      </c>
    </row>
    <row r="228" spans="1:9">
      <c r="A228" s="1">
        <v>39576</v>
      </c>
      <c r="B228">
        <f>(3/(1+('CurrentFact-N10,20,40Unchanged'!C228)/100)+103/POWER(1+('CurrentFact-N10,20,40Unchanged'!D228)/100,2))*100</f>
        <v>9707.5857774288397</v>
      </c>
      <c r="C228">
        <f>(3/(1+('CurrentFact-N10,20,40Unchanged'!C228+'CurrentFact-N10,20,40Unchanged'!G228)/100)+103/POWER(1+('CurrentFact-N10,20,40Unchanged'!D228+'CurrentFact-N10,20,40Unchanged'!G228)/100,2))*100</f>
        <v>9614.9673582483465</v>
      </c>
      <c r="D228">
        <f>(3/(1+('CurrentFact-N10,20,40Unchanged'!C228+'CurrentFact-N10,20,40Unchanged'!H228)/100)+103/POWER(1+('CurrentFact-N10,20,40Unchanged'!D228+'CurrentFact-N10,20,40Unchanged'!H228)/100,2))*100</f>
        <v>9601.2395558122898</v>
      </c>
      <c r="E228">
        <f>(3/(1+('CurrentFact-N10,20,40Unchanged'!C228+'CurrentFact-N10,20,40Unchanged'!I228)/100)+103/POWER(1+('CurrentFact-N10,20,40Unchanged'!D228+'CurrentFact-N10,20,40Unchanged'!I228)/100,2))*100</f>
        <v>9608.1366977708349</v>
      </c>
      <c r="F228">
        <f>Portfolio!B$5*'CurrentFact-N10,20,40Unchanged'!E228</f>
        <v>52143.895533915893</v>
      </c>
      <c r="G228">
        <f>Portfolio!B$6*'CurrentFact-N10,20,40Unchanged'!F228</f>
        <v>3696.2945087936532</v>
      </c>
      <c r="H228">
        <f t="shared" si="9"/>
        <v>94372.119431969855</v>
      </c>
      <c r="I228">
        <f t="shared" si="10"/>
        <v>39.774700211419258</v>
      </c>
    </row>
    <row r="229" spans="1:9">
      <c r="A229" s="1">
        <v>39577</v>
      </c>
      <c r="B229">
        <f>(3/(1+('CurrentFact-N10,20,40Unchanged'!C229)/100)+103/POWER(1+('CurrentFact-N10,20,40Unchanged'!D229)/100,2))*100</f>
        <v>9707.5857774288397</v>
      </c>
      <c r="C229">
        <f>(3/(1+('CurrentFact-N10,20,40Unchanged'!C229+'CurrentFact-N10,20,40Unchanged'!G229)/100)+103/POWER(1+('CurrentFact-N10,20,40Unchanged'!D229+'CurrentFact-N10,20,40Unchanged'!G229)/100,2))*100</f>
        <v>9614.9673582483465</v>
      </c>
      <c r="D229">
        <f>(3/(1+('CurrentFact-N10,20,40Unchanged'!C229+'CurrentFact-N10,20,40Unchanged'!H229)/100)+103/POWER(1+('CurrentFact-N10,20,40Unchanged'!D229+'CurrentFact-N10,20,40Unchanged'!H229)/100,2))*100</f>
        <v>9601.2395558122898</v>
      </c>
      <c r="E229">
        <f>(3/(1+('CurrentFact-N10,20,40Unchanged'!C229+'CurrentFact-N10,20,40Unchanged'!I229)/100)+103/POWER(1+('CurrentFact-N10,20,40Unchanged'!D229+'CurrentFact-N10,20,40Unchanged'!I229)/100,2))*100</f>
        <v>9604.3911890708969</v>
      </c>
      <c r="F229">
        <f>Portfolio!B$5*'CurrentFact-N10,20,40Unchanged'!E229</f>
        <v>52143.895533915893</v>
      </c>
      <c r="G229">
        <f>Portfolio!B$6*'CurrentFact-N10,20,40Unchanged'!F229</f>
        <v>3696.2945087936532</v>
      </c>
      <c r="H229">
        <f t="shared" si="9"/>
        <v>94368.373923269915</v>
      </c>
      <c r="I229">
        <f t="shared" si="10"/>
        <v>21.314395725319628</v>
      </c>
    </row>
    <row r="230" spans="1:9">
      <c r="A230" s="1">
        <v>39580</v>
      </c>
      <c r="B230">
        <f>(3/(1+('CurrentFact-N10,20,40Unchanged'!C230)/100)+103/POWER(1+('CurrentFact-N10,20,40Unchanged'!D230)/100,2))*100</f>
        <v>9707.5857774288397</v>
      </c>
      <c r="C230">
        <f>(3/(1+('CurrentFact-N10,20,40Unchanged'!C230+'CurrentFact-N10,20,40Unchanged'!G230)/100)+103/POWER(1+('CurrentFact-N10,20,40Unchanged'!D230+'CurrentFact-N10,20,40Unchanged'!G230)/100,2))*100</f>
        <v>9614.9673582483465</v>
      </c>
      <c r="D230">
        <f>(3/(1+('CurrentFact-N10,20,40Unchanged'!C230+'CurrentFact-N10,20,40Unchanged'!H230)/100)+103/POWER(1+('CurrentFact-N10,20,40Unchanged'!D230+'CurrentFact-N10,20,40Unchanged'!H230)/100,2))*100</f>
        <v>9601.2395558122898</v>
      </c>
      <c r="E230">
        <f>(3/(1+('CurrentFact-N10,20,40Unchanged'!C230+'CurrentFact-N10,20,40Unchanged'!I230)/100)+103/POWER(1+('CurrentFact-N10,20,40Unchanged'!D230+'CurrentFact-N10,20,40Unchanged'!I230)/100,2))*100</f>
        <v>9579.7086211593887</v>
      </c>
      <c r="F230">
        <f>Portfolio!B$5*'CurrentFact-N10,20,40Unchanged'!E230</f>
        <v>52143.895533915893</v>
      </c>
      <c r="G230">
        <f>Portfolio!B$6*'CurrentFact-N10,20,40Unchanged'!F230</f>
        <v>3696.2945087936532</v>
      </c>
      <c r="H230">
        <f t="shared" si="9"/>
        <v>94343.691355358402</v>
      </c>
      <c r="I230">
        <f t="shared" si="10"/>
        <v>-9.3469119755318388</v>
      </c>
    </row>
    <row r="231" spans="1:9">
      <c r="A231" s="1">
        <v>39581</v>
      </c>
      <c r="B231">
        <f>(3/(1+('CurrentFact-N10,20,40Unchanged'!C231)/100)+103/POWER(1+('CurrentFact-N10,20,40Unchanged'!D231)/100,2))*100</f>
        <v>9707.5857774288397</v>
      </c>
      <c r="C231">
        <f>(3/(1+('CurrentFact-N10,20,40Unchanged'!C231+'CurrentFact-N10,20,40Unchanged'!G231)/100)+103/POWER(1+('CurrentFact-N10,20,40Unchanged'!D231+'CurrentFact-N10,20,40Unchanged'!G231)/100,2))*100</f>
        <v>9614.9673582483465</v>
      </c>
      <c r="D231">
        <f>(3/(1+('CurrentFact-N10,20,40Unchanged'!C231+'CurrentFact-N10,20,40Unchanged'!H231)/100)+103/POWER(1+('CurrentFact-N10,20,40Unchanged'!D231+'CurrentFact-N10,20,40Unchanged'!H231)/100,2))*100</f>
        <v>9601.2395558122898</v>
      </c>
      <c r="E231">
        <f>(3/(1+('CurrentFact-N10,20,40Unchanged'!C231+'CurrentFact-N10,20,40Unchanged'!I231)/100)+103/POWER(1+('CurrentFact-N10,20,40Unchanged'!D231+'CurrentFact-N10,20,40Unchanged'!I231)/100,2))*100</f>
        <v>9601.3268974643361</v>
      </c>
      <c r="F231">
        <f>Portfolio!B$5*'CurrentFact-N10,20,40Unchanged'!E231</f>
        <v>52143.895533915893</v>
      </c>
      <c r="G231">
        <f>Portfolio!B$6*'CurrentFact-N10,20,40Unchanged'!F231</f>
        <v>3696.2945087936532</v>
      </c>
      <c r="H231">
        <f t="shared" si="9"/>
        <v>94365.30963166336</v>
      </c>
      <c r="I231">
        <f t="shared" si="10"/>
        <v>-0.84933769136841875</v>
      </c>
    </row>
    <row r="232" spans="1:9">
      <c r="A232" s="1">
        <v>39582</v>
      </c>
      <c r="B232">
        <f>(3/(1+('CurrentFact-N10,20,40Unchanged'!C232)/100)+103/POWER(1+('CurrentFact-N10,20,40Unchanged'!D232)/100,2))*100</f>
        <v>9707.5857774288397</v>
      </c>
      <c r="C232">
        <f>(3/(1+('CurrentFact-N10,20,40Unchanged'!C232+'CurrentFact-N10,20,40Unchanged'!G232)/100)+103/POWER(1+('CurrentFact-N10,20,40Unchanged'!D232+'CurrentFact-N10,20,40Unchanged'!G232)/100,2))*100</f>
        <v>9614.9673582483465</v>
      </c>
      <c r="D232">
        <f>(3/(1+('CurrentFact-N10,20,40Unchanged'!C232+'CurrentFact-N10,20,40Unchanged'!H232)/100)+103/POWER(1+('CurrentFact-N10,20,40Unchanged'!D232+'CurrentFact-N10,20,40Unchanged'!H232)/100,2))*100</f>
        <v>9601.2395558122898</v>
      </c>
      <c r="E232">
        <f>(3/(1+('CurrentFact-N10,20,40Unchanged'!C232+'CurrentFact-N10,20,40Unchanged'!I232)/100)+103/POWER(1+('CurrentFact-N10,20,40Unchanged'!D232+'CurrentFact-N10,20,40Unchanged'!I232)/100,2))*100</f>
        <v>9581.9690737215078</v>
      </c>
      <c r="F232">
        <f>Portfolio!B$5*'CurrentFact-N10,20,40Unchanged'!E232</f>
        <v>52143.895533915893</v>
      </c>
      <c r="G232">
        <f>Portfolio!B$6*'CurrentFact-N10,20,40Unchanged'!F232</f>
        <v>3696.2945087936532</v>
      </c>
      <c r="H232">
        <f t="shared" si="9"/>
        <v>94345.95180792053</v>
      </c>
      <c r="I232">
        <f t="shared" si="10"/>
        <v>2.0014072751946514</v>
      </c>
    </row>
    <row r="233" spans="1:9">
      <c r="A233" s="1">
        <v>39583</v>
      </c>
      <c r="B233">
        <f>(3/(1+('CurrentFact-N10,20,40Unchanged'!C233)/100)+103/POWER(1+('CurrentFact-N10,20,40Unchanged'!D233)/100,2))*100</f>
        <v>9707.5857774288397</v>
      </c>
      <c r="C233">
        <f>(3/(1+('CurrentFact-N10,20,40Unchanged'!C233+'CurrentFact-N10,20,40Unchanged'!G233)/100)+103/POWER(1+('CurrentFact-N10,20,40Unchanged'!D233+'CurrentFact-N10,20,40Unchanged'!G233)/100,2))*100</f>
        <v>9614.9673582483465</v>
      </c>
      <c r="D233">
        <f>(3/(1+('CurrentFact-N10,20,40Unchanged'!C233+'CurrentFact-N10,20,40Unchanged'!H233)/100)+103/POWER(1+('CurrentFact-N10,20,40Unchanged'!D233+'CurrentFact-N10,20,40Unchanged'!H233)/100,2))*100</f>
        <v>9601.2395558122898</v>
      </c>
      <c r="E233">
        <f>(3/(1+('CurrentFact-N10,20,40Unchanged'!C233+'CurrentFact-N10,20,40Unchanged'!I233)/100)+103/POWER(1+('CurrentFact-N10,20,40Unchanged'!D233+'CurrentFact-N10,20,40Unchanged'!I233)/100,2))*100</f>
        <v>9569.2267198995778</v>
      </c>
      <c r="F233">
        <f>Portfolio!B$5*'CurrentFact-N10,20,40Unchanged'!E233</f>
        <v>52143.895533915893</v>
      </c>
      <c r="G233">
        <f>Portfolio!B$6*'CurrentFact-N10,20,40Unchanged'!F233</f>
        <v>3696.2945087936532</v>
      </c>
      <c r="H233">
        <f t="shared" si="9"/>
        <v>94333.2094540986</v>
      </c>
      <c r="I233">
        <f t="shared" si="10"/>
        <v>-10.907957754723611</v>
      </c>
    </row>
    <row r="234" spans="1:9">
      <c r="A234" s="1">
        <v>39584</v>
      </c>
      <c r="B234">
        <f>(3/(1+('CurrentFact-N10,20,40Unchanged'!C234)/100)+103/POWER(1+('CurrentFact-N10,20,40Unchanged'!D234)/100,2))*100</f>
        <v>9707.5857774288397</v>
      </c>
      <c r="C234">
        <f>(3/(1+('CurrentFact-N10,20,40Unchanged'!C234+'CurrentFact-N10,20,40Unchanged'!G234)/100)+103/POWER(1+('CurrentFact-N10,20,40Unchanged'!D234+'CurrentFact-N10,20,40Unchanged'!G234)/100,2))*100</f>
        <v>9614.9673582483465</v>
      </c>
      <c r="D234">
        <f>(3/(1+('CurrentFact-N10,20,40Unchanged'!C234+'CurrentFact-N10,20,40Unchanged'!H234)/100)+103/POWER(1+('CurrentFact-N10,20,40Unchanged'!D234+'CurrentFact-N10,20,40Unchanged'!H234)/100,2))*100</f>
        <v>9601.2395558122898</v>
      </c>
      <c r="E234">
        <f>(3/(1+('CurrentFact-N10,20,40Unchanged'!C234+'CurrentFact-N10,20,40Unchanged'!I234)/100)+103/POWER(1+('CurrentFact-N10,20,40Unchanged'!D234+'CurrentFact-N10,20,40Unchanged'!I234)/100,2))*100</f>
        <v>9581.4267616700872</v>
      </c>
      <c r="F234">
        <f>Portfolio!B$5*'CurrentFact-N10,20,40Unchanged'!E234</f>
        <v>52143.895533915893</v>
      </c>
      <c r="G234">
        <f>Portfolio!B$6*'CurrentFact-N10,20,40Unchanged'!F234</f>
        <v>3696.2945087936532</v>
      </c>
      <c r="H234">
        <f t="shared" si="9"/>
        <v>94345.409495869113</v>
      </c>
      <c r="I234">
        <f t="shared" si="10"/>
        <v>5.7150562892347807</v>
      </c>
    </row>
    <row r="235" spans="1:9">
      <c r="A235" s="1">
        <v>39587</v>
      </c>
      <c r="B235">
        <f>(3/(1+('CurrentFact-N10,20,40Unchanged'!C235)/100)+103/POWER(1+('CurrentFact-N10,20,40Unchanged'!D235)/100,2))*100</f>
        <v>9707.5857774288397</v>
      </c>
      <c r="C235">
        <f>(3/(1+('CurrentFact-N10,20,40Unchanged'!C235+'CurrentFact-N10,20,40Unchanged'!G235)/100)+103/POWER(1+('CurrentFact-N10,20,40Unchanged'!D235+'CurrentFact-N10,20,40Unchanged'!G235)/100,2))*100</f>
        <v>9614.9673582483465</v>
      </c>
      <c r="D235">
        <f>(3/(1+('CurrentFact-N10,20,40Unchanged'!C235+'CurrentFact-N10,20,40Unchanged'!H235)/100)+103/POWER(1+('CurrentFact-N10,20,40Unchanged'!D235+'CurrentFact-N10,20,40Unchanged'!H235)/100,2))*100</f>
        <v>9601.2395558122898</v>
      </c>
      <c r="E235">
        <f>(3/(1+('CurrentFact-N10,20,40Unchanged'!C235+'CurrentFact-N10,20,40Unchanged'!I235)/100)+103/POWER(1+('CurrentFact-N10,20,40Unchanged'!D235+'CurrentFact-N10,20,40Unchanged'!I235)/100,2))*100</f>
        <v>9595.6029597249562</v>
      </c>
      <c r="F235">
        <f>Portfolio!B$5*'CurrentFact-N10,20,40Unchanged'!E235</f>
        <v>52143.895533915893</v>
      </c>
      <c r="G235">
        <f>Portfolio!B$6*'CurrentFact-N10,20,40Unchanged'!F235</f>
        <v>3696.2945087936532</v>
      </c>
      <c r="H235">
        <f t="shared" si="9"/>
        <v>94359.585693923989</v>
      </c>
      <c r="I235">
        <f t="shared" si="10"/>
        <v>8.8157175239466596</v>
      </c>
    </row>
    <row r="236" spans="1:9">
      <c r="A236" s="1">
        <v>39588</v>
      </c>
      <c r="B236">
        <f>(3/(1+('CurrentFact-N10,20,40Unchanged'!C236)/100)+103/POWER(1+('CurrentFact-N10,20,40Unchanged'!D236)/100,2))*100</f>
        <v>9707.5857774288397</v>
      </c>
      <c r="C236">
        <f>(3/(1+('CurrentFact-N10,20,40Unchanged'!C236+'CurrentFact-N10,20,40Unchanged'!G236)/100)+103/POWER(1+('CurrentFact-N10,20,40Unchanged'!D236+'CurrentFact-N10,20,40Unchanged'!G236)/100,2))*100</f>
        <v>9614.9673582483465</v>
      </c>
      <c r="D236">
        <f>(3/(1+('CurrentFact-N10,20,40Unchanged'!C236+'CurrentFact-N10,20,40Unchanged'!H236)/100)+103/POWER(1+('CurrentFact-N10,20,40Unchanged'!D236+'CurrentFact-N10,20,40Unchanged'!H236)/100,2))*100</f>
        <v>9601.2395558122898</v>
      </c>
      <c r="E236">
        <f>(3/(1+('CurrentFact-N10,20,40Unchanged'!C236+'CurrentFact-N10,20,40Unchanged'!I236)/100)+103/POWER(1+('CurrentFact-N10,20,40Unchanged'!D236+'CurrentFact-N10,20,40Unchanged'!I236)/100,2))*100</f>
        <v>9579.699866358982</v>
      </c>
      <c r="F236">
        <f>Portfolio!B$5*'CurrentFact-N10,20,40Unchanged'!E236</f>
        <v>52143.895533915893</v>
      </c>
      <c r="G236">
        <f>Portfolio!B$6*'CurrentFact-N10,20,40Unchanged'!F236</f>
        <v>3696.2945087936532</v>
      </c>
      <c r="H236">
        <f t="shared" si="9"/>
        <v>94343.682600558008</v>
      </c>
      <c r="I236">
        <f t="shared" si="10"/>
        <v>-9.3740969395730644</v>
      </c>
    </row>
    <row r="237" spans="1:9">
      <c r="A237" s="1">
        <v>39589</v>
      </c>
      <c r="B237">
        <f>(3/(1+('CurrentFact-N10,20,40Unchanged'!C237)/100)+103/POWER(1+('CurrentFact-N10,20,40Unchanged'!D237)/100,2))*100</f>
        <v>9707.5857774288397</v>
      </c>
      <c r="C237">
        <f>(3/(1+('CurrentFact-N10,20,40Unchanged'!C237+'CurrentFact-N10,20,40Unchanged'!G237)/100)+103/POWER(1+('CurrentFact-N10,20,40Unchanged'!D237+'CurrentFact-N10,20,40Unchanged'!G237)/100,2))*100</f>
        <v>9614.9673582483465</v>
      </c>
      <c r="D237">
        <f>(3/(1+('CurrentFact-N10,20,40Unchanged'!C237+'CurrentFact-N10,20,40Unchanged'!H237)/100)+103/POWER(1+('CurrentFact-N10,20,40Unchanged'!D237+'CurrentFact-N10,20,40Unchanged'!H237)/100,2))*100</f>
        <v>9601.2395558122898</v>
      </c>
      <c r="E237">
        <f>(3/(1+('CurrentFact-N10,20,40Unchanged'!C237+'CurrentFact-N10,20,40Unchanged'!I237)/100)+103/POWER(1+('CurrentFact-N10,20,40Unchanged'!D237+'CurrentFact-N10,20,40Unchanged'!I237)/100,2))*100</f>
        <v>9570.9461275553749</v>
      </c>
      <c r="F237">
        <f>Portfolio!B$5*'CurrentFact-N10,20,40Unchanged'!E237</f>
        <v>52143.895533915893</v>
      </c>
      <c r="G237">
        <f>Portfolio!B$6*'CurrentFact-N10,20,40Unchanged'!F237</f>
        <v>3696.2945087936532</v>
      </c>
      <c r="H237">
        <f t="shared" si="9"/>
        <v>94334.928861754393</v>
      </c>
      <c r="I237">
        <f t="shared" si="10"/>
        <v>-21.628297259274404</v>
      </c>
    </row>
    <row r="238" spans="1:9">
      <c r="A238" s="1">
        <v>39590</v>
      </c>
      <c r="B238">
        <f>(3/(1+('CurrentFact-N10,20,40Unchanged'!C238)/100)+103/POWER(1+('CurrentFact-N10,20,40Unchanged'!D238)/100,2))*100</f>
        <v>9707.5857774288397</v>
      </c>
      <c r="C238">
        <f>(3/(1+('CurrentFact-N10,20,40Unchanged'!C238+'CurrentFact-N10,20,40Unchanged'!G238)/100)+103/POWER(1+('CurrentFact-N10,20,40Unchanged'!D238+'CurrentFact-N10,20,40Unchanged'!G238)/100,2))*100</f>
        <v>9614.9673582483465</v>
      </c>
      <c r="D238">
        <f>(3/(1+('CurrentFact-N10,20,40Unchanged'!C238+'CurrentFact-N10,20,40Unchanged'!H238)/100)+103/POWER(1+('CurrentFact-N10,20,40Unchanged'!D238+'CurrentFact-N10,20,40Unchanged'!H238)/100,2))*100</f>
        <v>9601.2395558122898</v>
      </c>
      <c r="E238">
        <f>(3/(1+('CurrentFact-N10,20,40Unchanged'!C238+'CurrentFact-N10,20,40Unchanged'!I238)/100)+103/POWER(1+('CurrentFact-N10,20,40Unchanged'!D238+'CurrentFact-N10,20,40Unchanged'!I238)/100,2))*100</f>
        <v>9573.4998134274629</v>
      </c>
      <c r="F238">
        <f>Portfolio!B$5*'CurrentFact-N10,20,40Unchanged'!E238</f>
        <v>52143.895533915893</v>
      </c>
      <c r="G238">
        <f>Portfolio!B$6*'CurrentFact-N10,20,40Unchanged'!F238</f>
        <v>3696.2945087936532</v>
      </c>
      <c r="H238">
        <f t="shared" si="9"/>
        <v>94337.482547626481</v>
      </c>
      <c r="I238">
        <f t="shared" si="10"/>
        <v>-34.636884343373822</v>
      </c>
    </row>
    <row r="239" spans="1:9">
      <c r="A239" s="1">
        <v>39591</v>
      </c>
      <c r="B239">
        <f>(3/(1+('CurrentFact-N10,20,40Unchanged'!C239)/100)+103/POWER(1+('CurrentFact-N10,20,40Unchanged'!D239)/100,2))*100</f>
        <v>9707.5857774288397</v>
      </c>
      <c r="C239">
        <f>(3/(1+('CurrentFact-N10,20,40Unchanged'!C239+'CurrentFact-N10,20,40Unchanged'!G239)/100)+103/POWER(1+('CurrentFact-N10,20,40Unchanged'!D239+'CurrentFact-N10,20,40Unchanged'!G239)/100,2))*100</f>
        <v>9614.9673582483465</v>
      </c>
      <c r="D239">
        <f>(3/(1+('CurrentFact-N10,20,40Unchanged'!C239+'CurrentFact-N10,20,40Unchanged'!H239)/100)+103/POWER(1+('CurrentFact-N10,20,40Unchanged'!D239+'CurrentFact-N10,20,40Unchanged'!H239)/100,2))*100</f>
        <v>9601.2395558122898</v>
      </c>
      <c r="E239">
        <f>(3/(1+('CurrentFact-N10,20,40Unchanged'!C239+'CurrentFact-N10,20,40Unchanged'!I239)/100)+103/POWER(1+('CurrentFact-N10,20,40Unchanged'!D239+'CurrentFact-N10,20,40Unchanged'!I239)/100,2))*100</f>
        <v>9542.1363574169991</v>
      </c>
      <c r="F239">
        <f>Portfolio!B$5*'CurrentFact-N10,20,40Unchanged'!E239</f>
        <v>52143.895533915893</v>
      </c>
      <c r="G239">
        <f>Portfolio!B$6*'CurrentFact-N10,20,40Unchanged'!F239</f>
        <v>3696.2945087936532</v>
      </c>
      <c r="H239">
        <f t="shared" si="9"/>
        <v>94306.119091616012</v>
      </c>
      <c r="I239">
        <f t="shared" si="10"/>
        <v>-62.254831653903238</v>
      </c>
    </row>
    <row r="240" spans="1:9">
      <c r="A240" s="1">
        <v>39594</v>
      </c>
      <c r="B240">
        <f>(3/(1+('CurrentFact-N10,20,40Unchanged'!C240)/100)+103/POWER(1+('CurrentFact-N10,20,40Unchanged'!D240)/100,2))*100</f>
        <v>9707.5857774288397</v>
      </c>
      <c r="C240">
        <f>(3/(1+('CurrentFact-N10,20,40Unchanged'!C240+'CurrentFact-N10,20,40Unchanged'!G240)/100)+103/POWER(1+('CurrentFact-N10,20,40Unchanged'!D240+'CurrentFact-N10,20,40Unchanged'!G240)/100,2))*100</f>
        <v>9614.9673582483465</v>
      </c>
      <c r="D240">
        <f>(3/(1+('CurrentFact-N10,20,40Unchanged'!C240+'CurrentFact-N10,20,40Unchanged'!H240)/100)+103/POWER(1+('CurrentFact-N10,20,40Unchanged'!D240+'CurrentFact-N10,20,40Unchanged'!H240)/100,2))*100</f>
        <v>9601.2395558122898</v>
      </c>
      <c r="E240">
        <f>(3/(1+('CurrentFact-N10,20,40Unchanged'!C240+'CurrentFact-N10,20,40Unchanged'!I240)/100)+103/POWER(1+('CurrentFact-N10,20,40Unchanged'!D240+'CurrentFact-N10,20,40Unchanged'!I240)/100,2))*100</f>
        <v>9588.3540548551664</v>
      </c>
      <c r="F240">
        <f>Portfolio!B$5*'CurrentFact-N10,20,40Unchanged'!E240</f>
        <v>52143.895533915893</v>
      </c>
      <c r="G240">
        <f>Portfolio!B$6*'CurrentFact-N10,20,40Unchanged'!F240</f>
        <v>3696.2945087936532</v>
      </c>
      <c r="H240">
        <f t="shared" si="9"/>
        <v>94352.336789054185</v>
      </c>
      <c r="I240">
        <f t="shared" si="10"/>
        <v>8.6454336957831401</v>
      </c>
    </row>
    <row r="241" spans="1:9">
      <c r="A241" s="1">
        <v>39595</v>
      </c>
      <c r="B241">
        <f>(3/(1+('CurrentFact-N10,20,40Unchanged'!C241)/100)+103/POWER(1+('CurrentFact-N10,20,40Unchanged'!D241)/100,2))*100</f>
        <v>9707.5857774288397</v>
      </c>
      <c r="C241">
        <f>(3/(1+('CurrentFact-N10,20,40Unchanged'!C241+'CurrentFact-N10,20,40Unchanged'!G241)/100)+103/POWER(1+('CurrentFact-N10,20,40Unchanged'!D241+'CurrentFact-N10,20,40Unchanged'!G241)/100,2))*100</f>
        <v>9614.9673582483465</v>
      </c>
      <c r="D241">
        <f>(3/(1+('CurrentFact-N10,20,40Unchanged'!C241+'CurrentFact-N10,20,40Unchanged'!H241)/100)+103/POWER(1+('CurrentFact-N10,20,40Unchanged'!D241+'CurrentFact-N10,20,40Unchanged'!H241)/100,2))*100</f>
        <v>9601.2395558122898</v>
      </c>
      <c r="E241">
        <f>(3/(1+('CurrentFact-N10,20,40Unchanged'!C241+'CurrentFact-N10,20,40Unchanged'!I241)/100)+103/POWER(1+('CurrentFact-N10,20,40Unchanged'!D241+'CurrentFact-N10,20,40Unchanged'!I241)/100,2))*100</f>
        <v>9591.8349539607079</v>
      </c>
      <c r="F241">
        <f>Portfolio!B$5*'CurrentFact-N10,20,40Unchanged'!E241</f>
        <v>52143.895533915893</v>
      </c>
      <c r="G241">
        <f>Portfolio!B$6*'CurrentFact-N10,20,40Unchanged'!F241</f>
        <v>3696.2945087936532</v>
      </c>
      <c r="H241">
        <f t="shared" si="9"/>
        <v>94355.817688159732</v>
      </c>
      <c r="I241">
        <f t="shared" si="10"/>
        <v>-9.4919435036281357</v>
      </c>
    </row>
    <row r="242" spans="1:9">
      <c r="A242" s="1">
        <v>39596</v>
      </c>
      <c r="B242">
        <f>(3/(1+('CurrentFact-N10,20,40Unchanged'!C242)/100)+103/POWER(1+('CurrentFact-N10,20,40Unchanged'!D242)/100,2))*100</f>
        <v>9707.5857774288397</v>
      </c>
      <c r="C242">
        <f>(3/(1+('CurrentFact-N10,20,40Unchanged'!C242+'CurrentFact-N10,20,40Unchanged'!G242)/100)+103/POWER(1+('CurrentFact-N10,20,40Unchanged'!D242+'CurrentFact-N10,20,40Unchanged'!G242)/100,2))*100</f>
        <v>9614.9673582483465</v>
      </c>
      <c r="D242">
        <f>(3/(1+('CurrentFact-N10,20,40Unchanged'!C242+'CurrentFact-N10,20,40Unchanged'!H242)/100)+103/POWER(1+('CurrentFact-N10,20,40Unchanged'!D242+'CurrentFact-N10,20,40Unchanged'!H242)/100,2))*100</f>
        <v>9601.2395558122898</v>
      </c>
      <c r="E242">
        <f>(3/(1+('CurrentFact-N10,20,40Unchanged'!C242+'CurrentFact-N10,20,40Unchanged'!I242)/100)+103/POWER(1+('CurrentFact-N10,20,40Unchanged'!D242+'CurrentFact-N10,20,40Unchanged'!I242)/100,2))*100</f>
        <v>9588.7917258984944</v>
      </c>
      <c r="F242">
        <f>Portfolio!B$5*'CurrentFact-N10,20,40Unchanged'!E242</f>
        <v>52143.895533915893</v>
      </c>
      <c r="G242">
        <f>Portfolio!B$6*'CurrentFact-N10,20,40Unchanged'!F242</f>
        <v>3696.2945087936532</v>
      </c>
      <c r="H242">
        <f t="shared" si="9"/>
        <v>94352.774460097513</v>
      </c>
      <c r="I242">
        <f t="shared" si="10"/>
        <v>6.822652176982956</v>
      </c>
    </row>
    <row r="243" spans="1:9">
      <c r="A243" s="1">
        <v>39597</v>
      </c>
      <c r="B243">
        <f>(3/(1+('CurrentFact-N10,20,40Unchanged'!C243)/100)+103/POWER(1+('CurrentFact-N10,20,40Unchanged'!D243)/100,2))*100</f>
        <v>9707.5857774288397</v>
      </c>
      <c r="C243">
        <f>(3/(1+('CurrentFact-N10,20,40Unchanged'!C243+'CurrentFact-N10,20,40Unchanged'!G243)/100)+103/POWER(1+('CurrentFact-N10,20,40Unchanged'!D243+'CurrentFact-N10,20,40Unchanged'!G243)/100,2))*100</f>
        <v>9614.9673582483465</v>
      </c>
      <c r="D243">
        <f>(3/(1+('CurrentFact-N10,20,40Unchanged'!C243+'CurrentFact-N10,20,40Unchanged'!H243)/100)+103/POWER(1+('CurrentFact-N10,20,40Unchanged'!D243+'CurrentFact-N10,20,40Unchanged'!H243)/100,2))*100</f>
        <v>9601.2395558122898</v>
      </c>
      <c r="E243">
        <f>(3/(1+('CurrentFact-N10,20,40Unchanged'!C243+'CurrentFact-N10,20,40Unchanged'!I243)/100)+103/POWER(1+('CurrentFact-N10,20,40Unchanged'!D243+'CurrentFact-N10,20,40Unchanged'!I243)/100,2))*100</f>
        <v>9570.1156985625712</v>
      </c>
      <c r="F243">
        <f>Portfolio!B$5*'CurrentFact-N10,20,40Unchanged'!E243</f>
        <v>52143.895533915893</v>
      </c>
      <c r="G243">
        <f>Portfolio!B$6*'CurrentFact-N10,20,40Unchanged'!F243</f>
        <v>3696.2945087936532</v>
      </c>
      <c r="H243">
        <f t="shared" si="9"/>
        <v>94334.098432761588</v>
      </c>
      <c r="I243">
        <f t="shared" si="10"/>
        <v>0.88897866298793815</v>
      </c>
    </row>
    <row r="244" spans="1:9">
      <c r="A244" s="1">
        <v>39598</v>
      </c>
      <c r="B244">
        <f>(3/(1+('CurrentFact-N10,20,40Unchanged'!C244)/100)+103/POWER(1+('CurrentFact-N10,20,40Unchanged'!D244)/100,2))*100</f>
        <v>9707.5857774288397</v>
      </c>
      <c r="C244">
        <f>(3/(1+('CurrentFact-N10,20,40Unchanged'!C244+'CurrentFact-N10,20,40Unchanged'!G244)/100)+103/POWER(1+('CurrentFact-N10,20,40Unchanged'!D244+'CurrentFact-N10,20,40Unchanged'!G244)/100,2))*100</f>
        <v>9614.9673582483465</v>
      </c>
      <c r="D244">
        <f>(3/(1+('CurrentFact-N10,20,40Unchanged'!C244+'CurrentFact-N10,20,40Unchanged'!H244)/100)+103/POWER(1+('CurrentFact-N10,20,40Unchanged'!D244+'CurrentFact-N10,20,40Unchanged'!H244)/100,2))*100</f>
        <v>9601.2395558122898</v>
      </c>
      <c r="E244">
        <f>(3/(1+('CurrentFact-N10,20,40Unchanged'!C244+'CurrentFact-N10,20,40Unchanged'!I244)/100)+103/POWER(1+('CurrentFact-N10,20,40Unchanged'!D244+'CurrentFact-N10,20,40Unchanged'!I244)/100,2))*100</f>
        <v>9572.6075377841116</v>
      </c>
      <c r="F244">
        <f>Portfolio!B$5*'CurrentFact-N10,20,40Unchanged'!E244</f>
        <v>52143.895533915893</v>
      </c>
      <c r="G244">
        <f>Portfolio!B$6*'CurrentFact-N10,20,40Unchanged'!F244</f>
        <v>3696.2945087936532</v>
      </c>
      <c r="H244">
        <f t="shared" si="9"/>
        <v>94336.590271983136</v>
      </c>
      <c r="I244">
        <f t="shared" si="10"/>
        <v>-8.8192238859774079</v>
      </c>
    </row>
    <row r="245" spans="1:9">
      <c r="A245" s="1">
        <v>39601</v>
      </c>
      <c r="B245">
        <f>(3/(1+('CurrentFact-N10,20,40Unchanged'!C245)/100)+103/POWER(1+('CurrentFact-N10,20,40Unchanged'!D245)/100,2))*100</f>
        <v>9707.5857774288397</v>
      </c>
      <c r="C245">
        <f>(3/(1+('CurrentFact-N10,20,40Unchanged'!C245+'CurrentFact-N10,20,40Unchanged'!G245)/100)+103/POWER(1+('CurrentFact-N10,20,40Unchanged'!D245+'CurrentFact-N10,20,40Unchanged'!G245)/100,2))*100</f>
        <v>9614.9673582483465</v>
      </c>
      <c r="D245">
        <f>(3/(1+('CurrentFact-N10,20,40Unchanged'!C245+'CurrentFact-N10,20,40Unchanged'!H245)/100)+103/POWER(1+('CurrentFact-N10,20,40Unchanged'!D245+'CurrentFact-N10,20,40Unchanged'!H245)/100,2))*100</f>
        <v>9601.2395558122898</v>
      </c>
      <c r="E245">
        <f>(3/(1+('CurrentFact-N10,20,40Unchanged'!C245+'CurrentFact-N10,20,40Unchanged'!I245)/100)+103/POWER(1+('CurrentFact-N10,20,40Unchanged'!D245+'CurrentFact-N10,20,40Unchanged'!I245)/100,2))*100</f>
        <v>9590.569955629373</v>
      </c>
      <c r="F245">
        <f>Portfolio!B$5*'CurrentFact-N10,20,40Unchanged'!E245</f>
        <v>52143.895533915893</v>
      </c>
      <c r="G245">
        <f>Portfolio!B$6*'CurrentFact-N10,20,40Unchanged'!F245</f>
        <v>3696.2945087936532</v>
      </c>
      <c r="H245">
        <f t="shared" si="9"/>
        <v>94354.552689828386</v>
      </c>
      <c r="I245">
        <f t="shared" si="10"/>
        <v>-5.0330040956032462</v>
      </c>
    </row>
    <row r="246" spans="1:9">
      <c r="A246" s="1">
        <v>39602</v>
      </c>
      <c r="B246">
        <f>(3/(1+('CurrentFact-N10,20,40Unchanged'!C246)/100)+103/POWER(1+('CurrentFact-N10,20,40Unchanged'!D246)/100,2))*100</f>
        <v>9707.5857774288397</v>
      </c>
      <c r="C246">
        <f>(3/(1+('CurrentFact-N10,20,40Unchanged'!C246+'CurrentFact-N10,20,40Unchanged'!G246)/100)+103/POWER(1+('CurrentFact-N10,20,40Unchanged'!D246+'CurrentFact-N10,20,40Unchanged'!G246)/100,2))*100</f>
        <v>9614.9673582483465</v>
      </c>
      <c r="D246">
        <f>(3/(1+('CurrentFact-N10,20,40Unchanged'!C246+'CurrentFact-N10,20,40Unchanged'!H246)/100)+103/POWER(1+('CurrentFact-N10,20,40Unchanged'!D246+'CurrentFact-N10,20,40Unchanged'!H246)/100,2))*100</f>
        <v>9601.2395558122898</v>
      </c>
      <c r="E246">
        <f>(3/(1+('CurrentFact-N10,20,40Unchanged'!C246+'CurrentFact-N10,20,40Unchanged'!I246)/100)+103/POWER(1+('CurrentFact-N10,20,40Unchanged'!D246+'CurrentFact-N10,20,40Unchanged'!I246)/100,2))*100</f>
        <v>9591.6073825056264</v>
      </c>
      <c r="F246">
        <f>Portfolio!B$5*'CurrentFact-N10,20,40Unchanged'!E246</f>
        <v>52143.895533915893</v>
      </c>
      <c r="G246">
        <f>Portfolio!B$6*'CurrentFact-N10,20,40Unchanged'!F246</f>
        <v>3696.2945087936532</v>
      </c>
      <c r="H246">
        <f t="shared" si="9"/>
        <v>94355.59011670464</v>
      </c>
      <c r="I246">
        <f t="shared" si="10"/>
        <v>11.907516146631679</v>
      </c>
    </row>
    <row r="247" spans="1:9">
      <c r="A247" s="1">
        <v>39603</v>
      </c>
      <c r="B247">
        <f>(3/(1+('CurrentFact-N10,20,40Unchanged'!C247)/100)+103/POWER(1+('CurrentFact-N10,20,40Unchanged'!D247)/100,2))*100</f>
        <v>9707.5857774288397</v>
      </c>
      <c r="C247">
        <f>(3/(1+('CurrentFact-N10,20,40Unchanged'!C247+'CurrentFact-N10,20,40Unchanged'!G247)/100)+103/POWER(1+('CurrentFact-N10,20,40Unchanged'!D247+'CurrentFact-N10,20,40Unchanged'!G247)/100,2))*100</f>
        <v>9614.9673582483465</v>
      </c>
      <c r="D247">
        <f>(3/(1+('CurrentFact-N10,20,40Unchanged'!C247+'CurrentFact-N10,20,40Unchanged'!H247)/100)+103/POWER(1+('CurrentFact-N10,20,40Unchanged'!D247+'CurrentFact-N10,20,40Unchanged'!H247)/100,2))*100</f>
        <v>9601.2395558122898</v>
      </c>
      <c r="E247">
        <f>(3/(1+('CurrentFact-N10,20,40Unchanged'!C247+'CurrentFact-N10,20,40Unchanged'!I247)/100)+103/POWER(1+('CurrentFact-N10,20,40Unchanged'!D247+'CurrentFact-N10,20,40Unchanged'!I247)/100,2))*100</f>
        <v>9591.4190622700244</v>
      </c>
      <c r="F247">
        <f>Portfolio!B$5*'CurrentFact-N10,20,40Unchanged'!E247</f>
        <v>52143.895533915893</v>
      </c>
      <c r="G247">
        <f>Portfolio!B$6*'CurrentFact-N10,20,40Unchanged'!F247</f>
        <v>3696.2945087936532</v>
      </c>
      <c r="H247">
        <f t="shared" si="9"/>
        <v>94355.401796469057</v>
      </c>
      <c r="I247">
        <f t="shared" si="10"/>
        <v>20.472934714664007</v>
      </c>
    </row>
    <row r="248" spans="1:9">
      <c r="A248" s="1">
        <v>39604</v>
      </c>
      <c r="B248">
        <f>(3/(1+('CurrentFact-N10,20,40Unchanged'!C248)/100)+103/POWER(1+('CurrentFact-N10,20,40Unchanged'!D248)/100,2))*100</f>
        <v>9707.5857774288397</v>
      </c>
      <c r="C248">
        <f>(3/(1+('CurrentFact-N10,20,40Unchanged'!C248+'CurrentFact-N10,20,40Unchanged'!G248)/100)+103/POWER(1+('CurrentFact-N10,20,40Unchanged'!D248+'CurrentFact-N10,20,40Unchanged'!G248)/100,2))*100</f>
        <v>9614.9673582483465</v>
      </c>
      <c r="D248">
        <f>(3/(1+('CurrentFact-N10,20,40Unchanged'!C248+'CurrentFact-N10,20,40Unchanged'!H248)/100)+103/POWER(1+('CurrentFact-N10,20,40Unchanged'!D248+'CurrentFact-N10,20,40Unchanged'!H248)/100,2))*100</f>
        <v>9601.2395558122898</v>
      </c>
      <c r="E248">
        <f>(3/(1+('CurrentFact-N10,20,40Unchanged'!C248+'CurrentFact-N10,20,40Unchanged'!I248)/100)+103/POWER(1+('CurrentFact-N10,20,40Unchanged'!D248+'CurrentFact-N10,20,40Unchanged'!I248)/100,2))*100</f>
        <v>9589.8730168927523</v>
      </c>
      <c r="F248">
        <f>Portfolio!B$5*'CurrentFact-N10,20,40Unchanged'!E248</f>
        <v>52143.895533915893</v>
      </c>
      <c r="G248">
        <f>Portfolio!B$6*'CurrentFact-N10,20,40Unchanged'!F248</f>
        <v>3696.2945087936532</v>
      </c>
      <c r="H248">
        <f t="shared" si="9"/>
        <v>94353.855751091774</v>
      </c>
      <c r="I248">
        <f t="shared" si="10"/>
        <v>16.373203465293045</v>
      </c>
    </row>
    <row r="249" spans="1:9">
      <c r="A249" s="1">
        <v>39605</v>
      </c>
      <c r="B249">
        <f>(3/(1+('CurrentFact-N10,20,40Unchanged'!C249)/100)+103/POWER(1+('CurrentFact-N10,20,40Unchanged'!D249)/100,2))*100</f>
        <v>9707.5857774288397</v>
      </c>
      <c r="C249">
        <f>(3/(1+('CurrentFact-N10,20,40Unchanged'!C249+'CurrentFact-N10,20,40Unchanged'!G249)/100)+103/POWER(1+('CurrentFact-N10,20,40Unchanged'!D249+'CurrentFact-N10,20,40Unchanged'!G249)/100,2))*100</f>
        <v>9614.9673582483465</v>
      </c>
      <c r="D249">
        <f>(3/(1+('CurrentFact-N10,20,40Unchanged'!C249+'CurrentFact-N10,20,40Unchanged'!H249)/100)+103/POWER(1+('CurrentFact-N10,20,40Unchanged'!D249+'CurrentFact-N10,20,40Unchanged'!H249)/100,2))*100</f>
        <v>9601.2395558122898</v>
      </c>
      <c r="E249">
        <f>(3/(1+('CurrentFact-N10,20,40Unchanged'!C249+'CurrentFact-N10,20,40Unchanged'!I249)/100)+103/POWER(1+('CurrentFact-N10,20,40Unchanged'!D249+'CurrentFact-N10,20,40Unchanged'!I249)/100,2))*100</f>
        <v>9602.2079674607048</v>
      </c>
      <c r="F249">
        <f>Portfolio!B$5*'CurrentFact-N10,20,40Unchanged'!E249</f>
        <v>52143.895533915893</v>
      </c>
      <c r="G249">
        <f>Portfolio!B$6*'CurrentFact-N10,20,40Unchanged'!F249</f>
        <v>3696.2945087936532</v>
      </c>
      <c r="H249">
        <f t="shared" si="9"/>
        <v>94366.19070165974</v>
      </c>
      <c r="I249">
        <f t="shared" si="10"/>
        <v>60.07161004372756</v>
      </c>
    </row>
    <row r="250" spans="1:9">
      <c r="A250" s="1">
        <v>39608</v>
      </c>
      <c r="B250">
        <f>(3/(1+('CurrentFact-N10,20,40Unchanged'!C250)/100)+103/POWER(1+('CurrentFact-N10,20,40Unchanged'!D250)/100,2))*100</f>
        <v>9707.5857774288397</v>
      </c>
      <c r="C250">
        <f>(3/(1+('CurrentFact-N10,20,40Unchanged'!C250+'CurrentFact-N10,20,40Unchanged'!G250)/100)+103/POWER(1+('CurrentFact-N10,20,40Unchanged'!D250+'CurrentFact-N10,20,40Unchanged'!G250)/100,2))*100</f>
        <v>9614.9673582483465</v>
      </c>
      <c r="D250">
        <f>(3/(1+('CurrentFact-N10,20,40Unchanged'!C250+'CurrentFact-N10,20,40Unchanged'!H250)/100)+103/POWER(1+('CurrentFact-N10,20,40Unchanged'!D250+'CurrentFact-N10,20,40Unchanged'!H250)/100,2))*100</f>
        <v>9601.2395558122898</v>
      </c>
      <c r="E250">
        <f>(3/(1+('CurrentFact-N10,20,40Unchanged'!C250+'CurrentFact-N10,20,40Unchanged'!I250)/100)+103/POWER(1+('CurrentFact-N10,20,40Unchanged'!D250+'CurrentFact-N10,20,40Unchanged'!I250)/100,2))*100</f>
        <v>9576.0937379574352</v>
      </c>
      <c r="F250">
        <f>Portfolio!B$5*'CurrentFact-N10,20,40Unchanged'!E250</f>
        <v>52143.895533915893</v>
      </c>
      <c r="G250">
        <f>Portfolio!B$6*'CurrentFact-N10,20,40Unchanged'!F250</f>
        <v>3696.2945087936532</v>
      </c>
      <c r="H250">
        <f t="shared" si="9"/>
        <v>94340.076472156448</v>
      </c>
      <c r="I250">
        <f t="shared" si="10"/>
        <v>-12.260316897736629</v>
      </c>
    </row>
    <row r="251" spans="1:9">
      <c r="A251" s="1">
        <v>39609</v>
      </c>
      <c r="B251">
        <f>(3/(1+('CurrentFact-N10,20,40Unchanged'!C251)/100)+103/POWER(1+('CurrentFact-N10,20,40Unchanged'!D251)/100,2))*100</f>
        <v>9707.5857774288397</v>
      </c>
      <c r="C251">
        <f>(3/(1+('CurrentFact-N10,20,40Unchanged'!C251+'CurrentFact-N10,20,40Unchanged'!G251)/100)+103/POWER(1+('CurrentFact-N10,20,40Unchanged'!D251+'CurrentFact-N10,20,40Unchanged'!G251)/100,2))*100</f>
        <v>9614.9673582483465</v>
      </c>
      <c r="D251">
        <f>(3/(1+('CurrentFact-N10,20,40Unchanged'!C251+'CurrentFact-N10,20,40Unchanged'!H251)/100)+103/POWER(1+('CurrentFact-N10,20,40Unchanged'!D251+'CurrentFact-N10,20,40Unchanged'!H251)/100,2))*100</f>
        <v>9601.2395558122898</v>
      </c>
      <c r="E251">
        <f>(3/(1+('CurrentFact-N10,20,40Unchanged'!C251+'CurrentFact-N10,20,40Unchanged'!I251)/100)+103/POWER(1+('CurrentFact-N10,20,40Unchanged'!D251+'CurrentFact-N10,20,40Unchanged'!I251)/100,2))*100</f>
        <v>9595.9490514904428</v>
      </c>
      <c r="F251">
        <f>Portfolio!B$5*'CurrentFact-N10,20,40Unchanged'!E251</f>
        <v>52143.895533915893</v>
      </c>
      <c r="G251">
        <f>Portfolio!B$6*'CurrentFact-N10,20,40Unchanged'!F251</f>
        <v>3696.2945087936532</v>
      </c>
      <c r="H251">
        <f t="shared" si="9"/>
        <v>94359.931785689463</v>
      </c>
      <c r="I251">
        <f t="shared" si="10"/>
        <v>4.1140975297312252</v>
      </c>
    </row>
    <row r="252" spans="1:9">
      <c r="A252" s="1">
        <v>39610</v>
      </c>
      <c r="B252">
        <f>(3/(1+('CurrentFact-N10,20,40Unchanged'!C252)/100)+103/POWER(1+('CurrentFact-N10,20,40Unchanged'!D252)/100,2))*100</f>
        <v>9707.5857774288397</v>
      </c>
      <c r="C252">
        <f>(3/(1+('CurrentFact-N10,20,40Unchanged'!C252+'CurrentFact-N10,20,40Unchanged'!G252)/100)+103/POWER(1+('CurrentFact-N10,20,40Unchanged'!D252+'CurrentFact-N10,20,40Unchanged'!G252)/100,2))*100</f>
        <v>9614.9673582483465</v>
      </c>
      <c r="D252">
        <f>(3/(1+('CurrentFact-N10,20,40Unchanged'!C252+'CurrentFact-N10,20,40Unchanged'!H252)/100)+103/POWER(1+('CurrentFact-N10,20,40Unchanged'!D252+'CurrentFact-N10,20,40Unchanged'!H252)/100,2))*100</f>
        <v>9601.2395558122898</v>
      </c>
      <c r="E252">
        <f>(3/(1+('CurrentFact-N10,20,40Unchanged'!C252+'CurrentFact-N10,20,40Unchanged'!I252)/100)+103/POWER(1+('CurrentFact-N10,20,40Unchanged'!D252+'CurrentFact-N10,20,40Unchanged'!I252)/100,2))*100</f>
        <v>9584.8250213334341</v>
      </c>
      <c r="F252">
        <f>Portfolio!B$5*'CurrentFact-N10,20,40Unchanged'!E252</f>
        <v>52143.895533915893</v>
      </c>
      <c r="G252">
        <f>Portfolio!B$6*'CurrentFact-N10,20,40Unchanged'!F252</f>
        <v>3696.2945087936532</v>
      </c>
      <c r="H252">
        <f t="shared" ref="H252:H263" si="11">SUM(B252:G252)</f>
        <v>94348.807755532456</v>
      </c>
      <c r="I252">
        <f t="shared" ref="I252:I263" si="12">H252-H242</f>
        <v>-3.9667045650567161</v>
      </c>
    </row>
    <row r="253" spans="1:9">
      <c r="A253" s="1">
        <v>39611</v>
      </c>
      <c r="B253">
        <f>(3/(1+('CurrentFact-N10,20,40Unchanged'!C253)/100)+103/POWER(1+('CurrentFact-N10,20,40Unchanged'!D253)/100,2))*100</f>
        <v>9707.5857774288397</v>
      </c>
      <c r="C253">
        <f>(3/(1+('CurrentFact-N10,20,40Unchanged'!C253+'CurrentFact-N10,20,40Unchanged'!G253)/100)+103/POWER(1+('CurrentFact-N10,20,40Unchanged'!D253+'CurrentFact-N10,20,40Unchanged'!G253)/100,2))*100</f>
        <v>9614.9673582483465</v>
      </c>
      <c r="D253">
        <f>(3/(1+('CurrentFact-N10,20,40Unchanged'!C253+'CurrentFact-N10,20,40Unchanged'!H253)/100)+103/POWER(1+('CurrentFact-N10,20,40Unchanged'!D253+'CurrentFact-N10,20,40Unchanged'!H253)/100,2))*100</f>
        <v>9601.2395558122898</v>
      </c>
      <c r="E253">
        <f>(3/(1+('CurrentFact-N10,20,40Unchanged'!C253+'CurrentFact-N10,20,40Unchanged'!I253)/100)+103/POWER(1+('CurrentFact-N10,20,40Unchanged'!D253+'CurrentFact-N10,20,40Unchanged'!I253)/100,2))*100</f>
        <v>9585.8814055839593</v>
      </c>
      <c r="F253">
        <f>Portfolio!B$5*'CurrentFact-N10,20,40Unchanged'!E253</f>
        <v>52143.895533915893</v>
      </c>
      <c r="G253">
        <f>Portfolio!B$6*'CurrentFact-N10,20,40Unchanged'!F253</f>
        <v>3696.2945087936532</v>
      </c>
      <c r="H253">
        <f t="shared" si="11"/>
        <v>94349.864139782992</v>
      </c>
      <c r="I253">
        <f t="shared" si="12"/>
        <v>15.765707021404523</v>
      </c>
    </row>
    <row r="254" spans="1:9">
      <c r="A254" s="1">
        <v>39612</v>
      </c>
      <c r="B254">
        <f>(3/(1+('CurrentFact-N10,20,40Unchanged'!C254)/100)+103/POWER(1+('CurrentFact-N10,20,40Unchanged'!D254)/100,2))*100</f>
        <v>9707.5857774288397</v>
      </c>
      <c r="C254">
        <f>(3/(1+('CurrentFact-N10,20,40Unchanged'!C254+'CurrentFact-N10,20,40Unchanged'!G254)/100)+103/POWER(1+('CurrentFact-N10,20,40Unchanged'!D254+'CurrentFact-N10,20,40Unchanged'!G254)/100,2))*100</f>
        <v>9614.9673582483465</v>
      </c>
      <c r="D254">
        <f>(3/(1+('CurrentFact-N10,20,40Unchanged'!C254+'CurrentFact-N10,20,40Unchanged'!H254)/100)+103/POWER(1+('CurrentFact-N10,20,40Unchanged'!D254+'CurrentFact-N10,20,40Unchanged'!H254)/100,2))*100</f>
        <v>9601.2395558122898</v>
      </c>
      <c r="E254">
        <f>(3/(1+('CurrentFact-N10,20,40Unchanged'!C254+'CurrentFact-N10,20,40Unchanged'!I254)/100)+103/POWER(1+('CurrentFact-N10,20,40Unchanged'!D254+'CurrentFact-N10,20,40Unchanged'!I254)/100,2))*100</f>
        <v>9588.5699250861398</v>
      </c>
      <c r="F254">
        <f>Portfolio!B$5*'CurrentFact-N10,20,40Unchanged'!E254</f>
        <v>52143.895533915893</v>
      </c>
      <c r="G254">
        <f>Portfolio!B$6*'CurrentFact-N10,20,40Unchanged'!F254</f>
        <v>3696.2945087936532</v>
      </c>
      <c r="H254">
        <f t="shared" si="11"/>
        <v>94352.552659285167</v>
      </c>
      <c r="I254">
        <f t="shared" si="12"/>
        <v>15.962387302031857</v>
      </c>
    </row>
    <row r="255" spans="1:9">
      <c r="A255" s="1">
        <v>39615</v>
      </c>
      <c r="B255">
        <f>(3/(1+('CurrentFact-N10,20,40Unchanged'!C255)/100)+103/POWER(1+('CurrentFact-N10,20,40Unchanged'!D255)/100,2))*100</f>
        <v>9707.5857774288397</v>
      </c>
      <c r="C255">
        <f>(3/(1+('CurrentFact-N10,20,40Unchanged'!C255+'CurrentFact-N10,20,40Unchanged'!G255)/100)+103/POWER(1+('CurrentFact-N10,20,40Unchanged'!D255+'CurrentFact-N10,20,40Unchanged'!G255)/100,2))*100</f>
        <v>9614.9673582483465</v>
      </c>
      <c r="D255">
        <f>(3/(1+('CurrentFact-N10,20,40Unchanged'!C255+'CurrentFact-N10,20,40Unchanged'!H255)/100)+103/POWER(1+('CurrentFact-N10,20,40Unchanged'!D255+'CurrentFact-N10,20,40Unchanged'!H255)/100,2))*100</f>
        <v>9601.2395558122898</v>
      </c>
      <c r="E255">
        <f>(3/(1+('CurrentFact-N10,20,40Unchanged'!C255+'CurrentFact-N10,20,40Unchanged'!I255)/100)+103/POWER(1+('CurrentFact-N10,20,40Unchanged'!D255+'CurrentFact-N10,20,40Unchanged'!I255)/100,2))*100</f>
        <v>9599.3574296519437</v>
      </c>
      <c r="F255">
        <f>Portfolio!B$5*'CurrentFact-N10,20,40Unchanged'!E255</f>
        <v>52143.895533915893</v>
      </c>
      <c r="G255">
        <f>Portfolio!B$6*'CurrentFact-N10,20,40Unchanged'!F255</f>
        <v>3696.2945087936532</v>
      </c>
      <c r="H255">
        <f t="shared" si="11"/>
        <v>94363.340163850968</v>
      </c>
      <c r="I255">
        <f t="shared" si="12"/>
        <v>8.7874740225815913</v>
      </c>
    </row>
    <row r="256" spans="1:9">
      <c r="A256" s="1">
        <v>39616</v>
      </c>
      <c r="B256">
        <f>(3/(1+('CurrentFact-N10,20,40Unchanged'!C256)/100)+103/POWER(1+('CurrentFact-N10,20,40Unchanged'!D256)/100,2))*100</f>
        <v>9707.5857774288397</v>
      </c>
      <c r="C256">
        <f>(3/(1+('CurrentFact-N10,20,40Unchanged'!C256+'CurrentFact-N10,20,40Unchanged'!G256)/100)+103/POWER(1+('CurrentFact-N10,20,40Unchanged'!D256+'CurrentFact-N10,20,40Unchanged'!G256)/100,2))*100</f>
        <v>9614.9673582483465</v>
      </c>
      <c r="D256">
        <f>(3/(1+('CurrentFact-N10,20,40Unchanged'!C256+'CurrentFact-N10,20,40Unchanged'!H256)/100)+103/POWER(1+('CurrentFact-N10,20,40Unchanged'!D256+'CurrentFact-N10,20,40Unchanged'!H256)/100,2))*100</f>
        <v>9601.2395558122898</v>
      </c>
      <c r="E256">
        <f>(3/(1+('CurrentFact-N10,20,40Unchanged'!C256+'CurrentFact-N10,20,40Unchanged'!I256)/100)+103/POWER(1+('CurrentFact-N10,20,40Unchanged'!D256+'CurrentFact-N10,20,40Unchanged'!I256)/100,2))*100</f>
        <v>9575.0325397319502</v>
      </c>
      <c r="F256">
        <f>Portfolio!B$5*'CurrentFact-N10,20,40Unchanged'!E256</f>
        <v>52143.895533915893</v>
      </c>
      <c r="G256">
        <f>Portfolio!B$6*'CurrentFact-N10,20,40Unchanged'!F256</f>
        <v>3696.2945087936532</v>
      </c>
      <c r="H256">
        <f t="shared" si="11"/>
        <v>94339.015273930971</v>
      </c>
      <c r="I256">
        <f t="shared" si="12"/>
        <v>-16.574842773668934</v>
      </c>
    </row>
    <row r="257" spans="1:9">
      <c r="A257" s="1">
        <v>39617</v>
      </c>
      <c r="B257">
        <f>(3/(1+('CurrentFact-N10,20,40Unchanged'!C257)/100)+103/POWER(1+('CurrentFact-N10,20,40Unchanged'!D257)/100,2))*100</f>
        <v>9707.5857774288397</v>
      </c>
      <c r="C257">
        <f>(3/(1+('CurrentFact-N10,20,40Unchanged'!C257+'CurrentFact-N10,20,40Unchanged'!G257)/100)+103/POWER(1+('CurrentFact-N10,20,40Unchanged'!D257+'CurrentFact-N10,20,40Unchanged'!G257)/100,2))*100</f>
        <v>9614.9673582483465</v>
      </c>
      <c r="D257">
        <f>(3/(1+('CurrentFact-N10,20,40Unchanged'!C257+'CurrentFact-N10,20,40Unchanged'!H257)/100)+103/POWER(1+('CurrentFact-N10,20,40Unchanged'!D257+'CurrentFact-N10,20,40Unchanged'!H257)/100,2))*100</f>
        <v>9601.2395558122898</v>
      </c>
      <c r="E257">
        <f>(3/(1+('CurrentFact-N10,20,40Unchanged'!C257+'CurrentFact-N10,20,40Unchanged'!I257)/100)+103/POWER(1+('CurrentFact-N10,20,40Unchanged'!D257+'CurrentFact-N10,20,40Unchanged'!I257)/100,2))*100</f>
        <v>9588.4765331043127</v>
      </c>
      <c r="F257">
        <f>Portfolio!B$5*'CurrentFact-N10,20,40Unchanged'!E257</f>
        <v>52143.895533915893</v>
      </c>
      <c r="G257">
        <f>Portfolio!B$6*'CurrentFact-N10,20,40Unchanged'!F257</f>
        <v>3696.2945087936532</v>
      </c>
      <c r="H257">
        <f t="shared" si="11"/>
        <v>94352.459267303348</v>
      </c>
      <c r="I257">
        <f t="shared" si="12"/>
        <v>-2.9425291657098569</v>
      </c>
    </row>
    <row r="258" spans="1:9">
      <c r="A258" s="1">
        <v>39618</v>
      </c>
      <c r="B258">
        <f>(3/(1+('CurrentFact-N10,20,40Unchanged'!C258)/100)+103/POWER(1+('CurrentFact-N10,20,40Unchanged'!D258)/100,2))*100</f>
        <v>9707.5857774288397</v>
      </c>
      <c r="C258">
        <f>(3/(1+('CurrentFact-N10,20,40Unchanged'!C258+'CurrentFact-N10,20,40Unchanged'!G258)/100)+103/POWER(1+('CurrentFact-N10,20,40Unchanged'!D258+'CurrentFact-N10,20,40Unchanged'!G258)/100,2))*100</f>
        <v>9614.9673582483465</v>
      </c>
      <c r="D258">
        <f>(3/(1+('CurrentFact-N10,20,40Unchanged'!C258+'CurrentFact-N10,20,40Unchanged'!H258)/100)+103/POWER(1+('CurrentFact-N10,20,40Unchanged'!D258+'CurrentFact-N10,20,40Unchanged'!H258)/100,2))*100</f>
        <v>9601.2395558122898</v>
      </c>
      <c r="E258">
        <f>(3/(1+('CurrentFact-N10,20,40Unchanged'!C258+'CurrentFact-N10,20,40Unchanged'!I258)/100)+103/POWER(1+('CurrentFact-N10,20,40Unchanged'!D258+'CurrentFact-N10,20,40Unchanged'!I258)/100,2))*100</f>
        <v>9566.6513597430076</v>
      </c>
      <c r="F258">
        <f>Portfolio!B$5*'CurrentFact-N10,20,40Unchanged'!E258</f>
        <v>52143.895533915893</v>
      </c>
      <c r="G258">
        <f>Portfolio!B$6*'CurrentFact-N10,20,40Unchanged'!F258</f>
        <v>3696.2945087936532</v>
      </c>
      <c r="H258">
        <f t="shared" si="11"/>
        <v>94330.634093942033</v>
      </c>
      <c r="I258">
        <f t="shared" si="12"/>
        <v>-23.221657149741077</v>
      </c>
    </row>
    <row r="259" spans="1:9">
      <c r="A259" s="1">
        <v>39619</v>
      </c>
      <c r="B259">
        <f>(3/(1+('CurrentFact-N10,20,40Unchanged'!C259)/100)+103/POWER(1+('CurrentFact-N10,20,40Unchanged'!D259)/100,2))*100</f>
        <v>9707.5857774288397</v>
      </c>
      <c r="C259">
        <f>(3/(1+('CurrentFact-N10,20,40Unchanged'!C259+'CurrentFact-N10,20,40Unchanged'!G259)/100)+103/POWER(1+('CurrentFact-N10,20,40Unchanged'!D259+'CurrentFact-N10,20,40Unchanged'!G259)/100,2))*100</f>
        <v>9614.9673582483465</v>
      </c>
      <c r="D259">
        <f>(3/(1+('CurrentFact-N10,20,40Unchanged'!C259+'CurrentFact-N10,20,40Unchanged'!H259)/100)+103/POWER(1+('CurrentFact-N10,20,40Unchanged'!D259+'CurrentFact-N10,20,40Unchanged'!H259)/100,2))*100</f>
        <v>9601.2395558122898</v>
      </c>
      <c r="E259">
        <f>(3/(1+('CurrentFact-N10,20,40Unchanged'!C259+'CurrentFact-N10,20,40Unchanged'!I259)/100)+103/POWER(1+('CurrentFact-N10,20,40Unchanged'!D259+'CurrentFact-N10,20,40Unchanged'!I259)/100,2))*100</f>
        <v>9567.6461248609321</v>
      </c>
      <c r="F259">
        <f>Portfolio!B$5*'CurrentFact-N10,20,40Unchanged'!E259</f>
        <v>52143.895533915893</v>
      </c>
      <c r="G259">
        <f>Portfolio!B$6*'CurrentFact-N10,20,40Unchanged'!F259</f>
        <v>3696.2945087936532</v>
      </c>
      <c r="H259">
        <f t="shared" si="11"/>
        <v>94331.628859059958</v>
      </c>
      <c r="I259">
        <f t="shared" si="12"/>
        <v>-34.561842599781812</v>
      </c>
    </row>
    <row r="260" spans="1:9">
      <c r="A260" s="1">
        <v>39622</v>
      </c>
      <c r="B260">
        <f>(3/(1+('CurrentFact-N10,20,40Unchanged'!C260)/100)+103/POWER(1+('CurrentFact-N10,20,40Unchanged'!D260)/100,2))*100</f>
        <v>9707.5857774288397</v>
      </c>
      <c r="C260">
        <f>(3/(1+('CurrentFact-N10,20,40Unchanged'!C260+'CurrentFact-N10,20,40Unchanged'!G260)/100)+103/POWER(1+('CurrentFact-N10,20,40Unchanged'!D260+'CurrentFact-N10,20,40Unchanged'!G260)/100,2))*100</f>
        <v>9614.9673582483465</v>
      </c>
      <c r="D260">
        <f>(3/(1+('CurrentFact-N10,20,40Unchanged'!C260+'CurrentFact-N10,20,40Unchanged'!H260)/100)+103/POWER(1+('CurrentFact-N10,20,40Unchanged'!D260+'CurrentFact-N10,20,40Unchanged'!H260)/100,2))*100</f>
        <v>9601.2395558122898</v>
      </c>
      <c r="E260">
        <f>(3/(1+('CurrentFact-N10,20,40Unchanged'!C260+'CurrentFact-N10,20,40Unchanged'!I260)/100)+103/POWER(1+('CurrentFact-N10,20,40Unchanged'!D260+'CurrentFact-N10,20,40Unchanged'!I260)/100,2))*100</f>
        <v>9576.146416414138</v>
      </c>
      <c r="F260">
        <f>Portfolio!B$5*'CurrentFact-N10,20,40Unchanged'!E260</f>
        <v>52143.895533915893</v>
      </c>
      <c r="G260">
        <f>Portfolio!B$6*'CurrentFact-N10,20,40Unchanged'!F260</f>
        <v>3696.2945087936532</v>
      </c>
      <c r="H260">
        <f t="shared" si="11"/>
        <v>94340.129150613153</v>
      </c>
      <c r="I260">
        <f t="shared" si="12"/>
        <v>5.267845670459792E-2</v>
      </c>
    </row>
    <row r="261" spans="1:9">
      <c r="A261" s="1">
        <v>39623</v>
      </c>
      <c r="B261">
        <f>(3/(1+('CurrentFact-N10,20,40Unchanged'!C261)/100)+103/POWER(1+('CurrentFact-N10,20,40Unchanged'!D261)/100,2))*100</f>
        <v>9707.5857774288397</v>
      </c>
      <c r="C261">
        <f>(3/(1+('CurrentFact-N10,20,40Unchanged'!C261+'CurrentFact-N10,20,40Unchanged'!G261)/100)+103/POWER(1+('CurrentFact-N10,20,40Unchanged'!D261+'CurrentFact-N10,20,40Unchanged'!G261)/100,2))*100</f>
        <v>9614.9673582483465</v>
      </c>
      <c r="D261">
        <f>(3/(1+('CurrentFact-N10,20,40Unchanged'!C261+'CurrentFact-N10,20,40Unchanged'!H261)/100)+103/POWER(1+('CurrentFact-N10,20,40Unchanged'!D261+'CurrentFact-N10,20,40Unchanged'!H261)/100,2))*100</f>
        <v>9601.2395558122898</v>
      </c>
      <c r="E261">
        <f>(3/(1+('CurrentFact-N10,20,40Unchanged'!C261+'CurrentFact-N10,20,40Unchanged'!I261)/100)+103/POWER(1+('CurrentFact-N10,20,40Unchanged'!D261+'CurrentFact-N10,20,40Unchanged'!I261)/100,2))*100</f>
        <v>9597.7681175900307</v>
      </c>
      <c r="F261">
        <f>Portfolio!B$5*'CurrentFact-N10,20,40Unchanged'!E261</f>
        <v>52143.895533915893</v>
      </c>
      <c r="G261">
        <f>Portfolio!B$6*'CurrentFact-N10,20,40Unchanged'!F261</f>
        <v>3696.2945087936532</v>
      </c>
      <c r="H261">
        <f t="shared" si="11"/>
        <v>94361.750851789053</v>
      </c>
      <c r="I261">
        <f t="shared" si="12"/>
        <v>1.8190660995896906</v>
      </c>
    </row>
    <row r="262" spans="1:9">
      <c r="A262" s="1">
        <v>39624</v>
      </c>
      <c r="B262">
        <f>(3/(1+('CurrentFact-N10,20,40Unchanged'!C262)/100)+103/POWER(1+('CurrentFact-N10,20,40Unchanged'!D262)/100,2))*100</f>
        <v>9707.5857774288397</v>
      </c>
      <c r="C262">
        <f>(3/(1+('CurrentFact-N10,20,40Unchanged'!C262+'CurrentFact-N10,20,40Unchanged'!G262)/100)+103/POWER(1+('CurrentFact-N10,20,40Unchanged'!D262+'CurrentFact-N10,20,40Unchanged'!G262)/100,2))*100</f>
        <v>9614.9673582483465</v>
      </c>
      <c r="D262">
        <f>(3/(1+('CurrentFact-N10,20,40Unchanged'!C262+'CurrentFact-N10,20,40Unchanged'!H262)/100)+103/POWER(1+('CurrentFact-N10,20,40Unchanged'!D262+'CurrentFact-N10,20,40Unchanged'!H262)/100,2))*100</f>
        <v>9601.2395558122898</v>
      </c>
      <c r="E262">
        <f>(3/(1+('CurrentFact-N10,20,40Unchanged'!C262+'CurrentFact-N10,20,40Unchanged'!I262)/100)+103/POWER(1+('CurrentFact-N10,20,40Unchanged'!D262+'CurrentFact-N10,20,40Unchanged'!I262)/100,2))*100</f>
        <v>9581.1661296490092</v>
      </c>
      <c r="F262">
        <f>Portfolio!B$5*'CurrentFact-N10,20,40Unchanged'!E262</f>
        <v>52143.895533915893</v>
      </c>
      <c r="G262">
        <f>Portfolio!B$6*'CurrentFact-N10,20,40Unchanged'!F262</f>
        <v>3696.2945087936532</v>
      </c>
      <c r="H262">
        <f t="shared" si="11"/>
        <v>94345.148863848037</v>
      </c>
      <c r="I262">
        <f t="shared" si="12"/>
        <v>-3.6588916844193591</v>
      </c>
    </row>
    <row r="263" spans="1:9">
      <c r="A263" s="1">
        <v>39625</v>
      </c>
      <c r="B263">
        <f>(3/(1+('CurrentFact-N10,20,40Unchanged'!C263)/100)+103/POWER(1+('CurrentFact-N10,20,40Unchanged'!D263)/100,2))*100</f>
        <v>9707.5857774288397</v>
      </c>
      <c r="C263">
        <f>(3/(1+('CurrentFact-N10,20,40Unchanged'!C263+'CurrentFact-N10,20,40Unchanged'!G263)/100)+103/POWER(1+('CurrentFact-N10,20,40Unchanged'!D263+'CurrentFact-N10,20,40Unchanged'!G263)/100,2))*100</f>
        <v>9614.9673582483465</v>
      </c>
      <c r="D263">
        <f>(3/(1+('CurrentFact-N10,20,40Unchanged'!C263+'CurrentFact-N10,20,40Unchanged'!H263)/100)+103/POWER(1+('CurrentFact-N10,20,40Unchanged'!D263+'CurrentFact-N10,20,40Unchanged'!H263)/100,2))*100</f>
        <v>9601.2395558122898</v>
      </c>
      <c r="E263">
        <f>(3/(1+('CurrentFact-N10,20,40Unchanged'!C263+'CurrentFact-N10,20,40Unchanged'!I263)/100)+103/POWER(1+('CurrentFact-N10,20,40Unchanged'!D263+'CurrentFact-N10,20,40Unchanged'!I263)/100,2))*100</f>
        <v>9593.7302485209475</v>
      </c>
      <c r="F263">
        <f>Portfolio!B$5*'CurrentFact-N10,20,40Unchanged'!E263</f>
        <v>52143.895533915893</v>
      </c>
      <c r="G263">
        <f>Portfolio!B$6*'CurrentFact-N10,20,40Unchanged'!F263</f>
        <v>3696.2945087936532</v>
      </c>
      <c r="H263">
        <f t="shared" si="11"/>
        <v>94357.712982719968</v>
      </c>
      <c r="I263">
        <f t="shared" si="12"/>
        <v>7.8488429369754158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C584-948C-493A-B622-BB9E5B483960}">
  <dimension ref="A1:K263"/>
  <sheetViews>
    <sheetView workbookViewId="0">
      <selection activeCell="F7" sqref="F7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2.453125" customWidth="1"/>
  </cols>
  <sheetData>
    <row r="1" spans="1:11">
      <c r="B1" t="s">
        <v>26</v>
      </c>
      <c r="C1" t="s">
        <v>27</v>
      </c>
      <c r="D1" t="s">
        <v>28</v>
      </c>
      <c r="E1" t="s">
        <v>31</v>
      </c>
      <c r="F1" t="s">
        <v>26</v>
      </c>
      <c r="G1" t="s">
        <v>26</v>
      </c>
    </row>
    <row r="2" spans="1:11">
      <c r="B2" t="s">
        <v>18</v>
      </c>
      <c r="C2" t="s">
        <v>19</v>
      </c>
      <c r="D2" t="s">
        <v>7</v>
      </c>
      <c r="E2" t="s">
        <v>29</v>
      </c>
      <c r="F2" t="s">
        <v>20</v>
      </c>
      <c r="G2" t="s">
        <v>21</v>
      </c>
      <c r="H2" t="s">
        <v>22</v>
      </c>
      <c r="I2" t="s">
        <v>23</v>
      </c>
      <c r="J2" t="s">
        <v>25</v>
      </c>
      <c r="K2" s="4" t="s">
        <v>32</v>
      </c>
    </row>
    <row r="3" spans="1:11">
      <c r="A3" s="1">
        <v>39261</v>
      </c>
      <c r="B3">
        <f>(3/(1+('CurrentFact-N10,20,40,60Unchan'!C3)/100)+103/POWER(1+('CurrentFact-N10,20,40,60Unchan'!D3)/100,2))*100</f>
        <v>9707.5857774288397</v>
      </c>
      <c r="C3">
        <f>(3/(1+('CurrentFact-N10,20,40,60Unchan'!C3+'CurrentFact-N10,20,40,60Unchan'!G3)/100)+103/POWER(1+('CurrentFact-N10,20,40,60Unchan'!D3+'CurrentFact-N10,20,40,60Unchan'!G3)/100,2))*100</f>
        <v>9614.9673582483465</v>
      </c>
      <c r="D3">
        <f>(3/(1+('CurrentFact-N10,20,40,60Unchan'!C3+'CurrentFact-N10,20,40,60Unchan'!H3)/100)+103/POWER(1+('CurrentFact-N10,20,40,60Unchan'!D3+'CurrentFact-N10,20,40,60Unchan'!H3)/100,2))*100</f>
        <v>9601.2395558122898</v>
      </c>
      <c r="E3">
        <f>(3/(1+('CurrentFact-N10,20,40,60Unchan'!C3+'CurrentFact-N10,20,40,60Unchan'!I3)/100)+103/POWER(1+('CurrentFact-N10,20,40,60Unchan'!D3+'CurrentFact-N10,20,40,60Unchan'!I3)/100,2))*100</f>
        <v>9676.6907857653259</v>
      </c>
      <c r="F3">
        <f>Portfolio!B$5*'CurrentFact-N10,20,40,60Unchan'!E3</f>
        <v>52143.895533915893</v>
      </c>
      <c r="G3">
        <f>Portfolio!B$6*'CurrentFact-N10,20,40,60Unchan'!F3</f>
        <v>3696.2945087936532</v>
      </c>
      <c r="H3">
        <f t="shared" ref="H3:H34" si="0">SUM(B3:G3)</f>
        <v>94440.673519964359</v>
      </c>
      <c r="J3" s="3">
        <f>_xlfn.PERCENTILE.INC(I13:I187, 0.025)</f>
        <v>0</v>
      </c>
      <c r="K3">
        <f>AVERAGEIF(I13:I187, "&lt;="&amp;J3,I13:I187)</f>
        <v>0</v>
      </c>
    </row>
    <row r="4" spans="1:11">
      <c r="A4" s="1">
        <v>39262</v>
      </c>
      <c r="B4">
        <f>(3/(1+('CurrentFact-N10,20,40,60Unchan'!C4)/100)+103/POWER(1+('CurrentFact-N10,20,40,60Unchan'!D4)/100,2))*100</f>
        <v>9707.5857774288397</v>
      </c>
      <c r="C4">
        <f>(3/(1+('CurrentFact-N10,20,40,60Unchan'!C4+'CurrentFact-N10,20,40,60Unchan'!G4)/100)+103/POWER(1+('CurrentFact-N10,20,40,60Unchan'!D4+'CurrentFact-N10,20,40,60Unchan'!G4)/100,2))*100</f>
        <v>9614.9673582483465</v>
      </c>
      <c r="D4">
        <f>(3/(1+('CurrentFact-N10,20,40,60Unchan'!C4+'CurrentFact-N10,20,40,60Unchan'!H4)/100)+103/POWER(1+('CurrentFact-N10,20,40,60Unchan'!D4+'CurrentFact-N10,20,40,60Unchan'!H4)/100,2))*100</f>
        <v>9601.2395558122898</v>
      </c>
      <c r="E4">
        <f>(3/(1+('CurrentFact-N10,20,40,60Unchan'!C4+'CurrentFact-N10,20,40,60Unchan'!I4)/100)+103/POWER(1+('CurrentFact-N10,20,40,60Unchan'!D4+'CurrentFact-N10,20,40,60Unchan'!I4)/100,2))*100</f>
        <v>9676.6907857653259</v>
      </c>
      <c r="F4">
        <f>Portfolio!B$5*'CurrentFact-N10,20,40,60Unchan'!E4</f>
        <v>52143.895533915893</v>
      </c>
      <c r="G4">
        <f>Portfolio!B$6*'CurrentFact-N10,20,40,60Unchan'!F4</f>
        <v>3696.2945087936532</v>
      </c>
      <c r="H4">
        <f t="shared" si="0"/>
        <v>94440.673519964359</v>
      </c>
    </row>
    <row r="5" spans="1:11">
      <c r="A5" s="1">
        <v>39265</v>
      </c>
      <c r="B5">
        <f>(3/(1+('CurrentFact-N10,20,40,60Unchan'!C5)/100)+103/POWER(1+('CurrentFact-N10,20,40,60Unchan'!D5)/100,2))*100</f>
        <v>9707.5857774288397</v>
      </c>
      <c r="C5">
        <f>(3/(1+('CurrentFact-N10,20,40,60Unchan'!C5+'CurrentFact-N10,20,40,60Unchan'!G5)/100)+103/POWER(1+('CurrentFact-N10,20,40,60Unchan'!D5+'CurrentFact-N10,20,40,60Unchan'!G5)/100,2))*100</f>
        <v>9614.9673582483465</v>
      </c>
      <c r="D5">
        <f>(3/(1+('CurrentFact-N10,20,40,60Unchan'!C5+'CurrentFact-N10,20,40,60Unchan'!H5)/100)+103/POWER(1+('CurrentFact-N10,20,40,60Unchan'!D5+'CurrentFact-N10,20,40,60Unchan'!H5)/100,2))*100</f>
        <v>9601.2395558122898</v>
      </c>
      <c r="E5">
        <f>(3/(1+('CurrentFact-N10,20,40,60Unchan'!C5+'CurrentFact-N10,20,40,60Unchan'!I5)/100)+103/POWER(1+('CurrentFact-N10,20,40,60Unchan'!D5+'CurrentFact-N10,20,40,60Unchan'!I5)/100,2))*100</f>
        <v>9676.6907857653259</v>
      </c>
      <c r="F5">
        <f>Portfolio!B$5*'CurrentFact-N10,20,40,60Unchan'!E5</f>
        <v>52143.895533915893</v>
      </c>
      <c r="G5">
        <f>Portfolio!B$6*'CurrentFact-N10,20,40,60Unchan'!F5</f>
        <v>3696.2945087936532</v>
      </c>
      <c r="H5">
        <f t="shared" si="0"/>
        <v>94440.673519964359</v>
      </c>
    </row>
    <row r="6" spans="1:11">
      <c r="A6" s="1">
        <v>39266</v>
      </c>
      <c r="B6">
        <f>(3/(1+('CurrentFact-N10,20,40,60Unchan'!C6)/100)+103/POWER(1+('CurrentFact-N10,20,40,60Unchan'!D6)/100,2))*100</f>
        <v>9707.5857774288397</v>
      </c>
      <c r="C6">
        <f>(3/(1+('CurrentFact-N10,20,40,60Unchan'!C6+'CurrentFact-N10,20,40,60Unchan'!G6)/100)+103/POWER(1+('CurrentFact-N10,20,40,60Unchan'!D6+'CurrentFact-N10,20,40,60Unchan'!G6)/100,2))*100</f>
        <v>9614.9673582483465</v>
      </c>
      <c r="D6">
        <f>(3/(1+('CurrentFact-N10,20,40,60Unchan'!C6+'CurrentFact-N10,20,40,60Unchan'!H6)/100)+103/POWER(1+('CurrentFact-N10,20,40,60Unchan'!D6+'CurrentFact-N10,20,40,60Unchan'!H6)/100,2))*100</f>
        <v>9601.2395558122898</v>
      </c>
      <c r="E6">
        <f>(3/(1+('CurrentFact-N10,20,40,60Unchan'!C6+'CurrentFact-N10,20,40,60Unchan'!I6)/100)+103/POWER(1+('CurrentFact-N10,20,40,60Unchan'!D6+'CurrentFact-N10,20,40,60Unchan'!I6)/100,2))*100</f>
        <v>9676.6907857653259</v>
      </c>
      <c r="F6">
        <f>Portfolio!B$5*'CurrentFact-N10,20,40,60Unchan'!E6</f>
        <v>52143.895533915893</v>
      </c>
      <c r="G6">
        <f>Portfolio!B$6*'CurrentFact-N10,20,40,60Unchan'!F6</f>
        <v>3696.2945087936532</v>
      </c>
      <c r="H6">
        <f t="shared" si="0"/>
        <v>94440.673519964359</v>
      </c>
    </row>
    <row r="7" spans="1:11">
      <c r="A7" s="1">
        <v>39267</v>
      </c>
      <c r="B7">
        <f>(3/(1+('CurrentFact-N10,20,40,60Unchan'!C7)/100)+103/POWER(1+('CurrentFact-N10,20,40,60Unchan'!D7)/100,2))*100</f>
        <v>9707.5857774288397</v>
      </c>
      <c r="C7">
        <f>(3/(1+('CurrentFact-N10,20,40,60Unchan'!C7+'CurrentFact-N10,20,40,60Unchan'!G7)/100)+103/POWER(1+('CurrentFact-N10,20,40,60Unchan'!D7+'CurrentFact-N10,20,40,60Unchan'!G7)/100,2))*100</f>
        <v>9614.9673582483465</v>
      </c>
      <c r="D7">
        <f>(3/(1+('CurrentFact-N10,20,40,60Unchan'!C7+'CurrentFact-N10,20,40,60Unchan'!H7)/100)+103/POWER(1+('CurrentFact-N10,20,40,60Unchan'!D7+'CurrentFact-N10,20,40,60Unchan'!H7)/100,2))*100</f>
        <v>9601.2395558122898</v>
      </c>
      <c r="E7">
        <f>(3/(1+('CurrentFact-N10,20,40,60Unchan'!C7+'CurrentFact-N10,20,40,60Unchan'!I7)/100)+103/POWER(1+('CurrentFact-N10,20,40,60Unchan'!D7+'CurrentFact-N10,20,40,60Unchan'!I7)/100,2))*100</f>
        <v>9676.6907857653259</v>
      </c>
      <c r="F7">
        <f>Portfolio!B$5*'CurrentFact-N10,20,40,60Unchan'!E7</f>
        <v>52143.895533915893</v>
      </c>
      <c r="G7">
        <f>Portfolio!B$6*'CurrentFact-N10,20,40,60Unchan'!F7</f>
        <v>3696.2945087936532</v>
      </c>
      <c r="H7">
        <f t="shared" si="0"/>
        <v>94440.673519964359</v>
      </c>
    </row>
    <row r="8" spans="1:11">
      <c r="A8" s="1">
        <v>39268</v>
      </c>
      <c r="B8">
        <f>(3/(1+('CurrentFact-N10,20,40,60Unchan'!C8)/100)+103/POWER(1+('CurrentFact-N10,20,40,60Unchan'!D8)/100,2))*100</f>
        <v>9707.5857774288397</v>
      </c>
      <c r="C8">
        <f>(3/(1+('CurrentFact-N10,20,40,60Unchan'!C8+'CurrentFact-N10,20,40,60Unchan'!G8)/100)+103/POWER(1+('CurrentFact-N10,20,40,60Unchan'!D8+'CurrentFact-N10,20,40,60Unchan'!G8)/100,2))*100</f>
        <v>9614.9673582483465</v>
      </c>
      <c r="D8">
        <f>(3/(1+('CurrentFact-N10,20,40,60Unchan'!C8+'CurrentFact-N10,20,40,60Unchan'!H8)/100)+103/POWER(1+('CurrentFact-N10,20,40,60Unchan'!D8+'CurrentFact-N10,20,40,60Unchan'!H8)/100,2))*100</f>
        <v>9601.2395558122898</v>
      </c>
      <c r="E8">
        <f>(3/(1+('CurrentFact-N10,20,40,60Unchan'!C8+'CurrentFact-N10,20,40,60Unchan'!I8)/100)+103/POWER(1+('CurrentFact-N10,20,40,60Unchan'!D8+'CurrentFact-N10,20,40,60Unchan'!I8)/100,2))*100</f>
        <v>9676.6907857653259</v>
      </c>
      <c r="F8">
        <f>Portfolio!B$5*'CurrentFact-N10,20,40,60Unchan'!E8</f>
        <v>52143.895533915893</v>
      </c>
      <c r="G8">
        <f>Portfolio!B$6*'CurrentFact-N10,20,40,60Unchan'!F8</f>
        <v>3696.2945087936532</v>
      </c>
      <c r="H8">
        <f t="shared" si="0"/>
        <v>94440.673519964359</v>
      </c>
    </row>
    <row r="9" spans="1:11">
      <c r="A9" s="1">
        <v>39269</v>
      </c>
      <c r="B9">
        <f>(3/(1+('CurrentFact-N10,20,40,60Unchan'!C9)/100)+103/POWER(1+('CurrentFact-N10,20,40,60Unchan'!D9)/100,2))*100</f>
        <v>9707.5857774288397</v>
      </c>
      <c r="C9">
        <f>(3/(1+('CurrentFact-N10,20,40,60Unchan'!C9+'CurrentFact-N10,20,40,60Unchan'!G9)/100)+103/POWER(1+('CurrentFact-N10,20,40,60Unchan'!D9+'CurrentFact-N10,20,40,60Unchan'!G9)/100,2))*100</f>
        <v>9614.9673582483465</v>
      </c>
      <c r="D9">
        <f>(3/(1+('CurrentFact-N10,20,40,60Unchan'!C9+'CurrentFact-N10,20,40,60Unchan'!H9)/100)+103/POWER(1+('CurrentFact-N10,20,40,60Unchan'!D9+'CurrentFact-N10,20,40,60Unchan'!H9)/100,2))*100</f>
        <v>9601.2395558122898</v>
      </c>
      <c r="E9">
        <f>(3/(1+('CurrentFact-N10,20,40,60Unchan'!C9+'CurrentFact-N10,20,40,60Unchan'!I9)/100)+103/POWER(1+('CurrentFact-N10,20,40,60Unchan'!D9+'CurrentFact-N10,20,40,60Unchan'!I9)/100,2))*100</f>
        <v>9676.6907857653259</v>
      </c>
      <c r="F9">
        <f>Portfolio!B$5*'CurrentFact-N10,20,40,60Unchan'!E9</f>
        <v>52143.895533915893</v>
      </c>
      <c r="G9">
        <f>Portfolio!B$6*'CurrentFact-N10,20,40,60Unchan'!F9</f>
        <v>3696.2945087936532</v>
      </c>
      <c r="H9">
        <f t="shared" si="0"/>
        <v>94440.673519964359</v>
      </c>
    </row>
    <row r="10" spans="1:11">
      <c r="A10" s="1">
        <v>39272</v>
      </c>
      <c r="B10">
        <f>(3/(1+('CurrentFact-N10,20,40,60Unchan'!C10)/100)+103/POWER(1+('CurrentFact-N10,20,40,60Unchan'!D10)/100,2))*100</f>
        <v>9707.5857774288397</v>
      </c>
      <c r="C10">
        <f>(3/(1+('CurrentFact-N10,20,40,60Unchan'!C10+'CurrentFact-N10,20,40,60Unchan'!G10)/100)+103/POWER(1+('CurrentFact-N10,20,40,60Unchan'!D10+'CurrentFact-N10,20,40,60Unchan'!G10)/100,2))*100</f>
        <v>9614.9673582483465</v>
      </c>
      <c r="D10">
        <f>(3/(1+('CurrentFact-N10,20,40,60Unchan'!C10+'CurrentFact-N10,20,40,60Unchan'!H10)/100)+103/POWER(1+('CurrentFact-N10,20,40,60Unchan'!D10+'CurrentFact-N10,20,40,60Unchan'!H10)/100,2))*100</f>
        <v>9601.2395558122898</v>
      </c>
      <c r="E10">
        <f>(3/(1+('CurrentFact-N10,20,40,60Unchan'!C10+'CurrentFact-N10,20,40,60Unchan'!I10)/100)+103/POWER(1+('CurrentFact-N10,20,40,60Unchan'!D10+'CurrentFact-N10,20,40,60Unchan'!I10)/100,2))*100</f>
        <v>9676.6907857653259</v>
      </c>
      <c r="F10">
        <f>Portfolio!B$5*'CurrentFact-N10,20,40,60Unchan'!E10</f>
        <v>52143.895533915893</v>
      </c>
      <c r="G10">
        <f>Portfolio!B$6*'CurrentFact-N10,20,40,60Unchan'!F10</f>
        <v>3696.2945087936532</v>
      </c>
      <c r="H10">
        <f t="shared" si="0"/>
        <v>94440.673519964359</v>
      </c>
    </row>
    <row r="11" spans="1:11">
      <c r="A11" s="1">
        <v>39273</v>
      </c>
      <c r="B11">
        <f>(3/(1+('CurrentFact-N10,20,40,60Unchan'!C11)/100)+103/POWER(1+('CurrentFact-N10,20,40,60Unchan'!D11)/100,2))*100</f>
        <v>9707.5857774288397</v>
      </c>
      <c r="C11">
        <f>(3/(1+('CurrentFact-N10,20,40,60Unchan'!C11+'CurrentFact-N10,20,40,60Unchan'!G11)/100)+103/POWER(1+('CurrentFact-N10,20,40,60Unchan'!D11+'CurrentFact-N10,20,40,60Unchan'!G11)/100,2))*100</f>
        <v>9614.9673582483465</v>
      </c>
      <c r="D11">
        <f>(3/(1+('CurrentFact-N10,20,40,60Unchan'!C11+'CurrentFact-N10,20,40,60Unchan'!H11)/100)+103/POWER(1+('CurrentFact-N10,20,40,60Unchan'!D11+'CurrentFact-N10,20,40,60Unchan'!H11)/100,2))*100</f>
        <v>9601.2395558122898</v>
      </c>
      <c r="E11">
        <f>(3/(1+('CurrentFact-N10,20,40,60Unchan'!C11+'CurrentFact-N10,20,40,60Unchan'!I11)/100)+103/POWER(1+('CurrentFact-N10,20,40,60Unchan'!D11+'CurrentFact-N10,20,40,60Unchan'!I11)/100,2))*100</f>
        <v>9676.6907857653259</v>
      </c>
      <c r="F11">
        <f>Portfolio!B$5*'CurrentFact-N10,20,40,60Unchan'!E11</f>
        <v>52143.895533915893</v>
      </c>
      <c r="G11">
        <f>Portfolio!B$6*'CurrentFact-N10,20,40,60Unchan'!F11</f>
        <v>3696.2945087936532</v>
      </c>
      <c r="H11">
        <f t="shared" si="0"/>
        <v>94440.673519964359</v>
      </c>
    </row>
    <row r="12" spans="1:11">
      <c r="A12" s="1">
        <v>39274</v>
      </c>
      <c r="B12">
        <f>(3/(1+('CurrentFact-N10,20,40,60Unchan'!C12)/100)+103/POWER(1+('CurrentFact-N10,20,40,60Unchan'!D12)/100,2))*100</f>
        <v>9707.5857774288397</v>
      </c>
      <c r="C12">
        <f>(3/(1+('CurrentFact-N10,20,40,60Unchan'!C12+'CurrentFact-N10,20,40,60Unchan'!G12)/100)+103/POWER(1+('CurrentFact-N10,20,40,60Unchan'!D12+'CurrentFact-N10,20,40,60Unchan'!G12)/100,2))*100</f>
        <v>9614.9673582483465</v>
      </c>
      <c r="D12">
        <f>(3/(1+('CurrentFact-N10,20,40,60Unchan'!C12+'CurrentFact-N10,20,40,60Unchan'!H12)/100)+103/POWER(1+('CurrentFact-N10,20,40,60Unchan'!D12+'CurrentFact-N10,20,40,60Unchan'!H12)/100,2))*100</f>
        <v>9601.2395558122898</v>
      </c>
      <c r="E12">
        <f>(3/(1+('CurrentFact-N10,20,40,60Unchan'!C12+'CurrentFact-N10,20,40,60Unchan'!I12)/100)+103/POWER(1+('CurrentFact-N10,20,40,60Unchan'!D12+'CurrentFact-N10,20,40,60Unchan'!I12)/100,2))*100</f>
        <v>9676.6907857653259</v>
      </c>
      <c r="F12">
        <f>Portfolio!B$5*'CurrentFact-N10,20,40,60Unchan'!E12</f>
        <v>52143.895533915893</v>
      </c>
      <c r="G12">
        <f>Portfolio!B$6*'CurrentFact-N10,20,40,60Unchan'!F12</f>
        <v>3696.2945087936532</v>
      </c>
      <c r="H12">
        <f t="shared" si="0"/>
        <v>94440.673519964359</v>
      </c>
    </row>
    <row r="13" spans="1:11">
      <c r="A13" s="1">
        <v>39275</v>
      </c>
      <c r="B13">
        <f>(3/(1+('CurrentFact-N10,20,40,60Unchan'!C13)/100)+103/POWER(1+('CurrentFact-N10,20,40,60Unchan'!D13)/100,2))*100</f>
        <v>9707.5857774288397</v>
      </c>
      <c r="C13">
        <f>(3/(1+('CurrentFact-N10,20,40,60Unchan'!C13+'CurrentFact-N10,20,40,60Unchan'!G13)/100)+103/POWER(1+('CurrentFact-N10,20,40,60Unchan'!D13+'CurrentFact-N10,20,40,60Unchan'!G13)/100,2))*100</f>
        <v>9614.9673582483465</v>
      </c>
      <c r="D13">
        <f>(3/(1+('CurrentFact-N10,20,40,60Unchan'!C13+'CurrentFact-N10,20,40,60Unchan'!H13)/100)+103/POWER(1+('CurrentFact-N10,20,40,60Unchan'!D13+'CurrentFact-N10,20,40,60Unchan'!H13)/100,2))*100</f>
        <v>9601.2395558122898</v>
      </c>
      <c r="E13">
        <f>(3/(1+('CurrentFact-N10,20,40,60Unchan'!C13+'CurrentFact-N10,20,40,60Unchan'!I13)/100)+103/POWER(1+('CurrentFact-N10,20,40,60Unchan'!D13+'CurrentFact-N10,20,40,60Unchan'!I13)/100,2))*100</f>
        <v>9676.6907857653259</v>
      </c>
      <c r="F13">
        <f>Portfolio!B$5*'CurrentFact-N10,20,40,60Unchan'!E13</f>
        <v>52143.895533915893</v>
      </c>
      <c r="G13">
        <f>Portfolio!B$6*'CurrentFact-N10,20,40,60Unchan'!F13</f>
        <v>3696.2945087936532</v>
      </c>
      <c r="H13">
        <f t="shared" si="0"/>
        <v>94440.673519964359</v>
      </c>
      <c r="I13">
        <f>H13-H3</f>
        <v>0</v>
      </c>
    </row>
    <row r="14" spans="1:11">
      <c r="A14" s="1">
        <v>39276</v>
      </c>
      <c r="B14">
        <f>(3/(1+('CurrentFact-N10,20,40,60Unchan'!C14)/100)+103/POWER(1+('CurrentFact-N10,20,40,60Unchan'!D14)/100,2))*100</f>
        <v>9707.5857774288397</v>
      </c>
      <c r="C14">
        <f>(3/(1+('CurrentFact-N10,20,40,60Unchan'!C14+'CurrentFact-N10,20,40,60Unchan'!G14)/100)+103/POWER(1+('CurrentFact-N10,20,40,60Unchan'!D14+'CurrentFact-N10,20,40,60Unchan'!G14)/100,2))*100</f>
        <v>9614.9673582483465</v>
      </c>
      <c r="D14">
        <f>(3/(1+('CurrentFact-N10,20,40,60Unchan'!C14+'CurrentFact-N10,20,40,60Unchan'!H14)/100)+103/POWER(1+('CurrentFact-N10,20,40,60Unchan'!D14+'CurrentFact-N10,20,40,60Unchan'!H14)/100,2))*100</f>
        <v>9601.2395558122898</v>
      </c>
      <c r="E14">
        <f>(3/(1+('CurrentFact-N10,20,40,60Unchan'!C14+'CurrentFact-N10,20,40,60Unchan'!I14)/100)+103/POWER(1+('CurrentFact-N10,20,40,60Unchan'!D14+'CurrentFact-N10,20,40,60Unchan'!I14)/100,2))*100</f>
        <v>9676.6907857653259</v>
      </c>
      <c r="F14">
        <f>Portfolio!B$5*'CurrentFact-N10,20,40,60Unchan'!E14</f>
        <v>52143.895533915893</v>
      </c>
      <c r="G14">
        <f>Portfolio!B$6*'CurrentFact-N10,20,40,60Unchan'!F14</f>
        <v>3696.2945087936532</v>
      </c>
      <c r="H14">
        <f t="shared" si="0"/>
        <v>94440.673519964359</v>
      </c>
      <c r="I14">
        <f t="shared" ref="I14:I77" si="1">H14-H4</f>
        <v>0</v>
      </c>
    </row>
    <row r="15" spans="1:11">
      <c r="A15" s="1">
        <v>39279</v>
      </c>
      <c r="B15">
        <f>(3/(1+('CurrentFact-N10,20,40,60Unchan'!C15)/100)+103/POWER(1+('CurrentFact-N10,20,40,60Unchan'!D15)/100,2))*100</f>
        <v>9707.5857774288397</v>
      </c>
      <c r="C15">
        <f>(3/(1+('CurrentFact-N10,20,40,60Unchan'!C15+'CurrentFact-N10,20,40,60Unchan'!G15)/100)+103/POWER(1+('CurrentFact-N10,20,40,60Unchan'!D15+'CurrentFact-N10,20,40,60Unchan'!G15)/100,2))*100</f>
        <v>9614.9673582483465</v>
      </c>
      <c r="D15">
        <f>(3/(1+('CurrentFact-N10,20,40,60Unchan'!C15+'CurrentFact-N10,20,40,60Unchan'!H15)/100)+103/POWER(1+('CurrentFact-N10,20,40,60Unchan'!D15+'CurrentFact-N10,20,40,60Unchan'!H15)/100,2))*100</f>
        <v>9601.2395558122898</v>
      </c>
      <c r="E15">
        <f>(3/(1+('CurrentFact-N10,20,40,60Unchan'!C15+'CurrentFact-N10,20,40,60Unchan'!I15)/100)+103/POWER(1+('CurrentFact-N10,20,40,60Unchan'!D15+'CurrentFact-N10,20,40,60Unchan'!I15)/100,2))*100</f>
        <v>9676.6907857653259</v>
      </c>
      <c r="F15">
        <f>Portfolio!B$5*'CurrentFact-N10,20,40,60Unchan'!E15</f>
        <v>52143.895533915893</v>
      </c>
      <c r="G15">
        <f>Portfolio!B$6*'CurrentFact-N10,20,40,60Unchan'!F15</f>
        <v>3696.2945087936532</v>
      </c>
      <c r="H15">
        <f t="shared" si="0"/>
        <v>94440.673519964359</v>
      </c>
      <c r="I15">
        <f t="shared" si="1"/>
        <v>0</v>
      </c>
    </row>
    <row r="16" spans="1:11">
      <c r="A16" s="1">
        <v>39280</v>
      </c>
      <c r="B16">
        <f>(3/(1+('CurrentFact-N10,20,40,60Unchan'!C16)/100)+103/POWER(1+('CurrentFact-N10,20,40,60Unchan'!D16)/100,2))*100</f>
        <v>9707.5857774288397</v>
      </c>
      <c r="C16">
        <f>(3/(1+('CurrentFact-N10,20,40,60Unchan'!C16+'CurrentFact-N10,20,40,60Unchan'!G16)/100)+103/POWER(1+('CurrentFact-N10,20,40,60Unchan'!D16+'CurrentFact-N10,20,40,60Unchan'!G16)/100,2))*100</f>
        <v>9614.9673582483465</v>
      </c>
      <c r="D16">
        <f>(3/(1+('CurrentFact-N10,20,40,60Unchan'!C16+'CurrentFact-N10,20,40,60Unchan'!H16)/100)+103/POWER(1+('CurrentFact-N10,20,40,60Unchan'!D16+'CurrentFact-N10,20,40,60Unchan'!H16)/100,2))*100</f>
        <v>9601.2395558122898</v>
      </c>
      <c r="E16">
        <f>(3/(1+('CurrentFact-N10,20,40,60Unchan'!C16+'CurrentFact-N10,20,40,60Unchan'!I16)/100)+103/POWER(1+('CurrentFact-N10,20,40,60Unchan'!D16+'CurrentFact-N10,20,40,60Unchan'!I16)/100,2))*100</f>
        <v>9676.6907857653259</v>
      </c>
      <c r="F16">
        <f>Portfolio!B$5*'CurrentFact-N10,20,40,60Unchan'!E16</f>
        <v>52143.895533915893</v>
      </c>
      <c r="G16">
        <f>Portfolio!B$6*'CurrentFact-N10,20,40,60Unchan'!F16</f>
        <v>3696.2945087936532</v>
      </c>
      <c r="H16">
        <f t="shared" si="0"/>
        <v>94440.673519964359</v>
      </c>
      <c r="I16">
        <f t="shared" si="1"/>
        <v>0</v>
      </c>
    </row>
    <row r="17" spans="1:9">
      <c r="A17" s="1">
        <v>39281</v>
      </c>
      <c r="B17">
        <f>(3/(1+('CurrentFact-N10,20,40,60Unchan'!C17)/100)+103/POWER(1+('CurrentFact-N10,20,40,60Unchan'!D17)/100,2))*100</f>
        <v>9707.5857774288397</v>
      </c>
      <c r="C17">
        <f>(3/(1+('CurrentFact-N10,20,40,60Unchan'!C17+'CurrentFact-N10,20,40,60Unchan'!G17)/100)+103/POWER(1+('CurrentFact-N10,20,40,60Unchan'!D17+'CurrentFact-N10,20,40,60Unchan'!G17)/100,2))*100</f>
        <v>9614.9673582483465</v>
      </c>
      <c r="D17">
        <f>(3/(1+('CurrentFact-N10,20,40,60Unchan'!C17+'CurrentFact-N10,20,40,60Unchan'!H17)/100)+103/POWER(1+('CurrentFact-N10,20,40,60Unchan'!D17+'CurrentFact-N10,20,40,60Unchan'!H17)/100,2))*100</f>
        <v>9601.2395558122898</v>
      </c>
      <c r="E17">
        <f>(3/(1+('CurrentFact-N10,20,40,60Unchan'!C17+'CurrentFact-N10,20,40,60Unchan'!I17)/100)+103/POWER(1+('CurrentFact-N10,20,40,60Unchan'!D17+'CurrentFact-N10,20,40,60Unchan'!I17)/100,2))*100</f>
        <v>9676.6907857653259</v>
      </c>
      <c r="F17">
        <f>Portfolio!B$5*'CurrentFact-N10,20,40,60Unchan'!E17</f>
        <v>52143.895533915893</v>
      </c>
      <c r="G17">
        <f>Portfolio!B$6*'CurrentFact-N10,20,40,60Unchan'!F17</f>
        <v>3696.2945087936532</v>
      </c>
      <c r="H17">
        <f t="shared" si="0"/>
        <v>94440.673519964359</v>
      </c>
      <c r="I17">
        <f t="shared" si="1"/>
        <v>0</v>
      </c>
    </row>
    <row r="18" spans="1:9">
      <c r="A18" s="1">
        <v>39282</v>
      </c>
      <c r="B18">
        <f>(3/(1+('CurrentFact-N10,20,40,60Unchan'!C18)/100)+103/POWER(1+('CurrentFact-N10,20,40,60Unchan'!D18)/100,2))*100</f>
        <v>9707.5857774288397</v>
      </c>
      <c r="C18">
        <f>(3/(1+('CurrentFact-N10,20,40,60Unchan'!C18+'CurrentFact-N10,20,40,60Unchan'!G18)/100)+103/POWER(1+('CurrentFact-N10,20,40,60Unchan'!D18+'CurrentFact-N10,20,40,60Unchan'!G18)/100,2))*100</f>
        <v>9614.9673582483465</v>
      </c>
      <c r="D18">
        <f>(3/(1+('CurrentFact-N10,20,40,60Unchan'!C18+'CurrentFact-N10,20,40,60Unchan'!H18)/100)+103/POWER(1+('CurrentFact-N10,20,40,60Unchan'!D18+'CurrentFact-N10,20,40,60Unchan'!H18)/100,2))*100</f>
        <v>9601.2395558122898</v>
      </c>
      <c r="E18">
        <f>(3/(1+('CurrentFact-N10,20,40,60Unchan'!C18+'CurrentFact-N10,20,40,60Unchan'!I18)/100)+103/POWER(1+('CurrentFact-N10,20,40,60Unchan'!D18+'CurrentFact-N10,20,40,60Unchan'!I18)/100,2))*100</f>
        <v>9676.6907857653259</v>
      </c>
      <c r="F18">
        <f>Portfolio!B$5*'CurrentFact-N10,20,40,60Unchan'!E18</f>
        <v>52143.895533915893</v>
      </c>
      <c r="G18">
        <f>Portfolio!B$6*'CurrentFact-N10,20,40,60Unchan'!F18</f>
        <v>3696.2945087936532</v>
      </c>
      <c r="H18">
        <f t="shared" si="0"/>
        <v>94440.673519964359</v>
      </c>
      <c r="I18">
        <f t="shared" si="1"/>
        <v>0</v>
      </c>
    </row>
    <row r="19" spans="1:9">
      <c r="A19" s="1">
        <v>39283</v>
      </c>
      <c r="B19">
        <f>(3/(1+('CurrentFact-N10,20,40,60Unchan'!C19)/100)+103/POWER(1+('CurrentFact-N10,20,40,60Unchan'!D19)/100,2))*100</f>
        <v>9707.5857774288397</v>
      </c>
      <c r="C19">
        <f>(3/(1+('CurrentFact-N10,20,40,60Unchan'!C19+'CurrentFact-N10,20,40,60Unchan'!G19)/100)+103/POWER(1+('CurrentFact-N10,20,40,60Unchan'!D19+'CurrentFact-N10,20,40,60Unchan'!G19)/100,2))*100</f>
        <v>9614.9673582483465</v>
      </c>
      <c r="D19">
        <f>(3/(1+('CurrentFact-N10,20,40,60Unchan'!C19+'CurrentFact-N10,20,40,60Unchan'!H19)/100)+103/POWER(1+('CurrentFact-N10,20,40,60Unchan'!D19+'CurrentFact-N10,20,40,60Unchan'!H19)/100,2))*100</f>
        <v>9601.2395558122898</v>
      </c>
      <c r="E19">
        <f>(3/(1+('CurrentFact-N10,20,40,60Unchan'!C19+'CurrentFact-N10,20,40,60Unchan'!I19)/100)+103/POWER(1+('CurrentFact-N10,20,40,60Unchan'!D19+'CurrentFact-N10,20,40,60Unchan'!I19)/100,2))*100</f>
        <v>9676.6907857653259</v>
      </c>
      <c r="F19">
        <f>Portfolio!B$5*'CurrentFact-N10,20,40,60Unchan'!E19</f>
        <v>52143.895533915893</v>
      </c>
      <c r="G19">
        <f>Portfolio!B$6*'CurrentFact-N10,20,40,60Unchan'!F19</f>
        <v>3696.2945087936532</v>
      </c>
      <c r="H19">
        <f t="shared" si="0"/>
        <v>94440.673519964359</v>
      </c>
      <c r="I19">
        <f t="shared" si="1"/>
        <v>0</v>
      </c>
    </row>
    <row r="20" spans="1:9">
      <c r="A20" s="1">
        <v>39286</v>
      </c>
      <c r="B20">
        <f>(3/(1+('CurrentFact-N10,20,40,60Unchan'!C20)/100)+103/POWER(1+('CurrentFact-N10,20,40,60Unchan'!D20)/100,2))*100</f>
        <v>9707.5857774288397</v>
      </c>
      <c r="C20">
        <f>(3/(1+('CurrentFact-N10,20,40,60Unchan'!C20+'CurrentFact-N10,20,40,60Unchan'!G20)/100)+103/POWER(1+('CurrentFact-N10,20,40,60Unchan'!D20+'CurrentFact-N10,20,40,60Unchan'!G20)/100,2))*100</f>
        <v>9614.9673582483465</v>
      </c>
      <c r="D20">
        <f>(3/(1+('CurrentFact-N10,20,40,60Unchan'!C20+'CurrentFact-N10,20,40,60Unchan'!H20)/100)+103/POWER(1+('CurrentFact-N10,20,40,60Unchan'!D20+'CurrentFact-N10,20,40,60Unchan'!H20)/100,2))*100</f>
        <v>9601.2395558122898</v>
      </c>
      <c r="E20">
        <f>(3/(1+('CurrentFact-N10,20,40,60Unchan'!C20+'CurrentFact-N10,20,40,60Unchan'!I20)/100)+103/POWER(1+('CurrentFact-N10,20,40,60Unchan'!D20+'CurrentFact-N10,20,40,60Unchan'!I20)/100,2))*100</f>
        <v>9676.6907857653259</v>
      </c>
      <c r="F20">
        <f>Portfolio!B$5*'CurrentFact-N10,20,40,60Unchan'!E20</f>
        <v>52143.895533915893</v>
      </c>
      <c r="G20">
        <f>Portfolio!B$6*'CurrentFact-N10,20,40,60Unchan'!F20</f>
        <v>3696.2945087936532</v>
      </c>
      <c r="H20">
        <f t="shared" si="0"/>
        <v>94440.673519964359</v>
      </c>
      <c r="I20">
        <f t="shared" si="1"/>
        <v>0</v>
      </c>
    </row>
    <row r="21" spans="1:9">
      <c r="A21" s="1">
        <v>39287</v>
      </c>
      <c r="B21">
        <f>(3/(1+('CurrentFact-N10,20,40,60Unchan'!C21)/100)+103/POWER(1+('CurrentFact-N10,20,40,60Unchan'!D21)/100,2))*100</f>
        <v>9707.5857774288397</v>
      </c>
      <c r="C21">
        <f>(3/(1+('CurrentFact-N10,20,40,60Unchan'!C21+'CurrentFact-N10,20,40,60Unchan'!G21)/100)+103/POWER(1+('CurrentFact-N10,20,40,60Unchan'!D21+'CurrentFact-N10,20,40,60Unchan'!G21)/100,2))*100</f>
        <v>9614.9673582483465</v>
      </c>
      <c r="D21">
        <f>(3/(1+('CurrentFact-N10,20,40,60Unchan'!C21+'CurrentFact-N10,20,40,60Unchan'!H21)/100)+103/POWER(1+('CurrentFact-N10,20,40,60Unchan'!D21+'CurrentFact-N10,20,40,60Unchan'!H21)/100,2))*100</f>
        <v>9601.2395558122898</v>
      </c>
      <c r="E21">
        <f>(3/(1+('CurrentFact-N10,20,40,60Unchan'!C21+'CurrentFact-N10,20,40,60Unchan'!I21)/100)+103/POWER(1+('CurrentFact-N10,20,40,60Unchan'!D21+'CurrentFact-N10,20,40,60Unchan'!I21)/100,2))*100</f>
        <v>9676.6907857653259</v>
      </c>
      <c r="F21">
        <f>Portfolio!B$5*'CurrentFact-N10,20,40,60Unchan'!E21</f>
        <v>52143.895533915893</v>
      </c>
      <c r="G21">
        <f>Portfolio!B$6*'CurrentFact-N10,20,40,60Unchan'!F21</f>
        <v>3696.2945087936532</v>
      </c>
      <c r="H21">
        <f t="shared" si="0"/>
        <v>94440.673519964359</v>
      </c>
      <c r="I21">
        <f t="shared" si="1"/>
        <v>0</v>
      </c>
    </row>
    <row r="22" spans="1:9">
      <c r="A22" s="1">
        <v>39288</v>
      </c>
      <c r="B22">
        <f>(3/(1+('CurrentFact-N10,20,40,60Unchan'!C22)/100)+103/POWER(1+('CurrentFact-N10,20,40,60Unchan'!D22)/100,2))*100</f>
        <v>9707.5857774288397</v>
      </c>
      <c r="C22">
        <f>(3/(1+('CurrentFact-N10,20,40,60Unchan'!C22+'CurrentFact-N10,20,40,60Unchan'!G22)/100)+103/POWER(1+('CurrentFact-N10,20,40,60Unchan'!D22+'CurrentFact-N10,20,40,60Unchan'!G22)/100,2))*100</f>
        <v>9614.9673582483465</v>
      </c>
      <c r="D22">
        <f>(3/(1+('CurrentFact-N10,20,40,60Unchan'!C22+'CurrentFact-N10,20,40,60Unchan'!H22)/100)+103/POWER(1+('CurrentFact-N10,20,40,60Unchan'!D22+'CurrentFact-N10,20,40,60Unchan'!H22)/100,2))*100</f>
        <v>9601.2395558122898</v>
      </c>
      <c r="E22">
        <f>(3/(1+('CurrentFact-N10,20,40,60Unchan'!C22+'CurrentFact-N10,20,40,60Unchan'!I22)/100)+103/POWER(1+('CurrentFact-N10,20,40,60Unchan'!D22+'CurrentFact-N10,20,40,60Unchan'!I22)/100,2))*100</f>
        <v>9676.6907857653259</v>
      </c>
      <c r="F22">
        <f>Portfolio!B$5*'CurrentFact-N10,20,40,60Unchan'!E22</f>
        <v>52143.895533915893</v>
      </c>
      <c r="G22">
        <f>Portfolio!B$6*'CurrentFact-N10,20,40,60Unchan'!F22</f>
        <v>3696.2945087936532</v>
      </c>
      <c r="H22">
        <f t="shared" si="0"/>
        <v>94440.673519964359</v>
      </c>
      <c r="I22">
        <f t="shared" si="1"/>
        <v>0</v>
      </c>
    </row>
    <row r="23" spans="1:9">
      <c r="A23" s="1">
        <v>39289</v>
      </c>
      <c r="B23">
        <f>(3/(1+('CurrentFact-N10,20,40,60Unchan'!C23)/100)+103/POWER(1+('CurrentFact-N10,20,40,60Unchan'!D23)/100,2))*100</f>
        <v>9707.5857774288397</v>
      </c>
      <c r="C23">
        <f>(3/(1+('CurrentFact-N10,20,40,60Unchan'!C23+'CurrentFact-N10,20,40,60Unchan'!G23)/100)+103/POWER(1+('CurrentFact-N10,20,40,60Unchan'!D23+'CurrentFact-N10,20,40,60Unchan'!G23)/100,2))*100</f>
        <v>9614.9673582483465</v>
      </c>
      <c r="D23">
        <f>(3/(1+('CurrentFact-N10,20,40,60Unchan'!C23+'CurrentFact-N10,20,40,60Unchan'!H23)/100)+103/POWER(1+('CurrentFact-N10,20,40,60Unchan'!D23+'CurrentFact-N10,20,40,60Unchan'!H23)/100,2))*100</f>
        <v>9601.2395558122898</v>
      </c>
      <c r="E23">
        <f>(3/(1+('CurrentFact-N10,20,40,60Unchan'!C23+'CurrentFact-N10,20,40,60Unchan'!I23)/100)+103/POWER(1+('CurrentFact-N10,20,40,60Unchan'!D23+'CurrentFact-N10,20,40,60Unchan'!I23)/100,2))*100</f>
        <v>9676.6907857653259</v>
      </c>
      <c r="F23">
        <f>Portfolio!B$5*'CurrentFact-N10,20,40,60Unchan'!E23</f>
        <v>52143.895533915893</v>
      </c>
      <c r="G23">
        <f>Portfolio!B$6*'CurrentFact-N10,20,40,60Unchan'!F23</f>
        <v>3696.2945087936532</v>
      </c>
      <c r="H23">
        <f t="shared" si="0"/>
        <v>94440.673519964359</v>
      </c>
      <c r="I23">
        <f t="shared" si="1"/>
        <v>0</v>
      </c>
    </row>
    <row r="24" spans="1:9">
      <c r="A24" s="1">
        <v>39290</v>
      </c>
      <c r="B24">
        <f>(3/(1+('CurrentFact-N10,20,40,60Unchan'!C24)/100)+103/POWER(1+('CurrentFact-N10,20,40,60Unchan'!D24)/100,2))*100</f>
        <v>9707.5857774288397</v>
      </c>
      <c r="C24">
        <f>(3/(1+('CurrentFact-N10,20,40,60Unchan'!C24+'CurrentFact-N10,20,40,60Unchan'!G24)/100)+103/POWER(1+('CurrentFact-N10,20,40,60Unchan'!D24+'CurrentFact-N10,20,40,60Unchan'!G24)/100,2))*100</f>
        <v>9614.9673582483465</v>
      </c>
      <c r="D24">
        <f>(3/(1+('CurrentFact-N10,20,40,60Unchan'!C24+'CurrentFact-N10,20,40,60Unchan'!H24)/100)+103/POWER(1+('CurrentFact-N10,20,40,60Unchan'!D24+'CurrentFact-N10,20,40,60Unchan'!H24)/100,2))*100</f>
        <v>9601.2395558122898</v>
      </c>
      <c r="E24">
        <f>(3/(1+('CurrentFact-N10,20,40,60Unchan'!C24+'CurrentFact-N10,20,40,60Unchan'!I24)/100)+103/POWER(1+('CurrentFact-N10,20,40,60Unchan'!D24+'CurrentFact-N10,20,40,60Unchan'!I24)/100,2))*100</f>
        <v>9676.6907857653259</v>
      </c>
      <c r="F24">
        <f>Portfolio!B$5*'CurrentFact-N10,20,40,60Unchan'!E24</f>
        <v>52143.895533915893</v>
      </c>
      <c r="G24">
        <f>Portfolio!B$6*'CurrentFact-N10,20,40,60Unchan'!F24</f>
        <v>3696.2945087936532</v>
      </c>
      <c r="H24">
        <f t="shared" si="0"/>
        <v>94440.673519964359</v>
      </c>
      <c r="I24">
        <f t="shared" si="1"/>
        <v>0</v>
      </c>
    </row>
    <row r="25" spans="1:9">
      <c r="A25" s="1">
        <v>39293</v>
      </c>
      <c r="B25">
        <f>(3/(1+('CurrentFact-N10,20,40,60Unchan'!C25)/100)+103/POWER(1+('CurrentFact-N10,20,40,60Unchan'!D25)/100,2))*100</f>
        <v>9707.5857774288397</v>
      </c>
      <c r="C25">
        <f>(3/(1+('CurrentFact-N10,20,40,60Unchan'!C25+'CurrentFact-N10,20,40,60Unchan'!G25)/100)+103/POWER(1+('CurrentFact-N10,20,40,60Unchan'!D25+'CurrentFact-N10,20,40,60Unchan'!G25)/100,2))*100</f>
        <v>9614.9673582483465</v>
      </c>
      <c r="D25">
        <f>(3/(1+('CurrentFact-N10,20,40,60Unchan'!C25+'CurrentFact-N10,20,40,60Unchan'!H25)/100)+103/POWER(1+('CurrentFact-N10,20,40,60Unchan'!D25+'CurrentFact-N10,20,40,60Unchan'!H25)/100,2))*100</f>
        <v>9601.2395558122898</v>
      </c>
      <c r="E25">
        <f>(3/(1+('CurrentFact-N10,20,40,60Unchan'!C25+'CurrentFact-N10,20,40,60Unchan'!I25)/100)+103/POWER(1+('CurrentFact-N10,20,40,60Unchan'!D25+'CurrentFact-N10,20,40,60Unchan'!I25)/100,2))*100</f>
        <v>9676.6907857653259</v>
      </c>
      <c r="F25">
        <f>Portfolio!B$5*'CurrentFact-N10,20,40,60Unchan'!E25</f>
        <v>52143.895533915893</v>
      </c>
      <c r="G25">
        <f>Portfolio!B$6*'CurrentFact-N10,20,40,60Unchan'!F25</f>
        <v>3696.2945087936532</v>
      </c>
      <c r="H25">
        <f t="shared" si="0"/>
        <v>94440.673519964359</v>
      </c>
      <c r="I25">
        <f t="shared" si="1"/>
        <v>0</v>
      </c>
    </row>
    <row r="26" spans="1:9">
      <c r="A26" s="1">
        <v>39294</v>
      </c>
      <c r="B26">
        <f>(3/(1+('CurrentFact-N10,20,40,60Unchan'!C26)/100)+103/POWER(1+('CurrentFact-N10,20,40,60Unchan'!D26)/100,2))*100</f>
        <v>9707.5857774288397</v>
      </c>
      <c r="C26">
        <f>(3/(1+('CurrentFact-N10,20,40,60Unchan'!C26+'CurrentFact-N10,20,40,60Unchan'!G26)/100)+103/POWER(1+('CurrentFact-N10,20,40,60Unchan'!D26+'CurrentFact-N10,20,40,60Unchan'!G26)/100,2))*100</f>
        <v>9614.9673582483465</v>
      </c>
      <c r="D26">
        <f>(3/(1+('CurrentFact-N10,20,40,60Unchan'!C26+'CurrentFact-N10,20,40,60Unchan'!H26)/100)+103/POWER(1+('CurrentFact-N10,20,40,60Unchan'!D26+'CurrentFact-N10,20,40,60Unchan'!H26)/100,2))*100</f>
        <v>9601.2395558122898</v>
      </c>
      <c r="E26">
        <f>(3/(1+('CurrentFact-N10,20,40,60Unchan'!C26+'CurrentFact-N10,20,40,60Unchan'!I26)/100)+103/POWER(1+('CurrentFact-N10,20,40,60Unchan'!D26+'CurrentFact-N10,20,40,60Unchan'!I26)/100,2))*100</f>
        <v>9676.6907857653259</v>
      </c>
      <c r="F26">
        <f>Portfolio!B$5*'CurrentFact-N10,20,40,60Unchan'!E26</f>
        <v>52143.895533915893</v>
      </c>
      <c r="G26">
        <f>Portfolio!B$6*'CurrentFact-N10,20,40,60Unchan'!F26</f>
        <v>3696.2945087936532</v>
      </c>
      <c r="H26">
        <f t="shared" si="0"/>
        <v>94440.673519964359</v>
      </c>
      <c r="I26">
        <f t="shared" si="1"/>
        <v>0</v>
      </c>
    </row>
    <row r="27" spans="1:9">
      <c r="A27" s="1">
        <v>39295</v>
      </c>
      <c r="B27">
        <f>(3/(1+('CurrentFact-N10,20,40,60Unchan'!C27)/100)+103/POWER(1+('CurrentFact-N10,20,40,60Unchan'!D27)/100,2))*100</f>
        <v>9707.5857774288397</v>
      </c>
      <c r="C27">
        <f>(3/(1+('CurrentFact-N10,20,40,60Unchan'!C27+'CurrentFact-N10,20,40,60Unchan'!G27)/100)+103/POWER(1+('CurrentFact-N10,20,40,60Unchan'!D27+'CurrentFact-N10,20,40,60Unchan'!G27)/100,2))*100</f>
        <v>9614.9673582483465</v>
      </c>
      <c r="D27">
        <f>(3/(1+('CurrentFact-N10,20,40,60Unchan'!C27+'CurrentFact-N10,20,40,60Unchan'!H27)/100)+103/POWER(1+('CurrentFact-N10,20,40,60Unchan'!D27+'CurrentFact-N10,20,40,60Unchan'!H27)/100,2))*100</f>
        <v>9601.2395558122898</v>
      </c>
      <c r="E27">
        <f>(3/(1+('CurrentFact-N10,20,40,60Unchan'!C27+'CurrentFact-N10,20,40,60Unchan'!I27)/100)+103/POWER(1+('CurrentFact-N10,20,40,60Unchan'!D27+'CurrentFact-N10,20,40,60Unchan'!I27)/100,2))*100</f>
        <v>9676.6907857653259</v>
      </c>
      <c r="F27">
        <f>Portfolio!B$5*'CurrentFact-N10,20,40,60Unchan'!E27</f>
        <v>52143.895533915893</v>
      </c>
      <c r="G27">
        <f>Portfolio!B$6*'CurrentFact-N10,20,40,60Unchan'!F27</f>
        <v>3696.2945087936532</v>
      </c>
      <c r="H27">
        <f t="shared" si="0"/>
        <v>94440.673519964359</v>
      </c>
      <c r="I27">
        <f t="shared" si="1"/>
        <v>0</v>
      </c>
    </row>
    <row r="28" spans="1:9">
      <c r="A28" s="1">
        <v>39296</v>
      </c>
      <c r="B28">
        <f>(3/(1+('CurrentFact-N10,20,40,60Unchan'!C28)/100)+103/POWER(1+('CurrentFact-N10,20,40,60Unchan'!D28)/100,2))*100</f>
        <v>9707.5857774288397</v>
      </c>
      <c r="C28">
        <f>(3/(1+('CurrentFact-N10,20,40,60Unchan'!C28+'CurrentFact-N10,20,40,60Unchan'!G28)/100)+103/POWER(1+('CurrentFact-N10,20,40,60Unchan'!D28+'CurrentFact-N10,20,40,60Unchan'!G28)/100,2))*100</f>
        <v>9614.9673582483465</v>
      </c>
      <c r="D28">
        <f>(3/(1+('CurrentFact-N10,20,40,60Unchan'!C28+'CurrentFact-N10,20,40,60Unchan'!H28)/100)+103/POWER(1+('CurrentFact-N10,20,40,60Unchan'!D28+'CurrentFact-N10,20,40,60Unchan'!H28)/100,2))*100</f>
        <v>9601.2395558122898</v>
      </c>
      <c r="E28">
        <f>(3/(1+('CurrentFact-N10,20,40,60Unchan'!C28+'CurrentFact-N10,20,40,60Unchan'!I28)/100)+103/POWER(1+('CurrentFact-N10,20,40,60Unchan'!D28+'CurrentFact-N10,20,40,60Unchan'!I28)/100,2))*100</f>
        <v>9676.6907857653259</v>
      </c>
      <c r="F28">
        <f>Portfolio!B$5*'CurrentFact-N10,20,40,60Unchan'!E28</f>
        <v>52143.895533915893</v>
      </c>
      <c r="G28">
        <f>Portfolio!B$6*'CurrentFact-N10,20,40,60Unchan'!F28</f>
        <v>3696.2945087936532</v>
      </c>
      <c r="H28">
        <f t="shared" si="0"/>
        <v>94440.673519964359</v>
      </c>
      <c r="I28">
        <f t="shared" si="1"/>
        <v>0</v>
      </c>
    </row>
    <row r="29" spans="1:9">
      <c r="A29" s="1">
        <v>39297</v>
      </c>
      <c r="B29">
        <f>(3/(1+('CurrentFact-N10,20,40,60Unchan'!C29)/100)+103/POWER(1+('CurrentFact-N10,20,40,60Unchan'!D29)/100,2))*100</f>
        <v>9707.5857774288397</v>
      </c>
      <c r="C29">
        <f>(3/(1+('CurrentFact-N10,20,40,60Unchan'!C29+'CurrentFact-N10,20,40,60Unchan'!G29)/100)+103/POWER(1+('CurrentFact-N10,20,40,60Unchan'!D29+'CurrentFact-N10,20,40,60Unchan'!G29)/100,2))*100</f>
        <v>9614.9673582483465</v>
      </c>
      <c r="D29">
        <f>(3/(1+('CurrentFact-N10,20,40,60Unchan'!C29+'CurrentFact-N10,20,40,60Unchan'!H29)/100)+103/POWER(1+('CurrentFact-N10,20,40,60Unchan'!D29+'CurrentFact-N10,20,40,60Unchan'!H29)/100,2))*100</f>
        <v>9601.2395558122898</v>
      </c>
      <c r="E29">
        <f>(3/(1+('CurrentFact-N10,20,40,60Unchan'!C29+'CurrentFact-N10,20,40,60Unchan'!I29)/100)+103/POWER(1+('CurrentFact-N10,20,40,60Unchan'!D29+'CurrentFact-N10,20,40,60Unchan'!I29)/100,2))*100</f>
        <v>9676.6907857653259</v>
      </c>
      <c r="F29">
        <f>Portfolio!B$5*'CurrentFact-N10,20,40,60Unchan'!E29</f>
        <v>52143.895533915893</v>
      </c>
      <c r="G29">
        <f>Portfolio!B$6*'CurrentFact-N10,20,40,60Unchan'!F29</f>
        <v>3696.2945087936532</v>
      </c>
      <c r="H29">
        <f t="shared" si="0"/>
        <v>94440.673519964359</v>
      </c>
      <c r="I29">
        <f t="shared" si="1"/>
        <v>0</v>
      </c>
    </row>
    <row r="30" spans="1:9">
      <c r="A30" s="1">
        <v>39300</v>
      </c>
      <c r="B30">
        <f>(3/(1+('CurrentFact-N10,20,40,60Unchan'!C30)/100)+103/POWER(1+('CurrentFact-N10,20,40,60Unchan'!D30)/100,2))*100</f>
        <v>9707.5857774288397</v>
      </c>
      <c r="C30">
        <f>(3/(1+('CurrentFact-N10,20,40,60Unchan'!C30+'CurrentFact-N10,20,40,60Unchan'!G30)/100)+103/POWER(1+('CurrentFact-N10,20,40,60Unchan'!D30+'CurrentFact-N10,20,40,60Unchan'!G30)/100,2))*100</f>
        <v>9614.9673582483465</v>
      </c>
      <c r="D30">
        <f>(3/(1+('CurrentFact-N10,20,40,60Unchan'!C30+'CurrentFact-N10,20,40,60Unchan'!H30)/100)+103/POWER(1+('CurrentFact-N10,20,40,60Unchan'!D30+'CurrentFact-N10,20,40,60Unchan'!H30)/100,2))*100</f>
        <v>9601.2395558122898</v>
      </c>
      <c r="E30">
        <f>(3/(1+('CurrentFact-N10,20,40,60Unchan'!C30+'CurrentFact-N10,20,40,60Unchan'!I30)/100)+103/POWER(1+('CurrentFact-N10,20,40,60Unchan'!D30+'CurrentFact-N10,20,40,60Unchan'!I30)/100,2))*100</f>
        <v>9676.6907857653259</v>
      </c>
      <c r="F30">
        <f>Portfolio!B$5*'CurrentFact-N10,20,40,60Unchan'!E30</f>
        <v>52143.895533915893</v>
      </c>
      <c r="G30">
        <f>Portfolio!B$6*'CurrentFact-N10,20,40,60Unchan'!F30</f>
        <v>3696.2945087936532</v>
      </c>
      <c r="H30">
        <f t="shared" si="0"/>
        <v>94440.673519964359</v>
      </c>
      <c r="I30">
        <f t="shared" si="1"/>
        <v>0</v>
      </c>
    </row>
    <row r="31" spans="1:9">
      <c r="A31" s="1">
        <v>39301</v>
      </c>
      <c r="B31">
        <f>(3/(1+('CurrentFact-N10,20,40,60Unchan'!C31)/100)+103/POWER(1+('CurrentFact-N10,20,40,60Unchan'!D31)/100,2))*100</f>
        <v>9707.5857774288397</v>
      </c>
      <c r="C31">
        <f>(3/(1+('CurrentFact-N10,20,40,60Unchan'!C31+'CurrentFact-N10,20,40,60Unchan'!G31)/100)+103/POWER(1+('CurrentFact-N10,20,40,60Unchan'!D31+'CurrentFact-N10,20,40,60Unchan'!G31)/100,2))*100</f>
        <v>9614.9673582483465</v>
      </c>
      <c r="D31">
        <f>(3/(1+('CurrentFact-N10,20,40,60Unchan'!C31+'CurrentFact-N10,20,40,60Unchan'!H31)/100)+103/POWER(1+('CurrentFact-N10,20,40,60Unchan'!D31+'CurrentFact-N10,20,40,60Unchan'!H31)/100,2))*100</f>
        <v>9601.2395558122898</v>
      </c>
      <c r="E31">
        <f>(3/(1+('CurrentFact-N10,20,40,60Unchan'!C31+'CurrentFact-N10,20,40,60Unchan'!I31)/100)+103/POWER(1+('CurrentFact-N10,20,40,60Unchan'!D31+'CurrentFact-N10,20,40,60Unchan'!I31)/100,2))*100</f>
        <v>9676.6907857653259</v>
      </c>
      <c r="F31">
        <f>Portfolio!B$5*'CurrentFact-N10,20,40,60Unchan'!E31</f>
        <v>52143.895533915893</v>
      </c>
      <c r="G31">
        <f>Portfolio!B$6*'CurrentFact-N10,20,40,60Unchan'!F31</f>
        <v>3696.2945087936532</v>
      </c>
      <c r="H31">
        <f t="shared" si="0"/>
        <v>94440.673519964359</v>
      </c>
      <c r="I31">
        <f t="shared" si="1"/>
        <v>0</v>
      </c>
    </row>
    <row r="32" spans="1:9">
      <c r="A32" s="1">
        <v>39302</v>
      </c>
      <c r="B32">
        <f>(3/(1+('CurrentFact-N10,20,40,60Unchan'!C32)/100)+103/POWER(1+('CurrentFact-N10,20,40,60Unchan'!D32)/100,2))*100</f>
        <v>9707.5857774288397</v>
      </c>
      <c r="C32">
        <f>(3/(1+('CurrentFact-N10,20,40,60Unchan'!C32+'CurrentFact-N10,20,40,60Unchan'!G32)/100)+103/POWER(1+('CurrentFact-N10,20,40,60Unchan'!D32+'CurrentFact-N10,20,40,60Unchan'!G32)/100,2))*100</f>
        <v>9614.9673582483465</v>
      </c>
      <c r="D32">
        <f>(3/(1+('CurrentFact-N10,20,40,60Unchan'!C32+'CurrentFact-N10,20,40,60Unchan'!H32)/100)+103/POWER(1+('CurrentFact-N10,20,40,60Unchan'!D32+'CurrentFact-N10,20,40,60Unchan'!H32)/100,2))*100</f>
        <v>9601.2395558122898</v>
      </c>
      <c r="E32">
        <f>(3/(1+('CurrentFact-N10,20,40,60Unchan'!C32+'CurrentFact-N10,20,40,60Unchan'!I32)/100)+103/POWER(1+('CurrentFact-N10,20,40,60Unchan'!D32+'CurrentFact-N10,20,40,60Unchan'!I32)/100,2))*100</f>
        <v>9676.6907857653259</v>
      </c>
      <c r="F32">
        <f>Portfolio!B$5*'CurrentFact-N10,20,40,60Unchan'!E32</f>
        <v>52143.895533915893</v>
      </c>
      <c r="G32">
        <f>Portfolio!B$6*'CurrentFact-N10,20,40,60Unchan'!F32</f>
        <v>3696.2945087936532</v>
      </c>
      <c r="H32">
        <f t="shared" si="0"/>
        <v>94440.673519964359</v>
      </c>
      <c r="I32">
        <f t="shared" si="1"/>
        <v>0</v>
      </c>
    </row>
    <row r="33" spans="1:9">
      <c r="A33" s="1">
        <v>39303</v>
      </c>
      <c r="B33">
        <f>(3/(1+('CurrentFact-N10,20,40,60Unchan'!C33)/100)+103/POWER(1+('CurrentFact-N10,20,40,60Unchan'!D33)/100,2))*100</f>
        <v>9707.5857774288397</v>
      </c>
      <c r="C33">
        <f>(3/(1+('CurrentFact-N10,20,40,60Unchan'!C33+'CurrentFact-N10,20,40,60Unchan'!G33)/100)+103/POWER(1+('CurrentFact-N10,20,40,60Unchan'!D33+'CurrentFact-N10,20,40,60Unchan'!G33)/100,2))*100</f>
        <v>9614.9673582483465</v>
      </c>
      <c r="D33">
        <f>(3/(1+('CurrentFact-N10,20,40,60Unchan'!C33+'CurrentFact-N10,20,40,60Unchan'!H33)/100)+103/POWER(1+('CurrentFact-N10,20,40,60Unchan'!D33+'CurrentFact-N10,20,40,60Unchan'!H33)/100,2))*100</f>
        <v>9601.2395558122898</v>
      </c>
      <c r="E33">
        <f>(3/(1+('CurrentFact-N10,20,40,60Unchan'!C33+'CurrentFact-N10,20,40,60Unchan'!I33)/100)+103/POWER(1+('CurrentFact-N10,20,40,60Unchan'!D33+'CurrentFact-N10,20,40,60Unchan'!I33)/100,2))*100</f>
        <v>9676.6907857653259</v>
      </c>
      <c r="F33">
        <f>Portfolio!B$5*'CurrentFact-N10,20,40,60Unchan'!E33</f>
        <v>52143.895533915893</v>
      </c>
      <c r="G33">
        <f>Portfolio!B$6*'CurrentFact-N10,20,40,60Unchan'!F33</f>
        <v>3696.2945087936532</v>
      </c>
      <c r="H33">
        <f t="shared" si="0"/>
        <v>94440.673519964359</v>
      </c>
      <c r="I33">
        <f t="shared" si="1"/>
        <v>0</v>
      </c>
    </row>
    <row r="34" spans="1:9">
      <c r="A34" s="1">
        <v>39304</v>
      </c>
      <c r="B34">
        <f>(3/(1+('CurrentFact-N10,20,40,60Unchan'!C34)/100)+103/POWER(1+('CurrentFact-N10,20,40,60Unchan'!D34)/100,2))*100</f>
        <v>9707.5857774288397</v>
      </c>
      <c r="C34">
        <f>(3/(1+('CurrentFact-N10,20,40,60Unchan'!C34+'CurrentFact-N10,20,40,60Unchan'!G34)/100)+103/POWER(1+('CurrentFact-N10,20,40,60Unchan'!D34+'CurrentFact-N10,20,40,60Unchan'!G34)/100,2))*100</f>
        <v>9614.9673582483465</v>
      </c>
      <c r="D34">
        <f>(3/(1+('CurrentFact-N10,20,40,60Unchan'!C34+'CurrentFact-N10,20,40,60Unchan'!H34)/100)+103/POWER(1+('CurrentFact-N10,20,40,60Unchan'!D34+'CurrentFact-N10,20,40,60Unchan'!H34)/100,2))*100</f>
        <v>9601.2395558122898</v>
      </c>
      <c r="E34">
        <f>(3/(1+('CurrentFact-N10,20,40,60Unchan'!C34+'CurrentFact-N10,20,40,60Unchan'!I34)/100)+103/POWER(1+('CurrentFact-N10,20,40,60Unchan'!D34+'CurrentFact-N10,20,40,60Unchan'!I34)/100,2))*100</f>
        <v>9676.6907857653259</v>
      </c>
      <c r="F34">
        <f>Portfolio!B$5*'CurrentFact-N10,20,40,60Unchan'!E34</f>
        <v>52143.895533915893</v>
      </c>
      <c r="G34">
        <f>Portfolio!B$6*'CurrentFact-N10,20,40,60Unchan'!F34</f>
        <v>3696.2945087936532</v>
      </c>
      <c r="H34">
        <f t="shared" si="0"/>
        <v>94440.673519964359</v>
      </c>
      <c r="I34">
        <f t="shared" si="1"/>
        <v>0</v>
      </c>
    </row>
    <row r="35" spans="1:9">
      <c r="A35" s="1">
        <v>39307</v>
      </c>
      <c r="B35">
        <f>(3/(1+('CurrentFact-N10,20,40,60Unchan'!C35)/100)+103/POWER(1+('CurrentFact-N10,20,40,60Unchan'!D35)/100,2))*100</f>
        <v>9707.5857774288397</v>
      </c>
      <c r="C35">
        <f>(3/(1+('CurrentFact-N10,20,40,60Unchan'!C35+'CurrentFact-N10,20,40,60Unchan'!G35)/100)+103/POWER(1+('CurrentFact-N10,20,40,60Unchan'!D35+'CurrentFact-N10,20,40,60Unchan'!G35)/100,2))*100</f>
        <v>9614.9673582483465</v>
      </c>
      <c r="D35">
        <f>(3/(1+('CurrentFact-N10,20,40,60Unchan'!C35+'CurrentFact-N10,20,40,60Unchan'!H35)/100)+103/POWER(1+('CurrentFact-N10,20,40,60Unchan'!D35+'CurrentFact-N10,20,40,60Unchan'!H35)/100,2))*100</f>
        <v>9601.2395558122898</v>
      </c>
      <c r="E35">
        <f>(3/(1+('CurrentFact-N10,20,40,60Unchan'!C35+'CurrentFact-N10,20,40,60Unchan'!I35)/100)+103/POWER(1+('CurrentFact-N10,20,40,60Unchan'!D35+'CurrentFact-N10,20,40,60Unchan'!I35)/100,2))*100</f>
        <v>9676.6907857653259</v>
      </c>
      <c r="F35">
        <f>Portfolio!B$5*'CurrentFact-N10,20,40,60Unchan'!E35</f>
        <v>52143.895533915893</v>
      </c>
      <c r="G35">
        <f>Portfolio!B$6*'CurrentFact-N10,20,40,60Unchan'!F35</f>
        <v>3696.2945087936532</v>
      </c>
      <c r="H35">
        <f t="shared" ref="H35:H66" si="2">SUM(B35:G35)</f>
        <v>94440.673519964359</v>
      </c>
      <c r="I35">
        <f t="shared" si="1"/>
        <v>0</v>
      </c>
    </row>
    <row r="36" spans="1:9">
      <c r="A36" s="1">
        <v>39308</v>
      </c>
      <c r="B36">
        <f>(3/(1+('CurrentFact-N10,20,40,60Unchan'!C36)/100)+103/POWER(1+('CurrentFact-N10,20,40,60Unchan'!D36)/100,2))*100</f>
        <v>9707.5857774288397</v>
      </c>
      <c r="C36">
        <f>(3/(1+('CurrentFact-N10,20,40,60Unchan'!C36+'CurrentFact-N10,20,40,60Unchan'!G36)/100)+103/POWER(1+('CurrentFact-N10,20,40,60Unchan'!D36+'CurrentFact-N10,20,40,60Unchan'!G36)/100,2))*100</f>
        <v>9614.9673582483465</v>
      </c>
      <c r="D36">
        <f>(3/(1+('CurrentFact-N10,20,40,60Unchan'!C36+'CurrentFact-N10,20,40,60Unchan'!H36)/100)+103/POWER(1+('CurrentFact-N10,20,40,60Unchan'!D36+'CurrentFact-N10,20,40,60Unchan'!H36)/100,2))*100</f>
        <v>9601.2395558122898</v>
      </c>
      <c r="E36">
        <f>(3/(1+('CurrentFact-N10,20,40,60Unchan'!C36+'CurrentFact-N10,20,40,60Unchan'!I36)/100)+103/POWER(1+('CurrentFact-N10,20,40,60Unchan'!D36+'CurrentFact-N10,20,40,60Unchan'!I36)/100,2))*100</f>
        <v>9676.6907857653259</v>
      </c>
      <c r="F36">
        <f>Portfolio!B$5*'CurrentFact-N10,20,40,60Unchan'!E36</f>
        <v>52143.895533915893</v>
      </c>
      <c r="G36">
        <f>Portfolio!B$6*'CurrentFact-N10,20,40,60Unchan'!F36</f>
        <v>3696.2945087936532</v>
      </c>
      <c r="H36">
        <f t="shared" si="2"/>
        <v>94440.673519964359</v>
      </c>
      <c r="I36">
        <f t="shared" si="1"/>
        <v>0</v>
      </c>
    </row>
    <row r="37" spans="1:9">
      <c r="A37" s="1">
        <v>39309</v>
      </c>
      <c r="B37">
        <f>(3/(1+('CurrentFact-N10,20,40,60Unchan'!C37)/100)+103/POWER(1+('CurrentFact-N10,20,40,60Unchan'!D37)/100,2))*100</f>
        <v>9707.5857774288397</v>
      </c>
      <c r="C37">
        <f>(3/(1+('CurrentFact-N10,20,40,60Unchan'!C37+'CurrentFact-N10,20,40,60Unchan'!G37)/100)+103/POWER(1+('CurrentFact-N10,20,40,60Unchan'!D37+'CurrentFact-N10,20,40,60Unchan'!G37)/100,2))*100</f>
        <v>9614.9673582483465</v>
      </c>
      <c r="D37">
        <f>(3/(1+('CurrentFact-N10,20,40,60Unchan'!C37+'CurrentFact-N10,20,40,60Unchan'!H37)/100)+103/POWER(1+('CurrentFact-N10,20,40,60Unchan'!D37+'CurrentFact-N10,20,40,60Unchan'!H37)/100,2))*100</f>
        <v>9601.2395558122898</v>
      </c>
      <c r="E37">
        <f>(3/(1+('CurrentFact-N10,20,40,60Unchan'!C37+'CurrentFact-N10,20,40,60Unchan'!I37)/100)+103/POWER(1+('CurrentFact-N10,20,40,60Unchan'!D37+'CurrentFact-N10,20,40,60Unchan'!I37)/100,2))*100</f>
        <v>9676.6907857653259</v>
      </c>
      <c r="F37">
        <f>Portfolio!B$5*'CurrentFact-N10,20,40,60Unchan'!E37</f>
        <v>52143.895533915893</v>
      </c>
      <c r="G37">
        <f>Portfolio!B$6*'CurrentFact-N10,20,40,60Unchan'!F37</f>
        <v>3696.2945087936532</v>
      </c>
      <c r="H37">
        <f t="shared" si="2"/>
        <v>94440.673519964359</v>
      </c>
      <c r="I37">
        <f t="shared" si="1"/>
        <v>0</v>
      </c>
    </row>
    <row r="38" spans="1:9">
      <c r="A38" s="1">
        <v>39310</v>
      </c>
      <c r="B38">
        <f>(3/(1+('CurrentFact-N10,20,40,60Unchan'!C38)/100)+103/POWER(1+('CurrentFact-N10,20,40,60Unchan'!D38)/100,2))*100</f>
        <v>9707.5857774288397</v>
      </c>
      <c r="C38">
        <f>(3/(1+('CurrentFact-N10,20,40,60Unchan'!C38+'CurrentFact-N10,20,40,60Unchan'!G38)/100)+103/POWER(1+('CurrentFact-N10,20,40,60Unchan'!D38+'CurrentFact-N10,20,40,60Unchan'!G38)/100,2))*100</f>
        <v>9614.9673582483465</v>
      </c>
      <c r="D38">
        <f>(3/(1+('CurrentFact-N10,20,40,60Unchan'!C38+'CurrentFact-N10,20,40,60Unchan'!H38)/100)+103/POWER(1+('CurrentFact-N10,20,40,60Unchan'!D38+'CurrentFact-N10,20,40,60Unchan'!H38)/100,2))*100</f>
        <v>9601.2395558122898</v>
      </c>
      <c r="E38">
        <f>(3/(1+('CurrentFact-N10,20,40,60Unchan'!C38+'CurrentFact-N10,20,40,60Unchan'!I38)/100)+103/POWER(1+('CurrentFact-N10,20,40,60Unchan'!D38+'CurrentFact-N10,20,40,60Unchan'!I38)/100,2))*100</f>
        <v>9676.6907857653259</v>
      </c>
      <c r="F38">
        <f>Portfolio!B$5*'CurrentFact-N10,20,40,60Unchan'!E38</f>
        <v>52143.895533915893</v>
      </c>
      <c r="G38">
        <f>Portfolio!B$6*'CurrentFact-N10,20,40,60Unchan'!F38</f>
        <v>3696.2945087936532</v>
      </c>
      <c r="H38">
        <f t="shared" si="2"/>
        <v>94440.673519964359</v>
      </c>
      <c r="I38">
        <f t="shared" si="1"/>
        <v>0</v>
      </c>
    </row>
    <row r="39" spans="1:9">
      <c r="A39" s="1">
        <v>39311</v>
      </c>
      <c r="B39">
        <f>(3/(1+('CurrentFact-N10,20,40,60Unchan'!C39)/100)+103/POWER(1+('CurrentFact-N10,20,40,60Unchan'!D39)/100,2))*100</f>
        <v>9707.5857774288397</v>
      </c>
      <c r="C39">
        <f>(3/(1+('CurrentFact-N10,20,40,60Unchan'!C39+'CurrentFact-N10,20,40,60Unchan'!G39)/100)+103/POWER(1+('CurrentFact-N10,20,40,60Unchan'!D39+'CurrentFact-N10,20,40,60Unchan'!G39)/100,2))*100</f>
        <v>9614.9673582483465</v>
      </c>
      <c r="D39">
        <f>(3/(1+('CurrentFact-N10,20,40,60Unchan'!C39+'CurrentFact-N10,20,40,60Unchan'!H39)/100)+103/POWER(1+('CurrentFact-N10,20,40,60Unchan'!D39+'CurrentFact-N10,20,40,60Unchan'!H39)/100,2))*100</f>
        <v>9601.2395558122898</v>
      </c>
      <c r="E39">
        <f>(3/(1+('CurrentFact-N10,20,40,60Unchan'!C39+'CurrentFact-N10,20,40,60Unchan'!I39)/100)+103/POWER(1+('CurrentFact-N10,20,40,60Unchan'!D39+'CurrentFact-N10,20,40,60Unchan'!I39)/100,2))*100</f>
        <v>9676.6907857653259</v>
      </c>
      <c r="F39">
        <f>Portfolio!B$5*'CurrentFact-N10,20,40,60Unchan'!E39</f>
        <v>52143.895533915893</v>
      </c>
      <c r="G39">
        <f>Portfolio!B$6*'CurrentFact-N10,20,40,60Unchan'!F39</f>
        <v>3696.2945087936532</v>
      </c>
      <c r="H39">
        <f t="shared" si="2"/>
        <v>94440.673519964359</v>
      </c>
      <c r="I39">
        <f t="shared" si="1"/>
        <v>0</v>
      </c>
    </row>
    <row r="40" spans="1:9">
      <c r="A40" s="1">
        <v>39314</v>
      </c>
      <c r="B40">
        <f>(3/(1+('CurrentFact-N10,20,40,60Unchan'!C40)/100)+103/POWER(1+('CurrentFact-N10,20,40,60Unchan'!D40)/100,2))*100</f>
        <v>9707.5857774288397</v>
      </c>
      <c r="C40">
        <f>(3/(1+('CurrentFact-N10,20,40,60Unchan'!C40+'CurrentFact-N10,20,40,60Unchan'!G40)/100)+103/POWER(1+('CurrentFact-N10,20,40,60Unchan'!D40+'CurrentFact-N10,20,40,60Unchan'!G40)/100,2))*100</f>
        <v>9614.9673582483465</v>
      </c>
      <c r="D40">
        <f>(3/(1+('CurrentFact-N10,20,40,60Unchan'!C40+'CurrentFact-N10,20,40,60Unchan'!H40)/100)+103/POWER(1+('CurrentFact-N10,20,40,60Unchan'!D40+'CurrentFact-N10,20,40,60Unchan'!H40)/100,2))*100</f>
        <v>9601.2395558122898</v>
      </c>
      <c r="E40">
        <f>(3/(1+('CurrentFact-N10,20,40,60Unchan'!C40+'CurrentFact-N10,20,40,60Unchan'!I40)/100)+103/POWER(1+('CurrentFact-N10,20,40,60Unchan'!D40+'CurrentFact-N10,20,40,60Unchan'!I40)/100,2))*100</f>
        <v>9676.6907857653259</v>
      </c>
      <c r="F40">
        <f>Portfolio!B$5*'CurrentFact-N10,20,40,60Unchan'!E40</f>
        <v>52143.895533915893</v>
      </c>
      <c r="G40">
        <f>Portfolio!B$6*'CurrentFact-N10,20,40,60Unchan'!F40</f>
        <v>3696.2945087936532</v>
      </c>
      <c r="H40">
        <f t="shared" si="2"/>
        <v>94440.673519964359</v>
      </c>
      <c r="I40">
        <f t="shared" si="1"/>
        <v>0</v>
      </c>
    </row>
    <row r="41" spans="1:9">
      <c r="A41" s="1">
        <v>39315</v>
      </c>
      <c r="B41">
        <f>(3/(1+('CurrentFact-N10,20,40,60Unchan'!C41)/100)+103/POWER(1+('CurrentFact-N10,20,40,60Unchan'!D41)/100,2))*100</f>
        <v>9707.5857774288397</v>
      </c>
      <c r="C41">
        <f>(3/(1+('CurrentFact-N10,20,40,60Unchan'!C41+'CurrentFact-N10,20,40,60Unchan'!G41)/100)+103/POWER(1+('CurrentFact-N10,20,40,60Unchan'!D41+'CurrentFact-N10,20,40,60Unchan'!G41)/100,2))*100</f>
        <v>9614.9673582483465</v>
      </c>
      <c r="D41">
        <f>(3/(1+('CurrentFact-N10,20,40,60Unchan'!C41+'CurrentFact-N10,20,40,60Unchan'!H41)/100)+103/POWER(1+('CurrentFact-N10,20,40,60Unchan'!D41+'CurrentFact-N10,20,40,60Unchan'!H41)/100,2))*100</f>
        <v>9601.2395558122898</v>
      </c>
      <c r="E41">
        <f>(3/(1+('CurrentFact-N10,20,40,60Unchan'!C41+'CurrentFact-N10,20,40,60Unchan'!I41)/100)+103/POWER(1+('CurrentFact-N10,20,40,60Unchan'!D41+'CurrentFact-N10,20,40,60Unchan'!I41)/100,2))*100</f>
        <v>9676.6907857653259</v>
      </c>
      <c r="F41">
        <f>Portfolio!B$5*'CurrentFact-N10,20,40,60Unchan'!E41</f>
        <v>52143.895533915893</v>
      </c>
      <c r="G41">
        <f>Portfolio!B$6*'CurrentFact-N10,20,40,60Unchan'!F41</f>
        <v>3696.2945087936532</v>
      </c>
      <c r="H41">
        <f t="shared" si="2"/>
        <v>94440.673519964359</v>
      </c>
      <c r="I41">
        <f t="shared" si="1"/>
        <v>0</v>
      </c>
    </row>
    <row r="42" spans="1:9">
      <c r="A42" s="1">
        <v>39316</v>
      </c>
      <c r="B42">
        <f>(3/(1+('CurrentFact-N10,20,40,60Unchan'!C42)/100)+103/POWER(1+('CurrentFact-N10,20,40,60Unchan'!D42)/100,2))*100</f>
        <v>9707.5857774288397</v>
      </c>
      <c r="C42">
        <f>(3/(1+('CurrentFact-N10,20,40,60Unchan'!C42+'CurrentFact-N10,20,40,60Unchan'!G42)/100)+103/POWER(1+('CurrentFact-N10,20,40,60Unchan'!D42+'CurrentFact-N10,20,40,60Unchan'!G42)/100,2))*100</f>
        <v>9614.9673582483465</v>
      </c>
      <c r="D42">
        <f>(3/(1+('CurrentFact-N10,20,40,60Unchan'!C42+'CurrentFact-N10,20,40,60Unchan'!H42)/100)+103/POWER(1+('CurrentFact-N10,20,40,60Unchan'!D42+'CurrentFact-N10,20,40,60Unchan'!H42)/100,2))*100</f>
        <v>9601.2395558122898</v>
      </c>
      <c r="E42">
        <f>(3/(1+('CurrentFact-N10,20,40,60Unchan'!C42+'CurrentFact-N10,20,40,60Unchan'!I42)/100)+103/POWER(1+('CurrentFact-N10,20,40,60Unchan'!D42+'CurrentFact-N10,20,40,60Unchan'!I42)/100,2))*100</f>
        <v>9676.6907857653259</v>
      </c>
      <c r="F42">
        <f>Portfolio!B$5*'CurrentFact-N10,20,40,60Unchan'!E42</f>
        <v>52143.895533915893</v>
      </c>
      <c r="G42">
        <f>Portfolio!B$6*'CurrentFact-N10,20,40,60Unchan'!F42</f>
        <v>3696.2945087936532</v>
      </c>
      <c r="H42">
        <f t="shared" si="2"/>
        <v>94440.673519964359</v>
      </c>
      <c r="I42">
        <f t="shared" si="1"/>
        <v>0</v>
      </c>
    </row>
    <row r="43" spans="1:9">
      <c r="A43" s="1">
        <v>39317</v>
      </c>
      <c r="B43">
        <f>(3/(1+('CurrentFact-N10,20,40,60Unchan'!C43)/100)+103/POWER(1+('CurrentFact-N10,20,40,60Unchan'!D43)/100,2))*100</f>
        <v>9707.5857774288397</v>
      </c>
      <c r="C43">
        <f>(3/(1+('CurrentFact-N10,20,40,60Unchan'!C43+'CurrentFact-N10,20,40,60Unchan'!G43)/100)+103/POWER(1+('CurrentFact-N10,20,40,60Unchan'!D43+'CurrentFact-N10,20,40,60Unchan'!G43)/100,2))*100</f>
        <v>9614.9673582483465</v>
      </c>
      <c r="D43">
        <f>(3/(1+('CurrentFact-N10,20,40,60Unchan'!C43+'CurrentFact-N10,20,40,60Unchan'!H43)/100)+103/POWER(1+('CurrentFact-N10,20,40,60Unchan'!D43+'CurrentFact-N10,20,40,60Unchan'!H43)/100,2))*100</f>
        <v>9601.2395558122898</v>
      </c>
      <c r="E43">
        <f>(3/(1+('CurrentFact-N10,20,40,60Unchan'!C43+'CurrentFact-N10,20,40,60Unchan'!I43)/100)+103/POWER(1+('CurrentFact-N10,20,40,60Unchan'!D43+'CurrentFact-N10,20,40,60Unchan'!I43)/100,2))*100</f>
        <v>9676.6907857653259</v>
      </c>
      <c r="F43">
        <f>Portfolio!B$5*'CurrentFact-N10,20,40,60Unchan'!E43</f>
        <v>52143.895533915893</v>
      </c>
      <c r="G43">
        <f>Portfolio!B$6*'CurrentFact-N10,20,40,60Unchan'!F43</f>
        <v>3696.2945087936532</v>
      </c>
      <c r="H43">
        <f t="shared" si="2"/>
        <v>94440.673519964359</v>
      </c>
      <c r="I43">
        <f t="shared" si="1"/>
        <v>0</v>
      </c>
    </row>
    <row r="44" spans="1:9">
      <c r="A44" s="1">
        <v>39318</v>
      </c>
      <c r="B44">
        <f>(3/(1+('CurrentFact-N10,20,40,60Unchan'!C44)/100)+103/POWER(1+('CurrentFact-N10,20,40,60Unchan'!D44)/100,2))*100</f>
        <v>9707.5857774288397</v>
      </c>
      <c r="C44">
        <f>(3/(1+('CurrentFact-N10,20,40,60Unchan'!C44+'CurrentFact-N10,20,40,60Unchan'!G44)/100)+103/POWER(1+('CurrentFact-N10,20,40,60Unchan'!D44+'CurrentFact-N10,20,40,60Unchan'!G44)/100,2))*100</f>
        <v>9614.9673582483465</v>
      </c>
      <c r="D44">
        <f>(3/(1+('CurrentFact-N10,20,40,60Unchan'!C44+'CurrentFact-N10,20,40,60Unchan'!H44)/100)+103/POWER(1+('CurrentFact-N10,20,40,60Unchan'!D44+'CurrentFact-N10,20,40,60Unchan'!H44)/100,2))*100</f>
        <v>9601.2395558122898</v>
      </c>
      <c r="E44">
        <f>(3/(1+('CurrentFact-N10,20,40,60Unchan'!C44+'CurrentFact-N10,20,40,60Unchan'!I44)/100)+103/POWER(1+('CurrentFact-N10,20,40,60Unchan'!D44+'CurrentFact-N10,20,40,60Unchan'!I44)/100,2))*100</f>
        <v>9676.6907857653259</v>
      </c>
      <c r="F44">
        <f>Portfolio!B$5*'CurrentFact-N10,20,40,60Unchan'!E44</f>
        <v>52143.895533915893</v>
      </c>
      <c r="G44">
        <f>Portfolio!B$6*'CurrentFact-N10,20,40,60Unchan'!F44</f>
        <v>3696.2945087936532</v>
      </c>
      <c r="H44">
        <f t="shared" si="2"/>
        <v>94440.673519964359</v>
      </c>
      <c r="I44">
        <f t="shared" si="1"/>
        <v>0</v>
      </c>
    </row>
    <row r="45" spans="1:9">
      <c r="A45" s="1">
        <v>39321</v>
      </c>
      <c r="B45">
        <f>(3/(1+('CurrentFact-N10,20,40,60Unchan'!C45)/100)+103/POWER(1+('CurrentFact-N10,20,40,60Unchan'!D45)/100,2))*100</f>
        <v>9707.5857774288397</v>
      </c>
      <c r="C45">
        <f>(3/(1+('CurrentFact-N10,20,40,60Unchan'!C45+'CurrentFact-N10,20,40,60Unchan'!G45)/100)+103/POWER(1+('CurrentFact-N10,20,40,60Unchan'!D45+'CurrentFact-N10,20,40,60Unchan'!G45)/100,2))*100</f>
        <v>9614.9673582483465</v>
      </c>
      <c r="D45">
        <f>(3/(1+('CurrentFact-N10,20,40,60Unchan'!C45+'CurrentFact-N10,20,40,60Unchan'!H45)/100)+103/POWER(1+('CurrentFact-N10,20,40,60Unchan'!D45+'CurrentFact-N10,20,40,60Unchan'!H45)/100,2))*100</f>
        <v>9601.2395558122898</v>
      </c>
      <c r="E45">
        <f>(3/(1+('CurrentFact-N10,20,40,60Unchan'!C45+'CurrentFact-N10,20,40,60Unchan'!I45)/100)+103/POWER(1+('CurrentFact-N10,20,40,60Unchan'!D45+'CurrentFact-N10,20,40,60Unchan'!I45)/100,2))*100</f>
        <v>9676.6907857653259</v>
      </c>
      <c r="F45">
        <f>Portfolio!B$5*'CurrentFact-N10,20,40,60Unchan'!E45</f>
        <v>52143.895533915893</v>
      </c>
      <c r="G45">
        <f>Portfolio!B$6*'CurrentFact-N10,20,40,60Unchan'!F45</f>
        <v>3696.2945087936532</v>
      </c>
      <c r="H45">
        <f t="shared" si="2"/>
        <v>94440.673519964359</v>
      </c>
      <c r="I45">
        <f t="shared" si="1"/>
        <v>0</v>
      </c>
    </row>
    <row r="46" spans="1:9">
      <c r="A46" s="1">
        <v>39322</v>
      </c>
      <c r="B46">
        <f>(3/(1+('CurrentFact-N10,20,40,60Unchan'!C46)/100)+103/POWER(1+('CurrentFact-N10,20,40,60Unchan'!D46)/100,2))*100</f>
        <v>9707.5857774288397</v>
      </c>
      <c r="C46">
        <f>(3/(1+('CurrentFact-N10,20,40,60Unchan'!C46+'CurrentFact-N10,20,40,60Unchan'!G46)/100)+103/POWER(1+('CurrentFact-N10,20,40,60Unchan'!D46+'CurrentFact-N10,20,40,60Unchan'!G46)/100,2))*100</f>
        <v>9614.9673582483465</v>
      </c>
      <c r="D46">
        <f>(3/(1+('CurrentFact-N10,20,40,60Unchan'!C46+'CurrentFact-N10,20,40,60Unchan'!H46)/100)+103/POWER(1+('CurrentFact-N10,20,40,60Unchan'!D46+'CurrentFact-N10,20,40,60Unchan'!H46)/100,2))*100</f>
        <v>9601.2395558122898</v>
      </c>
      <c r="E46">
        <f>(3/(1+('CurrentFact-N10,20,40,60Unchan'!C46+'CurrentFact-N10,20,40,60Unchan'!I46)/100)+103/POWER(1+('CurrentFact-N10,20,40,60Unchan'!D46+'CurrentFact-N10,20,40,60Unchan'!I46)/100,2))*100</f>
        <v>9676.6907857653259</v>
      </c>
      <c r="F46">
        <f>Portfolio!B$5*'CurrentFact-N10,20,40,60Unchan'!E46</f>
        <v>52143.895533915893</v>
      </c>
      <c r="G46">
        <f>Portfolio!B$6*'CurrentFact-N10,20,40,60Unchan'!F46</f>
        <v>3696.2945087936532</v>
      </c>
      <c r="H46">
        <f t="shared" si="2"/>
        <v>94440.673519964359</v>
      </c>
      <c r="I46">
        <f t="shared" si="1"/>
        <v>0</v>
      </c>
    </row>
    <row r="47" spans="1:9">
      <c r="A47" s="1">
        <v>39323</v>
      </c>
      <c r="B47">
        <f>(3/(1+('CurrentFact-N10,20,40,60Unchan'!C47)/100)+103/POWER(1+('CurrentFact-N10,20,40,60Unchan'!D47)/100,2))*100</f>
        <v>9707.5857774288397</v>
      </c>
      <c r="C47">
        <f>(3/(1+('CurrentFact-N10,20,40,60Unchan'!C47+'CurrentFact-N10,20,40,60Unchan'!G47)/100)+103/POWER(1+('CurrentFact-N10,20,40,60Unchan'!D47+'CurrentFact-N10,20,40,60Unchan'!G47)/100,2))*100</f>
        <v>9614.9673582483465</v>
      </c>
      <c r="D47">
        <f>(3/(1+('CurrentFact-N10,20,40,60Unchan'!C47+'CurrentFact-N10,20,40,60Unchan'!H47)/100)+103/POWER(1+('CurrentFact-N10,20,40,60Unchan'!D47+'CurrentFact-N10,20,40,60Unchan'!H47)/100,2))*100</f>
        <v>9601.2395558122898</v>
      </c>
      <c r="E47">
        <f>(3/(1+('CurrentFact-N10,20,40,60Unchan'!C47+'CurrentFact-N10,20,40,60Unchan'!I47)/100)+103/POWER(1+('CurrentFact-N10,20,40,60Unchan'!D47+'CurrentFact-N10,20,40,60Unchan'!I47)/100,2))*100</f>
        <v>9676.6907857653259</v>
      </c>
      <c r="F47">
        <f>Portfolio!B$5*'CurrentFact-N10,20,40,60Unchan'!E47</f>
        <v>52143.895533915893</v>
      </c>
      <c r="G47">
        <f>Portfolio!B$6*'CurrentFact-N10,20,40,60Unchan'!F47</f>
        <v>3696.2945087936532</v>
      </c>
      <c r="H47">
        <f t="shared" si="2"/>
        <v>94440.673519964359</v>
      </c>
      <c r="I47">
        <f t="shared" si="1"/>
        <v>0</v>
      </c>
    </row>
    <row r="48" spans="1:9">
      <c r="A48" s="1">
        <v>39324</v>
      </c>
      <c r="B48">
        <f>(3/(1+('CurrentFact-N10,20,40,60Unchan'!C48)/100)+103/POWER(1+('CurrentFact-N10,20,40,60Unchan'!D48)/100,2))*100</f>
        <v>9707.5857774288397</v>
      </c>
      <c r="C48">
        <f>(3/(1+('CurrentFact-N10,20,40,60Unchan'!C48+'CurrentFact-N10,20,40,60Unchan'!G48)/100)+103/POWER(1+('CurrentFact-N10,20,40,60Unchan'!D48+'CurrentFact-N10,20,40,60Unchan'!G48)/100,2))*100</f>
        <v>9614.9673582483465</v>
      </c>
      <c r="D48">
        <f>(3/(1+('CurrentFact-N10,20,40,60Unchan'!C48+'CurrentFact-N10,20,40,60Unchan'!H48)/100)+103/POWER(1+('CurrentFact-N10,20,40,60Unchan'!D48+'CurrentFact-N10,20,40,60Unchan'!H48)/100,2))*100</f>
        <v>9601.2395558122898</v>
      </c>
      <c r="E48">
        <f>(3/(1+('CurrentFact-N10,20,40,60Unchan'!C48+'CurrentFact-N10,20,40,60Unchan'!I48)/100)+103/POWER(1+('CurrentFact-N10,20,40,60Unchan'!D48+'CurrentFact-N10,20,40,60Unchan'!I48)/100,2))*100</f>
        <v>9676.6907857653259</v>
      </c>
      <c r="F48">
        <f>Portfolio!B$5*'CurrentFact-N10,20,40,60Unchan'!E48</f>
        <v>52143.895533915893</v>
      </c>
      <c r="G48">
        <f>Portfolio!B$6*'CurrentFact-N10,20,40,60Unchan'!F48</f>
        <v>3696.2945087936532</v>
      </c>
      <c r="H48">
        <f t="shared" si="2"/>
        <v>94440.673519964359</v>
      </c>
      <c r="I48">
        <f t="shared" si="1"/>
        <v>0</v>
      </c>
    </row>
    <row r="49" spans="1:9">
      <c r="A49" s="1">
        <v>39325</v>
      </c>
      <c r="B49">
        <f>(3/(1+('CurrentFact-N10,20,40,60Unchan'!C49)/100)+103/POWER(1+('CurrentFact-N10,20,40,60Unchan'!D49)/100,2))*100</f>
        <v>9707.5857774288397</v>
      </c>
      <c r="C49">
        <f>(3/(1+('CurrentFact-N10,20,40,60Unchan'!C49+'CurrentFact-N10,20,40,60Unchan'!G49)/100)+103/POWER(1+('CurrentFact-N10,20,40,60Unchan'!D49+'CurrentFact-N10,20,40,60Unchan'!G49)/100,2))*100</f>
        <v>9614.9673582483465</v>
      </c>
      <c r="D49">
        <f>(3/(1+('CurrentFact-N10,20,40,60Unchan'!C49+'CurrentFact-N10,20,40,60Unchan'!H49)/100)+103/POWER(1+('CurrentFact-N10,20,40,60Unchan'!D49+'CurrentFact-N10,20,40,60Unchan'!H49)/100,2))*100</f>
        <v>9601.2395558122898</v>
      </c>
      <c r="E49">
        <f>(3/(1+('CurrentFact-N10,20,40,60Unchan'!C49+'CurrentFact-N10,20,40,60Unchan'!I49)/100)+103/POWER(1+('CurrentFact-N10,20,40,60Unchan'!D49+'CurrentFact-N10,20,40,60Unchan'!I49)/100,2))*100</f>
        <v>9676.6907857653259</v>
      </c>
      <c r="F49">
        <f>Portfolio!B$5*'CurrentFact-N10,20,40,60Unchan'!E49</f>
        <v>52143.895533915893</v>
      </c>
      <c r="G49">
        <f>Portfolio!B$6*'CurrentFact-N10,20,40,60Unchan'!F49</f>
        <v>3696.2945087936532</v>
      </c>
      <c r="H49">
        <f t="shared" si="2"/>
        <v>94440.673519964359</v>
      </c>
      <c r="I49">
        <f t="shared" si="1"/>
        <v>0</v>
      </c>
    </row>
    <row r="50" spans="1:9">
      <c r="A50" s="1">
        <v>39328</v>
      </c>
      <c r="B50">
        <f>(3/(1+('CurrentFact-N10,20,40,60Unchan'!C50)/100)+103/POWER(1+('CurrentFact-N10,20,40,60Unchan'!D50)/100,2))*100</f>
        <v>9707.5857774288397</v>
      </c>
      <c r="C50">
        <f>(3/(1+('CurrentFact-N10,20,40,60Unchan'!C50+'CurrentFact-N10,20,40,60Unchan'!G50)/100)+103/POWER(1+('CurrentFact-N10,20,40,60Unchan'!D50+'CurrentFact-N10,20,40,60Unchan'!G50)/100,2))*100</f>
        <v>9614.9673582483465</v>
      </c>
      <c r="D50">
        <f>(3/(1+('CurrentFact-N10,20,40,60Unchan'!C50+'CurrentFact-N10,20,40,60Unchan'!H50)/100)+103/POWER(1+('CurrentFact-N10,20,40,60Unchan'!D50+'CurrentFact-N10,20,40,60Unchan'!H50)/100,2))*100</f>
        <v>9601.2395558122898</v>
      </c>
      <c r="E50">
        <f>(3/(1+('CurrentFact-N10,20,40,60Unchan'!C50+'CurrentFact-N10,20,40,60Unchan'!I50)/100)+103/POWER(1+('CurrentFact-N10,20,40,60Unchan'!D50+'CurrentFact-N10,20,40,60Unchan'!I50)/100,2))*100</f>
        <v>9676.6907857653259</v>
      </c>
      <c r="F50">
        <f>Portfolio!B$5*'CurrentFact-N10,20,40,60Unchan'!E50</f>
        <v>52143.895533915893</v>
      </c>
      <c r="G50">
        <f>Portfolio!B$6*'CurrentFact-N10,20,40,60Unchan'!F50</f>
        <v>3696.2945087936532</v>
      </c>
      <c r="H50">
        <f t="shared" si="2"/>
        <v>94440.673519964359</v>
      </c>
      <c r="I50">
        <f t="shared" si="1"/>
        <v>0</v>
      </c>
    </row>
    <row r="51" spans="1:9">
      <c r="A51" s="1">
        <v>39329</v>
      </c>
      <c r="B51">
        <f>(3/(1+('CurrentFact-N10,20,40,60Unchan'!C51)/100)+103/POWER(1+('CurrentFact-N10,20,40,60Unchan'!D51)/100,2))*100</f>
        <v>9707.5857774288397</v>
      </c>
      <c r="C51">
        <f>(3/(1+('CurrentFact-N10,20,40,60Unchan'!C51+'CurrentFact-N10,20,40,60Unchan'!G51)/100)+103/POWER(1+('CurrentFact-N10,20,40,60Unchan'!D51+'CurrentFact-N10,20,40,60Unchan'!G51)/100,2))*100</f>
        <v>9614.9673582483465</v>
      </c>
      <c r="D51">
        <f>(3/(1+('CurrentFact-N10,20,40,60Unchan'!C51+'CurrentFact-N10,20,40,60Unchan'!H51)/100)+103/POWER(1+('CurrentFact-N10,20,40,60Unchan'!D51+'CurrentFact-N10,20,40,60Unchan'!H51)/100,2))*100</f>
        <v>9601.2395558122898</v>
      </c>
      <c r="E51">
        <f>(3/(1+('CurrentFact-N10,20,40,60Unchan'!C51+'CurrentFact-N10,20,40,60Unchan'!I51)/100)+103/POWER(1+('CurrentFact-N10,20,40,60Unchan'!D51+'CurrentFact-N10,20,40,60Unchan'!I51)/100,2))*100</f>
        <v>9676.6907857653259</v>
      </c>
      <c r="F51">
        <f>Portfolio!B$5*'CurrentFact-N10,20,40,60Unchan'!E51</f>
        <v>52143.895533915893</v>
      </c>
      <c r="G51">
        <f>Portfolio!B$6*'CurrentFact-N10,20,40,60Unchan'!F51</f>
        <v>3696.2945087936532</v>
      </c>
      <c r="H51">
        <f t="shared" si="2"/>
        <v>94440.673519964359</v>
      </c>
      <c r="I51">
        <f t="shared" si="1"/>
        <v>0</v>
      </c>
    </row>
    <row r="52" spans="1:9">
      <c r="A52" s="1">
        <v>39330</v>
      </c>
      <c r="B52">
        <f>(3/(1+('CurrentFact-N10,20,40,60Unchan'!C52)/100)+103/POWER(1+('CurrentFact-N10,20,40,60Unchan'!D52)/100,2))*100</f>
        <v>9707.5857774288397</v>
      </c>
      <c r="C52">
        <f>(3/(1+('CurrentFact-N10,20,40,60Unchan'!C52+'CurrentFact-N10,20,40,60Unchan'!G52)/100)+103/POWER(1+('CurrentFact-N10,20,40,60Unchan'!D52+'CurrentFact-N10,20,40,60Unchan'!G52)/100,2))*100</f>
        <v>9614.9673582483465</v>
      </c>
      <c r="D52">
        <f>(3/(1+('CurrentFact-N10,20,40,60Unchan'!C52+'CurrentFact-N10,20,40,60Unchan'!H52)/100)+103/POWER(1+('CurrentFact-N10,20,40,60Unchan'!D52+'CurrentFact-N10,20,40,60Unchan'!H52)/100,2))*100</f>
        <v>9601.2395558122898</v>
      </c>
      <c r="E52">
        <f>(3/(1+('CurrentFact-N10,20,40,60Unchan'!C52+'CurrentFact-N10,20,40,60Unchan'!I52)/100)+103/POWER(1+('CurrentFact-N10,20,40,60Unchan'!D52+'CurrentFact-N10,20,40,60Unchan'!I52)/100,2))*100</f>
        <v>9676.6907857653259</v>
      </c>
      <c r="F52">
        <f>Portfolio!B$5*'CurrentFact-N10,20,40,60Unchan'!E52</f>
        <v>52143.895533915893</v>
      </c>
      <c r="G52">
        <f>Portfolio!B$6*'CurrentFact-N10,20,40,60Unchan'!F52</f>
        <v>3696.2945087936532</v>
      </c>
      <c r="H52">
        <f t="shared" si="2"/>
        <v>94440.673519964359</v>
      </c>
      <c r="I52">
        <f t="shared" si="1"/>
        <v>0</v>
      </c>
    </row>
    <row r="53" spans="1:9">
      <c r="A53" s="1">
        <v>39331</v>
      </c>
      <c r="B53">
        <f>(3/(1+('CurrentFact-N10,20,40,60Unchan'!C53)/100)+103/POWER(1+('CurrentFact-N10,20,40,60Unchan'!D53)/100,2))*100</f>
        <v>9707.5857774288397</v>
      </c>
      <c r="C53">
        <f>(3/(1+('CurrentFact-N10,20,40,60Unchan'!C53+'CurrentFact-N10,20,40,60Unchan'!G53)/100)+103/POWER(1+('CurrentFact-N10,20,40,60Unchan'!D53+'CurrentFact-N10,20,40,60Unchan'!G53)/100,2))*100</f>
        <v>9614.9673582483465</v>
      </c>
      <c r="D53">
        <f>(3/(1+('CurrentFact-N10,20,40,60Unchan'!C53+'CurrentFact-N10,20,40,60Unchan'!H53)/100)+103/POWER(1+('CurrentFact-N10,20,40,60Unchan'!D53+'CurrentFact-N10,20,40,60Unchan'!H53)/100,2))*100</f>
        <v>9601.2395558122898</v>
      </c>
      <c r="E53">
        <f>(3/(1+('CurrentFact-N10,20,40,60Unchan'!C53+'CurrentFact-N10,20,40,60Unchan'!I53)/100)+103/POWER(1+('CurrentFact-N10,20,40,60Unchan'!D53+'CurrentFact-N10,20,40,60Unchan'!I53)/100,2))*100</f>
        <v>9676.6907857653259</v>
      </c>
      <c r="F53">
        <f>Portfolio!B$5*'CurrentFact-N10,20,40,60Unchan'!E53</f>
        <v>52143.895533915893</v>
      </c>
      <c r="G53">
        <f>Portfolio!B$6*'CurrentFact-N10,20,40,60Unchan'!F53</f>
        <v>3696.2945087936532</v>
      </c>
      <c r="H53">
        <f t="shared" si="2"/>
        <v>94440.673519964359</v>
      </c>
      <c r="I53">
        <f t="shared" si="1"/>
        <v>0</v>
      </c>
    </row>
    <row r="54" spans="1:9">
      <c r="A54" s="1">
        <v>39332</v>
      </c>
      <c r="B54">
        <f>(3/(1+('CurrentFact-N10,20,40,60Unchan'!C54)/100)+103/POWER(1+('CurrentFact-N10,20,40,60Unchan'!D54)/100,2))*100</f>
        <v>9707.5857774288397</v>
      </c>
      <c r="C54">
        <f>(3/(1+('CurrentFact-N10,20,40,60Unchan'!C54+'CurrentFact-N10,20,40,60Unchan'!G54)/100)+103/POWER(1+('CurrentFact-N10,20,40,60Unchan'!D54+'CurrentFact-N10,20,40,60Unchan'!G54)/100,2))*100</f>
        <v>9614.9673582483465</v>
      </c>
      <c r="D54">
        <f>(3/(1+('CurrentFact-N10,20,40,60Unchan'!C54+'CurrentFact-N10,20,40,60Unchan'!H54)/100)+103/POWER(1+('CurrentFact-N10,20,40,60Unchan'!D54+'CurrentFact-N10,20,40,60Unchan'!H54)/100,2))*100</f>
        <v>9601.2395558122898</v>
      </c>
      <c r="E54">
        <f>(3/(1+('CurrentFact-N10,20,40,60Unchan'!C54+'CurrentFact-N10,20,40,60Unchan'!I54)/100)+103/POWER(1+('CurrentFact-N10,20,40,60Unchan'!D54+'CurrentFact-N10,20,40,60Unchan'!I54)/100,2))*100</f>
        <v>9676.6907857653259</v>
      </c>
      <c r="F54">
        <f>Portfolio!B$5*'CurrentFact-N10,20,40,60Unchan'!E54</f>
        <v>52143.895533915893</v>
      </c>
      <c r="G54">
        <f>Portfolio!B$6*'CurrentFact-N10,20,40,60Unchan'!F54</f>
        <v>3696.2945087936532</v>
      </c>
      <c r="H54">
        <f t="shared" si="2"/>
        <v>94440.673519964359</v>
      </c>
      <c r="I54">
        <f t="shared" si="1"/>
        <v>0</v>
      </c>
    </row>
    <row r="55" spans="1:9">
      <c r="A55" s="1">
        <v>39335</v>
      </c>
      <c r="B55">
        <f>(3/(1+('CurrentFact-N10,20,40,60Unchan'!C55)/100)+103/POWER(1+('CurrentFact-N10,20,40,60Unchan'!D55)/100,2))*100</f>
        <v>9707.5857774288397</v>
      </c>
      <c r="C55">
        <f>(3/(1+('CurrentFact-N10,20,40,60Unchan'!C55+'CurrentFact-N10,20,40,60Unchan'!G55)/100)+103/POWER(1+('CurrentFact-N10,20,40,60Unchan'!D55+'CurrentFact-N10,20,40,60Unchan'!G55)/100,2))*100</f>
        <v>9614.9673582483465</v>
      </c>
      <c r="D55">
        <f>(3/(1+('CurrentFact-N10,20,40,60Unchan'!C55+'CurrentFact-N10,20,40,60Unchan'!H55)/100)+103/POWER(1+('CurrentFact-N10,20,40,60Unchan'!D55+'CurrentFact-N10,20,40,60Unchan'!H55)/100,2))*100</f>
        <v>9601.2395558122898</v>
      </c>
      <c r="E55">
        <f>(3/(1+('CurrentFact-N10,20,40,60Unchan'!C55+'CurrentFact-N10,20,40,60Unchan'!I55)/100)+103/POWER(1+('CurrentFact-N10,20,40,60Unchan'!D55+'CurrentFact-N10,20,40,60Unchan'!I55)/100,2))*100</f>
        <v>9676.6907857653259</v>
      </c>
      <c r="F55">
        <f>Portfolio!B$5*'CurrentFact-N10,20,40,60Unchan'!E55</f>
        <v>52143.895533915893</v>
      </c>
      <c r="G55">
        <f>Portfolio!B$6*'CurrentFact-N10,20,40,60Unchan'!F55</f>
        <v>3696.2945087936532</v>
      </c>
      <c r="H55">
        <f t="shared" si="2"/>
        <v>94440.673519964359</v>
      </c>
      <c r="I55">
        <f t="shared" si="1"/>
        <v>0</v>
      </c>
    </row>
    <row r="56" spans="1:9">
      <c r="A56" s="1">
        <v>39336</v>
      </c>
      <c r="B56">
        <f>(3/(1+('CurrentFact-N10,20,40,60Unchan'!C56)/100)+103/POWER(1+('CurrentFact-N10,20,40,60Unchan'!D56)/100,2))*100</f>
        <v>9707.5857774288397</v>
      </c>
      <c r="C56">
        <f>(3/(1+('CurrentFact-N10,20,40,60Unchan'!C56+'CurrentFact-N10,20,40,60Unchan'!G56)/100)+103/POWER(1+('CurrentFact-N10,20,40,60Unchan'!D56+'CurrentFact-N10,20,40,60Unchan'!G56)/100,2))*100</f>
        <v>9614.9673582483465</v>
      </c>
      <c r="D56">
        <f>(3/(1+('CurrentFact-N10,20,40,60Unchan'!C56+'CurrentFact-N10,20,40,60Unchan'!H56)/100)+103/POWER(1+('CurrentFact-N10,20,40,60Unchan'!D56+'CurrentFact-N10,20,40,60Unchan'!H56)/100,2))*100</f>
        <v>9601.2395558122898</v>
      </c>
      <c r="E56">
        <f>(3/(1+('CurrentFact-N10,20,40,60Unchan'!C56+'CurrentFact-N10,20,40,60Unchan'!I56)/100)+103/POWER(1+('CurrentFact-N10,20,40,60Unchan'!D56+'CurrentFact-N10,20,40,60Unchan'!I56)/100,2))*100</f>
        <v>9676.6907857653259</v>
      </c>
      <c r="F56">
        <f>Portfolio!B$5*'CurrentFact-N10,20,40,60Unchan'!E56</f>
        <v>52143.895533915893</v>
      </c>
      <c r="G56">
        <f>Portfolio!B$6*'CurrentFact-N10,20,40,60Unchan'!F56</f>
        <v>3696.2945087936532</v>
      </c>
      <c r="H56">
        <f t="shared" si="2"/>
        <v>94440.673519964359</v>
      </c>
      <c r="I56">
        <f t="shared" si="1"/>
        <v>0</v>
      </c>
    </row>
    <row r="57" spans="1:9">
      <c r="A57" s="1">
        <v>39337</v>
      </c>
      <c r="B57">
        <f>(3/(1+('CurrentFact-N10,20,40,60Unchan'!C57)/100)+103/POWER(1+('CurrentFact-N10,20,40,60Unchan'!D57)/100,2))*100</f>
        <v>9707.5857774288397</v>
      </c>
      <c r="C57">
        <f>(3/(1+('CurrentFact-N10,20,40,60Unchan'!C57+'CurrentFact-N10,20,40,60Unchan'!G57)/100)+103/POWER(1+('CurrentFact-N10,20,40,60Unchan'!D57+'CurrentFact-N10,20,40,60Unchan'!G57)/100,2))*100</f>
        <v>9614.9673582483465</v>
      </c>
      <c r="D57">
        <f>(3/(1+('CurrentFact-N10,20,40,60Unchan'!C57+'CurrentFact-N10,20,40,60Unchan'!H57)/100)+103/POWER(1+('CurrentFact-N10,20,40,60Unchan'!D57+'CurrentFact-N10,20,40,60Unchan'!H57)/100,2))*100</f>
        <v>9601.2395558122898</v>
      </c>
      <c r="E57">
        <f>(3/(1+('CurrentFact-N10,20,40,60Unchan'!C57+'CurrentFact-N10,20,40,60Unchan'!I57)/100)+103/POWER(1+('CurrentFact-N10,20,40,60Unchan'!D57+'CurrentFact-N10,20,40,60Unchan'!I57)/100,2))*100</f>
        <v>9676.6907857653259</v>
      </c>
      <c r="F57">
        <f>Portfolio!B$5*'CurrentFact-N10,20,40,60Unchan'!E57</f>
        <v>52143.895533915893</v>
      </c>
      <c r="G57">
        <f>Portfolio!B$6*'CurrentFact-N10,20,40,60Unchan'!F57</f>
        <v>3696.2945087936532</v>
      </c>
      <c r="H57">
        <f t="shared" si="2"/>
        <v>94440.673519964359</v>
      </c>
      <c r="I57">
        <f t="shared" si="1"/>
        <v>0</v>
      </c>
    </row>
    <row r="58" spans="1:9">
      <c r="A58" s="1">
        <v>39338</v>
      </c>
      <c r="B58">
        <f>(3/(1+('CurrentFact-N10,20,40,60Unchan'!C58)/100)+103/POWER(1+('CurrentFact-N10,20,40,60Unchan'!D58)/100,2))*100</f>
        <v>9707.5857774288397</v>
      </c>
      <c r="C58">
        <f>(3/(1+('CurrentFact-N10,20,40,60Unchan'!C58+'CurrentFact-N10,20,40,60Unchan'!G58)/100)+103/POWER(1+('CurrentFact-N10,20,40,60Unchan'!D58+'CurrentFact-N10,20,40,60Unchan'!G58)/100,2))*100</f>
        <v>9614.9673582483465</v>
      </c>
      <c r="D58">
        <f>(3/(1+('CurrentFact-N10,20,40,60Unchan'!C58+'CurrentFact-N10,20,40,60Unchan'!H58)/100)+103/POWER(1+('CurrentFact-N10,20,40,60Unchan'!D58+'CurrentFact-N10,20,40,60Unchan'!H58)/100,2))*100</f>
        <v>9601.2395558122898</v>
      </c>
      <c r="E58">
        <f>(3/(1+('CurrentFact-N10,20,40,60Unchan'!C58+'CurrentFact-N10,20,40,60Unchan'!I58)/100)+103/POWER(1+('CurrentFact-N10,20,40,60Unchan'!D58+'CurrentFact-N10,20,40,60Unchan'!I58)/100,2))*100</f>
        <v>9676.6907857653259</v>
      </c>
      <c r="F58">
        <f>Portfolio!B$5*'CurrentFact-N10,20,40,60Unchan'!E58</f>
        <v>52143.895533915893</v>
      </c>
      <c r="G58">
        <f>Portfolio!B$6*'CurrentFact-N10,20,40,60Unchan'!F58</f>
        <v>3696.2945087936532</v>
      </c>
      <c r="H58">
        <f t="shared" si="2"/>
        <v>94440.673519964359</v>
      </c>
      <c r="I58">
        <f t="shared" si="1"/>
        <v>0</v>
      </c>
    </row>
    <row r="59" spans="1:9">
      <c r="A59" s="1">
        <v>39339</v>
      </c>
      <c r="B59">
        <f>(3/(1+('CurrentFact-N10,20,40,60Unchan'!C59)/100)+103/POWER(1+('CurrentFact-N10,20,40,60Unchan'!D59)/100,2))*100</f>
        <v>9707.5857774288397</v>
      </c>
      <c r="C59">
        <f>(3/(1+('CurrentFact-N10,20,40,60Unchan'!C59+'CurrentFact-N10,20,40,60Unchan'!G59)/100)+103/POWER(1+('CurrentFact-N10,20,40,60Unchan'!D59+'CurrentFact-N10,20,40,60Unchan'!G59)/100,2))*100</f>
        <v>9614.9673582483465</v>
      </c>
      <c r="D59">
        <f>(3/(1+('CurrentFact-N10,20,40,60Unchan'!C59+'CurrentFact-N10,20,40,60Unchan'!H59)/100)+103/POWER(1+('CurrentFact-N10,20,40,60Unchan'!D59+'CurrentFact-N10,20,40,60Unchan'!H59)/100,2))*100</f>
        <v>9601.2395558122898</v>
      </c>
      <c r="E59">
        <f>(3/(1+('CurrentFact-N10,20,40,60Unchan'!C59+'CurrentFact-N10,20,40,60Unchan'!I59)/100)+103/POWER(1+('CurrentFact-N10,20,40,60Unchan'!D59+'CurrentFact-N10,20,40,60Unchan'!I59)/100,2))*100</f>
        <v>9676.6907857653259</v>
      </c>
      <c r="F59">
        <f>Portfolio!B$5*'CurrentFact-N10,20,40,60Unchan'!E59</f>
        <v>52143.895533915893</v>
      </c>
      <c r="G59">
        <f>Portfolio!B$6*'CurrentFact-N10,20,40,60Unchan'!F59</f>
        <v>3696.2945087936532</v>
      </c>
      <c r="H59">
        <f t="shared" si="2"/>
        <v>94440.673519964359</v>
      </c>
      <c r="I59">
        <f t="shared" si="1"/>
        <v>0</v>
      </c>
    </row>
    <row r="60" spans="1:9">
      <c r="A60" s="1">
        <v>39342</v>
      </c>
      <c r="B60">
        <f>(3/(1+('CurrentFact-N10,20,40,60Unchan'!C60)/100)+103/POWER(1+('CurrentFact-N10,20,40,60Unchan'!D60)/100,2))*100</f>
        <v>9707.5857774288397</v>
      </c>
      <c r="C60">
        <f>(3/(1+('CurrentFact-N10,20,40,60Unchan'!C60+'CurrentFact-N10,20,40,60Unchan'!G60)/100)+103/POWER(1+('CurrentFact-N10,20,40,60Unchan'!D60+'CurrentFact-N10,20,40,60Unchan'!G60)/100,2))*100</f>
        <v>9614.9673582483465</v>
      </c>
      <c r="D60">
        <f>(3/(1+('CurrentFact-N10,20,40,60Unchan'!C60+'CurrentFact-N10,20,40,60Unchan'!H60)/100)+103/POWER(1+('CurrentFact-N10,20,40,60Unchan'!D60+'CurrentFact-N10,20,40,60Unchan'!H60)/100,2))*100</f>
        <v>9601.2395558122898</v>
      </c>
      <c r="E60">
        <f>(3/(1+('CurrentFact-N10,20,40,60Unchan'!C60+'CurrentFact-N10,20,40,60Unchan'!I60)/100)+103/POWER(1+('CurrentFact-N10,20,40,60Unchan'!D60+'CurrentFact-N10,20,40,60Unchan'!I60)/100,2))*100</f>
        <v>9676.6907857653259</v>
      </c>
      <c r="F60">
        <f>Portfolio!B$5*'CurrentFact-N10,20,40,60Unchan'!E60</f>
        <v>52143.895533915893</v>
      </c>
      <c r="G60">
        <f>Portfolio!B$6*'CurrentFact-N10,20,40,60Unchan'!F60</f>
        <v>3696.2945087936532</v>
      </c>
      <c r="H60">
        <f t="shared" si="2"/>
        <v>94440.673519964359</v>
      </c>
      <c r="I60">
        <f t="shared" si="1"/>
        <v>0</v>
      </c>
    </row>
    <row r="61" spans="1:9">
      <c r="A61" s="1">
        <v>39343</v>
      </c>
      <c r="B61">
        <f>(3/(1+('CurrentFact-N10,20,40,60Unchan'!C61)/100)+103/POWER(1+('CurrentFact-N10,20,40,60Unchan'!D61)/100,2))*100</f>
        <v>9707.5857774288397</v>
      </c>
      <c r="C61">
        <f>(3/(1+('CurrentFact-N10,20,40,60Unchan'!C61+'CurrentFact-N10,20,40,60Unchan'!G61)/100)+103/POWER(1+('CurrentFact-N10,20,40,60Unchan'!D61+'CurrentFact-N10,20,40,60Unchan'!G61)/100,2))*100</f>
        <v>9614.9673582483465</v>
      </c>
      <c r="D61">
        <f>(3/(1+('CurrentFact-N10,20,40,60Unchan'!C61+'CurrentFact-N10,20,40,60Unchan'!H61)/100)+103/POWER(1+('CurrentFact-N10,20,40,60Unchan'!D61+'CurrentFact-N10,20,40,60Unchan'!H61)/100,2))*100</f>
        <v>9601.2395558122898</v>
      </c>
      <c r="E61">
        <f>(3/(1+('CurrentFact-N10,20,40,60Unchan'!C61+'CurrentFact-N10,20,40,60Unchan'!I61)/100)+103/POWER(1+('CurrentFact-N10,20,40,60Unchan'!D61+'CurrentFact-N10,20,40,60Unchan'!I61)/100,2))*100</f>
        <v>9676.6907857653259</v>
      </c>
      <c r="F61">
        <f>Portfolio!B$5*'CurrentFact-N10,20,40,60Unchan'!E61</f>
        <v>52143.895533915893</v>
      </c>
      <c r="G61">
        <f>Portfolio!B$6*'CurrentFact-N10,20,40,60Unchan'!F61</f>
        <v>3696.2945087936532</v>
      </c>
      <c r="H61">
        <f t="shared" si="2"/>
        <v>94440.673519964359</v>
      </c>
      <c r="I61">
        <f t="shared" si="1"/>
        <v>0</v>
      </c>
    </row>
    <row r="62" spans="1:9">
      <c r="A62" s="1">
        <v>39344</v>
      </c>
      <c r="B62">
        <f>(3/(1+('CurrentFact-N10,20,40,60Unchan'!C62)/100)+103/POWER(1+('CurrentFact-N10,20,40,60Unchan'!D62)/100,2))*100</f>
        <v>9707.5857774288397</v>
      </c>
      <c r="C62">
        <f>(3/(1+('CurrentFact-N10,20,40,60Unchan'!C62+'CurrentFact-N10,20,40,60Unchan'!G62)/100)+103/POWER(1+('CurrentFact-N10,20,40,60Unchan'!D62+'CurrentFact-N10,20,40,60Unchan'!G62)/100,2))*100</f>
        <v>9614.9673582483465</v>
      </c>
      <c r="D62">
        <f>(3/(1+('CurrentFact-N10,20,40,60Unchan'!C62+'CurrentFact-N10,20,40,60Unchan'!H62)/100)+103/POWER(1+('CurrentFact-N10,20,40,60Unchan'!D62+'CurrentFact-N10,20,40,60Unchan'!H62)/100,2))*100</f>
        <v>9601.2395558122898</v>
      </c>
      <c r="E62">
        <f>(3/(1+('CurrentFact-N10,20,40,60Unchan'!C62+'CurrentFact-N10,20,40,60Unchan'!I62)/100)+103/POWER(1+('CurrentFact-N10,20,40,60Unchan'!D62+'CurrentFact-N10,20,40,60Unchan'!I62)/100,2))*100</f>
        <v>9676.6907857653259</v>
      </c>
      <c r="F62">
        <f>Portfolio!B$5*'CurrentFact-N10,20,40,60Unchan'!E62</f>
        <v>52143.895533915893</v>
      </c>
      <c r="G62">
        <f>Portfolio!B$6*'CurrentFact-N10,20,40,60Unchan'!F62</f>
        <v>3696.2945087936532</v>
      </c>
      <c r="H62">
        <f t="shared" si="2"/>
        <v>94440.673519964359</v>
      </c>
      <c r="I62">
        <f t="shared" si="1"/>
        <v>0</v>
      </c>
    </row>
    <row r="63" spans="1:9">
      <c r="A63" s="1">
        <v>39345</v>
      </c>
      <c r="B63">
        <f>(3/(1+('CurrentFact-N10,20,40,60Unchan'!C63)/100)+103/POWER(1+('CurrentFact-N10,20,40,60Unchan'!D63)/100,2))*100</f>
        <v>9707.5857774288397</v>
      </c>
      <c r="C63">
        <f>(3/(1+('CurrentFact-N10,20,40,60Unchan'!C63+'CurrentFact-N10,20,40,60Unchan'!G63)/100)+103/POWER(1+('CurrentFact-N10,20,40,60Unchan'!D63+'CurrentFact-N10,20,40,60Unchan'!G63)/100,2))*100</f>
        <v>9614.9673582483465</v>
      </c>
      <c r="D63">
        <f>(3/(1+('CurrentFact-N10,20,40,60Unchan'!C63+'CurrentFact-N10,20,40,60Unchan'!H63)/100)+103/POWER(1+('CurrentFact-N10,20,40,60Unchan'!D63+'CurrentFact-N10,20,40,60Unchan'!H63)/100,2))*100</f>
        <v>9601.2395558122898</v>
      </c>
      <c r="E63">
        <f>(3/(1+('CurrentFact-N10,20,40,60Unchan'!C63+'CurrentFact-N10,20,40,60Unchan'!I63)/100)+103/POWER(1+('CurrentFact-N10,20,40,60Unchan'!D63+'CurrentFact-N10,20,40,60Unchan'!I63)/100,2))*100</f>
        <v>9676.6907857653259</v>
      </c>
      <c r="F63">
        <f>Portfolio!B$5*'CurrentFact-N10,20,40,60Unchan'!E63</f>
        <v>52143.895533915893</v>
      </c>
      <c r="G63">
        <f>Portfolio!B$6*'CurrentFact-N10,20,40,60Unchan'!F63</f>
        <v>3696.2945087936532</v>
      </c>
      <c r="H63">
        <f t="shared" si="2"/>
        <v>94440.673519964359</v>
      </c>
      <c r="I63">
        <f t="shared" si="1"/>
        <v>0</v>
      </c>
    </row>
    <row r="64" spans="1:9">
      <c r="A64" s="1">
        <v>39346</v>
      </c>
      <c r="B64">
        <f>(3/(1+('CurrentFact-N10,20,40,60Unchan'!C64)/100)+103/POWER(1+('CurrentFact-N10,20,40,60Unchan'!D64)/100,2))*100</f>
        <v>9707.5857774288397</v>
      </c>
      <c r="C64">
        <f>(3/(1+('CurrentFact-N10,20,40,60Unchan'!C64+'CurrentFact-N10,20,40,60Unchan'!G64)/100)+103/POWER(1+('CurrentFact-N10,20,40,60Unchan'!D64+'CurrentFact-N10,20,40,60Unchan'!G64)/100,2))*100</f>
        <v>9614.9673582483465</v>
      </c>
      <c r="D64">
        <f>(3/(1+('CurrentFact-N10,20,40,60Unchan'!C64+'CurrentFact-N10,20,40,60Unchan'!H64)/100)+103/POWER(1+('CurrentFact-N10,20,40,60Unchan'!D64+'CurrentFact-N10,20,40,60Unchan'!H64)/100,2))*100</f>
        <v>9601.2395558122898</v>
      </c>
      <c r="E64">
        <f>(3/(1+('CurrentFact-N10,20,40,60Unchan'!C64+'CurrentFact-N10,20,40,60Unchan'!I64)/100)+103/POWER(1+('CurrentFact-N10,20,40,60Unchan'!D64+'CurrentFact-N10,20,40,60Unchan'!I64)/100,2))*100</f>
        <v>9676.6907857653259</v>
      </c>
      <c r="F64">
        <f>Portfolio!B$5*'CurrentFact-N10,20,40,60Unchan'!E64</f>
        <v>52143.895533915893</v>
      </c>
      <c r="G64">
        <f>Portfolio!B$6*'CurrentFact-N10,20,40,60Unchan'!F64</f>
        <v>3696.2945087936532</v>
      </c>
      <c r="H64">
        <f t="shared" si="2"/>
        <v>94440.673519964359</v>
      </c>
      <c r="I64">
        <f t="shared" si="1"/>
        <v>0</v>
      </c>
    </row>
    <row r="65" spans="1:9">
      <c r="A65" s="1">
        <v>39349</v>
      </c>
      <c r="B65">
        <f>(3/(1+('CurrentFact-N10,20,40,60Unchan'!C65)/100)+103/POWER(1+('CurrentFact-N10,20,40,60Unchan'!D65)/100,2))*100</f>
        <v>9707.5857774288397</v>
      </c>
      <c r="C65">
        <f>(3/(1+('CurrentFact-N10,20,40,60Unchan'!C65+'CurrentFact-N10,20,40,60Unchan'!G65)/100)+103/POWER(1+('CurrentFact-N10,20,40,60Unchan'!D65+'CurrentFact-N10,20,40,60Unchan'!G65)/100,2))*100</f>
        <v>9614.9673582483465</v>
      </c>
      <c r="D65">
        <f>(3/(1+('CurrentFact-N10,20,40,60Unchan'!C65+'CurrentFact-N10,20,40,60Unchan'!H65)/100)+103/POWER(1+('CurrentFact-N10,20,40,60Unchan'!D65+'CurrentFact-N10,20,40,60Unchan'!H65)/100,2))*100</f>
        <v>9601.2395558122898</v>
      </c>
      <c r="E65">
        <f>(3/(1+('CurrentFact-N10,20,40,60Unchan'!C65+'CurrentFact-N10,20,40,60Unchan'!I65)/100)+103/POWER(1+('CurrentFact-N10,20,40,60Unchan'!D65+'CurrentFact-N10,20,40,60Unchan'!I65)/100,2))*100</f>
        <v>9676.6907857653259</v>
      </c>
      <c r="F65">
        <f>Portfolio!B$5*'CurrentFact-N10,20,40,60Unchan'!E65</f>
        <v>52143.895533915893</v>
      </c>
      <c r="G65">
        <f>Portfolio!B$6*'CurrentFact-N10,20,40,60Unchan'!F65</f>
        <v>3696.2945087936532</v>
      </c>
      <c r="H65">
        <f t="shared" si="2"/>
        <v>94440.673519964359</v>
      </c>
      <c r="I65">
        <f t="shared" si="1"/>
        <v>0</v>
      </c>
    </row>
    <row r="66" spans="1:9">
      <c r="A66" s="1">
        <v>39350</v>
      </c>
      <c r="B66">
        <f>(3/(1+('CurrentFact-N10,20,40,60Unchan'!C66)/100)+103/POWER(1+('CurrentFact-N10,20,40,60Unchan'!D66)/100,2))*100</f>
        <v>9707.5857774288397</v>
      </c>
      <c r="C66">
        <f>(3/(1+('CurrentFact-N10,20,40,60Unchan'!C66+'CurrentFact-N10,20,40,60Unchan'!G66)/100)+103/POWER(1+('CurrentFact-N10,20,40,60Unchan'!D66+'CurrentFact-N10,20,40,60Unchan'!G66)/100,2))*100</f>
        <v>9614.9673582483465</v>
      </c>
      <c r="D66">
        <f>(3/(1+('CurrentFact-N10,20,40,60Unchan'!C66+'CurrentFact-N10,20,40,60Unchan'!H66)/100)+103/POWER(1+('CurrentFact-N10,20,40,60Unchan'!D66+'CurrentFact-N10,20,40,60Unchan'!H66)/100,2))*100</f>
        <v>9601.2395558122898</v>
      </c>
      <c r="E66">
        <f>(3/(1+('CurrentFact-N10,20,40,60Unchan'!C66+'CurrentFact-N10,20,40,60Unchan'!I66)/100)+103/POWER(1+('CurrentFact-N10,20,40,60Unchan'!D66+'CurrentFact-N10,20,40,60Unchan'!I66)/100,2))*100</f>
        <v>9676.6907857653259</v>
      </c>
      <c r="F66">
        <f>Portfolio!B$5*'CurrentFact-N10,20,40,60Unchan'!E66</f>
        <v>52143.895533915893</v>
      </c>
      <c r="G66">
        <f>Portfolio!B$6*'CurrentFact-N10,20,40,60Unchan'!F66</f>
        <v>3696.2945087936532</v>
      </c>
      <c r="H66">
        <f t="shared" si="2"/>
        <v>94440.673519964359</v>
      </c>
      <c r="I66">
        <f t="shared" si="1"/>
        <v>0</v>
      </c>
    </row>
    <row r="67" spans="1:9">
      <c r="A67" s="1">
        <v>39351</v>
      </c>
      <c r="B67">
        <f>(3/(1+('CurrentFact-N10,20,40,60Unchan'!C67)/100)+103/POWER(1+('CurrentFact-N10,20,40,60Unchan'!D67)/100,2))*100</f>
        <v>9707.5857774288397</v>
      </c>
      <c r="C67">
        <f>(3/(1+('CurrentFact-N10,20,40,60Unchan'!C67+'CurrentFact-N10,20,40,60Unchan'!G67)/100)+103/POWER(1+('CurrentFact-N10,20,40,60Unchan'!D67+'CurrentFact-N10,20,40,60Unchan'!G67)/100,2))*100</f>
        <v>9614.9673582483465</v>
      </c>
      <c r="D67">
        <f>(3/(1+('CurrentFact-N10,20,40,60Unchan'!C67+'CurrentFact-N10,20,40,60Unchan'!H67)/100)+103/POWER(1+('CurrentFact-N10,20,40,60Unchan'!D67+'CurrentFact-N10,20,40,60Unchan'!H67)/100,2))*100</f>
        <v>9601.2395558122898</v>
      </c>
      <c r="E67">
        <f>(3/(1+('CurrentFact-N10,20,40,60Unchan'!C67+'CurrentFact-N10,20,40,60Unchan'!I67)/100)+103/POWER(1+('CurrentFact-N10,20,40,60Unchan'!D67+'CurrentFact-N10,20,40,60Unchan'!I67)/100,2))*100</f>
        <v>9676.6907857653259</v>
      </c>
      <c r="F67">
        <f>Portfolio!B$5*'CurrentFact-N10,20,40,60Unchan'!E67</f>
        <v>52143.895533915893</v>
      </c>
      <c r="G67">
        <f>Portfolio!B$6*'CurrentFact-N10,20,40,60Unchan'!F67</f>
        <v>3696.2945087936532</v>
      </c>
      <c r="H67">
        <f t="shared" ref="H67:H98" si="3">SUM(B67:G67)</f>
        <v>94440.673519964359</v>
      </c>
      <c r="I67">
        <f t="shared" si="1"/>
        <v>0</v>
      </c>
    </row>
    <row r="68" spans="1:9">
      <c r="A68" s="1">
        <v>39352</v>
      </c>
      <c r="B68">
        <f>(3/(1+('CurrentFact-N10,20,40,60Unchan'!C68)/100)+103/POWER(1+('CurrentFact-N10,20,40,60Unchan'!D68)/100,2))*100</f>
        <v>9707.5857774288397</v>
      </c>
      <c r="C68">
        <f>(3/(1+('CurrentFact-N10,20,40,60Unchan'!C68+'CurrentFact-N10,20,40,60Unchan'!G68)/100)+103/POWER(1+('CurrentFact-N10,20,40,60Unchan'!D68+'CurrentFact-N10,20,40,60Unchan'!G68)/100,2))*100</f>
        <v>9614.9673582483465</v>
      </c>
      <c r="D68">
        <f>(3/(1+('CurrentFact-N10,20,40,60Unchan'!C68+'CurrentFact-N10,20,40,60Unchan'!H68)/100)+103/POWER(1+('CurrentFact-N10,20,40,60Unchan'!D68+'CurrentFact-N10,20,40,60Unchan'!H68)/100,2))*100</f>
        <v>9601.2395558122898</v>
      </c>
      <c r="E68">
        <f>(3/(1+('CurrentFact-N10,20,40,60Unchan'!C68+'CurrentFact-N10,20,40,60Unchan'!I68)/100)+103/POWER(1+('CurrentFact-N10,20,40,60Unchan'!D68+'CurrentFact-N10,20,40,60Unchan'!I68)/100,2))*100</f>
        <v>9676.6907857653259</v>
      </c>
      <c r="F68">
        <f>Portfolio!B$5*'CurrentFact-N10,20,40,60Unchan'!E68</f>
        <v>52143.895533915893</v>
      </c>
      <c r="G68">
        <f>Portfolio!B$6*'CurrentFact-N10,20,40,60Unchan'!F68</f>
        <v>3696.2945087936532</v>
      </c>
      <c r="H68">
        <f t="shared" si="3"/>
        <v>94440.673519964359</v>
      </c>
      <c r="I68">
        <f t="shared" si="1"/>
        <v>0</v>
      </c>
    </row>
    <row r="69" spans="1:9">
      <c r="A69" s="1">
        <v>39353</v>
      </c>
      <c r="B69">
        <f>(3/(1+('CurrentFact-N10,20,40,60Unchan'!C69)/100)+103/POWER(1+('CurrentFact-N10,20,40,60Unchan'!D69)/100,2))*100</f>
        <v>9707.5857774288397</v>
      </c>
      <c r="C69">
        <f>(3/(1+('CurrentFact-N10,20,40,60Unchan'!C69+'CurrentFact-N10,20,40,60Unchan'!G69)/100)+103/POWER(1+('CurrentFact-N10,20,40,60Unchan'!D69+'CurrentFact-N10,20,40,60Unchan'!G69)/100,2))*100</f>
        <v>9614.9673582483465</v>
      </c>
      <c r="D69">
        <f>(3/(1+('CurrentFact-N10,20,40,60Unchan'!C69+'CurrentFact-N10,20,40,60Unchan'!H69)/100)+103/POWER(1+('CurrentFact-N10,20,40,60Unchan'!D69+'CurrentFact-N10,20,40,60Unchan'!H69)/100,2))*100</f>
        <v>9601.2395558122898</v>
      </c>
      <c r="E69">
        <f>(3/(1+('CurrentFact-N10,20,40,60Unchan'!C69+'CurrentFact-N10,20,40,60Unchan'!I69)/100)+103/POWER(1+('CurrentFact-N10,20,40,60Unchan'!D69+'CurrentFact-N10,20,40,60Unchan'!I69)/100,2))*100</f>
        <v>9676.6907857653259</v>
      </c>
      <c r="F69">
        <f>Portfolio!B$5*'CurrentFact-N10,20,40,60Unchan'!E69</f>
        <v>52143.895533915893</v>
      </c>
      <c r="G69">
        <f>Portfolio!B$6*'CurrentFact-N10,20,40,60Unchan'!F69</f>
        <v>3696.2945087936532</v>
      </c>
      <c r="H69">
        <f t="shared" si="3"/>
        <v>94440.673519964359</v>
      </c>
      <c r="I69">
        <f t="shared" si="1"/>
        <v>0</v>
      </c>
    </row>
    <row r="70" spans="1:9">
      <c r="A70" s="1">
        <v>39356</v>
      </c>
      <c r="B70">
        <f>(3/(1+('CurrentFact-N10,20,40,60Unchan'!C70)/100)+103/POWER(1+('CurrentFact-N10,20,40,60Unchan'!D70)/100,2))*100</f>
        <v>9707.5857774288397</v>
      </c>
      <c r="C70">
        <f>(3/(1+('CurrentFact-N10,20,40,60Unchan'!C70+'CurrentFact-N10,20,40,60Unchan'!G70)/100)+103/POWER(1+('CurrentFact-N10,20,40,60Unchan'!D70+'CurrentFact-N10,20,40,60Unchan'!G70)/100,2))*100</f>
        <v>9614.9673582483465</v>
      </c>
      <c r="D70">
        <f>(3/(1+('CurrentFact-N10,20,40,60Unchan'!C70+'CurrentFact-N10,20,40,60Unchan'!H70)/100)+103/POWER(1+('CurrentFact-N10,20,40,60Unchan'!D70+'CurrentFact-N10,20,40,60Unchan'!H70)/100,2))*100</f>
        <v>9601.2395558122898</v>
      </c>
      <c r="E70">
        <f>(3/(1+('CurrentFact-N10,20,40,60Unchan'!C70+'CurrentFact-N10,20,40,60Unchan'!I70)/100)+103/POWER(1+('CurrentFact-N10,20,40,60Unchan'!D70+'CurrentFact-N10,20,40,60Unchan'!I70)/100,2))*100</f>
        <v>9676.6907857653259</v>
      </c>
      <c r="F70">
        <f>Portfolio!B$5*'CurrentFact-N10,20,40,60Unchan'!E70</f>
        <v>52143.895533915893</v>
      </c>
      <c r="G70">
        <f>Portfolio!B$6*'CurrentFact-N10,20,40,60Unchan'!F70</f>
        <v>3696.2945087936532</v>
      </c>
      <c r="H70">
        <f t="shared" si="3"/>
        <v>94440.673519964359</v>
      </c>
      <c r="I70">
        <f t="shared" si="1"/>
        <v>0</v>
      </c>
    </row>
    <row r="71" spans="1:9">
      <c r="A71" s="1">
        <v>39357</v>
      </c>
      <c r="B71">
        <f>(3/(1+('CurrentFact-N10,20,40,60Unchan'!C71)/100)+103/POWER(1+('CurrentFact-N10,20,40,60Unchan'!D71)/100,2))*100</f>
        <v>9707.5857774288397</v>
      </c>
      <c r="C71">
        <f>(3/(1+('CurrentFact-N10,20,40,60Unchan'!C71+'CurrentFact-N10,20,40,60Unchan'!G71)/100)+103/POWER(1+('CurrentFact-N10,20,40,60Unchan'!D71+'CurrentFact-N10,20,40,60Unchan'!G71)/100,2))*100</f>
        <v>9614.9673582483465</v>
      </c>
      <c r="D71">
        <f>(3/(1+('CurrentFact-N10,20,40,60Unchan'!C71+'CurrentFact-N10,20,40,60Unchan'!H71)/100)+103/POWER(1+('CurrentFact-N10,20,40,60Unchan'!D71+'CurrentFact-N10,20,40,60Unchan'!H71)/100,2))*100</f>
        <v>9601.2395558122898</v>
      </c>
      <c r="E71">
        <f>(3/(1+('CurrentFact-N10,20,40,60Unchan'!C71+'CurrentFact-N10,20,40,60Unchan'!I71)/100)+103/POWER(1+('CurrentFact-N10,20,40,60Unchan'!D71+'CurrentFact-N10,20,40,60Unchan'!I71)/100,2))*100</f>
        <v>9676.6907857653259</v>
      </c>
      <c r="F71">
        <f>Portfolio!B$5*'CurrentFact-N10,20,40,60Unchan'!E71</f>
        <v>52143.895533915893</v>
      </c>
      <c r="G71">
        <f>Portfolio!B$6*'CurrentFact-N10,20,40,60Unchan'!F71</f>
        <v>3696.2945087936532</v>
      </c>
      <c r="H71">
        <f t="shared" si="3"/>
        <v>94440.673519964359</v>
      </c>
      <c r="I71">
        <f t="shared" si="1"/>
        <v>0</v>
      </c>
    </row>
    <row r="72" spans="1:9">
      <c r="A72" s="1">
        <v>39358</v>
      </c>
      <c r="B72">
        <f>(3/(1+('CurrentFact-N10,20,40,60Unchan'!C72)/100)+103/POWER(1+('CurrentFact-N10,20,40,60Unchan'!D72)/100,2))*100</f>
        <v>9707.5857774288397</v>
      </c>
      <c r="C72">
        <f>(3/(1+('CurrentFact-N10,20,40,60Unchan'!C72+'CurrentFact-N10,20,40,60Unchan'!G72)/100)+103/POWER(1+('CurrentFact-N10,20,40,60Unchan'!D72+'CurrentFact-N10,20,40,60Unchan'!G72)/100,2))*100</f>
        <v>9614.9673582483465</v>
      </c>
      <c r="D72">
        <f>(3/(1+('CurrentFact-N10,20,40,60Unchan'!C72+'CurrentFact-N10,20,40,60Unchan'!H72)/100)+103/POWER(1+('CurrentFact-N10,20,40,60Unchan'!D72+'CurrentFact-N10,20,40,60Unchan'!H72)/100,2))*100</f>
        <v>9601.2395558122898</v>
      </c>
      <c r="E72">
        <f>(3/(1+('CurrentFact-N10,20,40,60Unchan'!C72+'CurrentFact-N10,20,40,60Unchan'!I72)/100)+103/POWER(1+('CurrentFact-N10,20,40,60Unchan'!D72+'CurrentFact-N10,20,40,60Unchan'!I72)/100,2))*100</f>
        <v>9676.6907857653259</v>
      </c>
      <c r="F72">
        <f>Portfolio!B$5*'CurrentFact-N10,20,40,60Unchan'!E72</f>
        <v>52143.895533915893</v>
      </c>
      <c r="G72">
        <f>Portfolio!B$6*'CurrentFact-N10,20,40,60Unchan'!F72</f>
        <v>3696.2945087936532</v>
      </c>
      <c r="H72">
        <f t="shared" si="3"/>
        <v>94440.673519964359</v>
      </c>
      <c r="I72">
        <f t="shared" si="1"/>
        <v>0</v>
      </c>
    </row>
    <row r="73" spans="1:9">
      <c r="A73" s="1">
        <v>39359</v>
      </c>
      <c r="B73">
        <f>(3/(1+('CurrentFact-N10,20,40,60Unchan'!C73)/100)+103/POWER(1+('CurrentFact-N10,20,40,60Unchan'!D73)/100,2))*100</f>
        <v>9707.5857774288397</v>
      </c>
      <c r="C73">
        <f>(3/(1+('CurrentFact-N10,20,40,60Unchan'!C73+'CurrentFact-N10,20,40,60Unchan'!G73)/100)+103/POWER(1+('CurrentFact-N10,20,40,60Unchan'!D73+'CurrentFact-N10,20,40,60Unchan'!G73)/100,2))*100</f>
        <v>9614.9673582483465</v>
      </c>
      <c r="D73">
        <f>(3/(1+('CurrentFact-N10,20,40,60Unchan'!C73+'CurrentFact-N10,20,40,60Unchan'!H73)/100)+103/POWER(1+('CurrentFact-N10,20,40,60Unchan'!D73+'CurrentFact-N10,20,40,60Unchan'!H73)/100,2))*100</f>
        <v>9601.2395558122898</v>
      </c>
      <c r="E73">
        <f>(3/(1+('CurrentFact-N10,20,40,60Unchan'!C73+'CurrentFact-N10,20,40,60Unchan'!I73)/100)+103/POWER(1+('CurrentFact-N10,20,40,60Unchan'!D73+'CurrentFact-N10,20,40,60Unchan'!I73)/100,2))*100</f>
        <v>9676.6907857653259</v>
      </c>
      <c r="F73">
        <f>Portfolio!B$5*'CurrentFact-N10,20,40,60Unchan'!E73</f>
        <v>52143.895533915893</v>
      </c>
      <c r="G73">
        <f>Portfolio!B$6*'CurrentFact-N10,20,40,60Unchan'!F73</f>
        <v>3696.2945087936532</v>
      </c>
      <c r="H73">
        <f t="shared" si="3"/>
        <v>94440.673519964359</v>
      </c>
      <c r="I73">
        <f t="shared" si="1"/>
        <v>0</v>
      </c>
    </row>
    <row r="74" spans="1:9">
      <c r="A74" s="1">
        <v>39360</v>
      </c>
      <c r="B74">
        <f>(3/(1+('CurrentFact-N10,20,40,60Unchan'!C74)/100)+103/POWER(1+('CurrentFact-N10,20,40,60Unchan'!D74)/100,2))*100</f>
        <v>9707.5857774288397</v>
      </c>
      <c r="C74">
        <f>(3/(1+('CurrentFact-N10,20,40,60Unchan'!C74+'CurrentFact-N10,20,40,60Unchan'!G74)/100)+103/POWER(1+('CurrentFact-N10,20,40,60Unchan'!D74+'CurrentFact-N10,20,40,60Unchan'!G74)/100,2))*100</f>
        <v>9614.9673582483465</v>
      </c>
      <c r="D74">
        <f>(3/(1+('CurrentFact-N10,20,40,60Unchan'!C74+'CurrentFact-N10,20,40,60Unchan'!H74)/100)+103/POWER(1+('CurrentFact-N10,20,40,60Unchan'!D74+'CurrentFact-N10,20,40,60Unchan'!H74)/100,2))*100</f>
        <v>9601.2395558122898</v>
      </c>
      <c r="E74">
        <f>(3/(1+('CurrentFact-N10,20,40,60Unchan'!C74+'CurrentFact-N10,20,40,60Unchan'!I74)/100)+103/POWER(1+('CurrentFact-N10,20,40,60Unchan'!D74+'CurrentFact-N10,20,40,60Unchan'!I74)/100,2))*100</f>
        <v>9676.6907857653259</v>
      </c>
      <c r="F74">
        <f>Portfolio!B$5*'CurrentFact-N10,20,40,60Unchan'!E74</f>
        <v>52143.895533915893</v>
      </c>
      <c r="G74">
        <f>Portfolio!B$6*'CurrentFact-N10,20,40,60Unchan'!F74</f>
        <v>3696.2945087936532</v>
      </c>
      <c r="H74">
        <f t="shared" si="3"/>
        <v>94440.673519964359</v>
      </c>
      <c r="I74">
        <f t="shared" si="1"/>
        <v>0</v>
      </c>
    </row>
    <row r="75" spans="1:9">
      <c r="A75" s="1">
        <v>39363</v>
      </c>
      <c r="B75">
        <f>(3/(1+('CurrentFact-N10,20,40,60Unchan'!C75)/100)+103/POWER(1+('CurrentFact-N10,20,40,60Unchan'!D75)/100,2))*100</f>
        <v>9707.5857774288397</v>
      </c>
      <c r="C75">
        <f>(3/(1+('CurrentFact-N10,20,40,60Unchan'!C75+'CurrentFact-N10,20,40,60Unchan'!G75)/100)+103/POWER(1+('CurrentFact-N10,20,40,60Unchan'!D75+'CurrentFact-N10,20,40,60Unchan'!G75)/100,2))*100</f>
        <v>9614.9673582483465</v>
      </c>
      <c r="D75">
        <f>(3/(1+('CurrentFact-N10,20,40,60Unchan'!C75+'CurrentFact-N10,20,40,60Unchan'!H75)/100)+103/POWER(1+('CurrentFact-N10,20,40,60Unchan'!D75+'CurrentFact-N10,20,40,60Unchan'!H75)/100,2))*100</f>
        <v>9601.2395558122898</v>
      </c>
      <c r="E75">
        <f>(3/(1+('CurrentFact-N10,20,40,60Unchan'!C75+'CurrentFact-N10,20,40,60Unchan'!I75)/100)+103/POWER(1+('CurrentFact-N10,20,40,60Unchan'!D75+'CurrentFact-N10,20,40,60Unchan'!I75)/100,2))*100</f>
        <v>9676.6907857653259</v>
      </c>
      <c r="F75">
        <f>Portfolio!B$5*'CurrentFact-N10,20,40,60Unchan'!E75</f>
        <v>52143.895533915893</v>
      </c>
      <c r="G75">
        <f>Portfolio!B$6*'CurrentFact-N10,20,40,60Unchan'!F75</f>
        <v>3696.2945087936532</v>
      </c>
      <c r="H75">
        <f t="shared" si="3"/>
        <v>94440.673519964359</v>
      </c>
      <c r="I75">
        <f t="shared" si="1"/>
        <v>0</v>
      </c>
    </row>
    <row r="76" spans="1:9">
      <c r="A76" s="1">
        <v>39364</v>
      </c>
      <c r="B76">
        <f>(3/(1+('CurrentFact-N10,20,40,60Unchan'!C76)/100)+103/POWER(1+('CurrentFact-N10,20,40,60Unchan'!D76)/100,2))*100</f>
        <v>9707.5857774288397</v>
      </c>
      <c r="C76">
        <f>(3/(1+('CurrentFact-N10,20,40,60Unchan'!C76+'CurrentFact-N10,20,40,60Unchan'!G76)/100)+103/POWER(1+('CurrentFact-N10,20,40,60Unchan'!D76+'CurrentFact-N10,20,40,60Unchan'!G76)/100,2))*100</f>
        <v>9614.9673582483465</v>
      </c>
      <c r="D76">
        <f>(3/(1+('CurrentFact-N10,20,40,60Unchan'!C76+'CurrentFact-N10,20,40,60Unchan'!H76)/100)+103/POWER(1+('CurrentFact-N10,20,40,60Unchan'!D76+'CurrentFact-N10,20,40,60Unchan'!H76)/100,2))*100</f>
        <v>9601.2395558122898</v>
      </c>
      <c r="E76">
        <f>(3/(1+('CurrentFact-N10,20,40,60Unchan'!C76+'CurrentFact-N10,20,40,60Unchan'!I76)/100)+103/POWER(1+('CurrentFact-N10,20,40,60Unchan'!D76+'CurrentFact-N10,20,40,60Unchan'!I76)/100,2))*100</f>
        <v>9676.6907857653259</v>
      </c>
      <c r="F76">
        <f>Portfolio!B$5*'CurrentFact-N10,20,40,60Unchan'!E76</f>
        <v>52143.895533915893</v>
      </c>
      <c r="G76">
        <f>Portfolio!B$6*'CurrentFact-N10,20,40,60Unchan'!F76</f>
        <v>3696.2945087936532</v>
      </c>
      <c r="H76">
        <f t="shared" si="3"/>
        <v>94440.673519964359</v>
      </c>
      <c r="I76">
        <f t="shared" si="1"/>
        <v>0</v>
      </c>
    </row>
    <row r="77" spans="1:9">
      <c r="A77" s="1">
        <v>39365</v>
      </c>
      <c r="B77">
        <f>(3/(1+('CurrentFact-N10,20,40,60Unchan'!C77)/100)+103/POWER(1+('CurrentFact-N10,20,40,60Unchan'!D77)/100,2))*100</f>
        <v>9707.5857774288397</v>
      </c>
      <c r="C77">
        <f>(3/(1+('CurrentFact-N10,20,40,60Unchan'!C77+'CurrentFact-N10,20,40,60Unchan'!G77)/100)+103/POWER(1+('CurrentFact-N10,20,40,60Unchan'!D77+'CurrentFact-N10,20,40,60Unchan'!G77)/100,2))*100</f>
        <v>9614.9673582483465</v>
      </c>
      <c r="D77">
        <f>(3/(1+('CurrentFact-N10,20,40,60Unchan'!C77+'CurrentFact-N10,20,40,60Unchan'!H77)/100)+103/POWER(1+('CurrentFact-N10,20,40,60Unchan'!D77+'CurrentFact-N10,20,40,60Unchan'!H77)/100,2))*100</f>
        <v>9601.2395558122898</v>
      </c>
      <c r="E77">
        <f>(3/(1+('CurrentFact-N10,20,40,60Unchan'!C77+'CurrentFact-N10,20,40,60Unchan'!I77)/100)+103/POWER(1+('CurrentFact-N10,20,40,60Unchan'!D77+'CurrentFact-N10,20,40,60Unchan'!I77)/100,2))*100</f>
        <v>9676.6907857653259</v>
      </c>
      <c r="F77">
        <f>Portfolio!B$5*'CurrentFact-N10,20,40,60Unchan'!E77</f>
        <v>52143.895533915893</v>
      </c>
      <c r="G77">
        <f>Portfolio!B$6*'CurrentFact-N10,20,40,60Unchan'!F77</f>
        <v>3696.2945087936532</v>
      </c>
      <c r="H77">
        <f t="shared" si="3"/>
        <v>94440.673519964359</v>
      </c>
      <c r="I77">
        <f t="shared" si="1"/>
        <v>0</v>
      </c>
    </row>
    <row r="78" spans="1:9">
      <c r="A78" s="1">
        <v>39366</v>
      </c>
      <c r="B78">
        <f>(3/(1+('CurrentFact-N10,20,40,60Unchan'!C78)/100)+103/POWER(1+('CurrentFact-N10,20,40,60Unchan'!D78)/100,2))*100</f>
        <v>9707.5857774288397</v>
      </c>
      <c r="C78">
        <f>(3/(1+('CurrentFact-N10,20,40,60Unchan'!C78+'CurrentFact-N10,20,40,60Unchan'!G78)/100)+103/POWER(1+('CurrentFact-N10,20,40,60Unchan'!D78+'CurrentFact-N10,20,40,60Unchan'!G78)/100,2))*100</f>
        <v>9614.9673582483465</v>
      </c>
      <c r="D78">
        <f>(3/(1+('CurrentFact-N10,20,40,60Unchan'!C78+'CurrentFact-N10,20,40,60Unchan'!H78)/100)+103/POWER(1+('CurrentFact-N10,20,40,60Unchan'!D78+'CurrentFact-N10,20,40,60Unchan'!H78)/100,2))*100</f>
        <v>9601.2395558122898</v>
      </c>
      <c r="E78">
        <f>(3/(1+('CurrentFact-N10,20,40,60Unchan'!C78+'CurrentFact-N10,20,40,60Unchan'!I78)/100)+103/POWER(1+('CurrentFact-N10,20,40,60Unchan'!D78+'CurrentFact-N10,20,40,60Unchan'!I78)/100,2))*100</f>
        <v>9676.6907857653259</v>
      </c>
      <c r="F78">
        <f>Portfolio!B$5*'CurrentFact-N10,20,40,60Unchan'!E78</f>
        <v>52143.895533915893</v>
      </c>
      <c r="G78">
        <f>Portfolio!B$6*'CurrentFact-N10,20,40,60Unchan'!F78</f>
        <v>3696.2945087936532</v>
      </c>
      <c r="H78">
        <f t="shared" si="3"/>
        <v>94440.673519964359</v>
      </c>
      <c r="I78">
        <f t="shared" ref="I78:I141" si="4">H78-H68</f>
        <v>0</v>
      </c>
    </row>
    <row r="79" spans="1:9">
      <c r="A79" s="1">
        <v>39367</v>
      </c>
      <c r="B79">
        <f>(3/(1+('CurrentFact-N10,20,40,60Unchan'!C79)/100)+103/POWER(1+('CurrentFact-N10,20,40,60Unchan'!D79)/100,2))*100</f>
        <v>9707.5857774288397</v>
      </c>
      <c r="C79">
        <f>(3/(1+('CurrentFact-N10,20,40,60Unchan'!C79+'CurrentFact-N10,20,40,60Unchan'!G79)/100)+103/POWER(1+('CurrentFact-N10,20,40,60Unchan'!D79+'CurrentFact-N10,20,40,60Unchan'!G79)/100,2))*100</f>
        <v>9614.9673582483465</v>
      </c>
      <c r="D79">
        <f>(3/(1+('CurrentFact-N10,20,40,60Unchan'!C79+'CurrentFact-N10,20,40,60Unchan'!H79)/100)+103/POWER(1+('CurrentFact-N10,20,40,60Unchan'!D79+'CurrentFact-N10,20,40,60Unchan'!H79)/100,2))*100</f>
        <v>9601.2395558122898</v>
      </c>
      <c r="E79">
        <f>(3/(1+('CurrentFact-N10,20,40,60Unchan'!C79+'CurrentFact-N10,20,40,60Unchan'!I79)/100)+103/POWER(1+('CurrentFact-N10,20,40,60Unchan'!D79+'CurrentFact-N10,20,40,60Unchan'!I79)/100,2))*100</f>
        <v>9676.6907857653259</v>
      </c>
      <c r="F79">
        <f>Portfolio!B$5*'CurrentFact-N10,20,40,60Unchan'!E79</f>
        <v>52143.895533915893</v>
      </c>
      <c r="G79">
        <f>Portfolio!B$6*'CurrentFact-N10,20,40,60Unchan'!F79</f>
        <v>3696.2945087936532</v>
      </c>
      <c r="H79">
        <f t="shared" si="3"/>
        <v>94440.673519964359</v>
      </c>
      <c r="I79">
        <f t="shared" si="4"/>
        <v>0</v>
      </c>
    </row>
    <row r="80" spans="1:9">
      <c r="A80" s="1">
        <v>39370</v>
      </c>
      <c r="B80">
        <f>(3/(1+('CurrentFact-N10,20,40,60Unchan'!C80)/100)+103/POWER(1+('CurrentFact-N10,20,40,60Unchan'!D80)/100,2))*100</f>
        <v>9707.5857774288397</v>
      </c>
      <c r="C80">
        <f>(3/(1+('CurrentFact-N10,20,40,60Unchan'!C80+'CurrentFact-N10,20,40,60Unchan'!G80)/100)+103/POWER(1+('CurrentFact-N10,20,40,60Unchan'!D80+'CurrentFact-N10,20,40,60Unchan'!G80)/100,2))*100</f>
        <v>9614.9673582483465</v>
      </c>
      <c r="D80">
        <f>(3/(1+('CurrentFact-N10,20,40,60Unchan'!C80+'CurrentFact-N10,20,40,60Unchan'!H80)/100)+103/POWER(1+('CurrentFact-N10,20,40,60Unchan'!D80+'CurrentFact-N10,20,40,60Unchan'!H80)/100,2))*100</f>
        <v>9601.2395558122898</v>
      </c>
      <c r="E80">
        <f>(3/(1+('CurrentFact-N10,20,40,60Unchan'!C80+'CurrentFact-N10,20,40,60Unchan'!I80)/100)+103/POWER(1+('CurrentFact-N10,20,40,60Unchan'!D80+'CurrentFact-N10,20,40,60Unchan'!I80)/100,2))*100</f>
        <v>9676.6907857653259</v>
      </c>
      <c r="F80">
        <f>Portfolio!B$5*'CurrentFact-N10,20,40,60Unchan'!E80</f>
        <v>52143.895533915893</v>
      </c>
      <c r="G80">
        <f>Portfolio!B$6*'CurrentFact-N10,20,40,60Unchan'!F80</f>
        <v>3696.2945087936532</v>
      </c>
      <c r="H80">
        <f t="shared" si="3"/>
        <v>94440.673519964359</v>
      </c>
      <c r="I80">
        <f t="shared" si="4"/>
        <v>0</v>
      </c>
    </row>
    <row r="81" spans="1:9">
      <c r="A81" s="1">
        <v>39371</v>
      </c>
      <c r="B81">
        <f>(3/(1+('CurrentFact-N10,20,40,60Unchan'!C81)/100)+103/POWER(1+('CurrentFact-N10,20,40,60Unchan'!D81)/100,2))*100</f>
        <v>9707.5857774288397</v>
      </c>
      <c r="C81">
        <f>(3/(1+('CurrentFact-N10,20,40,60Unchan'!C81+'CurrentFact-N10,20,40,60Unchan'!G81)/100)+103/POWER(1+('CurrentFact-N10,20,40,60Unchan'!D81+'CurrentFact-N10,20,40,60Unchan'!G81)/100,2))*100</f>
        <v>9614.9673582483465</v>
      </c>
      <c r="D81">
        <f>(3/(1+('CurrentFact-N10,20,40,60Unchan'!C81+'CurrentFact-N10,20,40,60Unchan'!H81)/100)+103/POWER(1+('CurrentFact-N10,20,40,60Unchan'!D81+'CurrentFact-N10,20,40,60Unchan'!H81)/100,2))*100</f>
        <v>9601.2395558122898</v>
      </c>
      <c r="E81">
        <f>(3/(1+('CurrentFact-N10,20,40,60Unchan'!C81+'CurrentFact-N10,20,40,60Unchan'!I81)/100)+103/POWER(1+('CurrentFact-N10,20,40,60Unchan'!D81+'CurrentFact-N10,20,40,60Unchan'!I81)/100,2))*100</f>
        <v>9676.6907857653259</v>
      </c>
      <c r="F81">
        <f>Portfolio!B$5*'CurrentFact-N10,20,40,60Unchan'!E81</f>
        <v>52143.895533915893</v>
      </c>
      <c r="G81">
        <f>Portfolio!B$6*'CurrentFact-N10,20,40,60Unchan'!F81</f>
        <v>3696.2945087936532</v>
      </c>
      <c r="H81">
        <f t="shared" si="3"/>
        <v>94440.673519964359</v>
      </c>
      <c r="I81">
        <f t="shared" si="4"/>
        <v>0</v>
      </c>
    </row>
    <row r="82" spans="1:9">
      <c r="A82" s="1">
        <v>39372</v>
      </c>
      <c r="B82">
        <f>(3/(1+('CurrentFact-N10,20,40,60Unchan'!C82)/100)+103/POWER(1+('CurrentFact-N10,20,40,60Unchan'!D82)/100,2))*100</f>
        <v>9707.5857774288397</v>
      </c>
      <c r="C82">
        <f>(3/(1+('CurrentFact-N10,20,40,60Unchan'!C82+'CurrentFact-N10,20,40,60Unchan'!G82)/100)+103/POWER(1+('CurrentFact-N10,20,40,60Unchan'!D82+'CurrentFact-N10,20,40,60Unchan'!G82)/100,2))*100</f>
        <v>9614.9673582483465</v>
      </c>
      <c r="D82">
        <f>(3/(1+('CurrentFact-N10,20,40,60Unchan'!C82+'CurrentFact-N10,20,40,60Unchan'!H82)/100)+103/POWER(1+('CurrentFact-N10,20,40,60Unchan'!D82+'CurrentFact-N10,20,40,60Unchan'!H82)/100,2))*100</f>
        <v>9601.2395558122898</v>
      </c>
      <c r="E82">
        <f>(3/(1+('CurrentFact-N10,20,40,60Unchan'!C82+'CurrentFact-N10,20,40,60Unchan'!I82)/100)+103/POWER(1+('CurrentFact-N10,20,40,60Unchan'!D82+'CurrentFact-N10,20,40,60Unchan'!I82)/100,2))*100</f>
        <v>9676.6907857653259</v>
      </c>
      <c r="F82">
        <f>Portfolio!B$5*'CurrentFact-N10,20,40,60Unchan'!E82</f>
        <v>52143.895533915893</v>
      </c>
      <c r="G82">
        <f>Portfolio!B$6*'CurrentFact-N10,20,40,60Unchan'!F82</f>
        <v>3696.2945087936532</v>
      </c>
      <c r="H82">
        <f t="shared" si="3"/>
        <v>94440.673519964359</v>
      </c>
      <c r="I82">
        <f t="shared" si="4"/>
        <v>0</v>
      </c>
    </row>
    <row r="83" spans="1:9">
      <c r="A83" s="1">
        <v>39373</v>
      </c>
      <c r="B83">
        <f>(3/(1+('CurrentFact-N10,20,40,60Unchan'!C83)/100)+103/POWER(1+('CurrentFact-N10,20,40,60Unchan'!D83)/100,2))*100</f>
        <v>9707.5857774288397</v>
      </c>
      <c r="C83">
        <f>(3/(1+('CurrentFact-N10,20,40,60Unchan'!C83+'CurrentFact-N10,20,40,60Unchan'!G83)/100)+103/POWER(1+('CurrentFact-N10,20,40,60Unchan'!D83+'CurrentFact-N10,20,40,60Unchan'!G83)/100,2))*100</f>
        <v>9614.9673582483465</v>
      </c>
      <c r="D83">
        <f>(3/(1+('CurrentFact-N10,20,40,60Unchan'!C83+'CurrentFact-N10,20,40,60Unchan'!H83)/100)+103/POWER(1+('CurrentFact-N10,20,40,60Unchan'!D83+'CurrentFact-N10,20,40,60Unchan'!H83)/100,2))*100</f>
        <v>9601.2395558122898</v>
      </c>
      <c r="E83">
        <f>(3/(1+('CurrentFact-N10,20,40,60Unchan'!C83+'CurrentFact-N10,20,40,60Unchan'!I83)/100)+103/POWER(1+('CurrentFact-N10,20,40,60Unchan'!D83+'CurrentFact-N10,20,40,60Unchan'!I83)/100,2))*100</f>
        <v>9676.6907857653259</v>
      </c>
      <c r="F83">
        <f>Portfolio!B$5*'CurrentFact-N10,20,40,60Unchan'!E83</f>
        <v>52143.895533915893</v>
      </c>
      <c r="G83">
        <f>Portfolio!B$6*'CurrentFact-N10,20,40,60Unchan'!F83</f>
        <v>3696.2945087936532</v>
      </c>
      <c r="H83">
        <f t="shared" si="3"/>
        <v>94440.673519964359</v>
      </c>
      <c r="I83">
        <f t="shared" si="4"/>
        <v>0</v>
      </c>
    </row>
    <row r="84" spans="1:9">
      <c r="A84" s="1">
        <v>39374</v>
      </c>
      <c r="B84">
        <f>(3/(1+('CurrentFact-N10,20,40,60Unchan'!C84)/100)+103/POWER(1+('CurrentFact-N10,20,40,60Unchan'!D84)/100,2))*100</f>
        <v>9707.5857774288397</v>
      </c>
      <c r="C84">
        <f>(3/(1+('CurrentFact-N10,20,40,60Unchan'!C84+'CurrentFact-N10,20,40,60Unchan'!G84)/100)+103/POWER(1+('CurrentFact-N10,20,40,60Unchan'!D84+'CurrentFact-N10,20,40,60Unchan'!G84)/100,2))*100</f>
        <v>9614.9673582483465</v>
      </c>
      <c r="D84">
        <f>(3/(1+('CurrentFact-N10,20,40,60Unchan'!C84+'CurrentFact-N10,20,40,60Unchan'!H84)/100)+103/POWER(1+('CurrentFact-N10,20,40,60Unchan'!D84+'CurrentFact-N10,20,40,60Unchan'!H84)/100,2))*100</f>
        <v>9601.2395558122898</v>
      </c>
      <c r="E84">
        <f>(3/(1+('CurrentFact-N10,20,40,60Unchan'!C84+'CurrentFact-N10,20,40,60Unchan'!I84)/100)+103/POWER(1+('CurrentFact-N10,20,40,60Unchan'!D84+'CurrentFact-N10,20,40,60Unchan'!I84)/100,2))*100</f>
        <v>9676.6907857653259</v>
      </c>
      <c r="F84">
        <f>Portfolio!B$5*'CurrentFact-N10,20,40,60Unchan'!E84</f>
        <v>52143.895533915893</v>
      </c>
      <c r="G84">
        <f>Portfolio!B$6*'CurrentFact-N10,20,40,60Unchan'!F84</f>
        <v>3696.2945087936532</v>
      </c>
      <c r="H84">
        <f t="shared" si="3"/>
        <v>94440.673519964359</v>
      </c>
      <c r="I84">
        <f t="shared" si="4"/>
        <v>0</v>
      </c>
    </row>
    <row r="85" spans="1:9">
      <c r="A85" s="1">
        <v>39377</v>
      </c>
      <c r="B85">
        <f>(3/(1+('CurrentFact-N10,20,40,60Unchan'!C85)/100)+103/POWER(1+('CurrentFact-N10,20,40,60Unchan'!D85)/100,2))*100</f>
        <v>9707.5857774288397</v>
      </c>
      <c r="C85">
        <f>(3/(1+('CurrentFact-N10,20,40,60Unchan'!C85+'CurrentFact-N10,20,40,60Unchan'!G85)/100)+103/POWER(1+('CurrentFact-N10,20,40,60Unchan'!D85+'CurrentFact-N10,20,40,60Unchan'!G85)/100,2))*100</f>
        <v>9614.9673582483465</v>
      </c>
      <c r="D85">
        <f>(3/(1+('CurrentFact-N10,20,40,60Unchan'!C85+'CurrentFact-N10,20,40,60Unchan'!H85)/100)+103/POWER(1+('CurrentFact-N10,20,40,60Unchan'!D85+'CurrentFact-N10,20,40,60Unchan'!H85)/100,2))*100</f>
        <v>9601.2395558122898</v>
      </c>
      <c r="E85">
        <f>(3/(1+('CurrentFact-N10,20,40,60Unchan'!C85+'CurrentFact-N10,20,40,60Unchan'!I85)/100)+103/POWER(1+('CurrentFact-N10,20,40,60Unchan'!D85+'CurrentFact-N10,20,40,60Unchan'!I85)/100,2))*100</f>
        <v>9676.6907857653259</v>
      </c>
      <c r="F85">
        <f>Portfolio!B$5*'CurrentFact-N10,20,40,60Unchan'!E85</f>
        <v>52143.895533915893</v>
      </c>
      <c r="G85">
        <f>Portfolio!B$6*'CurrentFact-N10,20,40,60Unchan'!F85</f>
        <v>3696.2945087936532</v>
      </c>
      <c r="H85">
        <f t="shared" si="3"/>
        <v>94440.673519964359</v>
      </c>
      <c r="I85">
        <f t="shared" si="4"/>
        <v>0</v>
      </c>
    </row>
    <row r="86" spans="1:9">
      <c r="A86" s="1">
        <v>39378</v>
      </c>
      <c r="B86">
        <f>(3/(1+('CurrentFact-N10,20,40,60Unchan'!C86)/100)+103/POWER(1+('CurrentFact-N10,20,40,60Unchan'!D86)/100,2))*100</f>
        <v>9707.5857774288397</v>
      </c>
      <c r="C86">
        <f>(3/(1+('CurrentFact-N10,20,40,60Unchan'!C86+'CurrentFact-N10,20,40,60Unchan'!G86)/100)+103/POWER(1+('CurrentFact-N10,20,40,60Unchan'!D86+'CurrentFact-N10,20,40,60Unchan'!G86)/100,2))*100</f>
        <v>9614.9673582483465</v>
      </c>
      <c r="D86">
        <f>(3/(1+('CurrentFact-N10,20,40,60Unchan'!C86+'CurrentFact-N10,20,40,60Unchan'!H86)/100)+103/POWER(1+('CurrentFact-N10,20,40,60Unchan'!D86+'CurrentFact-N10,20,40,60Unchan'!H86)/100,2))*100</f>
        <v>9601.2395558122898</v>
      </c>
      <c r="E86">
        <f>(3/(1+('CurrentFact-N10,20,40,60Unchan'!C86+'CurrentFact-N10,20,40,60Unchan'!I86)/100)+103/POWER(1+('CurrentFact-N10,20,40,60Unchan'!D86+'CurrentFact-N10,20,40,60Unchan'!I86)/100,2))*100</f>
        <v>9676.6907857653259</v>
      </c>
      <c r="F86">
        <f>Portfolio!B$5*'CurrentFact-N10,20,40,60Unchan'!E86</f>
        <v>52143.895533915893</v>
      </c>
      <c r="G86">
        <f>Portfolio!B$6*'CurrentFact-N10,20,40,60Unchan'!F86</f>
        <v>3696.2945087936532</v>
      </c>
      <c r="H86">
        <f t="shared" si="3"/>
        <v>94440.673519964359</v>
      </c>
      <c r="I86">
        <f t="shared" si="4"/>
        <v>0</v>
      </c>
    </row>
    <row r="87" spans="1:9">
      <c r="A87" s="1">
        <v>39379</v>
      </c>
      <c r="B87">
        <f>(3/(1+('CurrentFact-N10,20,40,60Unchan'!C87)/100)+103/POWER(1+('CurrentFact-N10,20,40,60Unchan'!D87)/100,2))*100</f>
        <v>9707.5857774288397</v>
      </c>
      <c r="C87">
        <f>(3/(1+('CurrentFact-N10,20,40,60Unchan'!C87+'CurrentFact-N10,20,40,60Unchan'!G87)/100)+103/POWER(1+('CurrentFact-N10,20,40,60Unchan'!D87+'CurrentFact-N10,20,40,60Unchan'!G87)/100,2))*100</f>
        <v>9614.9673582483465</v>
      </c>
      <c r="D87">
        <f>(3/(1+('CurrentFact-N10,20,40,60Unchan'!C87+'CurrentFact-N10,20,40,60Unchan'!H87)/100)+103/POWER(1+('CurrentFact-N10,20,40,60Unchan'!D87+'CurrentFact-N10,20,40,60Unchan'!H87)/100,2))*100</f>
        <v>9601.2395558122898</v>
      </c>
      <c r="E87">
        <f>(3/(1+('CurrentFact-N10,20,40,60Unchan'!C87+'CurrentFact-N10,20,40,60Unchan'!I87)/100)+103/POWER(1+('CurrentFact-N10,20,40,60Unchan'!D87+'CurrentFact-N10,20,40,60Unchan'!I87)/100,2))*100</f>
        <v>9676.6907857653259</v>
      </c>
      <c r="F87">
        <f>Portfolio!B$5*'CurrentFact-N10,20,40,60Unchan'!E87</f>
        <v>52143.895533915893</v>
      </c>
      <c r="G87">
        <f>Portfolio!B$6*'CurrentFact-N10,20,40,60Unchan'!F87</f>
        <v>3696.2945087936532</v>
      </c>
      <c r="H87">
        <f t="shared" si="3"/>
        <v>94440.673519964359</v>
      </c>
      <c r="I87">
        <f t="shared" si="4"/>
        <v>0</v>
      </c>
    </row>
    <row r="88" spans="1:9">
      <c r="A88" s="1">
        <v>39380</v>
      </c>
      <c r="B88">
        <f>(3/(1+('CurrentFact-N10,20,40,60Unchan'!C88)/100)+103/POWER(1+('CurrentFact-N10,20,40,60Unchan'!D88)/100,2))*100</f>
        <v>9707.5857774288397</v>
      </c>
      <c r="C88">
        <f>(3/(1+('CurrentFact-N10,20,40,60Unchan'!C88+'CurrentFact-N10,20,40,60Unchan'!G88)/100)+103/POWER(1+('CurrentFact-N10,20,40,60Unchan'!D88+'CurrentFact-N10,20,40,60Unchan'!G88)/100,2))*100</f>
        <v>9614.9673582483465</v>
      </c>
      <c r="D88">
        <f>(3/(1+('CurrentFact-N10,20,40,60Unchan'!C88+'CurrentFact-N10,20,40,60Unchan'!H88)/100)+103/POWER(1+('CurrentFact-N10,20,40,60Unchan'!D88+'CurrentFact-N10,20,40,60Unchan'!H88)/100,2))*100</f>
        <v>9601.2395558122898</v>
      </c>
      <c r="E88">
        <f>(3/(1+('CurrentFact-N10,20,40,60Unchan'!C88+'CurrentFact-N10,20,40,60Unchan'!I88)/100)+103/POWER(1+('CurrentFact-N10,20,40,60Unchan'!D88+'CurrentFact-N10,20,40,60Unchan'!I88)/100,2))*100</f>
        <v>9676.6907857653259</v>
      </c>
      <c r="F88">
        <f>Portfolio!B$5*'CurrentFact-N10,20,40,60Unchan'!E88</f>
        <v>52143.895533915893</v>
      </c>
      <c r="G88">
        <f>Portfolio!B$6*'CurrentFact-N10,20,40,60Unchan'!F88</f>
        <v>3696.2945087936532</v>
      </c>
      <c r="H88">
        <f t="shared" si="3"/>
        <v>94440.673519964359</v>
      </c>
      <c r="I88">
        <f t="shared" si="4"/>
        <v>0</v>
      </c>
    </row>
    <row r="89" spans="1:9">
      <c r="A89" s="1">
        <v>39381</v>
      </c>
      <c r="B89">
        <f>(3/(1+('CurrentFact-N10,20,40,60Unchan'!C89)/100)+103/POWER(1+('CurrentFact-N10,20,40,60Unchan'!D89)/100,2))*100</f>
        <v>9707.5857774288397</v>
      </c>
      <c r="C89">
        <f>(3/(1+('CurrentFact-N10,20,40,60Unchan'!C89+'CurrentFact-N10,20,40,60Unchan'!G89)/100)+103/POWER(1+('CurrentFact-N10,20,40,60Unchan'!D89+'CurrentFact-N10,20,40,60Unchan'!G89)/100,2))*100</f>
        <v>9614.9673582483465</v>
      </c>
      <c r="D89">
        <f>(3/(1+('CurrentFact-N10,20,40,60Unchan'!C89+'CurrentFact-N10,20,40,60Unchan'!H89)/100)+103/POWER(1+('CurrentFact-N10,20,40,60Unchan'!D89+'CurrentFact-N10,20,40,60Unchan'!H89)/100,2))*100</f>
        <v>9601.2395558122898</v>
      </c>
      <c r="E89">
        <f>(3/(1+('CurrentFact-N10,20,40,60Unchan'!C89+'CurrentFact-N10,20,40,60Unchan'!I89)/100)+103/POWER(1+('CurrentFact-N10,20,40,60Unchan'!D89+'CurrentFact-N10,20,40,60Unchan'!I89)/100,2))*100</f>
        <v>9676.6907857653259</v>
      </c>
      <c r="F89">
        <f>Portfolio!B$5*'CurrentFact-N10,20,40,60Unchan'!E89</f>
        <v>52143.895533915893</v>
      </c>
      <c r="G89">
        <f>Portfolio!B$6*'CurrentFact-N10,20,40,60Unchan'!F89</f>
        <v>3696.2945087936532</v>
      </c>
      <c r="H89">
        <f t="shared" si="3"/>
        <v>94440.673519964359</v>
      </c>
      <c r="I89">
        <f t="shared" si="4"/>
        <v>0</v>
      </c>
    </row>
    <row r="90" spans="1:9">
      <c r="A90" s="1">
        <v>39384</v>
      </c>
      <c r="B90">
        <f>(3/(1+('CurrentFact-N10,20,40,60Unchan'!C90)/100)+103/POWER(1+('CurrentFact-N10,20,40,60Unchan'!D90)/100,2))*100</f>
        <v>9707.5857774288397</v>
      </c>
      <c r="C90">
        <f>(3/(1+('CurrentFact-N10,20,40,60Unchan'!C90+'CurrentFact-N10,20,40,60Unchan'!G90)/100)+103/POWER(1+('CurrentFact-N10,20,40,60Unchan'!D90+'CurrentFact-N10,20,40,60Unchan'!G90)/100,2))*100</f>
        <v>9614.9673582483465</v>
      </c>
      <c r="D90">
        <f>(3/(1+('CurrentFact-N10,20,40,60Unchan'!C90+'CurrentFact-N10,20,40,60Unchan'!H90)/100)+103/POWER(1+('CurrentFact-N10,20,40,60Unchan'!D90+'CurrentFact-N10,20,40,60Unchan'!H90)/100,2))*100</f>
        <v>9601.2395558122898</v>
      </c>
      <c r="E90">
        <f>(3/(1+('CurrentFact-N10,20,40,60Unchan'!C90+'CurrentFact-N10,20,40,60Unchan'!I90)/100)+103/POWER(1+('CurrentFact-N10,20,40,60Unchan'!D90+'CurrentFact-N10,20,40,60Unchan'!I90)/100,2))*100</f>
        <v>9676.6907857653259</v>
      </c>
      <c r="F90">
        <f>Portfolio!B$5*'CurrentFact-N10,20,40,60Unchan'!E90</f>
        <v>52143.895533915893</v>
      </c>
      <c r="G90">
        <f>Portfolio!B$6*'CurrentFact-N10,20,40,60Unchan'!F90</f>
        <v>3696.2945087936532</v>
      </c>
      <c r="H90">
        <f t="shared" si="3"/>
        <v>94440.673519964359</v>
      </c>
      <c r="I90">
        <f t="shared" si="4"/>
        <v>0</v>
      </c>
    </row>
    <row r="91" spans="1:9">
      <c r="A91" s="1">
        <v>39385</v>
      </c>
      <c r="B91">
        <f>(3/(1+('CurrentFact-N10,20,40,60Unchan'!C91)/100)+103/POWER(1+('CurrentFact-N10,20,40,60Unchan'!D91)/100,2))*100</f>
        <v>9707.5857774288397</v>
      </c>
      <c r="C91">
        <f>(3/(1+('CurrentFact-N10,20,40,60Unchan'!C91+'CurrentFact-N10,20,40,60Unchan'!G91)/100)+103/POWER(1+('CurrentFact-N10,20,40,60Unchan'!D91+'CurrentFact-N10,20,40,60Unchan'!G91)/100,2))*100</f>
        <v>9614.9673582483465</v>
      </c>
      <c r="D91">
        <f>(3/(1+('CurrentFact-N10,20,40,60Unchan'!C91+'CurrentFact-N10,20,40,60Unchan'!H91)/100)+103/POWER(1+('CurrentFact-N10,20,40,60Unchan'!D91+'CurrentFact-N10,20,40,60Unchan'!H91)/100,2))*100</f>
        <v>9601.2395558122898</v>
      </c>
      <c r="E91">
        <f>(3/(1+('CurrentFact-N10,20,40,60Unchan'!C91+'CurrentFact-N10,20,40,60Unchan'!I91)/100)+103/POWER(1+('CurrentFact-N10,20,40,60Unchan'!D91+'CurrentFact-N10,20,40,60Unchan'!I91)/100,2))*100</f>
        <v>9676.6907857653259</v>
      </c>
      <c r="F91">
        <f>Portfolio!B$5*'CurrentFact-N10,20,40,60Unchan'!E91</f>
        <v>52143.895533915893</v>
      </c>
      <c r="G91">
        <f>Portfolio!B$6*'CurrentFact-N10,20,40,60Unchan'!F91</f>
        <v>3696.2945087936532</v>
      </c>
      <c r="H91">
        <f t="shared" si="3"/>
        <v>94440.673519964359</v>
      </c>
      <c r="I91">
        <f t="shared" si="4"/>
        <v>0</v>
      </c>
    </row>
    <row r="92" spans="1:9">
      <c r="A92" s="1">
        <v>39386</v>
      </c>
      <c r="B92">
        <f>(3/(1+('CurrentFact-N10,20,40,60Unchan'!C92)/100)+103/POWER(1+('CurrentFact-N10,20,40,60Unchan'!D92)/100,2))*100</f>
        <v>9707.5857774288397</v>
      </c>
      <c r="C92">
        <f>(3/(1+('CurrentFact-N10,20,40,60Unchan'!C92+'CurrentFact-N10,20,40,60Unchan'!G92)/100)+103/POWER(1+('CurrentFact-N10,20,40,60Unchan'!D92+'CurrentFact-N10,20,40,60Unchan'!G92)/100,2))*100</f>
        <v>9614.9673582483465</v>
      </c>
      <c r="D92">
        <f>(3/(1+('CurrentFact-N10,20,40,60Unchan'!C92+'CurrentFact-N10,20,40,60Unchan'!H92)/100)+103/POWER(1+('CurrentFact-N10,20,40,60Unchan'!D92+'CurrentFact-N10,20,40,60Unchan'!H92)/100,2))*100</f>
        <v>9601.2395558122898</v>
      </c>
      <c r="E92">
        <f>(3/(1+('CurrentFact-N10,20,40,60Unchan'!C92+'CurrentFact-N10,20,40,60Unchan'!I92)/100)+103/POWER(1+('CurrentFact-N10,20,40,60Unchan'!D92+'CurrentFact-N10,20,40,60Unchan'!I92)/100,2))*100</f>
        <v>9676.6907857653259</v>
      </c>
      <c r="F92">
        <f>Portfolio!B$5*'CurrentFact-N10,20,40,60Unchan'!E92</f>
        <v>52143.895533915893</v>
      </c>
      <c r="G92">
        <f>Portfolio!B$6*'CurrentFact-N10,20,40,60Unchan'!F92</f>
        <v>3696.2945087936532</v>
      </c>
      <c r="H92">
        <f t="shared" si="3"/>
        <v>94440.673519964359</v>
      </c>
      <c r="I92">
        <f t="shared" si="4"/>
        <v>0</v>
      </c>
    </row>
    <row r="93" spans="1:9">
      <c r="A93" s="1">
        <v>39387</v>
      </c>
      <c r="B93">
        <f>(3/(1+('CurrentFact-N10,20,40,60Unchan'!C93)/100)+103/POWER(1+('CurrentFact-N10,20,40,60Unchan'!D93)/100,2))*100</f>
        <v>9707.5857774288397</v>
      </c>
      <c r="C93">
        <f>(3/(1+('CurrentFact-N10,20,40,60Unchan'!C93+'CurrentFact-N10,20,40,60Unchan'!G93)/100)+103/POWER(1+('CurrentFact-N10,20,40,60Unchan'!D93+'CurrentFact-N10,20,40,60Unchan'!G93)/100,2))*100</f>
        <v>9614.9673582483465</v>
      </c>
      <c r="D93">
        <f>(3/(1+('CurrentFact-N10,20,40,60Unchan'!C93+'CurrentFact-N10,20,40,60Unchan'!H93)/100)+103/POWER(1+('CurrentFact-N10,20,40,60Unchan'!D93+'CurrentFact-N10,20,40,60Unchan'!H93)/100,2))*100</f>
        <v>9601.2395558122898</v>
      </c>
      <c r="E93">
        <f>(3/(1+('CurrentFact-N10,20,40,60Unchan'!C93+'CurrentFact-N10,20,40,60Unchan'!I93)/100)+103/POWER(1+('CurrentFact-N10,20,40,60Unchan'!D93+'CurrentFact-N10,20,40,60Unchan'!I93)/100,2))*100</f>
        <v>9676.6907857653259</v>
      </c>
      <c r="F93">
        <f>Portfolio!B$5*'CurrentFact-N10,20,40,60Unchan'!E93</f>
        <v>52143.895533915893</v>
      </c>
      <c r="G93">
        <f>Portfolio!B$6*'CurrentFact-N10,20,40,60Unchan'!F93</f>
        <v>3696.2945087936532</v>
      </c>
      <c r="H93">
        <f t="shared" si="3"/>
        <v>94440.673519964359</v>
      </c>
      <c r="I93">
        <f t="shared" si="4"/>
        <v>0</v>
      </c>
    </row>
    <row r="94" spans="1:9">
      <c r="A94" s="1">
        <v>39388</v>
      </c>
      <c r="B94">
        <f>(3/(1+('CurrentFact-N10,20,40,60Unchan'!C94)/100)+103/POWER(1+('CurrentFact-N10,20,40,60Unchan'!D94)/100,2))*100</f>
        <v>9707.5857774288397</v>
      </c>
      <c r="C94">
        <f>(3/(1+('CurrentFact-N10,20,40,60Unchan'!C94+'CurrentFact-N10,20,40,60Unchan'!G94)/100)+103/POWER(1+('CurrentFact-N10,20,40,60Unchan'!D94+'CurrentFact-N10,20,40,60Unchan'!G94)/100,2))*100</f>
        <v>9614.9673582483465</v>
      </c>
      <c r="D94">
        <f>(3/(1+('CurrentFact-N10,20,40,60Unchan'!C94+'CurrentFact-N10,20,40,60Unchan'!H94)/100)+103/POWER(1+('CurrentFact-N10,20,40,60Unchan'!D94+'CurrentFact-N10,20,40,60Unchan'!H94)/100,2))*100</f>
        <v>9601.2395558122898</v>
      </c>
      <c r="E94">
        <f>(3/(1+('CurrentFact-N10,20,40,60Unchan'!C94+'CurrentFact-N10,20,40,60Unchan'!I94)/100)+103/POWER(1+('CurrentFact-N10,20,40,60Unchan'!D94+'CurrentFact-N10,20,40,60Unchan'!I94)/100,2))*100</f>
        <v>9676.6907857653259</v>
      </c>
      <c r="F94">
        <f>Portfolio!B$5*'CurrentFact-N10,20,40,60Unchan'!E94</f>
        <v>52143.895533915893</v>
      </c>
      <c r="G94">
        <f>Portfolio!B$6*'CurrentFact-N10,20,40,60Unchan'!F94</f>
        <v>3696.2945087936532</v>
      </c>
      <c r="H94">
        <f t="shared" si="3"/>
        <v>94440.673519964359</v>
      </c>
      <c r="I94">
        <f t="shared" si="4"/>
        <v>0</v>
      </c>
    </row>
    <row r="95" spans="1:9">
      <c r="A95" s="1">
        <v>39391</v>
      </c>
      <c r="B95">
        <f>(3/(1+('CurrentFact-N10,20,40,60Unchan'!C95)/100)+103/POWER(1+('CurrentFact-N10,20,40,60Unchan'!D95)/100,2))*100</f>
        <v>9707.5857774288397</v>
      </c>
      <c r="C95">
        <f>(3/(1+('CurrentFact-N10,20,40,60Unchan'!C95+'CurrentFact-N10,20,40,60Unchan'!G95)/100)+103/POWER(1+('CurrentFact-N10,20,40,60Unchan'!D95+'CurrentFact-N10,20,40,60Unchan'!G95)/100,2))*100</f>
        <v>9614.9673582483465</v>
      </c>
      <c r="D95">
        <f>(3/(1+('CurrentFact-N10,20,40,60Unchan'!C95+'CurrentFact-N10,20,40,60Unchan'!H95)/100)+103/POWER(1+('CurrentFact-N10,20,40,60Unchan'!D95+'CurrentFact-N10,20,40,60Unchan'!H95)/100,2))*100</f>
        <v>9601.2395558122898</v>
      </c>
      <c r="E95">
        <f>(3/(1+('CurrentFact-N10,20,40,60Unchan'!C95+'CurrentFact-N10,20,40,60Unchan'!I95)/100)+103/POWER(1+('CurrentFact-N10,20,40,60Unchan'!D95+'CurrentFact-N10,20,40,60Unchan'!I95)/100,2))*100</f>
        <v>9676.6907857653259</v>
      </c>
      <c r="F95">
        <f>Portfolio!B$5*'CurrentFact-N10,20,40,60Unchan'!E95</f>
        <v>52143.895533915893</v>
      </c>
      <c r="G95">
        <f>Portfolio!B$6*'CurrentFact-N10,20,40,60Unchan'!F95</f>
        <v>3696.2945087936532</v>
      </c>
      <c r="H95">
        <f t="shared" si="3"/>
        <v>94440.673519964359</v>
      </c>
      <c r="I95">
        <f t="shared" si="4"/>
        <v>0</v>
      </c>
    </row>
    <row r="96" spans="1:9">
      <c r="A96" s="1">
        <v>39392</v>
      </c>
      <c r="B96">
        <f>(3/(1+('CurrentFact-N10,20,40,60Unchan'!C96)/100)+103/POWER(1+('CurrentFact-N10,20,40,60Unchan'!D96)/100,2))*100</f>
        <v>9707.5857774288397</v>
      </c>
      <c r="C96">
        <f>(3/(1+('CurrentFact-N10,20,40,60Unchan'!C96+'CurrentFact-N10,20,40,60Unchan'!G96)/100)+103/POWER(1+('CurrentFact-N10,20,40,60Unchan'!D96+'CurrentFact-N10,20,40,60Unchan'!G96)/100,2))*100</f>
        <v>9614.9673582483465</v>
      </c>
      <c r="D96">
        <f>(3/(1+('CurrentFact-N10,20,40,60Unchan'!C96+'CurrentFact-N10,20,40,60Unchan'!H96)/100)+103/POWER(1+('CurrentFact-N10,20,40,60Unchan'!D96+'CurrentFact-N10,20,40,60Unchan'!H96)/100,2))*100</f>
        <v>9601.2395558122898</v>
      </c>
      <c r="E96">
        <f>(3/(1+('CurrentFact-N10,20,40,60Unchan'!C96+'CurrentFact-N10,20,40,60Unchan'!I96)/100)+103/POWER(1+('CurrentFact-N10,20,40,60Unchan'!D96+'CurrentFact-N10,20,40,60Unchan'!I96)/100,2))*100</f>
        <v>9676.6907857653259</v>
      </c>
      <c r="F96">
        <f>Portfolio!B$5*'CurrentFact-N10,20,40,60Unchan'!E96</f>
        <v>52143.895533915893</v>
      </c>
      <c r="G96">
        <f>Portfolio!B$6*'CurrentFact-N10,20,40,60Unchan'!F96</f>
        <v>3696.2945087936532</v>
      </c>
      <c r="H96">
        <f t="shared" si="3"/>
        <v>94440.673519964359</v>
      </c>
      <c r="I96">
        <f t="shared" si="4"/>
        <v>0</v>
      </c>
    </row>
    <row r="97" spans="1:9">
      <c r="A97" s="1">
        <v>39393</v>
      </c>
      <c r="B97">
        <f>(3/(1+('CurrentFact-N10,20,40,60Unchan'!C97)/100)+103/POWER(1+('CurrentFact-N10,20,40,60Unchan'!D97)/100,2))*100</f>
        <v>9707.5857774288397</v>
      </c>
      <c r="C97">
        <f>(3/(1+('CurrentFact-N10,20,40,60Unchan'!C97+'CurrentFact-N10,20,40,60Unchan'!G97)/100)+103/POWER(1+('CurrentFact-N10,20,40,60Unchan'!D97+'CurrentFact-N10,20,40,60Unchan'!G97)/100,2))*100</f>
        <v>9614.9673582483465</v>
      </c>
      <c r="D97">
        <f>(3/(1+('CurrentFact-N10,20,40,60Unchan'!C97+'CurrentFact-N10,20,40,60Unchan'!H97)/100)+103/POWER(1+('CurrentFact-N10,20,40,60Unchan'!D97+'CurrentFact-N10,20,40,60Unchan'!H97)/100,2))*100</f>
        <v>9601.2395558122898</v>
      </c>
      <c r="E97">
        <f>(3/(1+('CurrentFact-N10,20,40,60Unchan'!C97+'CurrentFact-N10,20,40,60Unchan'!I97)/100)+103/POWER(1+('CurrentFact-N10,20,40,60Unchan'!D97+'CurrentFact-N10,20,40,60Unchan'!I97)/100,2))*100</f>
        <v>9676.6907857653259</v>
      </c>
      <c r="F97">
        <f>Portfolio!B$5*'CurrentFact-N10,20,40,60Unchan'!E97</f>
        <v>52143.895533915893</v>
      </c>
      <c r="G97">
        <f>Portfolio!B$6*'CurrentFact-N10,20,40,60Unchan'!F97</f>
        <v>3696.2945087936532</v>
      </c>
      <c r="H97">
        <f t="shared" si="3"/>
        <v>94440.673519964359</v>
      </c>
      <c r="I97">
        <f t="shared" si="4"/>
        <v>0</v>
      </c>
    </row>
    <row r="98" spans="1:9">
      <c r="A98" s="1">
        <v>39394</v>
      </c>
      <c r="B98">
        <f>(3/(1+('CurrentFact-N10,20,40,60Unchan'!C98)/100)+103/POWER(1+('CurrentFact-N10,20,40,60Unchan'!D98)/100,2))*100</f>
        <v>9707.5857774288397</v>
      </c>
      <c r="C98">
        <f>(3/(1+('CurrentFact-N10,20,40,60Unchan'!C98+'CurrentFact-N10,20,40,60Unchan'!G98)/100)+103/POWER(1+('CurrentFact-N10,20,40,60Unchan'!D98+'CurrentFact-N10,20,40,60Unchan'!G98)/100,2))*100</f>
        <v>9614.9673582483465</v>
      </c>
      <c r="D98">
        <f>(3/(1+('CurrentFact-N10,20,40,60Unchan'!C98+'CurrentFact-N10,20,40,60Unchan'!H98)/100)+103/POWER(1+('CurrentFact-N10,20,40,60Unchan'!D98+'CurrentFact-N10,20,40,60Unchan'!H98)/100,2))*100</f>
        <v>9601.2395558122898</v>
      </c>
      <c r="E98">
        <f>(3/(1+('CurrentFact-N10,20,40,60Unchan'!C98+'CurrentFact-N10,20,40,60Unchan'!I98)/100)+103/POWER(1+('CurrentFact-N10,20,40,60Unchan'!D98+'CurrentFact-N10,20,40,60Unchan'!I98)/100,2))*100</f>
        <v>9676.6907857653259</v>
      </c>
      <c r="F98">
        <f>Portfolio!B$5*'CurrentFact-N10,20,40,60Unchan'!E98</f>
        <v>52143.895533915893</v>
      </c>
      <c r="G98">
        <f>Portfolio!B$6*'CurrentFact-N10,20,40,60Unchan'!F98</f>
        <v>3696.2945087936532</v>
      </c>
      <c r="H98">
        <f t="shared" si="3"/>
        <v>94440.673519964359</v>
      </c>
      <c r="I98">
        <f t="shared" si="4"/>
        <v>0</v>
      </c>
    </row>
    <row r="99" spans="1:9">
      <c r="A99" s="1">
        <v>39395</v>
      </c>
      <c r="B99">
        <f>(3/(1+('CurrentFact-N10,20,40,60Unchan'!C99)/100)+103/POWER(1+('CurrentFact-N10,20,40,60Unchan'!D99)/100,2))*100</f>
        <v>9707.5857774288397</v>
      </c>
      <c r="C99">
        <f>(3/(1+('CurrentFact-N10,20,40,60Unchan'!C99+'CurrentFact-N10,20,40,60Unchan'!G99)/100)+103/POWER(1+('CurrentFact-N10,20,40,60Unchan'!D99+'CurrentFact-N10,20,40,60Unchan'!G99)/100,2))*100</f>
        <v>9614.9673582483465</v>
      </c>
      <c r="D99">
        <f>(3/(1+('CurrentFact-N10,20,40,60Unchan'!C99+'CurrentFact-N10,20,40,60Unchan'!H99)/100)+103/POWER(1+('CurrentFact-N10,20,40,60Unchan'!D99+'CurrentFact-N10,20,40,60Unchan'!H99)/100,2))*100</f>
        <v>9601.2395558122898</v>
      </c>
      <c r="E99">
        <f>(3/(1+('CurrentFact-N10,20,40,60Unchan'!C99+'CurrentFact-N10,20,40,60Unchan'!I99)/100)+103/POWER(1+('CurrentFact-N10,20,40,60Unchan'!D99+'CurrentFact-N10,20,40,60Unchan'!I99)/100,2))*100</f>
        <v>9676.6907857653259</v>
      </c>
      <c r="F99">
        <f>Portfolio!B$5*'CurrentFact-N10,20,40,60Unchan'!E99</f>
        <v>52143.895533915893</v>
      </c>
      <c r="G99">
        <f>Portfolio!B$6*'CurrentFact-N10,20,40,60Unchan'!F99</f>
        <v>3696.2945087936532</v>
      </c>
      <c r="H99">
        <f t="shared" ref="H99:H130" si="5">SUM(B99:G99)</f>
        <v>94440.673519964359</v>
      </c>
      <c r="I99">
        <f t="shared" si="4"/>
        <v>0</v>
      </c>
    </row>
    <row r="100" spans="1:9">
      <c r="A100" s="1">
        <v>39398</v>
      </c>
      <c r="B100">
        <f>(3/(1+('CurrentFact-N10,20,40,60Unchan'!C100)/100)+103/POWER(1+('CurrentFact-N10,20,40,60Unchan'!D100)/100,2))*100</f>
        <v>9707.5857774288397</v>
      </c>
      <c r="C100">
        <f>(3/(1+('CurrentFact-N10,20,40,60Unchan'!C100+'CurrentFact-N10,20,40,60Unchan'!G100)/100)+103/POWER(1+('CurrentFact-N10,20,40,60Unchan'!D100+'CurrentFact-N10,20,40,60Unchan'!G100)/100,2))*100</f>
        <v>9614.9673582483465</v>
      </c>
      <c r="D100">
        <f>(3/(1+('CurrentFact-N10,20,40,60Unchan'!C100+'CurrentFact-N10,20,40,60Unchan'!H100)/100)+103/POWER(1+('CurrentFact-N10,20,40,60Unchan'!D100+'CurrentFact-N10,20,40,60Unchan'!H100)/100,2))*100</f>
        <v>9601.2395558122898</v>
      </c>
      <c r="E100">
        <f>(3/(1+('CurrentFact-N10,20,40,60Unchan'!C100+'CurrentFact-N10,20,40,60Unchan'!I100)/100)+103/POWER(1+('CurrentFact-N10,20,40,60Unchan'!D100+'CurrentFact-N10,20,40,60Unchan'!I100)/100,2))*100</f>
        <v>9676.6907857653259</v>
      </c>
      <c r="F100">
        <f>Portfolio!B$5*'CurrentFact-N10,20,40,60Unchan'!E100</f>
        <v>52143.895533915893</v>
      </c>
      <c r="G100">
        <f>Portfolio!B$6*'CurrentFact-N10,20,40,60Unchan'!F100</f>
        <v>3696.2945087936532</v>
      </c>
      <c r="H100">
        <f t="shared" si="5"/>
        <v>94440.673519964359</v>
      </c>
      <c r="I100">
        <f t="shared" si="4"/>
        <v>0</v>
      </c>
    </row>
    <row r="101" spans="1:9">
      <c r="A101" s="1">
        <v>39399</v>
      </c>
      <c r="B101">
        <f>(3/(1+('CurrentFact-N10,20,40,60Unchan'!C101)/100)+103/POWER(1+('CurrentFact-N10,20,40,60Unchan'!D101)/100,2))*100</f>
        <v>9707.5857774288397</v>
      </c>
      <c r="C101">
        <f>(3/(1+('CurrentFact-N10,20,40,60Unchan'!C101+'CurrentFact-N10,20,40,60Unchan'!G101)/100)+103/POWER(1+('CurrentFact-N10,20,40,60Unchan'!D101+'CurrentFact-N10,20,40,60Unchan'!G101)/100,2))*100</f>
        <v>9614.9673582483465</v>
      </c>
      <c r="D101">
        <f>(3/(1+('CurrentFact-N10,20,40,60Unchan'!C101+'CurrentFact-N10,20,40,60Unchan'!H101)/100)+103/POWER(1+('CurrentFact-N10,20,40,60Unchan'!D101+'CurrentFact-N10,20,40,60Unchan'!H101)/100,2))*100</f>
        <v>9601.2395558122898</v>
      </c>
      <c r="E101">
        <f>(3/(1+('CurrentFact-N10,20,40,60Unchan'!C101+'CurrentFact-N10,20,40,60Unchan'!I101)/100)+103/POWER(1+('CurrentFact-N10,20,40,60Unchan'!D101+'CurrentFact-N10,20,40,60Unchan'!I101)/100,2))*100</f>
        <v>9676.6907857653259</v>
      </c>
      <c r="F101">
        <f>Portfolio!B$5*'CurrentFact-N10,20,40,60Unchan'!E101</f>
        <v>52143.895533915893</v>
      </c>
      <c r="G101">
        <f>Portfolio!B$6*'CurrentFact-N10,20,40,60Unchan'!F101</f>
        <v>3696.2945087936532</v>
      </c>
      <c r="H101">
        <f t="shared" si="5"/>
        <v>94440.673519964359</v>
      </c>
      <c r="I101">
        <f t="shared" si="4"/>
        <v>0</v>
      </c>
    </row>
    <row r="102" spans="1:9">
      <c r="A102" s="1">
        <v>39400</v>
      </c>
      <c r="B102">
        <f>(3/(1+('CurrentFact-N10,20,40,60Unchan'!C102)/100)+103/POWER(1+('CurrentFact-N10,20,40,60Unchan'!D102)/100,2))*100</f>
        <v>9707.5857774288397</v>
      </c>
      <c r="C102">
        <f>(3/(1+('CurrentFact-N10,20,40,60Unchan'!C102+'CurrentFact-N10,20,40,60Unchan'!G102)/100)+103/POWER(1+('CurrentFact-N10,20,40,60Unchan'!D102+'CurrentFact-N10,20,40,60Unchan'!G102)/100,2))*100</f>
        <v>9614.9673582483465</v>
      </c>
      <c r="D102">
        <f>(3/(1+('CurrentFact-N10,20,40,60Unchan'!C102+'CurrentFact-N10,20,40,60Unchan'!H102)/100)+103/POWER(1+('CurrentFact-N10,20,40,60Unchan'!D102+'CurrentFact-N10,20,40,60Unchan'!H102)/100,2))*100</f>
        <v>9601.2395558122898</v>
      </c>
      <c r="E102">
        <f>(3/(1+('CurrentFact-N10,20,40,60Unchan'!C102+'CurrentFact-N10,20,40,60Unchan'!I102)/100)+103/POWER(1+('CurrentFact-N10,20,40,60Unchan'!D102+'CurrentFact-N10,20,40,60Unchan'!I102)/100,2))*100</f>
        <v>9676.6907857653259</v>
      </c>
      <c r="F102">
        <f>Portfolio!B$5*'CurrentFact-N10,20,40,60Unchan'!E102</f>
        <v>52143.895533915893</v>
      </c>
      <c r="G102">
        <f>Portfolio!B$6*'CurrentFact-N10,20,40,60Unchan'!F102</f>
        <v>3696.2945087936532</v>
      </c>
      <c r="H102">
        <f t="shared" si="5"/>
        <v>94440.673519964359</v>
      </c>
      <c r="I102">
        <f t="shared" si="4"/>
        <v>0</v>
      </c>
    </row>
    <row r="103" spans="1:9">
      <c r="A103" s="1">
        <v>39401</v>
      </c>
      <c r="B103">
        <f>(3/(1+('CurrentFact-N10,20,40,60Unchan'!C103)/100)+103/POWER(1+('CurrentFact-N10,20,40,60Unchan'!D103)/100,2))*100</f>
        <v>9707.5857774288397</v>
      </c>
      <c r="C103">
        <f>(3/(1+('CurrentFact-N10,20,40,60Unchan'!C103+'CurrentFact-N10,20,40,60Unchan'!G103)/100)+103/POWER(1+('CurrentFact-N10,20,40,60Unchan'!D103+'CurrentFact-N10,20,40,60Unchan'!G103)/100,2))*100</f>
        <v>9614.9673582483465</v>
      </c>
      <c r="D103">
        <f>(3/(1+('CurrentFact-N10,20,40,60Unchan'!C103+'CurrentFact-N10,20,40,60Unchan'!H103)/100)+103/POWER(1+('CurrentFact-N10,20,40,60Unchan'!D103+'CurrentFact-N10,20,40,60Unchan'!H103)/100,2))*100</f>
        <v>9601.2395558122898</v>
      </c>
      <c r="E103">
        <f>(3/(1+('CurrentFact-N10,20,40,60Unchan'!C103+'CurrentFact-N10,20,40,60Unchan'!I103)/100)+103/POWER(1+('CurrentFact-N10,20,40,60Unchan'!D103+'CurrentFact-N10,20,40,60Unchan'!I103)/100,2))*100</f>
        <v>9676.6907857653259</v>
      </c>
      <c r="F103">
        <f>Portfolio!B$5*'CurrentFact-N10,20,40,60Unchan'!E103</f>
        <v>52143.895533915893</v>
      </c>
      <c r="G103">
        <f>Portfolio!B$6*'CurrentFact-N10,20,40,60Unchan'!F103</f>
        <v>3696.2945087936532</v>
      </c>
      <c r="H103">
        <f t="shared" si="5"/>
        <v>94440.673519964359</v>
      </c>
      <c r="I103">
        <f t="shared" si="4"/>
        <v>0</v>
      </c>
    </row>
    <row r="104" spans="1:9">
      <c r="A104" s="1">
        <v>39402</v>
      </c>
      <c r="B104">
        <f>(3/(1+('CurrentFact-N10,20,40,60Unchan'!C104)/100)+103/POWER(1+('CurrentFact-N10,20,40,60Unchan'!D104)/100,2))*100</f>
        <v>9707.5857774288397</v>
      </c>
      <c r="C104">
        <f>(3/(1+('CurrentFact-N10,20,40,60Unchan'!C104+'CurrentFact-N10,20,40,60Unchan'!G104)/100)+103/POWER(1+('CurrentFact-N10,20,40,60Unchan'!D104+'CurrentFact-N10,20,40,60Unchan'!G104)/100,2))*100</f>
        <v>9614.9673582483465</v>
      </c>
      <c r="D104">
        <f>(3/(1+('CurrentFact-N10,20,40,60Unchan'!C104+'CurrentFact-N10,20,40,60Unchan'!H104)/100)+103/POWER(1+('CurrentFact-N10,20,40,60Unchan'!D104+'CurrentFact-N10,20,40,60Unchan'!H104)/100,2))*100</f>
        <v>9601.2395558122898</v>
      </c>
      <c r="E104">
        <f>(3/(1+('CurrentFact-N10,20,40,60Unchan'!C104+'CurrentFact-N10,20,40,60Unchan'!I104)/100)+103/POWER(1+('CurrentFact-N10,20,40,60Unchan'!D104+'CurrentFact-N10,20,40,60Unchan'!I104)/100,2))*100</f>
        <v>9676.6907857653259</v>
      </c>
      <c r="F104">
        <f>Portfolio!B$5*'CurrentFact-N10,20,40,60Unchan'!E104</f>
        <v>52143.895533915893</v>
      </c>
      <c r="G104">
        <f>Portfolio!B$6*'CurrentFact-N10,20,40,60Unchan'!F104</f>
        <v>3696.2945087936532</v>
      </c>
      <c r="H104">
        <f t="shared" si="5"/>
        <v>94440.673519964359</v>
      </c>
      <c r="I104">
        <f t="shared" si="4"/>
        <v>0</v>
      </c>
    </row>
    <row r="105" spans="1:9">
      <c r="A105" s="1">
        <v>39405</v>
      </c>
      <c r="B105">
        <f>(3/(1+('CurrentFact-N10,20,40,60Unchan'!C105)/100)+103/POWER(1+('CurrentFact-N10,20,40,60Unchan'!D105)/100,2))*100</f>
        <v>9707.5857774288397</v>
      </c>
      <c r="C105">
        <f>(3/(1+('CurrentFact-N10,20,40,60Unchan'!C105+'CurrentFact-N10,20,40,60Unchan'!G105)/100)+103/POWER(1+('CurrentFact-N10,20,40,60Unchan'!D105+'CurrentFact-N10,20,40,60Unchan'!G105)/100,2))*100</f>
        <v>9614.9673582483465</v>
      </c>
      <c r="D105">
        <f>(3/(1+('CurrentFact-N10,20,40,60Unchan'!C105+'CurrentFact-N10,20,40,60Unchan'!H105)/100)+103/POWER(1+('CurrentFact-N10,20,40,60Unchan'!D105+'CurrentFact-N10,20,40,60Unchan'!H105)/100,2))*100</f>
        <v>9601.2395558122898</v>
      </c>
      <c r="E105">
        <f>(3/(1+('CurrentFact-N10,20,40,60Unchan'!C105+'CurrentFact-N10,20,40,60Unchan'!I105)/100)+103/POWER(1+('CurrentFact-N10,20,40,60Unchan'!D105+'CurrentFact-N10,20,40,60Unchan'!I105)/100,2))*100</f>
        <v>9676.6907857653259</v>
      </c>
      <c r="F105">
        <f>Portfolio!B$5*'CurrentFact-N10,20,40,60Unchan'!E105</f>
        <v>52143.895533915893</v>
      </c>
      <c r="G105">
        <f>Portfolio!B$6*'CurrentFact-N10,20,40,60Unchan'!F105</f>
        <v>3696.2945087936532</v>
      </c>
      <c r="H105">
        <f t="shared" si="5"/>
        <v>94440.673519964359</v>
      </c>
      <c r="I105">
        <f t="shared" si="4"/>
        <v>0</v>
      </c>
    </row>
    <row r="106" spans="1:9">
      <c r="A106" s="1">
        <v>39406</v>
      </c>
      <c r="B106">
        <f>(3/(1+('CurrentFact-N10,20,40,60Unchan'!C106)/100)+103/POWER(1+('CurrentFact-N10,20,40,60Unchan'!D106)/100,2))*100</f>
        <v>9707.5857774288397</v>
      </c>
      <c r="C106">
        <f>(3/(1+('CurrentFact-N10,20,40,60Unchan'!C106+'CurrentFact-N10,20,40,60Unchan'!G106)/100)+103/POWER(1+('CurrentFact-N10,20,40,60Unchan'!D106+'CurrentFact-N10,20,40,60Unchan'!G106)/100,2))*100</f>
        <v>9614.9673582483465</v>
      </c>
      <c r="D106">
        <f>(3/(1+('CurrentFact-N10,20,40,60Unchan'!C106+'CurrentFact-N10,20,40,60Unchan'!H106)/100)+103/POWER(1+('CurrentFact-N10,20,40,60Unchan'!D106+'CurrentFact-N10,20,40,60Unchan'!H106)/100,2))*100</f>
        <v>9601.2395558122898</v>
      </c>
      <c r="E106">
        <f>(3/(1+('CurrentFact-N10,20,40,60Unchan'!C106+'CurrentFact-N10,20,40,60Unchan'!I106)/100)+103/POWER(1+('CurrentFact-N10,20,40,60Unchan'!D106+'CurrentFact-N10,20,40,60Unchan'!I106)/100,2))*100</f>
        <v>9676.6907857653259</v>
      </c>
      <c r="F106">
        <f>Portfolio!B$5*'CurrentFact-N10,20,40,60Unchan'!E106</f>
        <v>52143.895533915893</v>
      </c>
      <c r="G106">
        <f>Portfolio!B$6*'CurrentFact-N10,20,40,60Unchan'!F106</f>
        <v>3696.2945087936532</v>
      </c>
      <c r="H106">
        <f t="shared" si="5"/>
        <v>94440.673519964359</v>
      </c>
      <c r="I106">
        <f t="shared" si="4"/>
        <v>0</v>
      </c>
    </row>
    <row r="107" spans="1:9">
      <c r="A107" s="1">
        <v>39407</v>
      </c>
      <c r="B107">
        <f>(3/(1+('CurrentFact-N10,20,40,60Unchan'!C107)/100)+103/POWER(1+('CurrentFact-N10,20,40,60Unchan'!D107)/100,2))*100</f>
        <v>9707.5857774288397</v>
      </c>
      <c r="C107">
        <f>(3/(1+('CurrentFact-N10,20,40,60Unchan'!C107+'CurrentFact-N10,20,40,60Unchan'!G107)/100)+103/POWER(1+('CurrentFact-N10,20,40,60Unchan'!D107+'CurrentFact-N10,20,40,60Unchan'!G107)/100,2))*100</f>
        <v>9614.9673582483465</v>
      </c>
      <c r="D107">
        <f>(3/(1+('CurrentFact-N10,20,40,60Unchan'!C107+'CurrentFact-N10,20,40,60Unchan'!H107)/100)+103/POWER(1+('CurrentFact-N10,20,40,60Unchan'!D107+'CurrentFact-N10,20,40,60Unchan'!H107)/100,2))*100</f>
        <v>9601.2395558122898</v>
      </c>
      <c r="E107">
        <f>(3/(1+('CurrentFact-N10,20,40,60Unchan'!C107+'CurrentFact-N10,20,40,60Unchan'!I107)/100)+103/POWER(1+('CurrentFact-N10,20,40,60Unchan'!D107+'CurrentFact-N10,20,40,60Unchan'!I107)/100,2))*100</f>
        <v>9676.6907857653259</v>
      </c>
      <c r="F107">
        <f>Portfolio!B$5*'CurrentFact-N10,20,40,60Unchan'!E107</f>
        <v>52143.895533915893</v>
      </c>
      <c r="G107">
        <f>Portfolio!B$6*'CurrentFact-N10,20,40,60Unchan'!F107</f>
        <v>3696.2945087936532</v>
      </c>
      <c r="H107">
        <f t="shared" si="5"/>
        <v>94440.673519964359</v>
      </c>
      <c r="I107">
        <f t="shared" si="4"/>
        <v>0</v>
      </c>
    </row>
    <row r="108" spans="1:9">
      <c r="A108" s="1">
        <v>39408</v>
      </c>
      <c r="B108">
        <f>(3/(1+('CurrentFact-N10,20,40,60Unchan'!C108)/100)+103/POWER(1+('CurrentFact-N10,20,40,60Unchan'!D108)/100,2))*100</f>
        <v>9707.5857774288397</v>
      </c>
      <c r="C108">
        <f>(3/(1+('CurrentFact-N10,20,40,60Unchan'!C108+'CurrentFact-N10,20,40,60Unchan'!G108)/100)+103/POWER(1+('CurrentFact-N10,20,40,60Unchan'!D108+'CurrentFact-N10,20,40,60Unchan'!G108)/100,2))*100</f>
        <v>9614.9673582483465</v>
      </c>
      <c r="D108">
        <f>(3/(1+('CurrentFact-N10,20,40,60Unchan'!C108+'CurrentFact-N10,20,40,60Unchan'!H108)/100)+103/POWER(1+('CurrentFact-N10,20,40,60Unchan'!D108+'CurrentFact-N10,20,40,60Unchan'!H108)/100,2))*100</f>
        <v>9601.2395558122898</v>
      </c>
      <c r="E108">
        <f>(3/(1+('CurrentFact-N10,20,40,60Unchan'!C108+'CurrentFact-N10,20,40,60Unchan'!I108)/100)+103/POWER(1+('CurrentFact-N10,20,40,60Unchan'!D108+'CurrentFact-N10,20,40,60Unchan'!I108)/100,2))*100</f>
        <v>9676.6907857653259</v>
      </c>
      <c r="F108">
        <f>Portfolio!B$5*'CurrentFact-N10,20,40,60Unchan'!E108</f>
        <v>52143.895533915893</v>
      </c>
      <c r="G108">
        <f>Portfolio!B$6*'CurrentFact-N10,20,40,60Unchan'!F108</f>
        <v>3696.2945087936532</v>
      </c>
      <c r="H108">
        <f t="shared" si="5"/>
        <v>94440.673519964359</v>
      </c>
      <c r="I108">
        <f t="shared" si="4"/>
        <v>0</v>
      </c>
    </row>
    <row r="109" spans="1:9">
      <c r="A109" s="1">
        <v>39409</v>
      </c>
      <c r="B109">
        <f>(3/(1+('CurrentFact-N10,20,40,60Unchan'!C109)/100)+103/POWER(1+('CurrentFact-N10,20,40,60Unchan'!D109)/100,2))*100</f>
        <v>9707.5857774288397</v>
      </c>
      <c r="C109">
        <f>(3/(1+('CurrentFact-N10,20,40,60Unchan'!C109+'CurrentFact-N10,20,40,60Unchan'!G109)/100)+103/POWER(1+('CurrentFact-N10,20,40,60Unchan'!D109+'CurrentFact-N10,20,40,60Unchan'!G109)/100,2))*100</f>
        <v>9614.9673582483465</v>
      </c>
      <c r="D109">
        <f>(3/(1+('CurrentFact-N10,20,40,60Unchan'!C109+'CurrentFact-N10,20,40,60Unchan'!H109)/100)+103/POWER(1+('CurrentFact-N10,20,40,60Unchan'!D109+'CurrentFact-N10,20,40,60Unchan'!H109)/100,2))*100</f>
        <v>9601.2395558122898</v>
      </c>
      <c r="E109">
        <f>(3/(1+('CurrentFact-N10,20,40,60Unchan'!C109+'CurrentFact-N10,20,40,60Unchan'!I109)/100)+103/POWER(1+('CurrentFact-N10,20,40,60Unchan'!D109+'CurrentFact-N10,20,40,60Unchan'!I109)/100,2))*100</f>
        <v>9676.6907857653259</v>
      </c>
      <c r="F109">
        <f>Portfolio!B$5*'CurrentFact-N10,20,40,60Unchan'!E109</f>
        <v>52143.895533915893</v>
      </c>
      <c r="G109">
        <f>Portfolio!B$6*'CurrentFact-N10,20,40,60Unchan'!F109</f>
        <v>3696.2945087936532</v>
      </c>
      <c r="H109">
        <f t="shared" si="5"/>
        <v>94440.673519964359</v>
      </c>
      <c r="I109">
        <f t="shared" si="4"/>
        <v>0</v>
      </c>
    </row>
    <row r="110" spans="1:9">
      <c r="A110" s="1">
        <v>39412</v>
      </c>
      <c r="B110">
        <f>(3/(1+('CurrentFact-N10,20,40,60Unchan'!C110)/100)+103/POWER(1+('CurrentFact-N10,20,40,60Unchan'!D110)/100,2))*100</f>
        <v>9707.5857774288397</v>
      </c>
      <c r="C110">
        <f>(3/(1+('CurrentFact-N10,20,40,60Unchan'!C110+'CurrentFact-N10,20,40,60Unchan'!G110)/100)+103/POWER(1+('CurrentFact-N10,20,40,60Unchan'!D110+'CurrentFact-N10,20,40,60Unchan'!G110)/100,2))*100</f>
        <v>9614.9673582483465</v>
      </c>
      <c r="D110">
        <f>(3/(1+('CurrentFact-N10,20,40,60Unchan'!C110+'CurrentFact-N10,20,40,60Unchan'!H110)/100)+103/POWER(1+('CurrentFact-N10,20,40,60Unchan'!D110+'CurrentFact-N10,20,40,60Unchan'!H110)/100,2))*100</f>
        <v>9601.2395558122898</v>
      </c>
      <c r="E110">
        <f>(3/(1+('CurrentFact-N10,20,40,60Unchan'!C110+'CurrentFact-N10,20,40,60Unchan'!I110)/100)+103/POWER(1+('CurrentFact-N10,20,40,60Unchan'!D110+'CurrentFact-N10,20,40,60Unchan'!I110)/100,2))*100</f>
        <v>9676.6907857653259</v>
      </c>
      <c r="F110">
        <f>Portfolio!B$5*'CurrentFact-N10,20,40,60Unchan'!E110</f>
        <v>52143.895533915893</v>
      </c>
      <c r="G110">
        <f>Portfolio!B$6*'CurrentFact-N10,20,40,60Unchan'!F110</f>
        <v>3696.2945087936532</v>
      </c>
      <c r="H110">
        <f t="shared" si="5"/>
        <v>94440.673519964359</v>
      </c>
      <c r="I110">
        <f t="shared" si="4"/>
        <v>0</v>
      </c>
    </row>
    <row r="111" spans="1:9">
      <c r="A111" s="1">
        <v>39413</v>
      </c>
      <c r="B111">
        <f>(3/(1+('CurrentFact-N10,20,40,60Unchan'!C111)/100)+103/POWER(1+('CurrentFact-N10,20,40,60Unchan'!D111)/100,2))*100</f>
        <v>9707.5857774288397</v>
      </c>
      <c r="C111">
        <f>(3/(1+('CurrentFact-N10,20,40,60Unchan'!C111+'CurrentFact-N10,20,40,60Unchan'!G111)/100)+103/POWER(1+('CurrentFact-N10,20,40,60Unchan'!D111+'CurrentFact-N10,20,40,60Unchan'!G111)/100,2))*100</f>
        <v>9614.9673582483465</v>
      </c>
      <c r="D111">
        <f>(3/(1+('CurrentFact-N10,20,40,60Unchan'!C111+'CurrentFact-N10,20,40,60Unchan'!H111)/100)+103/POWER(1+('CurrentFact-N10,20,40,60Unchan'!D111+'CurrentFact-N10,20,40,60Unchan'!H111)/100,2))*100</f>
        <v>9601.2395558122898</v>
      </c>
      <c r="E111">
        <f>(3/(1+('CurrentFact-N10,20,40,60Unchan'!C111+'CurrentFact-N10,20,40,60Unchan'!I111)/100)+103/POWER(1+('CurrentFact-N10,20,40,60Unchan'!D111+'CurrentFact-N10,20,40,60Unchan'!I111)/100,2))*100</f>
        <v>9676.6907857653259</v>
      </c>
      <c r="F111">
        <f>Portfolio!B$5*'CurrentFact-N10,20,40,60Unchan'!E111</f>
        <v>52143.895533915893</v>
      </c>
      <c r="G111">
        <f>Portfolio!B$6*'CurrentFact-N10,20,40,60Unchan'!F111</f>
        <v>3696.2945087936532</v>
      </c>
      <c r="H111">
        <f t="shared" si="5"/>
        <v>94440.673519964359</v>
      </c>
      <c r="I111">
        <f t="shared" si="4"/>
        <v>0</v>
      </c>
    </row>
    <row r="112" spans="1:9">
      <c r="A112" s="1">
        <v>39414</v>
      </c>
      <c r="B112">
        <f>(3/(1+('CurrentFact-N10,20,40,60Unchan'!C112)/100)+103/POWER(1+('CurrentFact-N10,20,40,60Unchan'!D112)/100,2))*100</f>
        <v>9707.5857774288397</v>
      </c>
      <c r="C112">
        <f>(3/(1+('CurrentFact-N10,20,40,60Unchan'!C112+'CurrentFact-N10,20,40,60Unchan'!G112)/100)+103/POWER(1+('CurrentFact-N10,20,40,60Unchan'!D112+'CurrentFact-N10,20,40,60Unchan'!G112)/100,2))*100</f>
        <v>9614.9673582483465</v>
      </c>
      <c r="D112">
        <f>(3/(1+('CurrentFact-N10,20,40,60Unchan'!C112+'CurrentFact-N10,20,40,60Unchan'!H112)/100)+103/POWER(1+('CurrentFact-N10,20,40,60Unchan'!D112+'CurrentFact-N10,20,40,60Unchan'!H112)/100,2))*100</f>
        <v>9601.2395558122898</v>
      </c>
      <c r="E112">
        <f>(3/(1+('CurrentFact-N10,20,40,60Unchan'!C112+'CurrentFact-N10,20,40,60Unchan'!I112)/100)+103/POWER(1+('CurrentFact-N10,20,40,60Unchan'!D112+'CurrentFact-N10,20,40,60Unchan'!I112)/100,2))*100</f>
        <v>9676.6907857653259</v>
      </c>
      <c r="F112">
        <f>Portfolio!B$5*'CurrentFact-N10,20,40,60Unchan'!E112</f>
        <v>52143.895533915893</v>
      </c>
      <c r="G112">
        <f>Portfolio!B$6*'CurrentFact-N10,20,40,60Unchan'!F112</f>
        <v>3696.2945087936532</v>
      </c>
      <c r="H112">
        <f t="shared" si="5"/>
        <v>94440.673519964359</v>
      </c>
      <c r="I112">
        <f t="shared" si="4"/>
        <v>0</v>
      </c>
    </row>
    <row r="113" spans="1:9">
      <c r="A113" s="1">
        <v>39415</v>
      </c>
      <c r="B113">
        <f>(3/(1+('CurrentFact-N10,20,40,60Unchan'!C113)/100)+103/POWER(1+('CurrentFact-N10,20,40,60Unchan'!D113)/100,2))*100</f>
        <v>9707.5857774288397</v>
      </c>
      <c r="C113">
        <f>(3/(1+('CurrentFact-N10,20,40,60Unchan'!C113+'CurrentFact-N10,20,40,60Unchan'!G113)/100)+103/POWER(1+('CurrentFact-N10,20,40,60Unchan'!D113+'CurrentFact-N10,20,40,60Unchan'!G113)/100,2))*100</f>
        <v>9614.9673582483465</v>
      </c>
      <c r="D113">
        <f>(3/(1+('CurrentFact-N10,20,40,60Unchan'!C113+'CurrentFact-N10,20,40,60Unchan'!H113)/100)+103/POWER(1+('CurrentFact-N10,20,40,60Unchan'!D113+'CurrentFact-N10,20,40,60Unchan'!H113)/100,2))*100</f>
        <v>9601.2395558122898</v>
      </c>
      <c r="E113">
        <f>(3/(1+('CurrentFact-N10,20,40,60Unchan'!C113+'CurrentFact-N10,20,40,60Unchan'!I113)/100)+103/POWER(1+('CurrentFact-N10,20,40,60Unchan'!D113+'CurrentFact-N10,20,40,60Unchan'!I113)/100,2))*100</f>
        <v>9676.6907857653259</v>
      </c>
      <c r="F113">
        <f>Portfolio!B$5*'CurrentFact-N10,20,40,60Unchan'!E113</f>
        <v>52143.895533915893</v>
      </c>
      <c r="G113">
        <f>Portfolio!B$6*'CurrentFact-N10,20,40,60Unchan'!F113</f>
        <v>3696.2945087936532</v>
      </c>
      <c r="H113">
        <f t="shared" si="5"/>
        <v>94440.673519964359</v>
      </c>
      <c r="I113">
        <f t="shared" si="4"/>
        <v>0</v>
      </c>
    </row>
    <row r="114" spans="1:9">
      <c r="A114" s="1">
        <v>39416</v>
      </c>
      <c r="B114">
        <f>(3/(1+('CurrentFact-N10,20,40,60Unchan'!C114)/100)+103/POWER(1+('CurrentFact-N10,20,40,60Unchan'!D114)/100,2))*100</f>
        <v>9707.5857774288397</v>
      </c>
      <c r="C114">
        <f>(3/(1+('CurrentFact-N10,20,40,60Unchan'!C114+'CurrentFact-N10,20,40,60Unchan'!G114)/100)+103/POWER(1+('CurrentFact-N10,20,40,60Unchan'!D114+'CurrentFact-N10,20,40,60Unchan'!G114)/100,2))*100</f>
        <v>9614.9673582483465</v>
      </c>
      <c r="D114">
        <f>(3/(1+('CurrentFact-N10,20,40,60Unchan'!C114+'CurrentFact-N10,20,40,60Unchan'!H114)/100)+103/POWER(1+('CurrentFact-N10,20,40,60Unchan'!D114+'CurrentFact-N10,20,40,60Unchan'!H114)/100,2))*100</f>
        <v>9601.2395558122898</v>
      </c>
      <c r="E114">
        <f>(3/(1+('CurrentFact-N10,20,40,60Unchan'!C114+'CurrentFact-N10,20,40,60Unchan'!I114)/100)+103/POWER(1+('CurrentFact-N10,20,40,60Unchan'!D114+'CurrentFact-N10,20,40,60Unchan'!I114)/100,2))*100</f>
        <v>9676.6907857653259</v>
      </c>
      <c r="F114">
        <f>Portfolio!B$5*'CurrentFact-N10,20,40,60Unchan'!E114</f>
        <v>52143.895533915893</v>
      </c>
      <c r="G114">
        <f>Portfolio!B$6*'CurrentFact-N10,20,40,60Unchan'!F114</f>
        <v>3696.2945087936532</v>
      </c>
      <c r="H114">
        <f t="shared" si="5"/>
        <v>94440.673519964359</v>
      </c>
      <c r="I114">
        <f t="shared" si="4"/>
        <v>0</v>
      </c>
    </row>
    <row r="115" spans="1:9">
      <c r="A115" s="1">
        <v>39419</v>
      </c>
      <c r="B115">
        <f>(3/(1+('CurrentFact-N10,20,40,60Unchan'!C115)/100)+103/POWER(1+('CurrentFact-N10,20,40,60Unchan'!D115)/100,2))*100</f>
        <v>9707.5857774288397</v>
      </c>
      <c r="C115">
        <f>(3/(1+('CurrentFact-N10,20,40,60Unchan'!C115+'CurrentFact-N10,20,40,60Unchan'!G115)/100)+103/POWER(1+('CurrentFact-N10,20,40,60Unchan'!D115+'CurrentFact-N10,20,40,60Unchan'!G115)/100,2))*100</f>
        <v>9614.9673582483465</v>
      </c>
      <c r="D115">
        <f>(3/(1+('CurrentFact-N10,20,40,60Unchan'!C115+'CurrentFact-N10,20,40,60Unchan'!H115)/100)+103/POWER(1+('CurrentFact-N10,20,40,60Unchan'!D115+'CurrentFact-N10,20,40,60Unchan'!H115)/100,2))*100</f>
        <v>9601.2395558122898</v>
      </c>
      <c r="E115">
        <f>(3/(1+('CurrentFact-N10,20,40,60Unchan'!C115+'CurrentFact-N10,20,40,60Unchan'!I115)/100)+103/POWER(1+('CurrentFact-N10,20,40,60Unchan'!D115+'CurrentFact-N10,20,40,60Unchan'!I115)/100,2))*100</f>
        <v>9676.6907857653259</v>
      </c>
      <c r="F115">
        <f>Portfolio!B$5*'CurrentFact-N10,20,40,60Unchan'!E115</f>
        <v>52143.895533915893</v>
      </c>
      <c r="G115">
        <f>Portfolio!B$6*'CurrentFact-N10,20,40,60Unchan'!F115</f>
        <v>3696.2945087936532</v>
      </c>
      <c r="H115">
        <f t="shared" si="5"/>
        <v>94440.673519964359</v>
      </c>
      <c r="I115">
        <f t="shared" si="4"/>
        <v>0</v>
      </c>
    </row>
    <row r="116" spans="1:9">
      <c r="A116" s="1">
        <v>39420</v>
      </c>
      <c r="B116">
        <f>(3/(1+('CurrentFact-N10,20,40,60Unchan'!C116)/100)+103/POWER(1+('CurrentFact-N10,20,40,60Unchan'!D116)/100,2))*100</f>
        <v>9707.5857774288397</v>
      </c>
      <c r="C116">
        <f>(3/(1+('CurrentFact-N10,20,40,60Unchan'!C116+'CurrentFact-N10,20,40,60Unchan'!G116)/100)+103/POWER(1+('CurrentFact-N10,20,40,60Unchan'!D116+'CurrentFact-N10,20,40,60Unchan'!G116)/100,2))*100</f>
        <v>9614.9673582483465</v>
      </c>
      <c r="D116">
        <f>(3/(1+('CurrentFact-N10,20,40,60Unchan'!C116+'CurrentFact-N10,20,40,60Unchan'!H116)/100)+103/POWER(1+('CurrentFact-N10,20,40,60Unchan'!D116+'CurrentFact-N10,20,40,60Unchan'!H116)/100,2))*100</f>
        <v>9601.2395558122898</v>
      </c>
      <c r="E116">
        <f>(3/(1+('CurrentFact-N10,20,40,60Unchan'!C116+'CurrentFact-N10,20,40,60Unchan'!I116)/100)+103/POWER(1+('CurrentFact-N10,20,40,60Unchan'!D116+'CurrentFact-N10,20,40,60Unchan'!I116)/100,2))*100</f>
        <v>9676.6907857653259</v>
      </c>
      <c r="F116">
        <f>Portfolio!B$5*'CurrentFact-N10,20,40,60Unchan'!E116</f>
        <v>52143.895533915893</v>
      </c>
      <c r="G116">
        <f>Portfolio!B$6*'CurrentFact-N10,20,40,60Unchan'!F116</f>
        <v>3696.2945087936532</v>
      </c>
      <c r="H116">
        <f t="shared" si="5"/>
        <v>94440.673519964359</v>
      </c>
      <c r="I116">
        <f t="shared" si="4"/>
        <v>0</v>
      </c>
    </row>
    <row r="117" spans="1:9">
      <c r="A117" s="1">
        <v>39421</v>
      </c>
      <c r="B117">
        <f>(3/(1+('CurrentFact-N10,20,40,60Unchan'!C117)/100)+103/POWER(1+('CurrentFact-N10,20,40,60Unchan'!D117)/100,2))*100</f>
        <v>9707.5857774288397</v>
      </c>
      <c r="C117">
        <f>(3/(1+('CurrentFact-N10,20,40,60Unchan'!C117+'CurrentFact-N10,20,40,60Unchan'!G117)/100)+103/POWER(1+('CurrentFact-N10,20,40,60Unchan'!D117+'CurrentFact-N10,20,40,60Unchan'!G117)/100,2))*100</f>
        <v>9614.9673582483465</v>
      </c>
      <c r="D117">
        <f>(3/(1+('CurrentFact-N10,20,40,60Unchan'!C117+'CurrentFact-N10,20,40,60Unchan'!H117)/100)+103/POWER(1+('CurrentFact-N10,20,40,60Unchan'!D117+'CurrentFact-N10,20,40,60Unchan'!H117)/100,2))*100</f>
        <v>9601.2395558122898</v>
      </c>
      <c r="E117">
        <f>(3/(1+('CurrentFact-N10,20,40,60Unchan'!C117+'CurrentFact-N10,20,40,60Unchan'!I117)/100)+103/POWER(1+('CurrentFact-N10,20,40,60Unchan'!D117+'CurrentFact-N10,20,40,60Unchan'!I117)/100,2))*100</f>
        <v>9676.6907857653259</v>
      </c>
      <c r="F117">
        <f>Portfolio!B$5*'CurrentFact-N10,20,40,60Unchan'!E117</f>
        <v>52143.895533915893</v>
      </c>
      <c r="G117">
        <f>Portfolio!B$6*'CurrentFact-N10,20,40,60Unchan'!F117</f>
        <v>3696.2945087936532</v>
      </c>
      <c r="H117">
        <f t="shared" si="5"/>
        <v>94440.673519964359</v>
      </c>
      <c r="I117">
        <f t="shared" si="4"/>
        <v>0</v>
      </c>
    </row>
    <row r="118" spans="1:9">
      <c r="A118" s="1">
        <v>39422</v>
      </c>
      <c r="B118">
        <f>(3/(1+('CurrentFact-N10,20,40,60Unchan'!C118)/100)+103/POWER(1+('CurrentFact-N10,20,40,60Unchan'!D118)/100,2))*100</f>
        <v>9707.5857774288397</v>
      </c>
      <c r="C118">
        <f>(3/(1+('CurrentFact-N10,20,40,60Unchan'!C118+'CurrentFact-N10,20,40,60Unchan'!G118)/100)+103/POWER(1+('CurrentFact-N10,20,40,60Unchan'!D118+'CurrentFact-N10,20,40,60Unchan'!G118)/100,2))*100</f>
        <v>9614.9673582483465</v>
      </c>
      <c r="D118">
        <f>(3/(1+('CurrentFact-N10,20,40,60Unchan'!C118+'CurrentFact-N10,20,40,60Unchan'!H118)/100)+103/POWER(1+('CurrentFact-N10,20,40,60Unchan'!D118+'CurrentFact-N10,20,40,60Unchan'!H118)/100,2))*100</f>
        <v>9601.2395558122898</v>
      </c>
      <c r="E118">
        <f>(3/(1+('CurrentFact-N10,20,40,60Unchan'!C118+'CurrentFact-N10,20,40,60Unchan'!I118)/100)+103/POWER(1+('CurrentFact-N10,20,40,60Unchan'!D118+'CurrentFact-N10,20,40,60Unchan'!I118)/100,2))*100</f>
        <v>9676.6907857653259</v>
      </c>
      <c r="F118">
        <f>Portfolio!B$5*'CurrentFact-N10,20,40,60Unchan'!E118</f>
        <v>52143.895533915893</v>
      </c>
      <c r="G118">
        <f>Portfolio!B$6*'CurrentFact-N10,20,40,60Unchan'!F118</f>
        <v>3696.2945087936532</v>
      </c>
      <c r="H118">
        <f t="shared" si="5"/>
        <v>94440.673519964359</v>
      </c>
      <c r="I118">
        <f t="shared" si="4"/>
        <v>0</v>
      </c>
    </row>
    <row r="119" spans="1:9">
      <c r="A119" s="1">
        <v>39423</v>
      </c>
      <c r="B119">
        <f>(3/(1+('CurrentFact-N10,20,40,60Unchan'!C119)/100)+103/POWER(1+('CurrentFact-N10,20,40,60Unchan'!D119)/100,2))*100</f>
        <v>9707.5857774288397</v>
      </c>
      <c r="C119">
        <f>(3/(1+('CurrentFact-N10,20,40,60Unchan'!C119+'CurrentFact-N10,20,40,60Unchan'!G119)/100)+103/POWER(1+('CurrentFact-N10,20,40,60Unchan'!D119+'CurrentFact-N10,20,40,60Unchan'!G119)/100,2))*100</f>
        <v>9614.9673582483465</v>
      </c>
      <c r="D119">
        <f>(3/(1+('CurrentFact-N10,20,40,60Unchan'!C119+'CurrentFact-N10,20,40,60Unchan'!H119)/100)+103/POWER(1+('CurrentFact-N10,20,40,60Unchan'!D119+'CurrentFact-N10,20,40,60Unchan'!H119)/100,2))*100</f>
        <v>9601.2395558122898</v>
      </c>
      <c r="E119">
        <f>(3/(1+('CurrentFact-N10,20,40,60Unchan'!C119+'CurrentFact-N10,20,40,60Unchan'!I119)/100)+103/POWER(1+('CurrentFact-N10,20,40,60Unchan'!D119+'CurrentFact-N10,20,40,60Unchan'!I119)/100,2))*100</f>
        <v>9676.6907857653259</v>
      </c>
      <c r="F119">
        <f>Portfolio!B$5*'CurrentFact-N10,20,40,60Unchan'!E119</f>
        <v>52143.895533915893</v>
      </c>
      <c r="G119">
        <f>Portfolio!B$6*'CurrentFact-N10,20,40,60Unchan'!F119</f>
        <v>3696.2945087936532</v>
      </c>
      <c r="H119">
        <f t="shared" si="5"/>
        <v>94440.673519964359</v>
      </c>
      <c r="I119">
        <f t="shared" si="4"/>
        <v>0</v>
      </c>
    </row>
    <row r="120" spans="1:9">
      <c r="A120" s="1">
        <v>39426</v>
      </c>
      <c r="B120">
        <f>(3/(1+('CurrentFact-N10,20,40,60Unchan'!C120)/100)+103/POWER(1+('CurrentFact-N10,20,40,60Unchan'!D120)/100,2))*100</f>
        <v>9707.5857774288397</v>
      </c>
      <c r="C120">
        <f>(3/(1+('CurrentFact-N10,20,40,60Unchan'!C120+'CurrentFact-N10,20,40,60Unchan'!G120)/100)+103/POWER(1+('CurrentFact-N10,20,40,60Unchan'!D120+'CurrentFact-N10,20,40,60Unchan'!G120)/100,2))*100</f>
        <v>9614.9673582483465</v>
      </c>
      <c r="D120">
        <f>(3/(1+('CurrentFact-N10,20,40,60Unchan'!C120+'CurrentFact-N10,20,40,60Unchan'!H120)/100)+103/POWER(1+('CurrentFact-N10,20,40,60Unchan'!D120+'CurrentFact-N10,20,40,60Unchan'!H120)/100,2))*100</f>
        <v>9601.2395558122898</v>
      </c>
      <c r="E120">
        <f>(3/(1+('CurrentFact-N10,20,40,60Unchan'!C120+'CurrentFact-N10,20,40,60Unchan'!I120)/100)+103/POWER(1+('CurrentFact-N10,20,40,60Unchan'!D120+'CurrentFact-N10,20,40,60Unchan'!I120)/100,2))*100</f>
        <v>9676.6907857653259</v>
      </c>
      <c r="F120">
        <f>Portfolio!B$5*'CurrentFact-N10,20,40,60Unchan'!E120</f>
        <v>52143.895533915893</v>
      </c>
      <c r="G120">
        <f>Portfolio!B$6*'CurrentFact-N10,20,40,60Unchan'!F120</f>
        <v>3696.2945087936532</v>
      </c>
      <c r="H120">
        <f t="shared" si="5"/>
        <v>94440.673519964359</v>
      </c>
      <c r="I120">
        <f t="shared" si="4"/>
        <v>0</v>
      </c>
    </row>
    <row r="121" spans="1:9">
      <c r="A121" s="1">
        <v>39427</v>
      </c>
      <c r="B121">
        <f>(3/(1+('CurrentFact-N10,20,40,60Unchan'!C121)/100)+103/POWER(1+('CurrentFact-N10,20,40,60Unchan'!D121)/100,2))*100</f>
        <v>9707.5857774288397</v>
      </c>
      <c r="C121">
        <f>(3/(1+('CurrentFact-N10,20,40,60Unchan'!C121+'CurrentFact-N10,20,40,60Unchan'!G121)/100)+103/POWER(1+('CurrentFact-N10,20,40,60Unchan'!D121+'CurrentFact-N10,20,40,60Unchan'!G121)/100,2))*100</f>
        <v>9614.9673582483465</v>
      </c>
      <c r="D121">
        <f>(3/(1+('CurrentFact-N10,20,40,60Unchan'!C121+'CurrentFact-N10,20,40,60Unchan'!H121)/100)+103/POWER(1+('CurrentFact-N10,20,40,60Unchan'!D121+'CurrentFact-N10,20,40,60Unchan'!H121)/100,2))*100</f>
        <v>9601.2395558122898</v>
      </c>
      <c r="E121">
        <f>(3/(1+('CurrentFact-N10,20,40,60Unchan'!C121+'CurrentFact-N10,20,40,60Unchan'!I121)/100)+103/POWER(1+('CurrentFact-N10,20,40,60Unchan'!D121+'CurrentFact-N10,20,40,60Unchan'!I121)/100,2))*100</f>
        <v>9676.6907857653259</v>
      </c>
      <c r="F121">
        <f>Portfolio!B$5*'CurrentFact-N10,20,40,60Unchan'!E121</f>
        <v>52143.895533915893</v>
      </c>
      <c r="G121">
        <f>Portfolio!B$6*'CurrentFact-N10,20,40,60Unchan'!F121</f>
        <v>3696.2945087936532</v>
      </c>
      <c r="H121">
        <f t="shared" si="5"/>
        <v>94440.673519964359</v>
      </c>
      <c r="I121">
        <f t="shared" si="4"/>
        <v>0</v>
      </c>
    </row>
    <row r="122" spans="1:9">
      <c r="A122" s="1">
        <v>39428</v>
      </c>
      <c r="B122">
        <f>(3/(1+('CurrentFact-N10,20,40,60Unchan'!C122)/100)+103/POWER(1+('CurrentFact-N10,20,40,60Unchan'!D122)/100,2))*100</f>
        <v>9707.5857774288397</v>
      </c>
      <c r="C122">
        <f>(3/(1+('CurrentFact-N10,20,40,60Unchan'!C122+'CurrentFact-N10,20,40,60Unchan'!G122)/100)+103/POWER(1+('CurrentFact-N10,20,40,60Unchan'!D122+'CurrentFact-N10,20,40,60Unchan'!G122)/100,2))*100</f>
        <v>9614.9673582483465</v>
      </c>
      <c r="D122">
        <f>(3/(1+('CurrentFact-N10,20,40,60Unchan'!C122+'CurrentFact-N10,20,40,60Unchan'!H122)/100)+103/POWER(1+('CurrentFact-N10,20,40,60Unchan'!D122+'CurrentFact-N10,20,40,60Unchan'!H122)/100,2))*100</f>
        <v>9601.2395558122898</v>
      </c>
      <c r="E122">
        <f>(3/(1+('CurrentFact-N10,20,40,60Unchan'!C122+'CurrentFact-N10,20,40,60Unchan'!I122)/100)+103/POWER(1+('CurrentFact-N10,20,40,60Unchan'!D122+'CurrentFact-N10,20,40,60Unchan'!I122)/100,2))*100</f>
        <v>9676.6907857653259</v>
      </c>
      <c r="F122">
        <f>Portfolio!B$5*'CurrentFact-N10,20,40,60Unchan'!E122</f>
        <v>52143.895533915893</v>
      </c>
      <c r="G122">
        <f>Portfolio!B$6*'CurrentFact-N10,20,40,60Unchan'!F122</f>
        <v>3696.2945087936532</v>
      </c>
      <c r="H122">
        <f t="shared" si="5"/>
        <v>94440.673519964359</v>
      </c>
      <c r="I122">
        <f t="shared" si="4"/>
        <v>0</v>
      </c>
    </row>
    <row r="123" spans="1:9">
      <c r="A123" s="1">
        <v>39429</v>
      </c>
      <c r="B123">
        <f>(3/(1+('CurrentFact-N10,20,40,60Unchan'!C123)/100)+103/POWER(1+('CurrentFact-N10,20,40,60Unchan'!D123)/100,2))*100</f>
        <v>9707.5857774288397</v>
      </c>
      <c r="C123">
        <f>(3/(1+('CurrentFact-N10,20,40,60Unchan'!C123+'CurrentFact-N10,20,40,60Unchan'!G123)/100)+103/POWER(1+('CurrentFact-N10,20,40,60Unchan'!D123+'CurrentFact-N10,20,40,60Unchan'!G123)/100,2))*100</f>
        <v>9614.9673582483465</v>
      </c>
      <c r="D123">
        <f>(3/(1+('CurrentFact-N10,20,40,60Unchan'!C123+'CurrentFact-N10,20,40,60Unchan'!H123)/100)+103/POWER(1+('CurrentFact-N10,20,40,60Unchan'!D123+'CurrentFact-N10,20,40,60Unchan'!H123)/100,2))*100</f>
        <v>9601.2395558122898</v>
      </c>
      <c r="E123">
        <f>(3/(1+('CurrentFact-N10,20,40,60Unchan'!C123+'CurrentFact-N10,20,40,60Unchan'!I123)/100)+103/POWER(1+('CurrentFact-N10,20,40,60Unchan'!D123+'CurrentFact-N10,20,40,60Unchan'!I123)/100,2))*100</f>
        <v>9676.6907857653259</v>
      </c>
      <c r="F123">
        <f>Portfolio!B$5*'CurrentFact-N10,20,40,60Unchan'!E123</f>
        <v>52143.895533915893</v>
      </c>
      <c r="G123">
        <f>Portfolio!B$6*'CurrentFact-N10,20,40,60Unchan'!F123</f>
        <v>3696.2945087936532</v>
      </c>
      <c r="H123">
        <f t="shared" si="5"/>
        <v>94440.673519964359</v>
      </c>
      <c r="I123">
        <f t="shared" si="4"/>
        <v>0</v>
      </c>
    </row>
    <row r="124" spans="1:9">
      <c r="A124" s="1">
        <v>39430</v>
      </c>
      <c r="B124">
        <f>(3/(1+('CurrentFact-N10,20,40,60Unchan'!C124)/100)+103/POWER(1+('CurrentFact-N10,20,40,60Unchan'!D124)/100,2))*100</f>
        <v>9707.5857774288397</v>
      </c>
      <c r="C124">
        <f>(3/(1+('CurrentFact-N10,20,40,60Unchan'!C124+'CurrentFact-N10,20,40,60Unchan'!G124)/100)+103/POWER(1+('CurrentFact-N10,20,40,60Unchan'!D124+'CurrentFact-N10,20,40,60Unchan'!G124)/100,2))*100</f>
        <v>9614.9673582483465</v>
      </c>
      <c r="D124">
        <f>(3/(1+('CurrentFact-N10,20,40,60Unchan'!C124+'CurrentFact-N10,20,40,60Unchan'!H124)/100)+103/POWER(1+('CurrentFact-N10,20,40,60Unchan'!D124+'CurrentFact-N10,20,40,60Unchan'!H124)/100,2))*100</f>
        <v>9601.2395558122898</v>
      </c>
      <c r="E124">
        <f>(3/(1+('CurrentFact-N10,20,40,60Unchan'!C124+'CurrentFact-N10,20,40,60Unchan'!I124)/100)+103/POWER(1+('CurrentFact-N10,20,40,60Unchan'!D124+'CurrentFact-N10,20,40,60Unchan'!I124)/100,2))*100</f>
        <v>9676.6907857653259</v>
      </c>
      <c r="F124">
        <f>Portfolio!B$5*'CurrentFact-N10,20,40,60Unchan'!E124</f>
        <v>52143.895533915893</v>
      </c>
      <c r="G124">
        <f>Portfolio!B$6*'CurrentFact-N10,20,40,60Unchan'!F124</f>
        <v>3696.2945087936532</v>
      </c>
      <c r="H124">
        <f t="shared" si="5"/>
        <v>94440.673519964359</v>
      </c>
      <c r="I124">
        <f t="shared" si="4"/>
        <v>0</v>
      </c>
    </row>
    <row r="125" spans="1:9">
      <c r="A125" s="1">
        <v>39433</v>
      </c>
      <c r="B125">
        <f>(3/(1+('CurrentFact-N10,20,40,60Unchan'!C125)/100)+103/POWER(1+('CurrentFact-N10,20,40,60Unchan'!D125)/100,2))*100</f>
        <v>9707.5857774288397</v>
      </c>
      <c r="C125">
        <f>(3/(1+('CurrentFact-N10,20,40,60Unchan'!C125+'CurrentFact-N10,20,40,60Unchan'!G125)/100)+103/POWER(1+('CurrentFact-N10,20,40,60Unchan'!D125+'CurrentFact-N10,20,40,60Unchan'!G125)/100,2))*100</f>
        <v>9614.9673582483465</v>
      </c>
      <c r="D125">
        <f>(3/(1+('CurrentFact-N10,20,40,60Unchan'!C125+'CurrentFact-N10,20,40,60Unchan'!H125)/100)+103/POWER(1+('CurrentFact-N10,20,40,60Unchan'!D125+'CurrentFact-N10,20,40,60Unchan'!H125)/100,2))*100</f>
        <v>9601.2395558122898</v>
      </c>
      <c r="E125">
        <f>(3/(1+('CurrentFact-N10,20,40,60Unchan'!C125+'CurrentFact-N10,20,40,60Unchan'!I125)/100)+103/POWER(1+('CurrentFact-N10,20,40,60Unchan'!D125+'CurrentFact-N10,20,40,60Unchan'!I125)/100,2))*100</f>
        <v>9676.6907857653259</v>
      </c>
      <c r="F125">
        <f>Portfolio!B$5*'CurrentFact-N10,20,40,60Unchan'!E125</f>
        <v>52143.895533915893</v>
      </c>
      <c r="G125">
        <f>Portfolio!B$6*'CurrentFact-N10,20,40,60Unchan'!F125</f>
        <v>3696.2945087936532</v>
      </c>
      <c r="H125">
        <f t="shared" si="5"/>
        <v>94440.673519964359</v>
      </c>
      <c r="I125">
        <f t="shared" si="4"/>
        <v>0</v>
      </c>
    </row>
    <row r="126" spans="1:9">
      <c r="A126" s="1">
        <v>39434</v>
      </c>
      <c r="B126">
        <f>(3/(1+('CurrentFact-N10,20,40,60Unchan'!C126)/100)+103/POWER(1+('CurrentFact-N10,20,40,60Unchan'!D126)/100,2))*100</f>
        <v>9707.5857774288397</v>
      </c>
      <c r="C126">
        <f>(3/(1+('CurrentFact-N10,20,40,60Unchan'!C126+'CurrentFact-N10,20,40,60Unchan'!G126)/100)+103/POWER(1+('CurrentFact-N10,20,40,60Unchan'!D126+'CurrentFact-N10,20,40,60Unchan'!G126)/100,2))*100</f>
        <v>9614.9673582483465</v>
      </c>
      <c r="D126">
        <f>(3/(1+('CurrentFact-N10,20,40,60Unchan'!C126+'CurrentFact-N10,20,40,60Unchan'!H126)/100)+103/POWER(1+('CurrentFact-N10,20,40,60Unchan'!D126+'CurrentFact-N10,20,40,60Unchan'!H126)/100,2))*100</f>
        <v>9601.2395558122898</v>
      </c>
      <c r="E126">
        <f>(3/(1+('CurrentFact-N10,20,40,60Unchan'!C126+'CurrentFact-N10,20,40,60Unchan'!I126)/100)+103/POWER(1+('CurrentFact-N10,20,40,60Unchan'!D126+'CurrentFact-N10,20,40,60Unchan'!I126)/100,2))*100</f>
        <v>9676.6907857653259</v>
      </c>
      <c r="F126">
        <f>Portfolio!B$5*'CurrentFact-N10,20,40,60Unchan'!E126</f>
        <v>52143.895533915893</v>
      </c>
      <c r="G126">
        <f>Portfolio!B$6*'CurrentFact-N10,20,40,60Unchan'!F126</f>
        <v>3696.2945087936532</v>
      </c>
      <c r="H126">
        <f t="shared" si="5"/>
        <v>94440.673519964359</v>
      </c>
      <c r="I126">
        <f t="shared" si="4"/>
        <v>0</v>
      </c>
    </row>
    <row r="127" spans="1:9">
      <c r="A127" s="1">
        <v>39435</v>
      </c>
      <c r="B127">
        <f>(3/(1+('CurrentFact-N10,20,40,60Unchan'!C127)/100)+103/POWER(1+('CurrentFact-N10,20,40,60Unchan'!D127)/100,2))*100</f>
        <v>9707.5857774288397</v>
      </c>
      <c r="C127">
        <f>(3/(1+('CurrentFact-N10,20,40,60Unchan'!C127+'CurrentFact-N10,20,40,60Unchan'!G127)/100)+103/POWER(1+('CurrentFact-N10,20,40,60Unchan'!D127+'CurrentFact-N10,20,40,60Unchan'!G127)/100,2))*100</f>
        <v>9614.9673582483465</v>
      </c>
      <c r="D127">
        <f>(3/(1+('CurrentFact-N10,20,40,60Unchan'!C127+'CurrentFact-N10,20,40,60Unchan'!H127)/100)+103/POWER(1+('CurrentFact-N10,20,40,60Unchan'!D127+'CurrentFact-N10,20,40,60Unchan'!H127)/100,2))*100</f>
        <v>9601.2395558122898</v>
      </c>
      <c r="E127">
        <f>(3/(1+('CurrentFact-N10,20,40,60Unchan'!C127+'CurrentFact-N10,20,40,60Unchan'!I127)/100)+103/POWER(1+('CurrentFact-N10,20,40,60Unchan'!D127+'CurrentFact-N10,20,40,60Unchan'!I127)/100,2))*100</f>
        <v>9676.6907857653259</v>
      </c>
      <c r="F127">
        <f>Portfolio!B$5*'CurrentFact-N10,20,40,60Unchan'!E127</f>
        <v>52143.895533915893</v>
      </c>
      <c r="G127">
        <f>Portfolio!B$6*'CurrentFact-N10,20,40,60Unchan'!F127</f>
        <v>3696.2945087936532</v>
      </c>
      <c r="H127">
        <f t="shared" si="5"/>
        <v>94440.673519964359</v>
      </c>
      <c r="I127">
        <f t="shared" si="4"/>
        <v>0</v>
      </c>
    </row>
    <row r="128" spans="1:9">
      <c r="A128" s="1">
        <v>39436</v>
      </c>
      <c r="B128">
        <f>(3/(1+('CurrentFact-N10,20,40,60Unchan'!C128)/100)+103/POWER(1+('CurrentFact-N10,20,40,60Unchan'!D128)/100,2))*100</f>
        <v>9707.5857774288397</v>
      </c>
      <c r="C128">
        <f>(3/(1+('CurrentFact-N10,20,40,60Unchan'!C128+'CurrentFact-N10,20,40,60Unchan'!G128)/100)+103/POWER(1+('CurrentFact-N10,20,40,60Unchan'!D128+'CurrentFact-N10,20,40,60Unchan'!G128)/100,2))*100</f>
        <v>9614.9673582483465</v>
      </c>
      <c r="D128">
        <f>(3/(1+('CurrentFact-N10,20,40,60Unchan'!C128+'CurrentFact-N10,20,40,60Unchan'!H128)/100)+103/POWER(1+('CurrentFact-N10,20,40,60Unchan'!D128+'CurrentFact-N10,20,40,60Unchan'!H128)/100,2))*100</f>
        <v>9601.2395558122898</v>
      </c>
      <c r="E128">
        <f>(3/(1+('CurrentFact-N10,20,40,60Unchan'!C128+'CurrentFact-N10,20,40,60Unchan'!I128)/100)+103/POWER(1+('CurrentFact-N10,20,40,60Unchan'!D128+'CurrentFact-N10,20,40,60Unchan'!I128)/100,2))*100</f>
        <v>9676.6907857653259</v>
      </c>
      <c r="F128">
        <f>Portfolio!B$5*'CurrentFact-N10,20,40,60Unchan'!E128</f>
        <v>52143.895533915893</v>
      </c>
      <c r="G128">
        <f>Portfolio!B$6*'CurrentFact-N10,20,40,60Unchan'!F128</f>
        <v>3696.2945087936532</v>
      </c>
      <c r="H128">
        <f t="shared" si="5"/>
        <v>94440.673519964359</v>
      </c>
      <c r="I128">
        <f t="shared" si="4"/>
        <v>0</v>
      </c>
    </row>
    <row r="129" spans="1:9">
      <c r="A129" s="1">
        <v>39437</v>
      </c>
      <c r="B129">
        <f>(3/(1+('CurrentFact-N10,20,40,60Unchan'!C129)/100)+103/POWER(1+('CurrentFact-N10,20,40,60Unchan'!D129)/100,2))*100</f>
        <v>9707.5857774288397</v>
      </c>
      <c r="C129">
        <f>(3/(1+('CurrentFact-N10,20,40,60Unchan'!C129+'CurrentFact-N10,20,40,60Unchan'!G129)/100)+103/POWER(1+('CurrentFact-N10,20,40,60Unchan'!D129+'CurrentFact-N10,20,40,60Unchan'!G129)/100,2))*100</f>
        <v>9614.9673582483465</v>
      </c>
      <c r="D129">
        <f>(3/(1+('CurrentFact-N10,20,40,60Unchan'!C129+'CurrentFact-N10,20,40,60Unchan'!H129)/100)+103/POWER(1+('CurrentFact-N10,20,40,60Unchan'!D129+'CurrentFact-N10,20,40,60Unchan'!H129)/100,2))*100</f>
        <v>9601.2395558122898</v>
      </c>
      <c r="E129">
        <f>(3/(1+('CurrentFact-N10,20,40,60Unchan'!C129+'CurrentFact-N10,20,40,60Unchan'!I129)/100)+103/POWER(1+('CurrentFact-N10,20,40,60Unchan'!D129+'CurrentFact-N10,20,40,60Unchan'!I129)/100,2))*100</f>
        <v>9676.6907857653259</v>
      </c>
      <c r="F129">
        <f>Portfolio!B$5*'CurrentFact-N10,20,40,60Unchan'!E129</f>
        <v>52143.895533915893</v>
      </c>
      <c r="G129">
        <f>Portfolio!B$6*'CurrentFact-N10,20,40,60Unchan'!F129</f>
        <v>3696.2945087936532</v>
      </c>
      <c r="H129">
        <f t="shared" si="5"/>
        <v>94440.673519964359</v>
      </c>
      <c r="I129">
        <f t="shared" si="4"/>
        <v>0</v>
      </c>
    </row>
    <row r="130" spans="1:9">
      <c r="A130" s="1">
        <v>39440</v>
      </c>
      <c r="B130">
        <f>(3/(1+('CurrentFact-N10,20,40,60Unchan'!C130)/100)+103/POWER(1+('CurrentFact-N10,20,40,60Unchan'!D130)/100,2))*100</f>
        <v>9707.5857774288397</v>
      </c>
      <c r="C130">
        <f>(3/(1+('CurrentFact-N10,20,40,60Unchan'!C130+'CurrentFact-N10,20,40,60Unchan'!G130)/100)+103/POWER(1+('CurrentFact-N10,20,40,60Unchan'!D130+'CurrentFact-N10,20,40,60Unchan'!G130)/100,2))*100</f>
        <v>9614.9673582483465</v>
      </c>
      <c r="D130">
        <f>(3/(1+('CurrentFact-N10,20,40,60Unchan'!C130+'CurrentFact-N10,20,40,60Unchan'!H130)/100)+103/POWER(1+('CurrentFact-N10,20,40,60Unchan'!D130+'CurrentFact-N10,20,40,60Unchan'!H130)/100,2))*100</f>
        <v>9601.2395558122898</v>
      </c>
      <c r="E130">
        <f>(3/(1+('CurrentFact-N10,20,40,60Unchan'!C130+'CurrentFact-N10,20,40,60Unchan'!I130)/100)+103/POWER(1+('CurrentFact-N10,20,40,60Unchan'!D130+'CurrentFact-N10,20,40,60Unchan'!I130)/100,2))*100</f>
        <v>9676.6907857653259</v>
      </c>
      <c r="F130">
        <f>Portfolio!B$5*'CurrentFact-N10,20,40,60Unchan'!E130</f>
        <v>52143.895533915893</v>
      </c>
      <c r="G130">
        <f>Portfolio!B$6*'CurrentFact-N10,20,40,60Unchan'!F130</f>
        <v>3696.2945087936532</v>
      </c>
      <c r="H130">
        <f t="shared" si="5"/>
        <v>94440.673519964359</v>
      </c>
      <c r="I130">
        <f t="shared" si="4"/>
        <v>0</v>
      </c>
    </row>
    <row r="131" spans="1:9">
      <c r="A131" s="1">
        <v>39441</v>
      </c>
      <c r="B131">
        <f>(3/(1+('CurrentFact-N10,20,40,60Unchan'!C131)/100)+103/POWER(1+('CurrentFact-N10,20,40,60Unchan'!D131)/100,2))*100</f>
        <v>9707.5857774288397</v>
      </c>
      <c r="C131">
        <f>(3/(1+('CurrentFact-N10,20,40,60Unchan'!C131+'CurrentFact-N10,20,40,60Unchan'!G131)/100)+103/POWER(1+('CurrentFact-N10,20,40,60Unchan'!D131+'CurrentFact-N10,20,40,60Unchan'!G131)/100,2))*100</f>
        <v>9614.9673582483465</v>
      </c>
      <c r="D131">
        <f>(3/(1+('CurrentFact-N10,20,40,60Unchan'!C131+'CurrentFact-N10,20,40,60Unchan'!H131)/100)+103/POWER(1+('CurrentFact-N10,20,40,60Unchan'!D131+'CurrentFact-N10,20,40,60Unchan'!H131)/100,2))*100</f>
        <v>9601.2395558122898</v>
      </c>
      <c r="E131">
        <f>(3/(1+('CurrentFact-N10,20,40,60Unchan'!C131+'CurrentFact-N10,20,40,60Unchan'!I131)/100)+103/POWER(1+('CurrentFact-N10,20,40,60Unchan'!D131+'CurrentFact-N10,20,40,60Unchan'!I131)/100,2))*100</f>
        <v>9676.6907857653259</v>
      </c>
      <c r="F131">
        <f>Portfolio!B$5*'CurrentFact-N10,20,40,60Unchan'!E131</f>
        <v>52143.895533915893</v>
      </c>
      <c r="G131">
        <f>Portfolio!B$6*'CurrentFact-N10,20,40,60Unchan'!F131</f>
        <v>3696.2945087936532</v>
      </c>
      <c r="H131">
        <f t="shared" ref="H131:H162" si="6">SUM(B131:G131)</f>
        <v>94440.673519964359</v>
      </c>
      <c r="I131">
        <f t="shared" si="4"/>
        <v>0</v>
      </c>
    </row>
    <row r="132" spans="1:9">
      <c r="A132" s="1">
        <v>39442</v>
      </c>
      <c r="B132">
        <f>(3/(1+('CurrentFact-N10,20,40,60Unchan'!C132)/100)+103/POWER(1+('CurrentFact-N10,20,40,60Unchan'!D132)/100,2))*100</f>
        <v>9707.5857774288397</v>
      </c>
      <c r="C132">
        <f>(3/(1+('CurrentFact-N10,20,40,60Unchan'!C132+'CurrentFact-N10,20,40,60Unchan'!G132)/100)+103/POWER(1+('CurrentFact-N10,20,40,60Unchan'!D132+'CurrentFact-N10,20,40,60Unchan'!G132)/100,2))*100</f>
        <v>9614.9673582483465</v>
      </c>
      <c r="D132">
        <f>(3/(1+('CurrentFact-N10,20,40,60Unchan'!C132+'CurrentFact-N10,20,40,60Unchan'!H132)/100)+103/POWER(1+('CurrentFact-N10,20,40,60Unchan'!D132+'CurrentFact-N10,20,40,60Unchan'!H132)/100,2))*100</f>
        <v>9601.2395558122898</v>
      </c>
      <c r="E132">
        <f>(3/(1+('CurrentFact-N10,20,40,60Unchan'!C132+'CurrentFact-N10,20,40,60Unchan'!I132)/100)+103/POWER(1+('CurrentFact-N10,20,40,60Unchan'!D132+'CurrentFact-N10,20,40,60Unchan'!I132)/100,2))*100</f>
        <v>9676.6907857653259</v>
      </c>
      <c r="F132">
        <f>Portfolio!B$5*'CurrentFact-N10,20,40,60Unchan'!E132</f>
        <v>52143.895533915893</v>
      </c>
      <c r="G132">
        <f>Portfolio!B$6*'CurrentFact-N10,20,40,60Unchan'!F132</f>
        <v>3696.2945087936532</v>
      </c>
      <c r="H132">
        <f t="shared" si="6"/>
        <v>94440.673519964359</v>
      </c>
      <c r="I132">
        <f t="shared" si="4"/>
        <v>0</v>
      </c>
    </row>
    <row r="133" spans="1:9">
      <c r="A133" s="1">
        <v>39443</v>
      </c>
      <c r="B133">
        <f>(3/(1+('CurrentFact-N10,20,40,60Unchan'!C133)/100)+103/POWER(1+('CurrentFact-N10,20,40,60Unchan'!D133)/100,2))*100</f>
        <v>9707.5857774288397</v>
      </c>
      <c r="C133">
        <f>(3/(1+('CurrentFact-N10,20,40,60Unchan'!C133+'CurrentFact-N10,20,40,60Unchan'!G133)/100)+103/POWER(1+('CurrentFact-N10,20,40,60Unchan'!D133+'CurrentFact-N10,20,40,60Unchan'!G133)/100,2))*100</f>
        <v>9614.9673582483465</v>
      </c>
      <c r="D133">
        <f>(3/(1+('CurrentFact-N10,20,40,60Unchan'!C133+'CurrentFact-N10,20,40,60Unchan'!H133)/100)+103/POWER(1+('CurrentFact-N10,20,40,60Unchan'!D133+'CurrentFact-N10,20,40,60Unchan'!H133)/100,2))*100</f>
        <v>9601.2395558122898</v>
      </c>
      <c r="E133">
        <f>(3/(1+('CurrentFact-N10,20,40,60Unchan'!C133+'CurrentFact-N10,20,40,60Unchan'!I133)/100)+103/POWER(1+('CurrentFact-N10,20,40,60Unchan'!D133+'CurrentFact-N10,20,40,60Unchan'!I133)/100,2))*100</f>
        <v>9676.6907857653259</v>
      </c>
      <c r="F133">
        <f>Portfolio!B$5*'CurrentFact-N10,20,40,60Unchan'!E133</f>
        <v>52143.895533915893</v>
      </c>
      <c r="G133">
        <f>Portfolio!B$6*'CurrentFact-N10,20,40,60Unchan'!F133</f>
        <v>3696.2945087936532</v>
      </c>
      <c r="H133">
        <f t="shared" si="6"/>
        <v>94440.673519964359</v>
      </c>
      <c r="I133">
        <f t="shared" si="4"/>
        <v>0</v>
      </c>
    </row>
    <row r="134" spans="1:9">
      <c r="A134" s="1">
        <v>39444</v>
      </c>
      <c r="B134">
        <f>(3/(1+('CurrentFact-N10,20,40,60Unchan'!C134)/100)+103/POWER(1+('CurrentFact-N10,20,40,60Unchan'!D134)/100,2))*100</f>
        <v>9707.5857774288397</v>
      </c>
      <c r="C134">
        <f>(3/(1+('CurrentFact-N10,20,40,60Unchan'!C134+'CurrentFact-N10,20,40,60Unchan'!G134)/100)+103/POWER(1+('CurrentFact-N10,20,40,60Unchan'!D134+'CurrentFact-N10,20,40,60Unchan'!G134)/100,2))*100</f>
        <v>9614.9673582483465</v>
      </c>
      <c r="D134">
        <f>(3/(1+('CurrentFact-N10,20,40,60Unchan'!C134+'CurrentFact-N10,20,40,60Unchan'!H134)/100)+103/POWER(1+('CurrentFact-N10,20,40,60Unchan'!D134+'CurrentFact-N10,20,40,60Unchan'!H134)/100,2))*100</f>
        <v>9601.2395558122898</v>
      </c>
      <c r="E134">
        <f>(3/(1+('CurrentFact-N10,20,40,60Unchan'!C134+'CurrentFact-N10,20,40,60Unchan'!I134)/100)+103/POWER(1+('CurrentFact-N10,20,40,60Unchan'!D134+'CurrentFact-N10,20,40,60Unchan'!I134)/100,2))*100</f>
        <v>9676.6907857653259</v>
      </c>
      <c r="F134">
        <f>Portfolio!B$5*'CurrentFact-N10,20,40,60Unchan'!E134</f>
        <v>52143.895533915893</v>
      </c>
      <c r="G134">
        <f>Portfolio!B$6*'CurrentFact-N10,20,40,60Unchan'!F134</f>
        <v>3696.2945087936532</v>
      </c>
      <c r="H134">
        <f t="shared" si="6"/>
        <v>94440.673519964359</v>
      </c>
      <c r="I134">
        <f t="shared" si="4"/>
        <v>0</v>
      </c>
    </row>
    <row r="135" spans="1:9">
      <c r="A135" s="1">
        <v>39447</v>
      </c>
      <c r="B135">
        <f>(3/(1+('CurrentFact-N10,20,40,60Unchan'!C135)/100)+103/POWER(1+('CurrentFact-N10,20,40,60Unchan'!D135)/100,2))*100</f>
        <v>9707.5857774288397</v>
      </c>
      <c r="C135">
        <f>(3/(1+('CurrentFact-N10,20,40,60Unchan'!C135+'CurrentFact-N10,20,40,60Unchan'!G135)/100)+103/POWER(1+('CurrentFact-N10,20,40,60Unchan'!D135+'CurrentFact-N10,20,40,60Unchan'!G135)/100,2))*100</f>
        <v>9614.9673582483465</v>
      </c>
      <c r="D135">
        <f>(3/(1+('CurrentFact-N10,20,40,60Unchan'!C135+'CurrentFact-N10,20,40,60Unchan'!H135)/100)+103/POWER(1+('CurrentFact-N10,20,40,60Unchan'!D135+'CurrentFact-N10,20,40,60Unchan'!H135)/100,2))*100</f>
        <v>9601.2395558122898</v>
      </c>
      <c r="E135">
        <f>(3/(1+('CurrentFact-N10,20,40,60Unchan'!C135+'CurrentFact-N10,20,40,60Unchan'!I135)/100)+103/POWER(1+('CurrentFact-N10,20,40,60Unchan'!D135+'CurrentFact-N10,20,40,60Unchan'!I135)/100,2))*100</f>
        <v>9676.6907857653259</v>
      </c>
      <c r="F135">
        <f>Portfolio!B$5*'CurrentFact-N10,20,40,60Unchan'!E135</f>
        <v>52143.895533915893</v>
      </c>
      <c r="G135">
        <f>Portfolio!B$6*'CurrentFact-N10,20,40,60Unchan'!F135</f>
        <v>3696.2945087936532</v>
      </c>
      <c r="H135">
        <f t="shared" si="6"/>
        <v>94440.673519964359</v>
      </c>
      <c r="I135">
        <f t="shared" si="4"/>
        <v>0</v>
      </c>
    </row>
    <row r="136" spans="1:9">
      <c r="A136" s="1">
        <v>39448</v>
      </c>
      <c r="B136">
        <f>(3/(1+('CurrentFact-N10,20,40,60Unchan'!C136)/100)+103/POWER(1+('CurrentFact-N10,20,40,60Unchan'!D136)/100,2))*100</f>
        <v>9707.5857774288397</v>
      </c>
      <c r="C136">
        <f>(3/(1+('CurrentFact-N10,20,40,60Unchan'!C136+'CurrentFact-N10,20,40,60Unchan'!G136)/100)+103/POWER(1+('CurrentFact-N10,20,40,60Unchan'!D136+'CurrentFact-N10,20,40,60Unchan'!G136)/100,2))*100</f>
        <v>9614.9673582483465</v>
      </c>
      <c r="D136">
        <f>(3/(1+('CurrentFact-N10,20,40,60Unchan'!C136+'CurrentFact-N10,20,40,60Unchan'!H136)/100)+103/POWER(1+('CurrentFact-N10,20,40,60Unchan'!D136+'CurrentFact-N10,20,40,60Unchan'!H136)/100,2))*100</f>
        <v>9601.2395558122898</v>
      </c>
      <c r="E136">
        <f>(3/(1+('CurrentFact-N10,20,40,60Unchan'!C136+'CurrentFact-N10,20,40,60Unchan'!I136)/100)+103/POWER(1+('CurrentFact-N10,20,40,60Unchan'!D136+'CurrentFact-N10,20,40,60Unchan'!I136)/100,2))*100</f>
        <v>9676.6907857653259</v>
      </c>
      <c r="F136">
        <f>Portfolio!B$5*'CurrentFact-N10,20,40,60Unchan'!E136</f>
        <v>52143.895533915893</v>
      </c>
      <c r="G136">
        <f>Portfolio!B$6*'CurrentFact-N10,20,40,60Unchan'!F136</f>
        <v>3696.2945087936532</v>
      </c>
      <c r="H136">
        <f t="shared" si="6"/>
        <v>94440.673519964359</v>
      </c>
      <c r="I136">
        <f t="shared" si="4"/>
        <v>0</v>
      </c>
    </row>
    <row r="137" spans="1:9">
      <c r="A137" s="1">
        <v>39449</v>
      </c>
      <c r="B137">
        <f>(3/(1+('CurrentFact-N10,20,40,60Unchan'!C137)/100)+103/POWER(1+('CurrentFact-N10,20,40,60Unchan'!D137)/100,2))*100</f>
        <v>9707.5857774288397</v>
      </c>
      <c r="C137">
        <f>(3/(1+('CurrentFact-N10,20,40,60Unchan'!C137+'CurrentFact-N10,20,40,60Unchan'!G137)/100)+103/POWER(1+('CurrentFact-N10,20,40,60Unchan'!D137+'CurrentFact-N10,20,40,60Unchan'!G137)/100,2))*100</f>
        <v>9614.9673582483465</v>
      </c>
      <c r="D137">
        <f>(3/(1+('CurrentFact-N10,20,40,60Unchan'!C137+'CurrentFact-N10,20,40,60Unchan'!H137)/100)+103/POWER(1+('CurrentFact-N10,20,40,60Unchan'!D137+'CurrentFact-N10,20,40,60Unchan'!H137)/100,2))*100</f>
        <v>9601.2395558122898</v>
      </c>
      <c r="E137">
        <f>(3/(1+('CurrentFact-N10,20,40,60Unchan'!C137+'CurrentFact-N10,20,40,60Unchan'!I137)/100)+103/POWER(1+('CurrentFact-N10,20,40,60Unchan'!D137+'CurrentFact-N10,20,40,60Unchan'!I137)/100,2))*100</f>
        <v>9676.6907857653259</v>
      </c>
      <c r="F137">
        <f>Portfolio!B$5*'CurrentFact-N10,20,40,60Unchan'!E137</f>
        <v>52143.895533915893</v>
      </c>
      <c r="G137">
        <f>Portfolio!B$6*'CurrentFact-N10,20,40,60Unchan'!F137</f>
        <v>3696.2945087936532</v>
      </c>
      <c r="H137">
        <f t="shared" si="6"/>
        <v>94440.673519964359</v>
      </c>
      <c r="I137">
        <f t="shared" si="4"/>
        <v>0</v>
      </c>
    </row>
    <row r="138" spans="1:9">
      <c r="A138" s="1">
        <v>39450</v>
      </c>
      <c r="B138">
        <f>(3/(1+('CurrentFact-N10,20,40,60Unchan'!C138)/100)+103/POWER(1+('CurrentFact-N10,20,40,60Unchan'!D138)/100,2))*100</f>
        <v>9707.5857774288397</v>
      </c>
      <c r="C138">
        <f>(3/(1+('CurrentFact-N10,20,40,60Unchan'!C138+'CurrentFact-N10,20,40,60Unchan'!G138)/100)+103/POWER(1+('CurrentFact-N10,20,40,60Unchan'!D138+'CurrentFact-N10,20,40,60Unchan'!G138)/100,2))*100</f>
        <v>9614.9673582483465</v>
      </c>
      <c r="D138">
        <f>(3/(1+('CurrentFact-N10,20,40,60Unchan'!C138+'CurrentFact-N10,20,40,60Unchan'!H138)/100)+103/POWER(1+('CurrentFact-N10,20,40,60Unchan'!D138+'CurrentFact-N10,20,40,60Unchan'!H138)/100,2))*100</f>
        <v>9601.2395558122898</v>
      </c>
      <c r="E138">
        <f>(3/(1+('CurrentFact-N10,20,40,60Unchan'!C138+'CurrentFact-N10,20,40,60Unchan'!I138)/100)+103/POWER(1+('CurrentFact-N10,20,40,60Unchan'!D138+'CurrentFact-N10,20,40,60Unchan'!I138)/100,2))*100</f>
        <v>9676.6907857653259</v>
      </c>
      <c r="F138">
        <f>Portfolio!B$5*'CurrentFact-N10,20,40,60Unchan'!E138</f>
        <v>52143.895533915893</v>
      </c>
      <c r="G138">
        <f>Portfolio!B$6*'CurrentFact-N10,20,40,60Unchan'!F138</f>
        <v>3696.2945087936532</v>
      </c>
      <c r="H138">
        <f t="shared" si="6"/>
        <v>94440.673519964359</v>
      </c>
      <c r="I138">
        <f t="shared" si="4"/>
        <v>0</v>
      </c>
    </row>
    <row r="139" spans="1:9">
      <c r="A139" s="1">
        <v>39451</v>
      </c>
      <c r="B139">
        <f>(3/(1+('CurrentFact-N10,20,40,60Unchan'!C139)/100)+103/POWER(1+('CurrentFact-N10,20,40,60Unchan'!D139)/100,2))*100</f>
        <v>9707.5857774288397</v>
      </c>
      <c r="C139">
        <f>(3/(1+('CurrentFact-N10,20,40,60Unchan'!C139+'CurrentFact-N10,20,40,60Unchan'!G139)/100)+103/POWER(1+('CurrentFact-N10,20,40,60Unchan'!D139+'CurrentFact-N10,20,40,60Unchan'!G139)/100,2))*100</f>
        <v>9614.9673582483465</v>
      </c>
      <c r="D139">
        <f>(3/(1+('CurrentFact-N10,20,40,60Unchan'!C139+'CurrentFact-N10,20,40,60Unchan'!H139)/100)+103/POWER(1+('CurrentFact-N10,20,40,60Unchan'!D139+'CurrentFact-N10,20,40,60Unchan'!H139)/100,2))*100</f>
        <v>9601.2395558122898</v>
      </c>
      <c r="E139">
        <f>(3/(1+('CurrentFact-N10,20,40,60Unchan'!C139+'CurrentFact-N10,20,40,60Unchan'!I139)/100)+103/POWER(1+('CurrentFact-N10,20,40,60Unchan'!D139+'CurrentFact-N10,20,40,60Unchan'!I139)/100,2))*100</f>
        <v>9676.6907857653259</v>
      </c>
      <c r="F139">
        <f>Portfolio!B$5*'CurrentFact-N10,20,40,60Unchan'!E139</f>
        <v>52143.895533915893</v>
      </c>
      <c r="G139">
        <f>Portfolio!B$6*'CurrentFact-N10,20,40,60Unchan'!F139</f>
        <v>3696.2945087936532</v>
      </c>
      <c r="H139">
        <f t="shared" si="6"/>
        <v>94440.673519964359</v>
      </c>
      <c r="I139">
        <f t="shared" si="4"/>
        <v>0</v>
      </c>
    </row>
    <row r="140" spans="1:9">
      <c r="A140" s="1">
        <v>39454</v>
      </c>
      <c r="B140">
        <f>(3/(1+('CurrentFact-N10,20,40,60Unchan'!C140)/100)+103/POWER(1+('CurrentFact-N10,20,40,60Unchan'!D140)/100,2))*100</f>
        <v>9707.5857774288397</v>
      </c>
      <c r="C140">
        <f>(3/(1+('CurrentFact-N10,20,40,60Unchan'!C140+'CurrentFact-N10,20,40,60Unchan'!G140)/100)+103/POWER(1+('CurrentFact-N10,20,40,60Unchan'!D140+'CurrentFact-N10,20,40,60Unchan'!G140)/100,2))*100</f>
        <v>9614.9673582483465</v>
      </c>
      <c r="D140">
        <f>(3/(1+('CurrentFact-N10,20,40,60Unchan'!C140+'CurrentFact-N10,20,40,60Unchan'!H140)/100)+103/POWER(1+('CurrentFact-N10,20,40,60Unchan'!D140+'CurrentFact-N10,20,40,60Unchan'!H140)/100,2))*100</f>
        <v>9601.2395558122898</v>
      </c>
      <c r="E140">
        <f>(3/(1+('CurrentFact-N10,20,40,60Unchan'!C140+'CurrentFact-N10,20,40,60Unchan'!I140)/100)+103/POWER(1+('CurrentFact-N10,20,40,60Unchan'!D140+'CurrentFact-N10,20,40,60Unchan'!I140)/100,2))*100</f>
        <v>9676.6907857653259</v>
      </c>
      <c r="F140">
        <f>Portfolio!B$5*'CurrentFact-N10,20,40,60Unchan'!E140</f>
        <v>52143.895533915893</v>
      </c>
      <c r="G140">
        <f>Portfolio!B$6*'CurrentFact-N10,20,40,60Unchan'!F140</f>
        <v>3696.2945087936532</v>
      </c>
      <c r="H140">
        <f t="shared" si="6"/>
        <v>94440.673519964359</v>
      </c>
      <c r="I140">
        <f t="shared" si="4"/>
        <v>0</v>
      </c>
    </row>
    <row r="141" spans="1:9">
      <c r="A141" s="1">
        <v>39455</v>
      </c>
      <c r="B141">
        <f>(3/(1+('CurrentFact-N10,20,40,60Unchan'!C141)/100)+103/POWER(1+('CurrentFact-N10,20,40,60Unchan'!D141)/100,2))*100</f>
        <v>9707.5857774288397</v>
      </c>
      <c r="C141">
        <f>(3/(1+('CurrentFact-N10,20,40,60Unchan'!C141+'CurrentFact-N10,20,40,60Unchan'!G141)/100)+103/POWER(1+('CurrentFact-N10,20,40,60Unchan'!D141+'CurrentFact-N10,20,40,60Unchan'!G141)/100,2))*100</f>
        <v>9614.9673582483465</v>
      </c>
      <c r="D141">
        <f>(3/(1+('CurrentFact-N10,20,40,60Unchan'!C141+'CurrentFact-N10,20,40,60Unchan'!H141)/100)+103/POWER(1+('CurrentFact-N10,20,40,60Unchan'!D141+'CurrentFact-N10,20,40,60Unchan'!H141)/100,2))*100</f>
        <v>9601.2395558122898</v>
      </c>
      <c r="E141">
        <f>(3/(1+('CurrentFact-N10,20,40,60Unchan'!C141+'CurrentFact-N10,20,40,60Unchan'!I141)/100)+103/POWER(1+('CurrentFact-N10,20,40,60Unchan'!D141+'CurrentFact-N10,20,40,60Unchan'!I141)/100,2))*100</f>
        <v>9676.6907857653259</v>
      </c>
      <c r="F141">
        <f>Portfolio!B$5*'CurrentFact-N10,20,40,60Unchan'!E141</f>
        <v>52143.895533915893</v>
      </c>
      <c r="G141">
        <f>Portfolio!B$6*'CurrentFact-N10,20,40,60Unchan'!F141</f>
        <v>3696.2945087936532</v>
      </c>
      <c r="H141">
        <f t="shared" si="6"/>
        <v>94440.673519964359</v>
      </c>
      <c r="I141">
        <f t="shared" si="4"/>
        <v>0</v>
      </c>
    </row>
    <row r="142" spans="1:9">
      <c r="A142" s="1">
        <v>39456</v>
      </c>
      <c r="B142">
        <f>(3/(1+('CurrentFact-N10,20,40,60Unchan'!C142)/100)+103/POWER(1+('CurrentFact-N10,20,40,60Unchan'!D142)/100,2))*100</f>
        <v>9707.5857774288397</v>
      </c>
      <c r="C142">
        <f>(3/(1+('CurrentFact-N10,20,40,60Unchan'!C142+'CurrentFact-N10,20,40,60Unchan'!G142)/100)+103/POWER(1+('CurrentFact-N10,20,40,60Unchan'!D142+'CurrentFact-N10,20,40,60Unchan'!G142)/100,2))*100</f>
        <v>9614.9673582483465</v>
      </c>
      <c r="D142">
        <f>(3/(1+('CurrentFact-N10,20,40,60Unchan'!C142+'CurrentFact-N10,20,40,60Unchan'!H142)/100)+103/POWER(1+('CurrentFact-N10,20,40,60Unchan'!D142+'CurrentFact-N10,20,40,60Unchan'!H142)/100,2))*100</f>
        <v>9601.2395558122898</v>
      </c>
      <c r="E142">
        <f>(3/(1+('CurrentFact-N10,20,40,60Unchan'!C142+'CurrentFact-N10,20,40,60Unchan'!I142)/100)+103/POWER(1+('CurrentFact-N10,20,40,60Unchan'!D142+'CurrentFact-N10,20,40,60Unchan'!I142)/100,2))*100</f>
        <v>9676.6907857653259</v>
      </c>
      <c r="F142">
        <f>Portfolio!B$5*'CurrentFact-N10,20,40,60Unchan'!E142</f>
        <v>52143.895533915893</v>
      </c>
      <c r="G142">
        <f>Portfolio!B$6*'CurrentFact-N10,20,40,60Unchan'!F142</f>
        <v>3696.2945087936532</v>
      </c>
      <c r="H142">
        <f t="shared" si="6"/>
        <v>94440.673519964359</v>
      </c>
      <c r="I142">
        <f t="shared" ref="I142:I187" si="7">H142-H132</f>
        <v>0</v>
      </c>
    </row>
    <row r="143" spans="1:9">
      <c r="A143" s="1">
        <v>39457</v>
      </c>
      <c r="B143">
        <f>(3/(1+('CurrentFact-N10,20,40,60Unchan'!C143)/100)+103/POWER(1+('CurrentFact-N10,20,40,60Unchan'!D143)/100,2))*100</f>
        <v>9707.5857774288397</v>
      </c>
      <c r="C143">
        <f>(3/(1+('CurrentFact-N10,20,40,60Unchan'!C143+'CurrentFact-N10,20,40,60Unchan'!G143)/100)+103/POWER(1+('CurrentFact-N10,20,40,60Unchan'!D143+'CurrentFact-N10,20,40,60Unchan'!G143)/100,2))*100</f>
        <v>9614.9673582483465</v>
      </c>
      <c r="D143">
        <f>(3/(1+('CurrentFact-N10,20,40,60Unchan'!C143+'CurrentFact-N10,20,40,60Unchan'!H143)/100)+103/POWER(1+('CurrentFact-N10,20,40,60Unchan'!D143+'CurrentFact-N10,20,40,60Unchan'!H143)/100,2))*100</f>
        <v>9601.2395558122898</v>
      </c>
      <c r="E143">
        <f>(3/(1+('CurrentFact-N10,20,40,60Unchan'!C143+'CurrentFact-N10,20,40,60Unchan'!I143)/100)+103/POWER(1+('CurrentFact-N10,20,40,60Unchan'!D143+'CurrentFact-N10,20,40,60Unchan'!I143)/100,2))*100</f>
        <v>9676.6907857653259</v>
      </c>
      <c r="F143">
        <f>Portfolio!B$5*'CurrentFact-N10,20,40,60Unchan'!E143</f>
        <v>52143.895533915893</v>
      </c>
      <c r="G143">
        <f>Portfolio!B$6*'CurrentFact-N10,20,40,60Unchan'!F143</f>
        <v>3696.2945087936532</v>
      </c>
      <c r="H143">
        <f t="shared" si="6"/>
        <v>94440.673519964359</v>
      </c>
      <c r="I143">
        <f t="shared" si="7"/>
        <v>0</v>
      </c>
    </row>
    <row r="144" spans="1:9">
      <c r="A144" s="1">
        <v>39458</v>
      </c>
      <c r="B144">
        <f>(3/(1+('CurrentFact-N10,20,40,60Unchan'!C144)/100)+103/POWER(1+('CurrentFact-N10,20,40,60Unchan'!D144)/100,2))*100</f>
        <v>9707.5857774288397</v>
      </c>
      <c r="C144">
        <f>(3/(1+('CurrentFact-N10,20,40,60Unchan'!C144+'CurrentFact-N10,20,40,60Unchan'!G144)/100)+103/POWER(1+('CurrentFact-N10,20,40,60Unchan'!D144+'CurrentFact-N10,20,40,60Unchan'!G144)/100,2))*100</f>
        <v>9614.9673582483465</v>
      </c>
      <c r="D144">
        <f>(3/(1+('CurrentFact-N10,20,40,60Unchan'!C144+'CurrentFact-N10,20,40,60Unchan'!H144)/100)+103/POWER(1+('CurrentFact-N10,20,40,60Unchan'!D144+'CurrentFact-N10,20,40,60Unchan'!H144)/100,2))*100</f>
        <v>9601.2395558122898</v>
      </c>
      <c r="E144">
        <f>(3/(1+('CurrentFact-N10,20,40,60Unchan'!C144+'CurrentFact-N10,20,40,60Unchan'!I144)/100)+103/POWER(1+('CurrentFact-N10,20,40,60Unchan'!D144+'CurrentFact-N10,20,40,60Unchan'!I144)/100,2))*100</f>
        <v>9676.6907857653259</v>
      </c>
      <c r="F144">
        <f>Portfolio!B$5*'CurrentFact-N10,20,40,60Unchan'!E144</f>
        <v>52143.895533915893</v>
      </c>
      <c r="G144">
        <f>Portfolio!B$6*'CurrentFact-N10,20,40,60Unchan'!F144</f>
        <v>3696.2945087936532</v>
      </c>
      <c r="H144">
        <f t="shared" si="6"/>
        <v>94440.673519964359</v>
      </c>
      <c r="I144">
        <f t="shared" si="7"/>
        <v>0</v>
      </c>
    </row>
    <row r="145" spans="1:9">
      <c r="A145" s="1">
        <v>39461</v>
      </c>
      <c r="B145">
        <f>(3/(1+('CurrentFact-N10,20,40,60Unchan'!C145)/100)+103/POWER(1+('CurrentFact-N10,20,40,60Unchan'!D145)/100,2))*100</f>
        <v>9707.5857774288397</v>
      </c>
      <c r="C145">
        <f>(3/(1+('CurrentFact-N10,20,40,60Unchan'!C145+'CurrentFact-N10,20,40,60Unchan'!G145)/100)+103/POWER(1+('CurrentFact-N10,20,40,60Unchan'!D145+'CurrentFact-N10,20,40,60Unchan'!G145)/100,2))*100</f>
        <v>9614.9673582483465</v>
      </c>
      <c r="D145">
        <f>(3/(1+('CurrentFact-N10,20,40,60Unchan'!C145+'CurrentFact-N10,20,40,60Unchan'!H145)/100)+103/POWER(1+('CurrentFact-N10,20,40,60Unchan'!D145+'CurrentFact-N10,20,40,60Unchan'!H145)/100,2))*100</f>
        <v>9601.2395558122898</v>
      </c>
      <c r="E145">
        <f>(3/(1+('CurrentFact-N10,20,40,60Unchan'!C145+'CurrentFact-N10,20,40,60Unchan'!I145)/100)+103/POWER(1+('CurrentFact-N10,20,40,60Unchan'!D145+'CurrentFact-N10,20,40,60Unchan'!I145)/100,2))*100</f>
        <v>9676.6907857653259</v>
      </c>
      <c r="F145">
        <f>Portfolio!B$5*'CurrentFact-N10,20,40,60Unchan'!E145</f>
        <v>52143.895533915893</v>
      </c>
      <c r="G145">
        <f>Portfolio!B$6*'CurrentFact-N10,20,40,60Unchan'!F145</f>
        <v>3696.2945087936532</v>
      </c>
      <c r="H145">
        <f t="shared" si="6"/>
        <v>94440.673519964359</v>
      </c>
      <c r="I145">
        <f t="shared" si="7"/>
        <v>0</v>
      </c>
    </row>
    <row r="146" spans="1:9">
      <c r="A146" s="1">
        <v>39462</v>
      </c>
      <c r="B146">
        <f>(3/(1+('CurrentFact-N10,20,40,60Unchan'!C146)/100)+103/POWER(1+('CurrentFact-N10,20,40,60Unchan'!D146)/100,2))*100</f>
        <v>9707.5857774288397</v>
      </c>
      <c r="C146">
        <f>(3/(1+('CurrentFact-N10,20,40,60Unchan'!C146+'CurrentFact-N10,20,40,60Unchan'!G146)/100)+103/POWER(1+('CurrentFact-N10,20,40,60Unchan'!D146+'CurrentFact-N10,20,40,60Unchan'!G146)/100,2))*100</f>
        <v>9614.9673582483465</v>
      </c>
      <c r="D146">
        <f>(3/(1+('CurrentFact-N10,20,40,60Unchan'!C146+'CurrentFact-N10,20,40,60Unchan'!H146)/100)+103/POWER(1+('CurrentFact-N10,20,40,60Unchan'!D146+'CurrentFact-N10,20,40,60Unchan'!H146)/100,2))*100</f>
        <v>9601.2395558122898</v>
      </c>
      <c r="E146">
        <f>(3/(1+('CurrentFact-N10,20,40,60Unchan'!C146+'CurrentFact-N10,20,40,60Unchan'!I146)/100)+103/POWER(1+('CurrentFact-N10,20,40,60Unchan'!D146+'CurrentFact-N10,20,40,60Unchan'!I146)/100,2))*100</f>
        <v>9676.6907857653259</v>
      </c>
      <c r="F146">
        <f>Portfolio!B$5*'CurrentFact-N10,20,40,60Unchan'!E146</f>
        <v>52143.895533915893</v>
      </c>
      <c r="G146">
        <f>Portfolio!B$6*'CurrentFact-N10,20,40,60Unchan'!F146</f>
        <v>3696.2945087936532</v>
      </c>
      <c r="H146">
        <f t="shared" si="6"/>
        <v>94440.673519964359</v>
      </c>
      <c r="I146">
        <f t="shared" si="7"/>
        <v>0</v>
      </c>
    </row>
    <row r="147" spans="1:9">
      <c r="A147" s="1">
        <v>39463</v>
      </c>
      <c r="B147">
        <f>(3/(1+('CurrentFact-N10,20,40,60Unchan'!C147)/100)+103/POWER(1+('CurrentFact-N10,20,40,60Unchan'!D147)/100,2))*100</f>
        <v>9707.5857774288397</v>
      </c>
      <c r="C147">
        <f>(3/(1+('CurrentFact-N10,20,40,60Unchan'!C147+'CurrentFact-N10,20,40,60Unchan'!G147)/100)+103/POWER(1+('CurrentFact-N10,20,40,60Unchan'!D147+'CurrentFact-N10,20,40,60Unchan'!G147)/100,2))*100</f>
        <v>9614.9673582483465</v>
      </c>
      <c r="D147">
        <f>(3/(1+('CurrentFact-N10,20,40,60Unchan'!C147+'CurrentFact-N10,20,40,60Unchan'!H147)/100)+103/POWER(1+('CurrentFact-N10,20,40,60Unchan'!D147+'CurrentFact-N10,20,40,60Unchan'!H147)/100,2))*100</f>
        <v>9601.2395558122898</v>
      </c>
      <c r="E147">
        <f>(3/(1+('CurrentFact-N10,20,40,60Unchan'!C147+'CurrentFact-N10,20,40,60Unchan'!I147)/100)+103/POWER(1+('CurrentFact-N10,20,40,60Unchan'!D147+'CurrentFact-N10,20,40,60Unchan'!I147)/100,2))*100</f>
        <v>9676.6907857653259</v>
      </c>
      <c r="F147">
        <f>Portfolio!B$5*'CurrentFact-N10,20,40,60Unchan'!E147</f>
        <v>52143.895533915893</v>
      </c>
      <c r="G147">
        <f>Portfolio!B$6*'CurrentFact-N10,20,40,60Unchan'!F147</f>
        <v>3696.2945087936532</v>
      </c>
      <c r="H147">
        <f t="shared" si="6"/>
        <v>94440.673519964359</v>
      </c>
      <c r="I147">
        <f t="shared" si="7"/>
        <v>0</v>
      </c>
    </row>
    <row r="148" spans="1:9">
      <c r="A148" s="1">
        <v>39464</v>
      </c>
      <c r="B148">
        <f>(3/(1+('CurrentFact-N10,20,40,60Unchan'!C148)/100)+103/POWER(1+('CurrentFact-N10,20,40,60Unchan'!D148)/100,2))*100</f>
        <v>9707.5857774288397</v>
      </c>
      <c r="C148">
        <f>(3/(1+('CurrentFact-N10,20,40,60Unchan'!C148+'CurrentFact-N10,20,40,60Unchan'!G148)/100)+103/POWER(1+('CurrentFact-N10,20,40,60Unchan'!D148+'CurrentFact-N10,20,40,60Unchan'!G148)/100,2))*100</f>
        <v>9614.9673582483465</v>
      </c>
      <c r="D148">
        <f>(3/(1+('CurrentFact-N10,20,40,60Unchan'!C148+'CurrentFact-N10,20,40,60Unchan'!H148)/100)+103/POWER(1+('CurrentFact-N10,20,40,60Unchan'!D148+'CurrentFact-N10,20,40,60Unchan'!H148)/100,2))*100</f>
        <v>9601.2395558122898</v>
      </c>
      <c r="E148">
        <f>(3/(1+('CurrentFact-N10,20,40,60Unchan'!C148+'CurrentFact-N10,20,40,60Unchan'!I148)/100)+103/POWER(1+('CurrentFact-N10,20,40,60Unchan'!D148+'CurrentFact-N10,20,40,60Unchan'!I148)/100,2))*100</f>
        <v>9676.6907857653259</v>
      </c>
      <c r="F148">
        <f>Portfolio!B$5*'CurrentFact-N10,20,40,60Unchan'!E148</f>
        <v>52143.895533915893</v>
      </c>
      <c r="G148">
        <f>Portfolio!B$6*'CurrentFact-N10,20,40,60Unchan'!F148</f>
        <v>3696.2945087936532</v>
      </c>
      <c r="H148">
        <f t="shared" si="6"/>
        <v>94440.673519964359</v>
      </c>
      <c r="I148">
        <f t="shared" si="7"/>
        <v>0</v>
      </c>
    </row>
    <row r="149" spans="1:9">
      <c r="A149" s="1">
        <v>39465</v>
      </c>
      <c r="B149">
        <f>(3/(1+('CurrentFact-N10,20,40,60Unchan'!C149)/100)+103/POWER(1+('CurrentFact-N10,20,40,60Unchan'!D149)/100,2))*100</f>
        <v>9707.5857774288397</v>
      </c>
      <c r="C149">
        <f>(3/(1+('CurrentFact-N10,20,40,60Unchan'!C149+'CurrentFact-N10,20,40,60Unchan'!G149)/100)+103/POWER(1+('CurrentFact-N10,20,40,60Unchan'!D149+'CurrentFact-N10,20,40,60Unchan'!G149)/100,2))*100</f>
        <v>9614.9673582483465</v>
      </c>
      <c r="D149">
        <f>(3/(1+('CurrentFact-N10,20,40,60Unchan'!C149+'CurrentFact-N10,20,40,60Unchan'!H149)/100)+103/POWER(1+('CurrentFact-N10,20,40,60Unchan'!D149+'CurrentFact-N10,20,40,60Unchan'!H149)/100,2))*100</f>
        <v>9601.2395558122898</v>
      </c>
      <c r="E149">
        <f>(3/(1+('CurrentFact-N10,20,40,60Unchan'!C149+'CurrentFact-N10,20,40,60Unchan'!I149)/100)+103/POWER(1+('CurrentFact-N10,20,40,60Unchan'!D149+'CurrentFact-N10,20,40,60Unchan'!I149)/100,2))*100</f>
        <v>9676.6907857653259</v>
      </c>
      <c r="F149">
        <f>Portfolio!B$5*'CurrentFact-N10,20,40,60Unchan'!E149</f>
        <v>52143.895533915893</v>
      </c>
      <c r="G149">
        <f>Portfolio!B$6*'CurrentFact-N10,20,40,60Unchan'!F149</f>
        <v>3696.2945087936532</v>
      </c>
      <c r="H149">
        <f t="shared" si="6"/>
        <v>94440.673519964359</v>
      </c>
      <c r="I149">
        <f t="shared" si="7"/>
        <v>0</v>
      </c>
    </row>
    <row r="150" spans="1:9">
      <c r="A150" s="1">
        <v>39468</v>
      </c>
      <c r="B150">
        <f>(3/(1+('CurrentFact-N10,20,40,60Unchan'!C150)/100)+103/POWER(1+('CurrentFact-N10,20,40,60Unchan'!D150)/100,2))*100</f>
        <v>9707.5857774288397</v>
      </c>
      <c r="C150">
        <f>(3/(1+('CurrentFact-N10,20,40,60Unchan'!C150+'CurrentFact-N10,20,40,60Unchan'!G150)/100)+103/POWER(1+('CurrentFact-N10,20,40,60Unchan'!D150+'CurrentFact-N10,20,40,60Unchan'!G150)/100,2))*100</f>
        <v>9614.9673582483465</v>
      </c>
      <c r="D150">
        <f>(3/(1+('CurrentFact-N10,20,40,60Unchan'!C150+'CurrentFact-N10,20,40,60Unchan'!H150)/100)+103/POWER(1+('CurrentFact-N10,20,40,60Unchan'!D150+'CurrentFact-N10,20,40,60Unchan'!H150)/100,2))*100</f>
        <v>9601.2395558122898</v>
      </c>
      <c r="E150">
        <f>(3/(1+('CurrentFact-N10,20,40,60Unchan'!C150+'CurrentFact-N10,20,40,60Unchan'!I150)/100)+103/POWER(1+('CurrentFact-N10,20,40,60Unchan'!D150+'CurrentFact-N10,20,40,60Unchan'!I150)/100,2))*100</f>
        <v>9676.6907857653259</v>
      </c>
      <c r="F150">
        <f>Portfolio!B$5*'CurrentFact-N10,20,40,60Unchan'!E150</f>
        <v>52143.895533915893</v>
      </c>
      <c r="G150">
        <f>Portfolio!B$6*'CurrentFact-N10,20,40,60Unchan'!F150</f>
        <v>3696.2945087936532</v>
      </c>
      <c r="H150">
        <f t="shared" si="6"/>
        <v>94440.673519964359</v>
      </c>
      <c r="I150">
        <f t="shared" si="7"/>
        <v>0</v>
      </c>
    </row>
    <row r="151" spans="1:9">
      <c r="A151" s="1">
        <v>39469</v>
      </c>
      <c r="B151">
        <f>(3/(1+('CurrentFact-N10,20,40,60Unchan'!C151)/100)+103/POWER(1+('CurrentFact-N10,20,40,60Unchan'!D151)/100,2))*100</f>
        <v>9707.5857774288397</v>
      </c>
      <c r="C151">
        <f>(3/(1+('CurrentFact-N10,20,40,60Unchan'!C151+'CurrentFact-N10,20,40,60Unchan'!G151)/100)+103/POWER(1+('CurrentFact-N10,20,40,60Unchan'!D151+'CurrentFact-N10,20,40,60Unchan'!G151)/100,2))*100</f>
        <v>9614.9673582483465</v>
      </c>
      <c r="D151">
        <f>(3/(1+('CurrentFact-N10,20,40,60Unchan'!C151+'CurrentFact-N10,20,40,60Unchan'!H151)/100)+103/POWER(1+('CurrentFact-N10,20,40,60Unchan'!D151+'CurrentFact-N10,20,40,60Unchan'!H151)/100,2))*100</f>
        <v>9601.2395558122898</v>
      </c>
      <c r="E151">
        <f>(3/(1+('CurrentFact-N10,20,40,60Unchan'!C151+'CurrentFact-N10,20,40,60Unchan'!I151)/100)+103/POWER(1+('CurrentFact-N10,20,40,60Unchan'!D151+'CurrentFact-N10,20,40,60Unchan'!I151)/100,2))*100</f>
        <v>9676.6907857653259</v>
      </c>
      <c r="F151">
        <f>Portfolio!B$5*'CurrentFact-N10,20,40,60Unchan'!E151</f>
        <v>52143.895533915893</v>
      </c>
      <c r="G151">
        <f>Portfolio!B$6*'CurrentFact-N10,20,40,60Unchan'!F151</f>
        <v>3696.2945087936532</v>
      </c>
      <c r="H151">
        <f t="shared" si="6"/>
        <v>94440.673519964359</v>
      </c>
      <c r="I151">
        <f t="shared" si="7"/>
        <v>0</v>
      </c>
    </row>
    <row r="152" spans="1:9">
      <c r="A152" s="1">
        <v>39470</v>
      </c>
      <c r="B152">
        <f>(3/(1+('CurrentFact-N10,20,40,60Unchan'!C152)/100)+103/POWER(1+('CurrentFact-N10,20,40,60Unchan'!D152)/100,2))*100</f>
        <v>9707.5857774288397</v>
      </c>
      <c r="C152">
        <f>(3/(1+('CurrentFact-N10,20,40,60Unchan'!C152+'CurrentFact-N10,20,40,60Unchan'!G152)/100)+103/POWER(1+('CurrentFact-N10,20,40,60Unchan'!D152+'CurrentFact-N10,20,40,60Unchan'!G152)/100,2))*100</f>
        <v>9614.9673582483465</v>
      </c>
      <c r="D152">
        <f>(3/(1+('CurrentFact-N10,20,40,60Unchan'!C152+'CurrentFact-N10,20,40,60Unchan'!H152)/100)+103/POWER(1+('CurrentFact-N10,20,40,60Unchan'!D152+'CurrentFact-N10,20,40,60Unchan'!H152)/100,2))*100</f>
        <v>9601.2395558122898</v>
      </c>
      <c r="E152">
        <f>(3/(1+('CurrentFact-N10,20,40,60Unchan'!C152+'CurrentFact-N10,20,40,60Unchan'!I152)/100)+103/POWER(1+('CurrentFact-N10,20,40,60Unchan'!D152+'CurrentFact-N10,20,40,60Unchan'!I152)/100,2))*100</f>
        <v>9676.6907857653259</v>
      </c>
      <c r="F152">
        <f>Portfolio!B$5*'CurrentFact-N10,20,40,60Unchan'!E152</f>
        <v>52143.895533915893</v>
      </c>
      <c r="G152">
        <f>Portfolio!B$6*'CurrentFact-N10,20,40,60Unchan'!F152</f>
        <v>3696.2945087936532</v>
      </c>
      <c r="H152">
        <f t="shared" si="6"/>
        <v>94440.673519964359</v>
      </c>
      <c r="I152">
        <f t="shared" si="7"/>
        <v>0</v>
      </c>
    </row>
    <row r="153" spans="1:9">
      <c r="A153" s="1">
        <v>39471</v>
      </c>
      <c r="B153">
        <f>(3/(1+('CurrentFact-N10,20,40,60Unchan'!C153)/100)+103/POWER(1+('CurrentFact-N10,20,40,60Unchan'!D153)/100,2))*100</f>
        <v>9707.5857774288397</v>
      </c>
      <c r="C153">
        <f>(3/(1+('CurrentFact-N10,20,40,60Unchan'!C153+'CurrentFact-N10,20,40,60Unchan'!G153)/100)+103/POWER(1+('CurrentFact-N10,20,40,60Unchan'!D153+'CurrentFact-N10,20,40,60Unchan'!G153)/100,2))*100</f>
        <v>9614.9673582483465</v>
      </c>
      <c r="D153">
        <f>(3/(1+('CurrentFact-N10,20,40,60Unchan'!C153+'CurrentFact-N10,20,40,60Unchan'!H153)/100)+103/POWER(1+('CurrentFact-N10,20,40,60Unchan'!D153+'CurrentFact-N10,20,40,60Unchan'!H153)/100,2))*100</f>
        <v>9601.2395558122898</v>
      </c>
      <c r="E153">
        <f>(3/(1+('CurrentFact-N10,20,40,60Unchan'!C153+'CurrentFact-N10,20,40,60Unchan'!I153)/100)+103/POWER(1+('CurrentFact-N10,20,40,60Unchan'!D153+'CurrentFact-N10,20,40,60Unchan'!I153)/100,2))*100</f>
        <v>9676.6907857653259</v>
      </c>
      <c r="F153">
        <f>Portfolio!B$5*'CurrentFact-N10,20,40,60Unchan'!E153</f>
        <v>52143.895533915893</v>
      </c>
      <c r="G153">
        <f>Portfolio!B$6*'CurrentFact-N10,20,40,60Unchan'!F153</f>
        <v>3696.2945087936532</v>
      </c>
      <c r="H153">
        <f t="shared" si="6"/>
        <v>94440.673519964359</v>
      </c>
      <c r="I153">
        <f t="shared" si="7"/>
        <v>0</v>
      </c>
    </row>
    <row r="154" spans="1:9">
      <c r="A154" s="1">
        <v>39472</v>
      </c>
      <c r="B154">
        <f>(3/(1+('CurrentFact-N10,20,40,60Unchan'!C154)/100)+103/POWER(1+('CurrentFact-N10,20,40,60Unchan'!D154)/100,2))*100</f>
        <v>9707.5857774288397</v>
      </c>
      <c r="C154">
        <f>(3/(1+('CurrentFact-N10,20,40,60Unchan'!C154+'CurrentFact-N10,20,40,60Unchan'!G154)/100)+103/POWER(1+('CurrentFact-N10,20,40,60Unchan'!D154+'CurrentFact-N10,20,40,60Unchan'!G154)/100,2))*100</f>
        <v>9614.9673582483465</v>
      </c>
      <c r="D154">
        <f>(3/(1+('CurrentFact-N10,20,40,60Unchan'!C154+'CurrentFact-N10,20,40,60Unchan'!H154)/100)+103/POWER(1+('CurrentFact-N10,20,40,60Unchan'!D154+'CurrentFact-N10,20,40,60Unchan'!H154)/100,2))*100</f>
        <v>9601.2395558122898</v>
      </c>
      <c r="E154">
        <f>(3/(1+('CurrentFact-N10,20,40,60Unchan'!C154+'CurrentFact-N10,20,40,60Unchan'!I154)/100)+103/POWER(1+('CurrentFact-N10,20,40,60Unchan'!D154+'CurrentFact-N10,20,40,60Unchan'!I154)/100,2))*100</f>
        <v>9676.6907857653259</v>
      </c>
      <c r="F154">
        <f>Portfolio!B$5*'CurrentFact-N10,20,40,60Unchan'!E154</f>
        <v>52143.895533915893</v>
      </c>
      <c r="G154">
        <f>Portfolio!B$6*'CurrentFact-N10,20,40,60Unchan'!F154</f>
        <v>3696.2945087936532</v>
      </c>
      <c r="H154">
        <f t="shared" si="6"/>
        <v>94440.673519964359</v>
      </c>
      <c r="I154">
        <f t="shared" si="7"/>
        <v>0</v>
      </c>
    </row>
    <row r="155" spans="1:9">
      <c r="A155" s="1">
        <v>39475</v>
      </c>
      <c r="B155">
        <f>(3/(1+('CurrentFact-N10,20,40,60Unchan'!C155)/100)+103/POWER(1+('CurrentFact-N10,20,40,60Unchan'!D155)/100,2))*100</f>
        <v>9707.5857774288397</v>
      </c>
      <c r="C155">
        <f>(3/(1+('CurrentFact-N10,20,40,60Unchan'!C155+'CurrentFact-N10,20,40,60Unchan'!G155)/100)+103/POWER(1+('CurrentFact-N10,20,40,60Unchan'!D155+'CurrentFact-N10,20,40,60Unchan'!G155)/100,2))*100</f>
        <v>9614.9673582483465</v>
      </c>
      <c r="D155">
        <f>(3/(1+('CurrentFact-N10,20,40,60Unchan'!C155+'CurrentFact-N10,20,40,60Unchan'!H155)/100)+103/POWER(1+('CurrentFact-N10,20,40,60Unchan'!D155+'CurrentFact-N10,20,40,60Unchan'!H155)/100,2))*100</f>
        <v>9601.2395558122898</v>
      </c>
      <c r="E155">
        <f>(3/(1+('CurrentFact-N10,20,40,60Unchan'!C155+'CurrentFact-N10,20,40,60Unchan'!I155)/100)+103/POWER(1+('CurrentFact-N10,20,40,60Unchan'!D155+'CurrentFact-N10,20,40,60Unchan'!I155)/100,2))*100</f>
        <v>9676.6907857653259</v>
      </c>
      <c r="F155">
        <f>Portfolio!B$5*'CurrentFact-N10,20,40,60Unchan'!E155</f>
        <v>52143.895533915893</v>
      </c>
      <c r="G155">
        <f>Portfolio!B$6*'CurrentFact-N10,20,40,60Unchan'!F155</f>
        <v>3696.2945087936532</v>
      </c>
      <c r="H155">
        <f t="shared" si="6"/>
        <v>94440.673519964359</v>
      </c>
      <c r="I155">
        <f t="shared" si="7"/>
        <v>0</v>
      </c>
    </row>
    <row r="156" spans="1:9">
      <c r="A156" s="1">
        <v>39476</v>
      </c>
      <c r="B156">
        <f>(3/(1+('CurrentFact-N10,20,40,60Unchan'!C156)/100)+103/POWER(1+('CurrentFact-N10,20,40,60Unchan'!D156)/100,2))*100</f>
        <v>9707.5857774288397</v>
      </c>
      <c r="C156">
        <f>(3/(1+('CurrentFact-N10,20,40,60Unchan'!C156+'CurrentFact-N10,20,40,60Unchan'!G156)/100)+103/POWER(1+('CurrentFact-N10,20,40,60Unchan'!D156+'CurrentFact-N10,20,40,60Unchan'!G156)/100,2))*100</f>
        <v>9614.9673582483465</v>
      </c>
      <c r="D156">
        <f>(3/(1+('CurrentFact-N10,20,40,60Unchan'!C156+'CurrentFact-N10,20,40,60Unchan'!H156)/100)+103/POWER(1+('CurrentFact-N10,20,40,60Unchan'!D156+'CurrentFact-N10,20,40,60Unchan'!H156)/100,2))*100</f>
        <v>9601.2395558122898</v>
      </c>
      <c r="E156">
        <f>(3/(1+('CurrentFact-N10,20,40,60Unchan'!C156+'CurrentFact-N10,20,40,60Unchan'!I156)/100)+103/POWER(1+('CurrentFact-N10,20,40,60Unchan'!D156+'CurrentFact-N10,20,40,60Unchan'!I156)/100,2))*100</f>
        <v>9676.6907857653259</v>
      </c>
      <c r="F156">
        <f>Portfolio!B$5*'CurrentFact-N10,20,40,60Unchan'!E156</f>
        <v>52143.895533915893</v>
      </c>
      <c r="G156">
        <f>Portfolio!B$6*'CurrentFact-N10,20,40,60Unchan'!F156</f>
        <v>3696.2945087936532</v>
      </c>
      <c r="H156">
        <f t="shared" si="6"/>
        <v>94440.673519964359</v>
      </c>
      <c r="I156">
        <f t="shared" si="7"/>
        <v>0</v>
      </c>
    </row>
    <row r="157" spans="1:9">
      <c r="A157" s="1">
        <v>39477</v>
      </c>
      <c r="B157">
        <f>(3/(1+('CurrentFact-N10,20,40,60Unchan'!C157)/100)+103/POWER(1+('CurrentFact-N10,20,40,60Unchan'!D157)/100,2))*100</f>
        <v>9707.5857774288397</v>
      </c>
      <c r="C157">
        <f>(3/(1+('CurrentFact-N10,20,40,60Unchan'!C157+'CurrentFact-N10,20,40,60Unchan'!G157)/100)+103/POWER(1+('CurrentFact-N10,20,40,60Unchan'!D157+'CurrentFact-N10,20,40,60Unchan'!G157)/100,2))*100</f>
        <v>9614.9673582483465</v>
      </c>
      <c r="D157">
        <f>(3/(1+('CurrentFact-N10,20,40,60Unchan'!C157+'CurrentFact-N10,20,40,60Unchan'!H157)/100)+103/POWER(1+('CurrentFact-N10,20,40,60Unchan'!D157+'CurrentFact-N10,20,40,60Unchan'!H157)/100,2))*100</f>
        <v>9601.2395558122898</v>
      </c>
      <c r="E157">
        <f>(3/(1+('CurrentFact-N10,20,40,60Unchan'!C157+'CurrentFact-N10,20,40,60Unchan'!I157)/100)+103/POWER(1+('CurrentFact-N10,20,40,60Unchan'!D157+'CurrentFact-N10,20,40,60Unchan'!I157)/100,2))*100</f>
        <v>9676.6907857653259</v>
      </c>
      <c r="F157">
        <f>Portfolio!B$5*'CurrentFact-N10,20,40,60Unchan'!E157</f>
        <v>52143.895533915893</v>
      </c>
      <c r="G157">
        <f>Portfolio!B$6*'CurrentFact-N10,20,40,60Unchan'!F157</f>
        <v>3696.2945087936532</v>
      </c>
      <c r="H157">
        <f t="shared" si="6"/>
        <v>94440.673519964359</v>
      </c>
      <c r="I157">
        <f t="shared" si="7"/>
        <v>0</v>
      </c>
    </row>
    <row r="158" spans="1:9">
      <c r="A158" s="1">
        <v>39478</v>
      </c>
      <c r="B158">
        <f>(3/(1+('CurrentFact-N10,20,40,60Unchan'!C158)/100)+103/POWER(1+('CurrentFact-N10,20,40,60Unchan'!D158)/100,2))*100</f>
        <v>9707.5857774288397</v>
      </c>
      <c r="C158">
        <f>(3/(1+('CurrentFact-N10,20,40,60Unchan'!C158+'CurrentFact-N10,20,40,60Unchan'!G158)/100)+103/POWER(1+('CurrentFact-N10,20,40,60Unchan'!D158+'CurrentFact-N10,20,40,60Unchan'!G158)/100,2))*100</f>
        <v>9614.9673582483465</v>
      </c>
      <c r="D158">
        <f>(3/(1+('CurrentFact-N10,20,40,60Unchan'!C158+'CurrentFact-N10,20,40,60Unchan'!H158)/100)+103/POWER(1+('CurrentFact-N10,20,40,60Unchan'!D158+'CurrentFact-N10,20,40,60Unchan'!H158)/100,2))*100</f>
        <v>9601.2395558122898</v>
      </c>
      <c r="E158">
        <f>(3/(1+('CurrentFact-N10,20,40,60Unchan'!C158+'CurrentFact-N10,20,40,60Unchan'!I158)/100)+103/POWER(1+('CurrentFact-N10,20,40,60Unchan'!D158+'CurrentFact-N10,20,40,60Unchan'!I158)/100,2))*100</f>
        <v>9676.6907857653259</v>
      </c>
      <c r="F158">
        <f>Portfolio!B$5*'CurrentFact-N10,20,40,60Unchan'!E158</f>
        <v>52143.895533915893</v>
      </c>
      <c r="G158">
        <f>Portfolio!B$6*'CurrentFact-N10,20,40,60Unchan'!F158</f>
        <v>3696.2945087936532</v>
      </c>
      <c r="H158">
        <f t="shared" si="6"/>
        <v>94440.673519964359</v>
      </c>
      <c r="I158">
        <f t="shared" si="7"/>
        <v>0</v>
      </c>
    </row>
    <row r="159" spans="1:9">
      <c r="A159" s="1">
        <v>39479</v>
      </c>
      <c r="B159">
        <f>(3/(1+('CurrentFact-N10,20,40,60Unchan'!C159)/100)+103/POWER(1+('CurrentFact-N10,20,40,60Unchan'!D159)/100,2))*100</f>
        <v>9707.5857774288397</v>
      </c>
      <c r="C159">
        <f>(3/(1+('CurrentFact-N10,20,40,60Unchan'!C159+'CurrentFact-N10,20,40,60Unchan'!G159)/100)+103/POWER(1+('CurrentFact-N10,20,40,60Unchan'!D159+'CurrentFact-N10,20,40,60Unchan'!G159)/100,2))*100</f>
        <v>9614.9673582483465</v>
      </c>
      <c r="D159">
        <f>(3/(1+('CurrentFact-N10,20,40,60Unchan'!C159+'CurrentFact-N10,20,40,60Unchan'!H159)/100)+103/POWER(1+('CurrentFact-N10,20,40,60Unchan'!D159+'CurrentFact-N10,20,40,60Unchan'!H159)/100,2))*100</f>
        <v>9601.2395558122898</v>
      </c>
      <c r="E159">
        <f>(3/(1+('CurrentFact-N10,20,40,60Unchan'!C159+'CurrentFact-N10,20,40,60Unchan'!I159)/100)+103/POWER(1+('CurrentFact-N10,20,40,60Unchan'!D159+'CurrentFact-N10,20,40,60Unchan'!I159)/100,2))*100</f>
        <v>9676.6907857653259</v>
      </c>
      <c r="F159">
        <f>Portfolio!B$5*'CurrentFact-N10,20,40,60Unchan'!E159</f>
        <v>52143.895533915893</v>
      </c>
      <c r="G159">
        <f>Portfolio!B$6*'CurrentFact-N10,20,40,60Unchan'!F159</f>
        <v>3696.2945087936532</v>
      </c>
      <c r="H159">
        <f t="shared" si="6"/>
        <v>94440.673519964359</v>
      </c>
      <c r="I159">
        <f t="shared" si="7"/>
        <v>0</v>
      </c>
    </row>
    <row r="160" spans="1:9">
      <c r="A160" s="1">
        <v>39482</v>
      </c>
      <c r="B160">
        <f>(3/(1+('CurrentFact-N10,20,40,60Unchan'!C160)/100)+103/POWER(1+('CurrentFact-N10,20,40,60Unchan'!D160)/100,2))*100</f>
        <v>9707.5857774288397</v>
      </c>
      <c r="C160">
        <f>(3/(1+('CurrentFact-N10,20,40,60Unchan'!C160+'CurrentFact-N10,20,40,60Unchan'!G160)/100)+103/POWER(1+('CurrentFact-N10,20,40,60Unchan'!D160+'CurrentFact-N10,20,40,60Unchan'!G160)/100,2))*100</f>
        <v>9614.9673582483465</v>
      </c>
      <c r="D160">
        <f>(3/(1+('CurrentFact-N10,20,40,60Unchan'!C160+'CurrentFact-N10,20,40,60Unchan'!H160)/100)+103/POWER(1+('CurrentFact-N10,20,40,60Unchan'!D160+'CurrentFact-N10,20,40,60Unchan'!H160)/100,2))*100</f>
        <v>9601.2395558122898</v>
      </c>
      <c r="E160">
        <f>(3/(1+('CurrentFact-N10,20,40,60Unchan'!C160+'CurrentFact-N10,20,40,60Unchan'!I160)/100)+103/POWER(1+('CurrentFact-N10,20,40,60Unchan'!D160+'CurrentFact-N10,20,40,60Unchan'!I160)/100,2))*100</f>
        <v>9676.6907857653259</v>
      </c>
      <c r="F160">
        <f>Portfolio!B$5*'CurrentFact-N10,20,40,60Unchan'!E160</f>
        <v>52143.895533915893</v>
      </c>
      <c r="G160">
        <f>Portfolio!B$6*'CurrentFact-N10,20,40,60Unchan'!F160</f>
        <v>3696.2945087936532</v>
      </c>
      <c r="H160">
        <f t="shared" si="6"/>
        <v>94440.673519964359</v>
      </c>
      <c r="I160">
        <f t="shared" si="7"/>
        <v>0</v>
      </c>
    </row>
    <row r="161" spans="1:9">
      <c r="A161" s="1">
        <v>39483</v>
      </c>
      <c r="B161">
        <f>(3/(1+('CurrentFact-N10,20,40,60Unchan'!C161)/100)+103/POWER(1+('CurrentFact-N10,20,40,60Unchan'!D161)/100,2))*100</f>
        <v>9707.5857774288397</v>
      </c>
      <c r="C161">
        <f>(3/(1+('CurrentFact-N10,20,40,60Unchan'!C161+'CurrentFact-N10,20,40,60Unchan'!G161)/100)+103/POWER(1+('CurrentFact-N10,20,40,60Unchan'!D161+'CurrentFact-N10,20,40,60Unchan'!G161)/100,2))*100</f>
        <v>9614.9673582483465</v>
      </c>
      <c r="D161">
        <f>(3/(1+('CurrentFact-N10,20,40,60Unchan'!C161+'CurrentFact-N10,20,40,60Unchan'!H161)/100)+103/POWER(1+('CurrentFact-N10,20,40,60Unchan'!D161+'CurrentFact-N10,20,40,60Unchan'!H161)/100,2))*100</f>
        <v>9601.2395558122898</v>
      </c>
      <c r="E161">
        <f>(3/(1+('CurrentFact-N10,20,40,60Unchan'!C161+'CurrentFact-N10,20,40,60Unchan'!I161)/100)+103/POWER(1+('CurrentFact-N10,20,40,60Unchan'!D161+'CurrentFact-N10,20,40,60Unchan'!I161)/100,2))*100</f>
        <v>9676.6907857653259</v>
      </c>
      <c r="F161">
        <f>Portfolio!B$5*'CurrentFact-N10,20,40,60Unchan'!E161</f>
        <v>52143.895533915893</v>
      </c>
      <c r="G161">
        <f>Portfolio!B$6*'CurrentFact-N10,20,40,60Unchan'!F161</f>
        <v>3696.2945087936532</v>
      </c>
      <c r="H161">
        <f t="shared" si="6"/>
        <v>94440.673519964359</v>
      </c>
      <c r="I161">
        <f t="shared" si="7"/>
        <v>0</v>
      </c>
    </row>
    <row r="162" spans="1:9">
      <c r="A162" s="1">
        <v>39484</v>
      </c>
      <c r="B162">
        <f>(3/(1+('CurrentFact-N10,20,40,60Unchan'!C162)/100)+103/POWER(1+('CurrentFact-N10,20,40,60Unchan'!D162)/100,2))*100</f>
        <v>9707.5857774288397</v>
      </c>
      <c r="C162">
        <f>(3/(1+('CurrentFact-N10,20,40,60Unchan'!C162+'CurrentFact-N10,20,40,60Unchan'!G162)/100)+103/POWER(1+('CurrentFact-N10,20,40,60Unchan'!D162+'CurrentFact-N10,20,40,60Unchan'!G162)/100,2))*100</f>
        <v>9614.9673582483465</v>
      </c>
      <c r="D162">
        <f>(3/(1+('CurrentFact-N10,20,40,60Unchan'!C162+'CurrentFact-N10,20,40,60Unchan'!H162)/100)+103/POWER(1+('CurrentFact-N10,20,40,60Unchan'!D162+'CurrentFact-N10,20,40,60Unchan'!H162)/100,2))*100</f>
        <v>9601.2395558122898</v>
      </c>
      <c r="E162">
        <f>(3/(1+('CurrentFact-N10,20,40,60Unchan'!C162+'CurrentFact-N10,20,40,60Unchan'!I162)/100)+103/POWER(1+('CurrentFact-N10,20,40,60Unchan'!D162+'CurrentFact-N10,20,40,60Unchan'!I162)/100,2))*100</f>
        <v>9676.6907857653259</v>
      </c>
      <c r="F162">
        <f>Portfolio!B$5*'CurrentFact-N10,20,40,60Unchan'!E162</f>
        <v>52143.895533915893</v>
      </c>
      <c r="G162">
        <f>Portfolio!B$6*'CurrentFact-N10,20,40,60Unchan'!F162</f>
        <v>3696.2945087936532</v>
      </c>
      <c r="H162">
        <f t="shared" si="6"/>
        <v>94440.673519964359</v>
      </c>
      <c r="I162">
        <f t="shared" si="7"/>
        <v>0</v>
      </c>
    </row>
    <row r="163" spans="1:9">
      <c r="A163" s="1">
        <v>39485</v>
      </c>
      <c r="B163">
        <f>(3/(1+('CurrentFact-N10,20,40,60Unchan'!C163)/100)+103/POWER(1+('CurrentFact-N10,20,40,60Unchan'!D163)/100,2))*100</f>
        <v>9707.5857774288397</v>
      </c>
      <c r="C163">
        <f>(3/(1+('CurrentFact-N10,20,40,60Unchan'!C163+'CurrentFact-N10,20,40,60Unchan'!G163)/100)+103/POWER(1+('CurrentFact-N10,20,40,60Unchan'!D163+'CurrentFact-N10,20,40,60Unchan'!G163)/100,2))*100</f>
        <v>9614.9673582483465</v>
      </c>
      <c r="D163">
        <f>(3/(1+('CurrentFact-N10,20,40,60Unchan'!C163+'CurrentFact-N10,20,40,60Unchan'!H163)/100)+103/POWER(1+('CurrentFact-N10,20,40,60Unchan'!D163+'CurrentFact-N10,20,40,60Unchan'!H163)/100,2))*100</f>
        <v>9601.2395558122898</v>
      </c>
      <c r="E163">
        <f>(3/(1+('CurrentFact-N10,20,40,60Unchan'!C163+'CurrentFact-N10,20,40,60Unchan'!I163)/100)+103/POWER(1+('CurrentFact-N10,20,40,60Unchan'!D163+'CurrentFact-N10,20,40,60Unchan'!I163)/100,2))*100</f>
        <v>9676.6907857653259</v>
      </c>
      <c r="F163">
        <f>Portfolio!B$5*'CurrentFact-N10,20,40,60Unchan'!E163</f>
        <v>52143.895533915893</v>
      </c>
      <c r="G163">
        <f>Portfolio!B$6*'CurrentFact-N10,20,40,60Unchan'!F163</f>
        <v>3696.2945087936532</v>
      </c>
      <c r="H163">
        <f t="shared" ref="H163:H187" si="8">SUM(B163:G163)</f>
        <v>94440.673519964359</v>
      </c>
      <c r="I163">
        <f t="shared" si="7"/>
        <v>0</v>
      </c>
    </row>
    <row r="164" spans="1:9">
      <c r="A164" s="1">
        <v>39486</v>
      </c>
      <c r="B164">
        <f>(3/(1+('CurrentFact-N10,20,40,60Unchan'!C164)/100)+103/POWER(1+('CurrentFact-N10,20,40,60Unchan'!D164)/100,2))*100</f>
        <v>9707.5857774288397</v>
      </c>
      <c r="C164">
        <f>(3/(1+('CurrentFact-N10,20,40,60Unchan'!C164+'CurrentFact-N10,20,40,60Unchan'!G164)/100)+103/POWER(1+('CurrentFact-N10,20,40,60Unchan'!D164+'CurrentFact-N10,20,40,60Unchan'!G164)/100,2))*100</f>
        <v>9614.9673582483465</v>
      </c>
      <c r="D164">
        <f>(3/(1+('CurrentFact-N10,20,40,60Unchan'!C164+'CurrentFact-N10,20,40,60Unchan'!H164)/100)+103/POWER(1+('CurrentFact-N10,20,40,60Unchan'!D164+'CurrentFact-N10,20,40,60Unchan'!H164)/100,2))*100</f>
        <v>9601.2395558122898</v>
      </c>
      <c r="E164">
        <f>(3/(1+('CurrentFact-N10,20,40,60Unchan'!C164+'CurrentFact-N10,20,40,60Unchan'!I164)/100)+103/POWER(1+('CurrentFact-N10,20,40,60Unchan'!D164+'CurrentFact-N10,20,40,60Unchan'!I164)/100,2))*100</f>
        <v>9676.6907857653259</v>
      </c>
      <c r="F164">
        <f>Portfolio!B$5*'CurrentFact-N10,20,40,60Unchan'!E164</f>
        <v>52143.895533915893</v>
      </c>
      <c r="G164">
        <f>Portfolio!B$6*'CurrentFact-N10,20,40,60Unchan'!F164</f>
        <v>3696.2945087936532</v>
      </c>
      <c r="H164">
        <f t="shared" si="8"/>
        <v>94440.673519964359</v>
      </c>
      <c r="I164">
        <f t="shared" si="7"/>
        <v>0</v>
      </c>
    </row>
    <row r="165" spans="1:9">
      <c r="A165" s="1">
        <v>39489</v>
      </c>
      <c r="B165">
        <f>(3/(1+('CurrentFact-N10,20,40,60Unchan'!C165)/100)+103/POWER(1+('CurrentFact-N10,20,40,60Unchan'!D165)/100,2))*100</f>
        <v>9707.5857774288397</v>
      </c>
      <c r="C165">
        <f>(3/(1+('CurrentFact-N10,20,40,60Unchan'!C165+'CurrentFact-N10,20,40,60Unchan'!G165)/100)+103/POWER(1+('CurrentFact-N10,20,40,60Unchan'!D165+'CurrentFact-N10,20,40,60Unchan'!G165)/100,2))*100</f>
        <v>9614.9673582483465</v>
      </c>
      <c r="D165">
        <f>(3/(1+('CurrentFact-N10,20,40,60Unchan'!C165+'CurrentFact-N10,20,40,60Unchan'!H165)/100)+103/POWER(1+('CurrentFact-N10,20,40,60Unchan'!D165+'CurrentFact-N10,20,40,60Unchan'!H165)/100,2))*100</f>
        <v>9601.2395558122898</v>
      </c>
      <c r="E165">
        <f>(3/(1+('CurrentFact-N10,20,40,60Unchan'!C165+'CurrentFact-N10,20,40,60Unchan'!I165)/100)+103/POWER(1+('CurrentFact-N10,20,40,60Unchan'!D165+'CurrentFact-N10,20,40,60Unchan'!I165)/100,2))*100</f>
        <v>9676.6907857653259</v>
      </c>
      <c r="F165">
        <f>Portfolio!B$5*'CurrentFact-N10,20,40,60Unchan'!E165</f>
        <v>52143.895533915893</v>
      </c>
      <c r="G165">
        <f>Portfolio!B$6*'CurrentFact-N10,20,40,60Unchan'!F165</f>
        <v>3696.2945087936532</v>
      </c>
      <c r="H165">
        <f t="shared" si="8"/>
        <v>94440.673519964359</v>
      </c>
      <c r="I165">
        <f t="shared" si="7"/>
        <v>0</v>
      </c>
    </row>
    <row r="166" spans="1:9">
      <c r="A166" s="1">
        <v>39490</v>
      </c>
      <c r="B166">
        <f>(3/(1+('CurrentFact-N10,20,40,60Unchan'!C166)/100)+103/POWER(1+('CurrentFact-N10,20,40,60Unchan'!D166)/100,2))*100</f>
        <v>9707.5857774288397</v>
      </c>
      <c r="C166">
        <f>(3/(1+('CurrentFact-N10,20,40,60Unchan'!C166+'CurrentFact-N10,20,40,60Unchan'!G166)/100)+103/POWER(1+('CurrentFact-N10,20,40,60Unchan'!D166+'CurrentFact-N10,20,40,60Unchan'!G166)/100,2))*100</f>
        <v>9614.9673582483465</v>
      </c>
      <c r="D166">
        <f>(3/(1+('CurrentFact-N10,20,40,60Unchan'!C166+'CurrentFact-N10,20,40,60Unchan'!H166)/100)+103/POWER(1+('CurrentFact-N10,20,40,60Unchan'!D166+'CurrentFact-N10,20,40,60Unchan'!H166)/100,2))*100</f>
        <v>9601.2395558122898</v>
      </c>
      <c r="E166">
        <f>(3/(1+('CurrentFact-N10,20,40,60Unchan'!C166+'CurrentFact-N10,20,40,60Unchan'!I166)/100)+103/POWER(1+('CurrentFact-N10,20,40,60Unchan'!D166+'CurrentFact-N10,20,40,60Unchan'!I166)/100,2))*100</f>
        <v>9676.6907857653259</v>
      </c>
      <c r="F166">
        <f>Portfolio!B$5*'CurrentFact-N10,20,40,60Unchan'!E166</f>
        <v>52143.895533915893</v>
      </c>
      <c r="G166">
        <f>Portfolio!B$6*'CurrentFact-N10,20,40,60Unchan'!F166</f>
        <v>3696.2945087936532</v>
      </c>
      <c r="H166">
        <f t="shared" si="8"/>
        <v>94440.673519964359</v>
      </c>
      <c r="I166">
        <f t="shared" si="7"/>
        <v>0</v>
      </c>
    </row>
    <row r="167" spans="1:9">
      <c r="A167" s="1">
        <v>39491</v>
      </c>
      <c r="B167">
        <f>(3/(1+('CurrentFact-N10,20,40,60Unchan'!C167)/100)+103/POWER(1+('CurrentFact-N10,20,40,60Unchan'!D167)/100,2))*100</f>
        <v>9707.5857774288397</v>
      </c>
      <c r="C167">
        <f>(3/(1+('CurrentFact-N10,20,40,60Unchan'!C167+'CurrentFact-N10,20,40,60Unchan'!G167)/100)+103/POWER(1+('CurrentFact-N10,20,40,60Unchan'!D167+'CurrentFact-N10,20,40,60Unchan'!G167)/100,2))*100</f>
        <v>9614.9673582483465</v>
      </c>
      <c r="D167">
        <f>(3/(1+('CurrentFact-N10,20,40,60Unchan'!C167+'CurrentFact-N10,20,40,60Unchan'!H167)/100)+103/POWER(1+('CurrentFact-N10,20,40,60Unchan'!D167+'CurrentFact-N10,20,40,60Unchan'!H167)/100,2))*100</f>
        <v>9601.2395558122898</v>
      </c>
      <c r="E167">
        <f>(3/(1+('CurrentFact-N10,20,40,60Unchan'!C167+'CurrentFact-N10,20,40,60Unchan'!I167)/100)+103/POWER(1+('CurrentFact-N10,20,40,60Unchan'!D167+'CurrentFact-N10,20,40,60Unchan'!I167)/100,2))*100</f>
        <v>9676.6907857653259</v>
      </c>
      <c r="F167">
        <f>Portfolio!B$5*'CurrentFact-N10,20,40,60Unchan'!E167</f>
        <v>52143.895533915893</v>
      </c>
      <c r="G167">
        <f>Portfolio!B$6*'CurrentFact-N10,20,40,60Unchan'!F167</f>
        <v>3696.2945087936532</v>
      </c>
      <c r="H167">
        <f t="shared" si="8"/>
        <v>94440.673519964359</v>
      </c>
      <c r="I167">
        <f t="shared" si="7"/>
        <v>0</v>
      </c>
    </row>
    <row r="168" spans="1:9">
      <c r="A168" s="1">
        <v>39492</v>
      </c>
      <c r="B168">
        <f>(3/(1+('CurrentFact-N10,20,40,60Unchan'!C168)/100)+103/POWER(1+('CurrentFact-N10,20,40,60Unchan'!D168)/100,2))*100</f>
        <v>9707.5857774288397</v>
      </c>
      <c r="C168">
        <f>(3/(1+('CurrentFact-N10,20,40,60Unchan'!C168+'CurrentFact-N10,20,40,60Unchan'!G168)/100)+103/POWER(1+('CurrentFact-N10,20,40,60Unchan'!D168+'CurrentFact-N10,20,40,60Unchan'!G168)/100,2))*100</f>
        <v>9614.9673582483465</v>
      </c>
      <c r="D168">
        <f>(3/(1+('CurrentFact-N10,20,40,60Unchan'!C168+'CurrentFact-N10,20,40,60Unchan'!H168)/100)+103/POWER(1+('CurrentFact-N10,20,40,60Unchan'!D168+'CurrentFact-N10,20,40,60Unchan'!H168)/100,2))*100</f>
        <v>9601.2395558122898</v>
      </c>
      <c r="E168">
        <f>(3/(1+('CurrentFact-N10,20,40,60Unchan'!C168+'CurrentFact-N10,20,40,60Unchan'!I168)/100)+103/POWER(1+('CurrentFact-N10,20,40,60Unchan'!D168+'CurrentFact-N10,20,40,60Unchan'!I168)/100,2))*100</f>
        <v>9676.6907857653259</v>
      </c>
      <c r="F168">
        <f>Portfolio!B$5*'CurrentFact-N10,20,40,60Unchan'!E168</f>
        <v>52143.895533915893</v>
      </c>
      <c r="G168">
        <f>Portfolio!B$6*'CurrentFact-N10,20,40,60Unchan'!F168</f>
        <v>3696.2945087936532</v>
      </c>
      <c r="H168">
        <f t="shared" si="8"/>
        <v>94440.673519964359</v>
      </c>
      <c r="I168">
        <f t="shared" si="7"/>
        <v>0</v>
      </c>
    </row>
    <row r="169" spans="1:9">
      <c r="A169" s="1">
        <v>39493</v>
      </c>
      <c r="B169">
        <f>(3/(1+('CurrentFact-N10,20,40,60Unchan'!C169)/100)+103/POWER(1+('CurrentFact-N10,20,40,60Unchan'!D169)/100,2))*100</f>
        <v>9707.5857774288397</v>
      </c>
      <c r="C169">
        <f>(3/(1+('CurrentFact-N10,20,40,60Unchan'!C169+'CurrentFact-N10,20,40,60Unchan'!G169)/100)+103/POWER(1+('CurrentFact-N10,20,40,60Unchan'!D169+'CurrentFact-N10,20,40,60Unchan'!G169)/100,2))*100</f>
        <v>9614.9673582483465</v>
      </c>
      <c r="D169">
        <f>(3/(1+('CurrentFact-N10,20,40,60Unchan'!C169+'CurrentFact-N10,20,40,60Unchan'!H169)/100)+103/POWER(1+('CurrentFact-N10,20,40,60Unchan'!D169+'CurrentFact-N10,20,40,60Unchan'!H169)/100,2))*100</f>
        <v>9601.2395558122898</v>
      </c>
      <c r="E169">
        <f>(3/(1+('CurrentFact-N10,20,40,60Unchan'!C169+'CurrentFact-N10,20,40,60Unchan'!I169)/100)+103/POWER(1+('CurrentFact-N10,20,40,60Unchan'!D169+'CurrentFact-N10,20,40,60Unchan'!I169)/100,2))*100</f>
        <v>9676.6907857653259</v>
      </c>
      <c r="F169">
        <f>Portfolio!B$5*'CurrentFact-N10,20,40,60Unchan'!E169</f>
        <v>52143.895533915893</v>
      </c>
      <c r="G169">
        <f>Portfolio!B$6*'CurrentFact-N10,20,40,60Unchan'!F169</f>
        <v>3696.2945087936532</v>
      </c>
      <c r="H169">
        <f t="shared" si="8"/>
        <v>94440.673519964359</v>
      </c>
      <c r="I169">
        <f t="shared" si="7"/>
        <v>0</v>
      </c>
    </row>
    <row r="170" spans="1:9">
      <c r="A170" s="1">
        <v>39496</v>
      </c>
      <c r="B170">
        <f>(3/(1+('CurrentFact-N10,20,40,60Unchan'!C170)/100)+103/POWER(1+('CurrentFact-N10,20,40,60Unchan'!D170)/100,2))*100</f>
        <v>9707.5857774288397</v>
      </c>
      <c r="C170">
        <f>(3/(1+('CurrentFact-N10,20,40,60Unchan'!C170+'CurrentFact-N10,20,40,60Unchan'!G170)/100)+103/POWER(1+('CurrentFact-N10,20,40,60Unchan'!D170+'CurrentFact-N10,20,40,60Unchan'!G170)/100,2))*100</f>
        <v>9614.9673582483465</v>
      </c>
      <c r="D170">
        <f>(3/(1+('CurrentFact-N10,20,40,60Unchan'!C170+'CurrentFact-N10,20,40,60Unchan'!H170)/100)+103/POWER(1+('CurrentFact-N10,20,40,60Unchan'!D170+'CurrentFact-N10,20,40,60Unchan'!H170)/100,2))*100</f>
        <v>9601.2395558122898</v>
      </c>
      <c r="E170">
        <f>(3/(1+('CurrentFact-N10,20,40,60Unchan'!C170+'CurrentFact-N10,20,40,60Unchan'!I170)/100)+103/POWER(1+('CurrentFact-N10,20,40,60Unchan'!D170+'CurrentFact-N10,20,40,60Unchan'!I170)/100,2))*100</f>
        <v>9676.6907857653259</v>
      </c>
      <c r="F170">
        <f>Portfolio!B$5*'CurrentFact-N10,20,40,60Unchan'!E170</f>
        <v>52143.895533915893</v>
      </c>
      <c r="G170">
        <f>Portfolio!B$6*'CurrentFact-N10,20,40,60Unchan'!F170</f>
        <v>3696.2945087936532</v>
      </c>
      <c r="H170">
        <f t="shared" si="8"/>
        <v>94440.673519964359</v>
      </c>
      <c r="I170">
        <f t="shared" si="7"/>
        <v>0</v>
      </c>
    </row>
    <row r="171" spans="1:9">
      <c r="A171" s="1">
        <v>39497</v>
      </c>
      <c r="B171">
        <f>(3/(1+('CurrentFact-N10,20,40,60Unchan'!C171)/100)+103/POWER(1+('CurrentFact-N10,20,40,60Unchan'!D171)/100,2))*100</f>
        <v>9707.5857774288397</v>
      </c>
      <c r="C171">
        <f>(3/(1+('CurrentFact-N10,20,40,60Unchan'!C171+'CurrentFact-N10,20,40,60Unchan'!G171)/100)+103/POWER(1+('CurrentFact-N10,20,40,60Unchan'!D171+'CurrentFact-N10,20,40,60Unchan'!G171)/100,2))*100</f>
        <v>9614.9673582483465</v>
      </c>
      <c r="D171">
        <f>(3/(1+('CurrentFact-N10,20,40,60Unchan'!C171+'CurrentFact-N10,20,40,60Unchan'!H171)/100)+103/POWER(1+('CurrentFact-N10,20,40,60Unchan'!D171+'CurrentFact-N10,20,40,60Unchan'!H171)/100,2))*100</f>
        <v>9601.2395558122898</v>
      </c>
      <c r="E171">
        <f>(3/(1+('CurrentFact-N10,20,40,60Unchan'!C171+'CurrentFact-N10,20,40,60Unchan'!I171)/100)+103/POWER(1+('CurrentFact-N10,20,40,60Unchan'!D171+'CurrentFact-N10,20,40,60Unchan'!I171)/100,2))*100</f>
        <v>9676.6907857653259</v>
      </c>
      <c r="F171">
        <f>Portfolio!B$5*'CurrentFact-N10,20,40,60Unchan'!E171</f>
        <v>52143.895533915893</v>
      </c>
      <c r="G171">
        <f>Portfolio!B$6*'CurrentFact-N10,20,40,60Unchan'!F171</f>
        <v>3696.2945087936532</v>
      </c>
      <c r="H171">
        <f t="shared" si="8"/>
        <v>94440.673519964359</v>
      </c>
      <c r="I171">
        <f t="shared" si="7"/>
        <v>0</v>
      </c>
    </row>
    <row r="172" spans="1:9">
      <c r="A172" s="1">
        <v>39498</v>
      </c>
      <c r="B172">
        <f>(3/(1+('CurrentFact-N10,20,40,60Unchan'!C172)/100)+103/POWER(1+('CurrentFact-N10,20,40,60Unchan'!D172)/100,2))*100</f>
        <v>9707.5857774288397</v>
      </c>
      <c r="C172">
        <f>(3/(1+('CurrentFact-N10,20,40,60Unchan'!C172+'CurrentFact-N10,20,40,60Unchan'!G172)/100)+103/POWER(1+('CurrentFact-N10,20,40,60Unchan'!D172+'CurrentFact-N10,20,40,60Unchan'!G172)/100,2))*100</f>
        <v>9614.9673582483465</v>
      </c>
      <c r="D172">
        <f>(3/(1+('CurrentFact-N10,20,40,60Unchan'!C172+'CurrentFact-N10,20,40,60Unchan'!H172)/100)+103/POWER(1+('CurrentFact-N10,20,40,60Unchan'!D172+'CurrentFact-N10,20,40,60Unchan'!H172)/100,2))*100</f>
        <v>9601.2395558122898</v>
      </c>
      <c r="E172">
        <f>(3/(1+('CurrentFact-N10,20,40,60Unchan'!C172+'CurrentFact-N10,20,40,60Unchan'!I172)/100)+103/POWER(1+('CurrentFact-N10,20,40,60Unchan'!D172+'CurrentFact-N10,20,40,60Unchan'!I172)/100,2))*100</f>
        <v>9676.6907857653259</v>
      </c>
      <c r="F172">
        <f>Portfolio!B$5*'CurrentFact-N10,20,40,60Unchan'!E172</f>
        <v>52143.895533915893</v>
      </c>
      <c r="G172">
        <f>Portfolio!B$6*'CurrentFact-N10,20,40,60Unchan'!F172</f>
        <v>3696.2945087936532</v>
      </c>
      <c r="H172">
        <f t="shared" si="8"/>
        <v>94440.673519964359</v>
      </c>
      <c r="I172">
        <f t="shared" si="7"/>
        <v>0</v>
      </c>
    </row>
    <row r="173" spans="1:9">
      <c r="A173" s="1">
        <v>39499</v>
      </c>
      <c r="B173">
        <f>(3/(1+('CurrentFact-N10,20,40,60Unchan'!C173)/100)+103/POWER(1+('CurrentFact-N10,20,40,60Unchan'!D173)/100,2))*100</f>
        <v>9707.5857774288397</v>
      </c>
      <c r="C173">
        <f>(3/(1+('CurrentFact-N10,20,40,60Unchan'!C173+'CurrentFact-N10,20,40,60Unchan'!G173)/100)+103/POWER(1+('CurrentFact-N10,20,40,60Unchan'!D173+'CurrentFact-N10,20,40,60Unchan'!G173)/100,2))*100</f>
        <v>9614.9673582483465</v>
      </c>
      <c r="D173">
        <f>(3/(1+('CurrentFact-N10,20,40,60Unchan'!C173+'CurrentFact-N10,20,40,60Unchan'!H173)/100)+103/POWER(1+('CurrentFact-N10,20,40,60Unchan'!D173+'CurrentFact-N10,20,40,60Unchan'!H173)/100,2))*100</f>
        <v>9601.2395558122898</v>
      </c>
      <c r="E173">
        <f>(3/(1+('CurrentFact-N10,20,40,60Unchan'!C173+'CurrentFact-N10,20,40,60Unchan'!I173)/100)+103/POWER(1+('CurrentFact-N10,20,40,60Unchan'!D173+'CurrentFact-N10,20,40,60Unchan'!I173)/100,2))*100</f>
        <v>9676.6907857653259</v>
      </c>
      <c r="F173">
        <f>Portfolio!B$5*'CurrentFact-N10,20,40,60Unchan'!E173</f>
        <v>52143.895533915893</v>
      </c>
      <c r="G173">
        <f>Portfolio!B$6*'CurrentFact-N10,20,40,60Unchan'!F173</f>
        <v>3696.2945087936532</v>
      </c>
      <c r="H173">
        <f t="shared" si="8"/>
        <v>94440.673519964359</v>
      </c>
      <c r="I173">
        <f t="shared" si="7"/>
        <v>0</v>
      </c>
    </row>
    <row r="174" spans="1:9">
      <c r="A174" s="1">
        <v>39500</v>
      </c>
      <c r="B174">
        <f>(3/(1+('CurrentFact-N10,20,40,60Unchan'!C174)/100)+103/POWER(1+('CurrentFact-N10,20,40,60Unchan'!D174)/100,2))*100</f>
        <v>9707.5857774288397</v>
      </c>
      <c r="C174">
        <f>(3/(1+('CurrentFact-N10,20,40,60Unchan'!C174+'CurrentFact-N10,20,40,60Unchan'!G174)/100)+103/POWER(1+('CurrentFact-N10,20,40,60Unchan'!D174+'CurrentFact-N10,20,40,60Unchan'!G174)/100,2))*100</f>
        <v>9614.9673582483465</v>
      </c>
      <c r="D174">
        <f>(3/(1+('CurrentFact-N10,20,40,60Unchan'!C174+'CurrentFact-N10,20,40,60Unchan'!H174)/100)+103/POWER(1+('CurrentFact-N10,20,40,60Unchan'!D174+'CurrentFact-N10,20,40,60Unchan'!H174)/100,2))*100</f>
        <v>9601.2395558122898</v>
      </c>
      <c r="E174">
        <f>(3/(1+('CurrentFact-N10,20,40,60Unchan'!C174+'CurrentFact-N10,20,40,60Unchan'!I174)/100)+103/POWER(1+('CurrentFact-N10,20,40,60Unchan'!D174+'CurrentFact-N10,20,40,60Unchan'!I174)/100,2))*100</f>
        <v>9676.6907857653259</v>
      </c>
      <c r="F174">
        <f>Portfolio!B$5*'CurrentFact-N10,20,40,60Unchan'!E174</f>
        <v>52143.895533915893</v>
      </c>
      <c r="G174">
        <f>Portfolio!B$6*'CurrentFact-N10,20,40,60Unchan'!F174</f>
        <v>3696.2945087936532</v>
      </c>
      <c r="H174">
        <f t="shared" si="8"/>
        <v>94440.673519964359</v>
      </c>
      <c r="I174">
        <f t="shared" si="7"/>
        <v>0</v>
      </c>
    </row>
    <row r="175" spans="1:9">
      <c r="A175" s="1">
        <v>39503</v>
      </c>
      <c r="B175">
        <f>(3/(1+('CurrentFact-N10,20,40,60Unchan'!C175)/100)+103/POWER(1+('CurrentFact-N10,20,40,60Unchan'!D175)/100,2))*100</f>
        <v>9707.5857774288397</v>
      </c>
      <c r="C175">
        <f>(3/(1+('CurrentFact-N10,20,40,60Unchan'!C175+'CurrentFact-N10,20,40,60Unchan'!G175)/100)+103/POWER(1+('CurrentFact-N10,20,40,60Unchan'!D175+'CurrentFact-N10,20,40,60Unchan'!G175)/100,2))*100</f>
        <v>9614.9673582483465</v>
      </c>
      <c r="D175">
        <f>(3/(1+('CurrentFact-N10,20,40,60Unchan'!C175+'CurrentFact-N10,20,40,60Unchan'!H175)/100)+103/POWER(1+('CurrentFact-N10,20,40,60Unchan'!D175+'CurrentFact-N10,20,40,60Unchan'!H175)/100,2))*100</f>
        <v>9601.2395558122898</v>
      </c>
      <c r="E175">
        <f>(3/(1+('CurrentFact-N10,20,40,60Unchan'!C175+'CurrentFact-N10,20,40,60Unchan'!I175)/100)+103/POWER(1+('CurrentFact-N10,20,40,60Unchan'!D175+'CurrentFact-N10,20,40,60Unchan'!I175)/100,2))*100</f>
        <v>9676.6907857653259</v>
      </c>
      <c r="F175">
        <f>Portfolio!B$5*'CurrentFact-N10,20,40,60Unchan'!E175</f>
        <v>52143.895533915893</v>
      </c>
      <c r="G175">
        <f>Portfolio!B$6*'CurrentFact-N10,20,40,60Unchan'!F175</f>
        <v>3696.2945087936532</v>
      </c>
      <c r="H175">
        <f t="shared" si="8"/>
        <v>94440.673519964359</v>
      </c>
      <c r="I175">
        <f t="shared" si="7"/>
        <v>0</v>
      </c>
    </row>
    <row r="176" spans="1:9">
      <c r="A176" s="1">
        <v>39504</v>
      </c>
      <c r="B176">
        <f>(3/(1+('CurrentFact-N10,20,40,60Unchan'!C176)/100)+103/POWER(1+('CurrentFact-N10,20,40,60Unchan'!D176)/100,2))*100</f>
        <v>9707.5857774288397</v>
      </c>
      <c r="C176">
        <f>(3/(1+('CurrentFact-N10,20,40,60Unchan'!C176+'CurrentFact-N10,20,40,60Unchan'!G176)/100)+103/POWER(1+('CurrentFact-N10,20,40,60Unchan'!D176+'CurrentFact-N10,20,40,60Unchan'!G176)/100,2))*100</f>
        <v>9614.9673582483465</v>
      </c>
      <c r="D176">
        <f>(3/(1+('CurrentFact-N10,20,40,60Unchan'!C176+'CurrentFact-N10,20,40,60Unchan'!H176)/100)+103/POWER(1+('CurrentFact-N10,20,40,60Unchan'!D176+'CurrentFact-N10,20,40,60Unchan'!H176)/100,2))*100</f>
        <v>9601.2395558122898</v>
      </c>
      <c r="E176">
        <f>(3/(1+('CurrentFact-N10,20,40,60Unchan'!C176+'CurrentFact-N10,20,40,60Unchan'!I176)/100)+103/POWER(1+('CurrentFact-N10,20,40,60Unchan'!D176+'CurrentFact-N10,20,40,60Unchan'!I176)/100,2))*100</f>
        <v>9676.6907857653259</v>
      </c>
      <c r="F176">
        <f>Portfolio!B$5*'CurrentFact-N10,20,40,60Unchan'!E176</f>
        <v>52143.895533915893</v>
      </c>
      <c r="G176">
        <f>Portfolio!B$6*'CurrentFact-N10,20,40,60Unchan'!F176</f>
        <v>3696.2945087936532</v>
      </c>
      <c r="H176">
        <f t="shared" si="8"/>
        <v>94440.673519964359</v>
      </c>
      <c r="I176">
        <f t="shared" si="7"/>
        <v>0</v>
      </c>
    </row>
    <row r="177" spans="1:9">
      <c r="A177" s="1">
        <v>39505</v>
      </c>
      <c r="B177">
        <f>(3/(1+('CurrentFact-N10,20,40,60Unchan'!C177)/100)+103/POWER(1+('CurrentFact-N10,20,40,60Unchan'!D177)/100,2))*100</f>
        <v>9707.5857774288397</v>
      </c>
      <c r="C177">
        <f>(3/(1+('CurrentFact-N10,20,40,60Unchan'!C177+'CurrentFact-N10,20,40,60Unchan'!G177)/100)+103/POWER(1+('CurrentFact-N10,20,40,60Unchan'!D177+'CurrentFact-N10,20,40,60Unchan'!G177)/100,2))*100</f>
        <v>9614.9673582483465</v>
      </c>
      <c r="D177">
        <f>(3/(1+('CurrentFact-N10,20,40,60Unchan'!C177+'CurrentFact-N10,20,40,60Unchan'!H177)/100)+103/POWER(1+('CurrentFact-N10,20,40,60Unchan'!D177+'CurrentFact-N10,20,40,60Unchan'!H177)/100,2))*100</f>
        <v>9601.2395558122898</v>
      </c>
      <c r="E177">
        <f>(3/(1+('CurrentFact-N10,20,40,60Unchan'!C177+'CurrentFact-N10,20,40,60Unchan'!I177)/100)+103/POWER(1+('CurrentFact-N10,20,40,60Unchan'!D177+'CurrentFact-N10,20,40,60Unchan'!I177)/100,2))*100</f>
        <v>9676.6907857653259</v>
      </c>
      <c r="F177">
        <f>Portfolio!B$5*'CurrentFact-N10,20,40,60Unchan'!E177</f>
        <v>52143.895533915893</v>
      </c>
      <c r="G177">
        <f>Portfolio!B$6*'CurrentFact-N10,20,40,60Unchan'!F177</f>
        <v>3696.2945087936532</v>
      </c>
      <c r="H177">
        <f t="shared" si="8"/>
        <v>94440.673519964359</v>
      </c>
      <c r="I177">
        <f t="shared" si="7"/>
        <v>0</v>
      </c>
    </row>
    <row r="178" spans="1:9">
      <c r="A178" s="1">
        <v>39506</v>
      </c>
      <c r="B178">
        <f>(3/(1+('CurrentFact-N10,20,40,60Unchan'!C178)/100)+103/POWER(1+('CurrentFact-N10,20,40,60Unchan'!D178)/100,2))*100</f>
        <v>9707.5857774288397</v>
      </c>
      <c r="C178">
        <f>(3/(1+('CurrentFact-N10,20,40,60Unchan'!C178+'CurrentFact-N10,20,40,60Unchan'!G178)/100)+103/POWER(1+('CurrentFact-N10,20,40,60Unchan'!D178+'CurrentFact-N10,20,40,60Unchan'!G178)/100,2))*100</f>
        <v>9614.9673582483465</v>
      </c>
      <c r="D178">
        <f>(3/(1+('CurrentFact-N10,20,40,60Unchan'!C178+'CurrentFact-N10,20,40,60Unchan'!H178)/100)+103/POWER(1+('CurrentFact-N10,20,40,60Unchan'!D178+'CurrentFact-N10,20,40,60Unchan'!H178)/100,2))*100</f>
        <v>9601.2395558122898</v>
      </c>
      <c r="E178">
        <f>(3/(1+('CurrentFact-N10,20,40,60Unchan'!C178+'CurrentFact-N10,20,40,60Unchan'!I178)/100)+103/POWER(1+('CurrentFact-N10,20,40,60Unchan'!D178+'CurrentFact-N10,20,40,60Unchan'!I178)/100,2))*100</f>
        <v>9676.6907857653259</v>
      </c>
      <c r="F178">
        <f>Portfolio!B$5*'CurrentFact-N10,20,40,60Unchan'!E178</f>
        <v>52143.895533915893</v>
      </c>
      <c r="G178">
        <f>Portfolio!B$6*'CurrentFact-N10,20,40,60Unchan'!F178</f>
        <v>3696.2945087936532</v>
      </c>
      <c r="H178">
        <f t="shared" si="8"/>
        <v>94440.673519964359</v>
      </c>
      <c r="I178">
        <f t="shared" si="7"/>
        <v>0</v>
      </c>
    </row>
    <row r="179" spans="1:9">
      <c r="A179" s="1">
        <v>39507</v>
      </c>
      <c r="B179">
        <f>(3/(1+('CurrentFact-N10,20,40,60Unchan'!C179)/100)+103/POWER(1+('CurrentFact-N10,20,40,60Unchan'!D179)/100,2))*100</f>
        <v>9707.5857774288397</v>
      </c>
      <c r="C179">
        <f>(3/(1+('CurrentFact-N10,20,40,60Unchan'!C179+'CurrentFact-N10,20,40,60Unchan'!G179)/100)+103/POWER(1+('CurrentFact-N10,20,40,60Unchan'!D179+'CurrentFact-N10,20,40,60Unchan'!G179)/100,2))*100</f>
        <v>9614.9673582483465</v>
      </c>
      <c r="D179">
        <f>(3/(1+('CurrentFact-N10,20,40,60Unchan'!C179+'CurrentFact-N10,20,40,60Unchan'!H179)/100)+103/POWER(1+('CurrentFact-N10,20,40,60Unchan'!D179+'CurrentFact-N10,20,40,60Unchan'!H179)/100,2))*100</f>
        <v>9601.2395558122898</v>
      </c>
      <c r="E179">
        <f>(3/(1+('CurrentFact-N10,20,40,60Unchan'!C179+'CurrentFact-N10,20,40,60Unchan'!I179)/100)+103/POWER(1+('CurrentFact-N10,20,40,60Unchan'!D179+'CurrentFact-N10,20,40,60Unchan'!I179)/100,2))*100</f>
        <v>9676.6907857653259</v>
      </c>
      <c r="F179">
        <f>Portfolio!B$5*'CurrentFact-N10,20,40,60Unchan'!E179</f>
        <v>52143.895533915893</v>
      </c>
      <c r="G179">
        <f>Portfolio!B$6*'CurrentFact-N10,20,40,60Unchan'!F179</f>
        <v>3696.2945087936532</v>
      </c>
      <c r="H179">
        <f t="shared" si="8"/>
        <v>94440.673519964359</v>
      </c>
      <c r="I179">
        <f t="shared" si="7"/>
        <v>0</v>
      </c>
    </row>
    <row r="180" spans="1:9">
      <c r="A180" s="1">
        <v>39510</v>
      </c>
      <c r="B180">
        <f>(3/(1+('CurrentFact-N10,20,40,60Unchan'!C180)/100)+103/POWER(1+('CurrentFact-N10,20,40,60Unchan'!D180)/100,2))*100</f>
        <v>9707.5857774288397</v>
      </c>
      <c r="C180">
        <f>(3/(1+('CurrentFact-N10,20,40,60Unchan'!C180+'CurrentFact-N10,20,40,60Unchan'!G180)/100)+103/POWER(1+('CurrentFact-N10,20,40,60Unchan'!D180+'CurrentFact-N10,20,40,60Unchan'!G180)/100,2))*100</f>
        <v>9614.9673582483465</v>
      </c>
      <c r="D180">
        <f>(3/(1+('CurrentFact-N10,20,40,60Unchan'!C180+'CurrentFact-N10,20,40,60Unchan'!H180)/100)+103/POWER(1+('CurrentFact-N10,20,40,60Unchan'!D180+'CurrentFact-N10,20,40,60Unchan'!H180)/100,2))*100</f>
        <v>9601.2395558122898</v>
      </c>
      <c r="E180">
        <f>(3/(1+('CurrentFact-N10,20,40,60Unchan'!C180+'CurrentFact-N10,20,40,60Unchan'!I180)/100)+103/POWER(1+('CurrentFact-N10,20,40,60Unchan'!D180+'CurrentFact-N10,20,40,60Unchan'!I180)/100,2))*100</f>
        <v>9676.6907857653259</v>
      </c>
      <c r="F180">
        <f>Portfolio!B$5*'CurrentFact-N10,20,40,60Unchan'!E180</f>
        <v>52143.895533915893</v>
      </c>
      <c r="G180">
        <f>Portfolio!B$6*'CurrentFact-N10,20,40,60Unchan'!F180</f>
        <v>3696.2945087936532</v>
      </c>
      <c r="H180">
        <f t="shared" si="8"/>
        <v>94440.673519964359</v>
      </c>
      <c r="I180">
        <f t="shared" si="7"/>
        <v>0</v>
      </c>
    </row>
    <row r="181" spans="1:9">
      <c r="A181" s="1">
        <v>39511</v>
      </c>
      <c r="B181">
        <f>(3/(1+('CurrentFact-N10,20,40,60Unchan'!C181)/100)+103/POWER(1+('CurrentFact-N10,20,40,60Unchan'!D181)/100,2))*100</f>
        <v>9707.5857774288397</v>
      </c>
      <c r="C181">
        <f>(3/(1+('CurrentFact-N10,20,40,60Unchan'!C181+'CurrentFact-N10,20,40,60Unchan'!G181)/100)+103/POWER(1+('CurrentFact-N10,20,40,60Unchan'!D181+'CurrentFact-N10,20,40,60Unchan'!G181)/100,2))*100</f>
        <v>9614.9673582483465</v>
      </c>
      <c r="D181">
        <f>(3/(1+('CurrentFact-N10,20,40,60Unchan'!C181+'CurrentFact-N10,20,40,60Unchan'!H181)/100)+103/POWER(1+('CurrentFact-N10,20,40,60Unchan'!D181+'CurrentFact-N10,20,40,60Unchan'!H181)/100,2))*100</f>
        <v>9601.2395558122898</v>
      </c>
      <c r="E181">
        <f>(3/(1+('CurrentFact-N10,20,40,60Unchan'!C181+'CurrentFact-N10,20,40,60Unchan'!I181)/100)+103/POWER(1+('CurrentFact-N10,20,40,60Unchan'!D181+'CurrentFact-N10,20,40,60Unchan'!I181)/100,2))*100</f>
        <v>9676.6907857653259</v>
      </c>
      <c r="F181">
        <f>Portfolio!B$5*'CurrentFact-N10,20,40,60Unchan'!E181</f>
        <v>52143.895533915893</v>
      </c>
      <c r="G181">
        <f>Portfolio!B$6*'CurrentFact-N10,20,40,60Unchan'!F181</f>
        <v>3696.2945087936532</v>
      </c>
      <c r="H181">
        <f t="shared" si="8"/>
        <v>94440.673519964359</v>
      </c>
      <c r="I181">
        <f t="shared" si="7"/>
        <v>0</v>
      </c>
    </row>
    <row r="182" spans="1:9">
      <c r="A182" s="1">
        <v>39512</v>
      </c>
      <c r="B182">
        <f>(3/(1+('CurrentFact-N10,20,40,60Unchan'!C182)/100)+103/POWER(1+('CurrentFact-N10,20,40,60Unchan'!D182)/100,2))*100</f>
        <v>9707.5857774288397</v>
      </c>
      <c r="C182">
        <f>(3/(1+('CurrentFact-N10,20,40,60Unchan'!C182+'CurrentFact-N10,20,40,60Unchan'!G182)/100)+103/POWER(1+('CurrentFact-N10,20,40,60Unchan'!D182+'CurrentFact-N10,20,40,60Unchan'!G182)/100,2))*100</f>
        <v>9614.9673582483465</v>
      </c>
      <c r="D182">
        <f>(3/(1+('CurrentFact-N10,20,40,60Unchan'!C182+'CurrentFact-N10,20,40,60Unchan'!H182)/100)+103/POWER(1+('CurrentFact-N10,20,40,60Unchan'!D182+'CurrentFact-N10,20,40,60Unchan'!H182)/100,2))*100</f>
        <v>9601.2395558122898</v>
      </c>
      <c r="E182">
        <f>(3/(1+('CurrentFact-N10,20,40,60Unchan'!C182+'CurrentFact-N10,20,40,60Unchan'!I182)/100)+103/POWER(1+('CurrentFact-N10,20,40,60Unchan'!D182+'CurrentFact-N10,20,40,60Unchan'!I182)/100,2))*100</f>
        <v>9676.6907857653259</v>
      </c>
      <c r="F182">
        <f>Portfolio!B$5*'CurrentFact-N10,20,40,60Unchan'!E182</f>
        <v>52143.895533915893</v>
      </c>
      <c r="G182">
        <f>Portfolio!B$6*'CurrentFact-N10,20,40,60Unchan'!F182</f>
        <v>3696.2945087936532</v>
      </c>
      <c r="H182">
        <f t="shared" si="8"/>
        <v>94440.673519964359</v>
      </c>
      <c r="I182">
        <f t="shared" si="7"/>
        <v>0</v>
      </c>
    </row>
    <row r="183" spans="1:9">
      <c r="A183" s="1">
        <v>39513</v>
      </c>
      <c r="B183">
        <f>(3/(1+('CurrentFact-N10,20,40,60Unchan'!C183)/100)+103/POWER(1+('CurrentFact-N10,20,40,60Unchan'!D183)/100,2))*100</f>
        <v>9707.5857774288397</v>
      </c>
      <c r="C183">
        <f>(3/(1+('CurrentFact-N10,20,40,60Unchan'!C183+'CurrentFact-N10,20,40,60Unchan'!G183)/100)+103/POWER(1+('CurrentFact-N10,20,40,60Unchan'!D183+'CurrentFact-N10,20,40,60Unchan'!G183)/100,2))*100</f>
        <v>9614.9673582483465</v>
      </c>
      <c r="D183">
        <f>(3/(1+('CurrentFact-N10,20,40,60Unchan'!C183+'CurrentFact-N10,20,40,60Unchan'!H183)/100)+103/POWER(1+('CurrentFact-N10,20,40,60Unchan'!D183+'CurrentFact-N10,20,40,60Unchan'!H183)/100,2))*100</f>
        <v>9601.2395558122898</v>
      </c>
      <c r="E183">
        <f>(3/(1+('CurrentFact-N10,20,40,60Unchan'!C183+'CurrentFact-N10,20,40,60Unchan'!I183)/100)+103/POWER(1+('CurrentFact-N10,20,40,60Unchan'!D183+'CurrentFact-N10,20,40,60Unchan'!I183)/100,2))*100</f>
        <v>9676.6907857653259</v>
      </c>
      <c r="F183">
        <f>Portfolio!B$5*'CurrentFact-N10,20,40,60Unchan'!E183</f>
        <v>52143.895533915893</v>
      </c>
      <c r="G183">
        <f>Portfolio!B$6*'CurrentFact-N10,20,40,60Unchan'!F183</f>
        <v>3696.2945087936532</v>
      </c>
      <c r="H183">
        <f t="shared" si="8"/>
        <v>94440.673519964359</v>
      </c>
      <c r="I183">
        <f t="shared" si="7"/>
        <v>0</v>
      </c>
    </row>
    <row r="184" spans="1:9">
      <c r="A184" s="1">
        <v>39514</v>
      </c>
      <c r="B184">
        <f>(3/(1+('CurrentFact-N10,20,40,60Unchan'!C184)/100)+103/POWER(1+('CurrentFact-N10,20,40,60Unchan'!D184)/100,2))*100</f>
        <v>9707.5857774288397</v>
      </c>
      <c r="C184">
        <f>(3/(1+('CurrentFact-N10,20,40,60Unchan'!C184+'CurrentFact-N10,20,40,60Unchan'!G184)/100)+103/POWER(1+('CurrentFact-N10,20,40,60Unchan'!D184+'CurrentFact-N10,20,40,60Unchan'!G184)/100,2))*100</f>
        <v>9614.9673582483465</v>
      </c>
      <c r="D184">
        <f>(3/(1+('CurrentFact-N10,20,40,60Unchan'!C184+'CurrentFact-N10,20,40,60Unchan'!H184)/100)+103/POWER(1+('CurrentFact-N10,20,40,60Unchan'!D184+'CurrentFact-N10,20,40,60Unchan'!H184)/100,2))*100</f>
        <v>9601.2395558122898</v>
      </c>
      <c r="E184">
        <f>(3/(1+('CurrentFact-N10,20,40,60Unchan'!C184+'CurrentFact-N10,20,40,60Unchan'!I184)/100)+103/POWER(1+('CurrentFact-N10,20,40,60Unchan'!D184+'CurrentFact-N10,20,40,60Unchan'!I184)/100,2))*100</f>
        <v>9676.6907857653259</v>
      </c>
      <c r="F184">
        <f>Portfolio!B$5*'CurrentFact-N10,20,40,60Unchan'!E184</f>
        <v>52143.895533915893</v>
      </c>
      <c r="G184">
        <f>Portfolio!B$6*'CurrentFact-N10,20,40,60Unchan'!F184</f>
        <v>3696.2945087936532</v>
      </c>
      <c r="H184">
        <f t="shared" si="8"/>
        <v>94440.673519964359</v>
      </c>
      <c r="I184">
        <f t="shared" si="7"/>
        <v>0</v>
      </c>
    </row>
    <row r="185" spans="1:9">
      <c r="A185" s="1">
        <v>39517</v>
      </c>
      <c r="B185">
        <f>(3/(1+('CurrentFact-N10,20,40,60Unchan'!C185)/100)+103/POWER(1+('CurrentFact-N10,20,40,60Unchan'!D185)/100,2))*100</f>
        <v>9707.5857774288397</v>
      </c>
      <c r="C185">
        <f>(3/(1+('CurrentFact-N10,20,40,60Unchan'!C185+'CurrentFact-N10,20,40,60Unchan'!G185)/100)+103/POWER(1+('CurrentFact-N10,20,40,60Unchan'!D185+'CurrentFact-N10,20,40,60Unchan'!G185)/100,2))*100</f>
        <v>9614.9673582483465</v>
      </c>
      <c r="D185">
        <f>(3/(1+('CurrentFact-N10,20,40,60Unchan'!C185+'CurrentFact-N10,20,40,60Unchan'!H185)/100)+103/POWER(1+('CurrentFact-N10,20,40,60Unchan'!D185+'CurrentFact-N10,20,40,60Unchan'!H185)/100,2))*100</f>
        <v>9601.2395558122898</v>
      </c>
      <c r="E185">
        <f>(3/(1+('CurrentFact-N10,20,40,60Unchan'!C185+'CurrentFact-N10,20,40,60Unchan'!I185)/100)+103/POWER(1+('CurrentFact-N10,20,40,60Unchan'!D185+'CurrentFact-N10,20,40,60Unchan'!I185)/100,2))*100</f>
        <v>9676.6907857653259</v>
      </c>
      <c r="F185">
        <f>Portfolio!B$5*'CurrentFact-N10,20,40,60Unchan'!E185</f>
        <v>52143.895533915893</v>
      </c>
      <c r="G185">
        <f>Portfolio!B$6*'CurrentFact-N10,20,40,60Unchan'!F185</f>
        <v>3696.2945087936532</v>
      </c>
      <c r="H185">
        <f t="shared" si="8"/>
        <v>94440.673519964359</v>
      </c>
      <c r="I185">
        <f t="shared" si="7"/>
        <v>0</v>
      </c>
    </row>
    <row r="186" spans="1:9">
      <c r="A186" s="1">
        <v>39518</v>
      </c>
      <c r="B186">
        <f>(3/(1+('CurrentFact-N10,20,40,60Unchan'!C186)/100)+103/POWER(1+('CurrentFact-N10,20,40,60Unchan'!D186)/100,2))*100</f>
        <v>9707.5857774288397</v>
      </c>
      <c r="C186">
        <f>(3/(1+('CurrentFact-N10,20,40,60Unchan'!C186+'CurrentFact-N10,20,40,60Unchan'!G186)/100)+103/POWER(1+('CurrentFact-N10,20,40,60Unchan'!D186+'CurrentFact-N10,20,40,60Unchan'!G186)/100,2))*100</f>
        <v>9614.9673582483465</v>
      </c>
      <c r="D186">
        <f>(3/(1+('CurrentFact-N10,20,40,60Unchan'!C186+'CurrentFact-N10,20,40,60Unchan'!H186)/100)+103/POWER(1+('CurrentFact-N10,20,40,60Unchan'!D186+'CurrentFact-N10,20,40,60Unchan'!H186)/100,2))*100</f>
        <v>9601.2395558122898</v>
      </c>
      <c r="E186">
        <f>(3/(1+('CurrentFact-N10,20,40,60Unchan'!C186+'CurrentFact-N10,20,40,60Unchan'!I186)/100)+103/POWER(1+('CurrentFact-N10,20,40,60Unchan'!D186+'CurrentFact-N10,20,40,60Unchan'!I186)/100,2))*100</f>
        <v>9676.6907857653259</v>
      </c>
      <c r="F186">
        <f>Portfolio!B$5*'CurrentFact-N10,20,40,60Unchan'!E186</f>
        <v>52143.895533915893</v>
      </c>
      <c r="G186">
        <f>Portfolio!B$6*'CurrentFact-N10,20,40,60Unchan'!F186</f>
        <v>3696.2945087936532</v>
      </c>
      <c r="H186">
        <f t="shared" si="8"/>
        <v>94440.673519964359</v>
      </c>
      <c r="I186">
        <f t="shared" si="7"/>
        <v>0</v>
      </c>
    </row>
    <row r="187" spans="1:9">
      <c r="A187" s="1">
        <v>39519</v>
      </c>
      <c r="B187">
        <f>(3/(1+('CurrentFact-N10,20,40,60Unchan'!C187)/100)+103/POWER(1+('CurrentFact-N10,20,40,60Unchan'!D187)/100,2))*100</f>
        <v>9707.5857774288397</v>
      </c>
      <c r="C187">
        <f>(3/(1+('CurrentFact-N10,20,40,60Unchan'!C187+'CurrentFact-N10,20,40,60Unchan'!G187)/100)+103/POWER(1+('CurrentFact-N10,20,40,60Unchan'!D187+'CurrentFact-N10,20,40,60Unchan'!G187)/100,2))*100</f>
        <v>9614.9673582483465</v>
      </c>
      <c r="D187">
        <f>(3/(1+('CurrentFact-N10,20,40,60Unchan'!C187+'CurrentFact-N10,20,40,60Unchan'!H187)/100)+103/POWER(1+('CurrentFact-N10,20,40,60Unchan'!D187+'CurrentFact-N10,20,40,60Unchan'!H187)/100,2))*100</f>
        <v>9601.2395558122898</v>
      </c>
      <c r="E187">
        <f>(3/(1+('CurrentFact-N10,20,40,60Unchan'!C187+'CurrentFact-N10,20,40,60Unchan'!I187)/100)+103/POWER(1+('CurrentFact-N10,20,40,60Unchan'!D187+'CurrentFact-N10,20,40,60Unchan'!I187)/100,2))*100</f>
        <v>9676.6907857653259</v>
      </c>
      <c r="F187">
        <f>Portfolio!B$5*'CurrentFact-N10,20,40,60Unchan'!E187</f>
        <v>52143.895533915893</v>
      </c>
      <c r="G187">
        <f>Portfolio!B$6*'CurrentFact-N10,20,40,60Unchan'!F187</f>
        <v>3696.2945087936532</v>
      </c>
      <c r="H187">
        <f t="shared" si="8"/>
        <v>94440.673519964359</v>
      </c>
      <c r="I187">
        <f t="shared" si="7"/>
        <v>0</v>
      </c>
    </row>
    <row r="188" spans="1:9">
      <c r="A188" s="1">
        <v>39520</v>
      </c>
    </row>
    <row r="189" spans="1:9">
      <c r="A189" s="1">
        <v>39521</v>
      </c>
    </row>
    <row r="190" spans="1:9">
      <c r="A190" s="1">
        <v>39524</v>
      </c>
    </row>
    <row r="191" spans="1:9">
      <c r="A191" s="1">
        <v>39525</v>
      </c>
    </row>
    <row r="192" spans="1:9">
      <c r="A192" s="1">
        <v>39526</v>
      </c>
    </row>
    <row r="193" spans="1:1">
      <c r="A193" s="1">
        <v>39527</v>
      </c>
    </row>
    <row r="194" spans="1:1">
      <c r="A194" s="1">
        <v>39528</v>
      </c>
    </row>
    <row r="195" spans="1:1">
      <c r="A195" s="1">
        <v>39531</v>
      </c>
    </row>
    <row r="196" spans="1:1">
      <c r="A196" s="1">
        <v>39532</v>
      </c>
    </row>
    <row r="197" spans="1:1">
      <c r="A197" s="1">
        <v>39533</v>
      </c>
    </row>
    <row r="198" spans="1:1">
      <c r="A198" s="1">
        <v>39534</v>
      </c>
    </row>
    <row r="199" spans="1:1">
      <c r="A199" s="1">
        <v>39535</v>
      </c>
    </row>
    <row r="200" spans="1:1">
      <c r="A200" s="1">
        <v>39538</v>
      </c>
    </row>
    <row r="201" spans="1:1">
      <c r="A201" s="1">
        <v>39539</v>
      </c>
    </row>
    <row r="202" spans="1:1">
      <c r="A202" s="1">
        <v>39540</v>
      </c>
    </row>
    <row r="203" spans="1:1">
      <c r="A203" s="1">
        <v>39541</v>
      </c>
    </row>
    <row r="204" spans="1:1">
      <c r="A204" s="1">
        <v>39542</v>
      </c>
    </row>
    <row r="205" spans="1:1">
      <c r="A205" s="1">
        <v>39545</v>
      </c>
    </row>
    <row r="206" spans="1:1">
      <c r="A206" s="1">
        <v>39546</v>
      </c>
    </row>
    <row r="207" spans="1:1">
      <c r="A207" s="1">
        <v>39547</v>
      </c>
    </row>
    <row r="208" spans="1:1">
      <c r="A208" s="1">
        <v>39548</v>
      </c>
    </row>
    <row r="209" spans="1:1">
      <c r="A209" s="1">
        <v>39549</v>
      </c>
    </row>
    <row r="210" spans="1:1">
      <c r="A210" s="1">
        <v>39552</v>
      </c>
    </row>
    <row r="211" spans="1:1">
      <c r="A211" s="1">
        <v>39553</v>
      </c>
    </row>
    <row r="212" spans="1:1">
      <c r="A212" s="1">
        <v>39554</v>
      </c>
    </row>
    <row r="213" spans="1:1">
      <c r="A213" s="1">
        <v>39555</v>
      </c>
    </row>
    <row r="214" spans="1:1">
      <c r="A214" s="1">
        <v>39556</v>
      </c>
    </row>
    <row r="215" spans="1:1">
      <c r="A215" s="1">
        <v>39559</v>
      </c>
    </row>
    <row r="216" spans="1:1">
      <c r="A216" s="1">
        <v>39560</v>
      </c>
    </row>
    <row r="217" spans="1:1">
      <c r="A217" s="1">
        <v>39561</v>
      </c>
    </row>
    <row r="218" spans="1:1">
      <c r="A218" s="1">
        <v>39562</v>
      </c>
    </row>
    <row r="219" spans="1:1">
      <c r="A219" s="1">
        <v>39563</v>
      </c>
    </row>
    <row r="220" spans="1:1">
      <c r="A220" s="1">
        <v>39566</v>
      </c>
    </row>
    <row r="221" spans="1:1">
      <c r="A221" s="1">
        <v>39567</v>
      </c>
    </row>
    <row r="222" spans="1:1">
      <c r="A222" s="1">
        <v>39568</v>
      </c>
    </row>
    <row r="223" spans="1:1">
      <c r="A223" s="1">
        <v>39569</v>
      </c>
    </row>
    <row r="224" spans="1:1">
      <c r="A224" s="1">
        <v>39570</v>
      </c>
    </row>
    <row r="225" spans="1:1">
      <c r="A225" s="1">
        <v>39573</v>
      </c>
    </row>
    <row r="226" spans="1:1">
      <c r="A226" s="1">
        <v>39574</v>
      </c>
    </row>
    <row r="227" spans="1:1">
      <c r="A227" s="1">
        <v>39575</v>
      </c>
    </row>
    <row r="228" spans="1:1">
      <c r="A228" s="1">
        <v>39576</v>
      </c>
    </row>
    <row r="229" spans="1:1">
      <c r="A229" s="1">
        <v>39577</v>
      </c>
    </row>
    <row r="230" spans="1:1">
      <c r="A230" s="1">
        <v>39580</v>
      </c>
    </row>
    <row r="231" spans="1:1">
      <c r="A231" s="1">
        <v>39581</v>
      </c>
    </row>
    <row r="232" spans="1:1">
      <c r="A232" s="1">
        <v>39582</v>
      </c>
    </row>
    <row r="233" spans="1:1">
      <c r="A233" s="1">
        <v>39583</v>
      </c>
    </row>
    <row r="234" spans="1:1">
      <c r="A234" s="1">
        <v>39584</v>
      </c>
    </row>
    <row r="235" spans="1:1">
      <c r="A235" s="1">
        <v>39587</v>
      </c>
    </row>
    <row r="236" spans="1:1">
      <c r="A236" s="1">
        <v>39588</v>
      </c>
    </row>
    <row r="237" spans="1:1">
      <c r="A237" s="1">
        <v>39589</v>
      </c>
    </row>
    <row r="238" spans="1:1">
      <c r="A238" s="1">
        <v>39590</v>
      </c>
    </row>
    <row r="239" spans="1:1">
      <c r="A239" s="1">
        <v>39591</v>
      </c>
    </row>
    <row r="240" spans="1:1">
      <c r="A240" s="1">
        <v>39594</v>
      </c>
    </row>
    <row r="241" spans="1:1">
      <c r="A241" s="1">
        <v>39595</v>
      </c>
    </row>
    <row r="242" spans="1:1">
      <c r="A242" s="1">
        <v>39596</v>
      </c>
    </row>
    <row r="243" spans="1:1">
      <c r="A243" s="1">
        <v>39597</v>
      </c>
    </row>
    <row r="244" spans="1:1">
      <c r="A244" s="1">
        <v>39598</v>
      </c>
    </row>
    <row r="245" spans="1:1">
      <c r="A245" s="1">
        <v>39601</v>
      </c>
    </row>
    <row r="246" spans="1:1">
      <c r="A246" s="1">
        <v>39602</v>
      </c>
    </row>
    <row r="247" spans="1:1">
      <c r="A247" s="1">
        <v>39603</v>
      </c>
    </row>
    <row r="248" spans="1:1">
      <c r="A248" s="1">
        <v>39604</v>
      </c>
    </row>
    <row r="249" spans="1:1">
      <c r="A249" s="1">
        <v>39605</v>
      </c>
    </row>
    <row r="250" spans="1:1">
      <c r="A250" s="1">
        <v>39608</v>
      </c>
    </row>
    <row r="251" spans="1:1">
      <c r="A251" s="1">
        <v>39609</v>
      </c>
    </row>
    <row r="252" spans="1:1">
      <c r="A252" s="1">
        <v>39610</v>
      </c>
    </row>
    <row r="253" spans="1:1">
      <c r="A253" s="1">
        <v>39611</v>
      </c>
    </row>
    <row r="254" spans="1:1">
      <c r="A254" s="1">
        <v>39612</v>
      </c>
    </row>
    <row r="255" spans="1:1">
      <c r="A255" s="1">
        <v>39615</v>
      </c>
    </row>
    <row r="256" spans="1:1">
      <c r="A256" s="1">
        <v>39616</v>
      </c>
    </row>
    <row r="257" spans="1:1">
      <c r="A257" s="1">
        <v>39617</v>
      </c>
    </row>
    <row r="258" spans="1:1">
      <c r="A258" s="1">
        <v>39618</v>
      </c>
    </row>
    <row r="259" spans="1:1">
      <c r="A259" s="1">
        <v>39619</v>
      </c>
    </row>
    <row r="260" spans="1:1">
      <c r="A260" s="1">
        <v>39622</v>
      </c>
    </row>
    <row r="261" spans="1:1">
      <c r="A261" s="1">
        <v>39623</v>
      </c>
    </row>
    <row r="262" spans="1:1">
      <c r="A262" s="1">
        <v>39624</v>
      </c>
    </row>
    <row r="263" spans="1:1">
      <c r="A263" s="1">
        <v>39625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CurrentPor-All Factor Movements</vt:lpstr>
      <vt:lpstr>CurrentPor-N10Unchanged</vt:lpstr>
      <vt:lpstr>CurrentFact-N10,20Unchanged</vt:lpstr>
      <vt:lpstr>CurrentFact-N10,20,40Unchanged</vt:lpstr>
      <vt:lpstr>CurrentFact-N10,20,40,60Unchan</vt:lpstr>
      <vt:lpstr>Portfolio</vt:lpstr>
      <vt:lpstr>ES, All factor movement</vt:lpstr>
      <vt:lpstr>ES,N10 unchanged</vt:lpstr>
      <vt:lpstr>ES,N10,20 unchanged</vt:lpstr>
      <vt:lpstr>ES,N10,20,40 unchanged</vt:lpstr>
      <vt:lpstr>ES,N10,20,40,60 unchanged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2025-11-08T09:42:17Z</dcterms:modified>
</cp:coreProperties>
</file>